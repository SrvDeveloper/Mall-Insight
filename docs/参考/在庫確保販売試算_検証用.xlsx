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192.168.254.14\d\ファッションアイテム部\2.EC事業課\4.在庫関連\"/>
    </mc:Choice>
  </mc:AlternateContent>
  <xr:revisionPtr revIDLastSave="0" documentId="13_ncr:1_{7E52A3DE-24FF-4162-A315-D9E50CF00882}" xr6:coauthVersionLast="47" xr6:coauthVersionMax="47" xr10:uidLastSave="{00000000-0000-0000-0000-000000000000}"/>
  <bookViews>
    <workbookView xWindow="-108" yWindow="-108" windowWidth="23256" windowHeight="12456" activeTab="1" xr2:uid="{00000000-000D-0000-FFFF-FFFF00000000}"/>
  </bookViews>
  <sheets>
    <sheet name="差し替え品番" sheetId="7" r:id="rId1"/>
    <sheet name="在庫推移 (2026.08～)" sheetId="10" r:id="rId2"/>
    <sheet name="在庫推移" sheetId="5" r:id="rId3"/>
    <sheet name="FL-3000在庫" sheetId="9" r:id="rId4"/>
    <sheet name="月別販売比率" sheetId="3" r:id="rId5"/>
    <sheet name="度数別比率" sheetId="4" r:id="rId6"/>
    <sheet name="【旧】販売試算表" sheetId="1" r:id="rId7"/>
    <sheet name="元データ" sheetId="2" r:id="rId8"/>
    <sheet name="2026売上ランキング 1-5" sheetId="8" r:id="rId9"/>
  </sheets>
  <definedNames>
    <definedName name="_xlnm._FilterDatabase" localSheetId="6" hidden="1">【旧】販売試算表!$A$5:$I$5</definedName>
    <definedName name="_xlnm._FilterDatabase" localSheetId="8" hidden="1">'2026売上ランキング 1-5'!$C$3:$Q$3</definedName>
    <definedName name="_xlnm._FilterDatabase" localSheetId="3" hidden="1">'FL-3000在庫'!$B$5:$K$21</definedName>
    <definedName name="_xlnm._FilterDatabase" localSheetId="7" hidden="1">元データ!$A$5:$G$5</definedName>
    <definedName name="_xlnm._FilterDatabase" localSheetId="2" hidden="1">在庫推移!$B$5:$DC$283</definedName>
    <definedName name="_xlnm._FilterDatabase" localSheetId="1" hidden="1">'在庫推移 (2026.08～)'!$B$5:$DC$295</definedName>
    <definedName name="_xlnm.Print_Area" localSheetId="3">'FL-3000在庫'!$A$2:$W$21</definedName>
    <definedName name="_xlnm.Print_Area" localSheetId="2">在庫推移!$A$2:$DB$283</definedName>
    <definedName name="_xlnm.Print_Area" localSheetId="1">'在庫推移 (2026.08～)'!$A$2:$DB$295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94" i="10" l="1"/>
  <c r="M294" i="10"/>
  <c r="L294" i="10"/>
  <c r="K294" i="10"/>
  <c r="J294" i="10"/>
  <c r="I294" i="10"/>
  <c r="H294" i="10"/>
  <c r="G294" i="10"/>
  <c r="F294" i="10"/>
  <c r="CZ294" i="10"/>
  <c r="CY294" i="10"/>
  <c r="CX294" i="10"/>
  <c r="CW294" i="10"/>
  <c r="CV294" i="10"/>
  <c r="CU294" i="10"/>
  <c r="CT294" i="10"/>
  <c r="CS294" i="10"/>
  <c r="CR294" i="10"/>
  <c r="CQ294" i="10"/>
  <c r="CP294" i="10"/>
  <c r="CO294" i="10"/>
  <c r="CN294" i="10"/>
  <c r="CM294" i="10"/>
  <c r="CL294" i="10"/>
  <c r="CK294" i="10"/>
  <c r="CJ294" i="10"/>
  <c r="CI294" i="10"/>
  <c r="K270" i="10"/>
  <c r="G270" i="10"/>
  <c r="K269" i="10"/>
  <c r="G269" i="10"/>
  <c r="K268" i="10"/>
  <c r="G268" i="10"/>
  <c r="K267" i="10"/>
  <c r="G267" i="10"/>
  <c r="K266" i="10"/>
  <c r="G266" i="10"/>
  <c r="K265" i="10"/>
  <c r="G265" i="10"/>
  <c r="K264" i="10"/>
  <c r="G264" i="10"/>
  <c r="K263" i="10"/>
  <c r="G263" i="10"/>
  <c r="K262" i="10"/>
  <c r="G262" i="10"/>
  <c r="K261" i="10"/>
  <c r="G261" i="10"/>
  <c r="K260" i="10"/>
  <c r="G260" i="10"/>
  <c r="G258" i="10" s="1"/>
  <c r="K259" i="10"/>
  <c r="G259" i="10"/>
  <c r="CZ258" i="10"/>
  <c r="CX258" i="10"/>
  <c r="CV258" i="10"/>
  <c r="CT258" i="10"/>
  <c r="CR258" i="10"/>
  <c r="CP258" i="10"/>
  <c r="CN258" i="10"/>
  <c r="CL258" i="10"/>
  <c r="CJ258" i="10"/>
  <c r="CH258" i="10"/>
  <c r="CF258" i="10"/>
  <c r="CD258" i="10"/>
  <c r="CB258" i="10"/>
  <c r="BZ258" i="10"/>
  <c r="BX258" i="10"/>
  <c r="BV258" i="10"/>
  <c r="BT258" i="10"/>
  <c r="BR258" i="10"/>
  <c r="BP258" i="10"/>
  <c r="BN258" i="10"/>
  <c r="BL258" i="10"/>
  <c r="BJ258" i="10"/>
  <c r="BH258" i="10"/>
  <c r="BF258" i="10"/>
  <c r="BD258" i="10"/>
  <c r="BB258" i="10"/>
  <c r="AZ258" i="10"/>
  <c r="AX258" i="10"/>
  <c r="AV258" i="10"/>
  <c r="AT258" i="10"/>
  <c r="N258" i="10"/>
  <c r="M258" i="10"/>
  <c r="L258" i="10"/>
  <c r="J258" i="10"/>
  <c r="F258" i="10"/>
  <c r="K252" i="10"/>
  <c r="G252" i="10"/>
  <c r="K251" i="10"/>
  <c r="G251" i="10"/>
  <c r="K250" i="10"/>
  <c r="G250" i="10"/>
  <c r="K249" i="10"/>
  <c r="G249" i="10"/>
  <c r="K248" i="10"/>
  <c r="G248" i="10"/>
  <c r="K247" i="10"/>
  <c r="G247" i="10"/>
  <c r="K246" i="10"/>
  <c r="G246" i="10"/>
  <c r="K245" i="10"/>
  <c r="G245" i="10"/>
  <c r="K244" i="10"/>
  <c r="G244" i="10"/>
  <c r="K243" i="10"/>
  <c r="G243" i="10"/>
  <c r="K242" i="10"/>
  <c r="G242" i="10"/>
  <c r="K241" i="10"/>
  <c r="G241" i="10"/>
  <c r="K240" i="10"/>
  <c r="G240" i="10"/>
  <c r="K239" i="10"/>
  <c r="G239" i="10"/>
  <c r="K238" i="10"/>
  <c r="G238" i="10"/>
  <c r="CZ237" i="10"/>
  <c r="CX237" i="10"/>
  <c r="CV237" i="10"/>
  <c r="CT237" i="10"/>
  <c r="CR237" i="10"/>
  <c r="CP237" i="10"/>
  <c r="CN237" i="10"/>
  <c r="CL237" i="10"/>
  <c r="CJ237" i="10"/>
  <c r="CH237" i="10"/>
  <c r="CF237" i="10"/>
  <c r="CD237" i="10"/>
  <c r="CB237" i="10"/>
  <c r="BZ237" i="10"/>
  <c r="BX237" i="10"/>
  <c r="BV237" i="10"/>
  <c r="BT237" i="10"/>
  <c r="BR237" i="10"/>
  <c r="BP237" i="10"/>
  <c r="BN237" i="10"/>
  <c r="BL237" i="10"/>
  <c r="BJ237" i="10"/>
  <c r="BH237" i="10"/>
  <c r="BF237" i="10"/>
  <c r="BD237" i="10"/>
  <c r="BB237" i="10"/>
  <c r="AZ237" i="10"/>
  <c r="AX237" i="10"/>
  <c r="AV237" i="10"/>
  <c r="AT237" i="10"/>
  <c r="N237" i="10"/>
  <c r="M237" i="10"/>
  <c r="L237" i="10"/>
  <c r="J237" i="10"/>
  <c r="F237" i="10"/>
  <c r="K236" i="10"/>
  <c r="G236" i="10"/>
  <c r="K235" i="10"/>
  <c r="G235" i="10"/>
  <c r="K234" i="10"/>
  <c r="G234" i="10"/>
  <c r="K233" i="10"/>
  <c r="G233" i="10"/>
  <c r="K232" i="10"/>
  <c r="G232" i="10"/>
  <c r="K231" i="10"/>
  <c r="G231" i="10"/>
  <c r="K230" i="10"/>
  <c r="G230" i="10"/>
  <c r="K229" i="10"/>
  <c r="G229" i="10"/>
  <c r="K228" i="10"/>
  <c r="G228" i="10"/>
  <c r="K227" i="10"/>
  <c r="G227" i="10"/>
  <c r="K226" i="10"/>
  <c r="G226" i="10"/>
  <c r="K225" i="10"/>
  <c r="G225" i="10"/>
  <c r="CZ224" i="10"/>
  <c r="CX224" i="10"/>
  <c r="CV224" i="10"/>
  <c r="CT224" i="10"/>
  <c r="CR224" i="10"/>
  <c r="CP224" i="10"/>
  <c r="CN224" i="10"/>
  <c r="CL224" i="10"/>
  <c r="CJ224" i="10"/>
  <c r="CH224" i="10"/>
  <c r="CF224" i="10"/>
  <c r="CD224" i="10"/>
  <c r="CB224" i="10"/>
  <c r="BZ224" i="10"/>
  <c r="BX224" i="10"/>
  <c r="BV224" i="10"/>
  <c r="BT224" i="10"/>
  <c r="BR224" i="10"/>
  <c r="BP224" i="10"/>
  <c r="BN224" i="10"/>
  <c r="BL224" i="10"/>
  <c r="BJ224" i="10"/>
  <c r="BH224" i="10"/>
  <c r="BF224" i="10"/>
  <c r="BD224" i="10"/>
  <c r="BB224" i="10"/>
  <c r="AZ224" i="10"/>
  <c r="AX224" i="10"/>
  <c r="AV224" i="10"/>
  <c r="AT224" i="10"/>
  <c r="N224" i="10"/>
  <c r="M224" i="10"/>
  <c r="L224" i="10"/>
  <c r="J224" i="10"/>
  <c r="F224" i="10"/>
  <c r="K197" i="10"/>
  <c r="K198" i="10"/>
  <c r="K199" i="10"/>
  <c r="K200" i="10"/>
  <c r="K201" i="10"/>
  <c r="G201" i="10"/>
  <c r="G200" i="10"/>
  <c r="G199" i="10"/>
  <c r="G198" i="10"/>
  <c r="G197" i="10"/>
  <c r="G196" i="10"/>
  <c r="K196" i="10"/>
  <c r="K194" i="10"/>
  <c r="K193" i="10"/>
  <c r="K192" i="10"/>
  <c r="K191" i="10"/>
  <c r="K190" i="10"/>
  <c r="K189" i="10"/>
  <c r="K188" i="10"/>
  <c r="K187" i="10"/>
  <c r="K186" i="10"/>
  <c r="K185" i="10"/>
  <c r="K184" i="10"/>
  <c r="K183" i="10"/>
  <c r="G186" i="10"/>
  <c r="G189" i="10"/>
  <c r="G188" i="10"/>
  <c r="G187" i="10"/>
  <c r="G257" i="10"/>
  <c r="G256" i="10"/>
  <c r="G255" i="10"/>
  <c r="G254" i="10"/>
  <c r="CZ253" i="10"/>
  <c r="CX253" i="10"/>
  <c r="CV253" i="10"/>
  <c r="CT253" i="10"/>
  <c r="CR253" i="10"/>
  <c r="CP253" i="10"/>
  <c r="CN253" i="10"/>
  <c r="CL253" i="10"/>
  <c r="CJ253" i="10"/>
  <c r="CH253" i="10"/>
  <c r="CF253" i="10"/>
  <c r="CD253" i="10"/>
  <c r="CB253" i="10"/>
  <c r="BZ253" i="10"/>
  <c r="BX253" i="10"/>
  <c r="BV253" i="10"/>
  <c r="BT253" i="10"/>
  <c r="BR253" i="10"/>
  <c r="BP253" i="10"/>
  <c r="BN253" i="10"/>
  <c r="BL253" i="10"/>
  <c r="BJ253" i="10"/>
  <c r="BH253" i="10"/>
  <c r="BF253" i="10"/>
  <c r="BD253" i="10"/>
  <c r="BB253" i="10"/>
  <c r="AZ253" i="10"/>
  <c r="AX253" i="10"/>
  <c r="AV253" i="10"/>
  <c r="AT253" i="10"/>
  <c r="N253" i="10"/>
  <c r="M253" i="10"/>
  <c r="L253" i="10"/>
  <c r="J253" i="10"/>
  <c r="F253" i="10"/>
  <c r="K210" i="10"/>
  <c r="G210" i="10"/>
  <c r="K209" i="10"/>
  <c r="G209" i="10"/>
  <c r="K208" i="10"/>
  <c r="G208" i="10"/>
  <c r="K207" i="10"/>
  <c r="G207" i="10"/>
  <c r="K206" i="10"/>
  <c r="G206" i="10"/>
  <c r="K205" i="10"/>
  <c r="G205" i="10"/>
  <c r="K204" i="10"/>
  <c r="G204" i="10"/>
  <c r="K203" i="10"/>
  <c r="G203" i="10"/>
  <c r="K202" i="10"/>
  <c r="G202" i="10"/>
  <c r="CZ195" i="10"/>
  <c r="CX195" i="10"/>
  <c r="CV195" i="10"/>
  <c r="CT195" i="10"/>
  <c r="CR195" i="10"/>
  <c r="CP195" i="10"/>
  <c r="CN195" i="10"/>
  <c r="CL195" i="10"/>
  <c r="CJ195" i="10"/>
  <c r="CH195" i="10"/>
  <c r="CF195" i="10"/>
  <c r="CD195" i="10"/>
  <c r="CB195" i="10"/>
  <c r="BZ195" i="10"/>
  <c r="BX195" i="10"/>
  <c r="BV195" i="10"/>
  <c r="BT195" i="10"/>
  <c r="BR195" i="10"/>
  <c r="BP195" i="10"/>
  <c r="BN195" i="10"/>
  <c r="BL195" i="10"/>
  <c r="BJ195" i="10"/>
  <c r="BH195" i="10"/>
  <c r="BF195" i="10"/>
  <c r="BD195" i="10"/>
  <c r="BB195" i="10"/>
  <c r="AZ195" i="10"/>
  <c r="AX195" i="10"/>
  <c r="AV195" i="10"/>
  <c r="AT195" i="10"/>
  <c r="N195" i="10"/>
  <c r="M195" i="10"/>
  <c r="L195" i="10"/>
  <c r="J195" i="10"/>
  <c r="F195" i="10"/>
  <c r="G194" i="10"/>
  <c r="G193" i="10"/>
  <c r="G192" i="10"/>
  <c r="G191" i="10"/>
  <c r="G190" i="10"/>
  <c r="G185" i="10"/>
  <c r="G184" i="10"/>
  <c r="G183" i="10"/>
  <c r="CZ182" i="10"/>
  <c r="CX182" i="10"/>
  <c r="CV182" i="10"/>
  <c r="CT182" i="10"/>
  <c r="CR182" i="10"/>
  <c r="CP182" i="10"/>
  <c r="CN182" i="10"/>
  <c r="CL182" i="10"/>
  <c r="CJ182" i="10"/>
  <c r="CH182" i="10"/>
  <c r="CF182" i="10"/>
  <c r="CD182" i="10"/>
  <c r="CB182" i="10"/>
  <c r="BZ182" i="10"/>
  <c r="BX182" i="10"/>
  <c r="BV182" i="10"/>
  <c r="BT182" i="10"/>
  <c r="BR182" i="10"/>
  <c r="BP182" i="10"/>
  <c r="BN182" i="10"/>
  <c r="BL182" i="10"/>
  <c r="BJ182" i="10"/>
  <c r="BH182" i="10"/>
  <c r="BF182" i="10"/>
  <c r="BD182" i="10"/>
  <c r="BB182" i="10"/>
  <c r="AZ182" i="10"/>
  <c r="AX182" i="10"/>
  <c r="AV182" i="10"/>
  <c r="AT182" i="10"/>
  <c r="N182" i="10"/>
  <c r="M182" i="10"/>
  <c r="L182" i="10"/>
  <c r="J182" i="10"/>
  <c r="F182" i="10"/>
  <c r="G280" i="10"/>
  <c r="CY279" i="10"/>
  <c r="CW279" i="10"/>
  <c r="CU279" i="10"/>
  <c r="CS279" i="10"/>
  <c r="CQ279" i="10"/>
  <c r="CO279" i="10"/>
  <c r="CM279" i="10"/>
  <c r="CK279" i="10"/>
  <c r="CI279" i="10"/>
  <c r="CG279" i="10"/>
  <c r="CE279" i="10"/>
  <c r="CC279" i="10"/>
  <c r="CA279" i="10"/>
  <c r="BY279" i="10"/>
  <c r="BW279" i="10"/>
  <c r="BU279" i="10"/>
  <c r="BS279" i="10"/>
  <c r="BQ279" i="10"/>
  <c r="BO279" i="10"/>
  <c r="BM279" i="10"/>
  <c r="BK279" i="10"/>
  <c r="BI279" i="10"/>
  <c r="BG279" i="10"/>
  <c r="BE279" i="10"/>
  <c r="BC279" i="10"/>
  <c r="BA279" i="10"/>
  <c r="AY279" i="10"/>
  <c r="AW279" i="10"/>
  <c r="AU279" i="10"/>
  <c r="AS279" i="10"/>
  <c r="K279" i="10"/>
  <c r="I279" i="10"/>
  <c r="G279" i="10"/>
  <c r="K278" i="10"/>
  <c r="G278" i="10"/>
  <c r="CY277" i="10"/>
  <c r="CW277" i="10"/>
  <c r="CU277" i="10"/>
  <c r="CS277" i="10"/>
  <c r="CQ277" i="10"/>
  <c r="CO277" i="10"/>
  <c r="CM277" i="10"/>
  <c r="CK277" i="10"/>
  <c r="CI277" i="10"/>
  <c r="CG277" i="10"/>
  <c r="CE277" i="10"/>
  <c r="CC277" i="10"/>
  <c r="CA277" i="10"/>
  <c r="BY277" i="10"/>
  <c r="BW277" i="10"/>
  <c r="BU277" i="10"/>
  <c r="BS277" i="10"/>
  <c r="BQ277" i="10"/>
  <c r="BO277" i="10"/>
  <c r="BM277" i="10"/>
  <c r="BK277" i="10"/>
  <c r="BI277" i="10"/>
  <c r="BG277" i="10"/>
  <c r="BE277" i="10"/>
  <c r="BC277" i="10"/>
  <c r="BA277" i="10"/>
  <c r="AY277" i="10"/>
  <c r="AW277" i="10"/>
  <c r="AU277" i="10"/>
  <c r="AS277" i="10"/>
  <c r="K277" i="10"/>
  <c r="I277" i="10"/>
  <c r="G277" i="10"/>
  <c r="CY276" i="10"/>
  <c r="CW276" i="10"/>
  <c r="CU276" i="10"/>
  <c r="CS276" i="10"/>
  <c r="CQ276" i="10"/>
  <c r="CO276" i="10"/>
  <c r="CM276" i="10"/>
  <c r="CK276" i="10"/>
  <c r="CI276" i="10"/>
  <c r="CG276" i="10"/>
  <c r="CE276" i="10"/>
  <c r="CC276" i="10"/>
  <c r="CA276" i="10"/>
  <c r="BY276" i="10"/>
  <c r="BW276" i="10"/>
  <c r="BU276" i="10"/>
  <c r="BS276" i="10"/>
  <c r="BQ276" i="10"/>
  <c r="BO276" i="10"/>
  <c r="BM276" i="10"/>
  <c r="BK276" i="10"/>
  <c r="BI276" i="10"/>
  <c r="BG276" i="10"/>
  <c r="BE276" i="10"/>
  <c r="BC276" i="10"/>
  <c r="BA276" i="10"/>
  <c r="AY276" i="10"/>
  <c r="AW276" i="10"/>
  <c r="AU276" i="10"/>
  <c r="AS276" i="10"/>
  <c r="K276" i="10"/>
  <c r="I276" i="10"/>
  <c r="G276" i="10"/>
  <c r="CY275" i="10"/>
  <c r="CW275" i="10"/>
  <c r="CU275" i="10"/>
  <c r="CS275" i="10"/>
  <c r="CQ275" i="10"/>
  <c r="CO275" i="10"/>
  <c r="CM275" i="10"/>
  <c r="CK275" i="10"/>
  <c r="CI275" i="10"/>
  <c r="CG275" i="10"/>
  <c r="CE275" i="10"/>
  <c r="CC275" i="10"/>
  <c r="CA275" i="10"/>
  <c r="BY275" i="10"/>
  <c r="BW275" i="10"/>
  <c r="BU275" i="10"/>
  <c r="BS275" i="10"/>
  <c r="BQ275" i="10"/>
  <c r="BO275" i="10"/>
  <c r="BM275" i="10"/>
  <c r="BK275" i="10"/>
  <c r="BI275" i="10"/>
  <c r="BG275" i="10"/>
  <c r="BE275" i="10"/>
  <c r="BC275" i="10"/>
  <c r="BA275" i="10"/>
  <c r="AY275" i="10"/>
  <c r="AW275" i="10"/>
  <c r="AU275" i="10"/>
  <c r="AS275" i="10"/>
  <c r="K275" i="10"/>
  <c r="I275" i="10"/>
  <c r="G275" i="10"/>
  <c r="K274" i="10"/>
  <c r="G274" i="10"/>
  <c r="K273" i="10"/>
  <c r="G273" i="10"/>
  <c r="K272" i="10"/>
  <c r="G272" i="10"/>
  <c r="CZ271" i="10"/>
  <c r="CX271" i="10"/>
  <c r="CV271" i="10"/>
  <c r="CT271" i="10"/>
  <c r="CR271" i="10"/>
  <c r="CP271" i="10"/>
  <c r="CN271" i="10"/>
  <c r="CL271" i="10"/>
  <c r="CJ271" i="10"/>
  <c r="CH271" i="10"/>
  <c r="CF271" i="10"/>
  <c r="CD271" i="10"/>
  <c r="CB271" i="10"/>
  <c r="BZ271" i="10"/>
  <c r="BX271" i="10"/>
  <c r="BV271" i="10"/>
  <c r="BT271" i="10"/>
  <c r="BR271" i="10"/>
  <c r="BP271" i="10"/>
  <c r="BN271" i="10"/>
  <c r="BL271" i="10"/>
  <c r="BJ271" i="10"/>
  <c r="BH271" i="10"/>
  <c r="BF271" i="10"/>
  <c r="BD271" i="10"/>
  <c r="BB271" i="10"/>
  <c r="AZ271" i="10"/>
  <c r="AX271" i="10"/>
  <c r="AV271" i="10"/>
  <c r="AT271" i="10"/>
  <c r="N271" i="10"/>
  <c r="M271" i="10"/>
  <c r="L271" i="10"/>
  <c r="J271" i="10"/>
  <c r="F271" i="10"/>
  <c r="H272" i="10" s="1"/>
  <c r="CU272" i="10" s="1"/>
  <c r="K293" i="10"/>
  <c r="G293" i="10"/>
  <c r="K292" i="10"/>
  <c r="G292" i="10"/>
  <c r="CY291" i="10"/>
  <c r="CW291" i="10"/>
  <c r="CU291" i="10"/>
  <c r="CS291" i="10"/>
  <c r="CQ291" i="10"/>
  <c r="CO291" i="10"/>
  <c r="CM291" i="10"/>
  <c r="CK291" i="10"/>
  <c r="CI291" i="10"/>
  <c r="CG291" i="10"/>
  <c r="CE291" i="10"/>
  <c r="CC291" i="10"/>
  <c r="CA291" i="10"/>
  <c r="BY291" i="10"/>
  <c r="BW291" i="10"/>
  <c r="BU291" i="10"/>
  <c r="BS291" i="10"/>
  <c r="BQ291" i="10"/>
  <c r="BO291" i="10"/>
  <c r="BM291" i="10"/>
  <c r="BK291" i="10"/>
  <c r="BI291" i="10"/>
  <c r="BG291" i="10"/>
  <c r="BE291" i="10"/>
  <c r="BC291" i="10"/>
  <c r="BA291" i="10"/>
  <c r="AY291" i="10"/>
  <c r="AW291" i="10"/>
  <c r="AU291" i="10"/>
  <c r="AS291" i="10"/>
  <c r="K291" i="10"/>
  <c r="I291" i="10"/>
  <c r="G291" i="10"/>
  <c r="K290" i="10"/>
  <c r="G290" i="10"/>
  <c r="K289" i="10"/>
  <c r="G289" i="10"/>
  <c r="K288" i="10"/>
  <c r="G288" i="10"/>
  <c r="K287" i="10"/>
  <c r="G287" i="10"/>
  <c r="K286" i="10"/>
  <c r="G286" i="10"/>
  <c r="K285" i="10"/>
  <c r="G285" i="10"/>
  <c r="CY284" i="10"/>
  <c r="CW284" i="10"/>
  <c r="CU284" i="10"/>
  <c r="CS284" i="10"/>
  <c r="CQ284" i="10"/>
  <c r="CO284" i="10"/>
  <c r="CM284" i="10"/>
  <c r="CK284" i="10"/>
  <c r="CI284" i="10"/>
  <c r="CG284" i="10"/>
  <c r="CE284" i="10"/>
  <c r="CC284" i="10"/>
  <c r="CA284" i="10"/>
  <c r="BY284" i="10"/>
  <c r="BW284" i="10"/>
  <c r="BU284" i="10"/>
  <c r="BS284" i="10"/>
  <c r="BQ284" i="10"/>
  <c r="BO284" i="10"/>
  <c r="BM284" i="10"/>
  <c r="BK284" i="10"/>
  <c r="BI284" i="10"/>
  <c r="BG284" i="10"/>
  <c r="BE284" i="10"/>
  <c r="BC284" i="10"/>
  <c r="BA284" i="10"/>
  <c r="AY284" i="10"/>
  <c r="AW284" i="10"/>
  <c r="AU284" i="10"/>
  <c r="AS284" i="10"/>
  <c r="K284" i="10"/>
  <c r="I284" i="10"/>
  <c r="G284" i="10"/>
  <c r="K283" i="10"/>
  <c r="G283" i="10"/>
  <c r="CY282" i="10"/>
  <c r="CW282" i="10"/>
  <c r="CU282" i="10"/>
  <c r="CS282" i="10"/>
  <c r="CQ282" i="10"/>
  <c r="CO282" i="10"/>
  <c r="CM282" i="10"/>
  <c r="CK282" i="10"/>
  <c r="CI282" i="10"/>
  <c r="CG282" i="10"/>
  <c r="CE282" i="10"/>
  <c r="CC282" i="10"/>
  <c r="CA282" i="10"/>
  <c r="BY282" i="10"/>
  <c r="BW282" i="10"/>
  <c r="BU282" i="10"/>
  <c r="BS282" i="10"/>
  <c r="BQ282" i="10"/>
  <c r="BO282" i="10"/>
  <c r="BM282" i="10"/>
  <c r="BK282" i="10"/>
  <c r="BI282" i="10"/>
  <c r="BG282" i="10"/>
  <c r="BE282" i="10"/>
  <c r="BC282" i="10"/>
  <c r="BA282" i="10"/>
  <c r="AY282" i="10"/>
  <c r="AW282" i="10"/>
  <c r="AU282" i="10"/>
  <c r="AS282" i="10"/>
  <c r="K282" i="10"/>
  <c r="I282" i="10"/>
  <c r="G282" i="10"/>
  <c r="CZ281" i="10"/>
  <c r="CX281" i="10"/>
  <c r="CV281" i="10"/>
  <c r="CT281" i="10"/>
  <c r="CR281" i="10"/>
  <c r="CP281" i="10"/>
  <c r="CN281" i="10"/>
  <c r="CL281" i="10"/>
  <c r="CJ281" i="10"/>
  <c r="CH281" i="10"/>
  <c r="CF281" i="10"/>
  <c r="CD281" i="10"/>
  <c r="CB281" i="10"/>
  <c r="BZ281" i="10"/>
  <c r="BX281" i="10"/>
  <c r="BV281" i="10"/>
  <c r="BT281" i="10"/>
  <c r="BR281" i="10"/>
  <c r="BP281" i="10"/>
  <c r="BN281" i="10"/>
  <c r="BL281" i="10"/>
  <c r="BJ281" i="10"/>
  <c r="BH281" i="10"/>
  <c r="BF281" i="10"/>
  <c r="BD281" i="10"/>
  <c r="BB281" i="10"/>
  <c r="AZ281" i="10"/>
  <c r="AX281" i="10"/>
  <c r="AV281" i="10"/>
  <c r="AT281" i="10"/>
  <c r="N281" i="10"/>
  <c r="M281" i="10"/>
  <c r="L281" i="10"/>
  <c r="J281" i="10"/>
  <c r="F281" i="10"/>
  <c r="H286" i="10" s="1"/>
  <c r="CC286" i="10" s="1"/>
  <c r="CY115" i="10"/>
  <c r="CW115" i="10"/>
  <c r="CU115" i="10"/>
  <c r="CS115" i="10"/>
  <c r="CQ115" i="10"/>
  <c r="CO115" i="10"/>
  <c r="CM115" i="10"/>
  <c r="CK115" i="10"/>
  <c r="AJ115" i="10" s="1"/>
  <c r="CI115" i="10"/>
  <c r="CG115" i="10"/>
  <c r="CE115" i="10"/>
  <c r="CC115" i="10"/>
  <c r="CA115" i="10"/>
  <c r="BY115" i="10"/>
  <c r="BW115" i="10"/>
  <c r="BU115" i="10"/>
  <c r="BS115" i="10"/>
  <c r="BQ115" i="10"/>
  <c r="BO115" i="10"/>
  <c r="BM115" i="10"/>
  <c r="BK115" i="10"/>
  <c r="BI115" i="10"/>
  <c r="BG115" i="10"/>
  <c r="BE115" i="10"/>
  <c r="K115" i="10"/>
  <c r="I115" i="10"/>
  <c r="CY114" i="10"/>
  <c r="CW114" i="10"/>
  <c r="CU114" i="10"/>
  <c r="CS114" i="10"/>
  <c r="CQ114" i="10"/>
  <c r="CO114" i="10"/>
  <c r="CM114" i="10"/>
  <c r="CK114" i="10"/>
  <c r="AJ114" i="10" s="1"/>
  <c r="CI114" i="10"/>
  <c r="CG114" i="10"/>
  <c r="CE114" i="10"/>
  <c r="CC114" i="10"/>
  <c r="CA114" i="10"/>
  <c r="BY114" i="10"/>
  <c r="BW114" i="10"/>
  <c r="BU114" i="10"/>
  <c r="BS114" i="10"/>
  <c r="BQ114" i="10"/>
  <c r="BO114" i="10"/>
  <c r="BM114" i="10"/>
  <c r="BK114" i="10"/>
  <c r="BI114" i="10"/>
  <c r="BG114" i="10"/>
  <c r="BE114" i="10"/>
  <c r="BC114" i="10"/>
  <c r="BA114" i="10"/>
  <c r="AY114" i="10"/>
  <c r="AW114" i="10"/>
  <c r="AU114" i="10"/>
  <c r="AS114" i="10"/>
  <c r="K114" i="10"/>
  <c r="I114" i="10"/>
  <c r="G114" i="10"/>
  <c r="CY113" i="10"/>
  <c r="K113" i="10"/>
  <c r="H113" i="10"/>
  <c r="CW113" i="10" s="1"/>
  <c r="G113" i="10"/>
  <c r="CZ112" i="10"/>
  <c r="CX112" i="10"/>
  <c r="CV112" i="10"/>
  <c r="CT112" i="10"/>
  <c r="CR112" i="10"/>
  <c r="CP112" i="10"/>
  <c r="CN112" i="10"/>
  <c r="CL112" i="10"/>
  <c r="CJ112" i="10"/>
  <c r="CH112" i="10"/>
  <c r="CF112" i="10"/>
  <c r="CD112" i="10"/>
  <c r="CB112" i="10"/>
  <c r="BZ112" i="10"/>
  <c r="BX112" i="10"/>
  <c r="BV112" i="10"/>
  <c r="BT112" i="10"/>
  <c r="BR112" i="10"/>
  <c r="BP112" i="10"/>
  <c r="BN112" i="10"/>
  <c r="BL112" i="10"/>
  <c r="BJ112" i="10"/>
  <c r="BH112" i="10"/>
  <c r="BF112" i="10"/>
  <c r="BD112" i="10"/>
  <c r="BB112" i="10"/>
  <c r="AZ112" i="10"/>
  <c r="AX112" i="10"/>
  <c r="AV112" i="10"/>
  <c r="AT112" i="10"/>
  <c r="N112" i="10"/>
  <c r="M112" i="10"/>
  <c r="L112" i="10"/>
  <c r="J112" i="10"/>
  <c r="F112" i="10"/>
  <c r="K223" i="10"/>
  <c r="G223" i="10"/>
  <c r="K222" i="10"/>
  <c r="G222" i="10"/>
  <c r="K221" i="10"/>
  <c r="G221" i="10"/>
  <c r="K220" i="10"/>
  <c r="G220" i="10"/>
  <c r="K219" i="10"/>
  <c r="G219" i="10"/>
  <c r="K218" i="10"/>
  <c r="G218" i="10"/>
  <c r="K217" i="10"/>
  <c r="G217" i="10"/>
  <c r="K216" i="10"/>
  <c r="G216" i="10"/>
  <c r="K215" i="10"/>
  <c r="G215" i="10"/>
  <c r="K214" i="10"/>
  <c r="G214" i="10"/>
  <c r="K213" i="10"/>
  <c r="G213" i="10"/>
  <c r="K212" i="10"/>
  <c r="G212" i="10"/>
  <c r="CZ211" i="10"/>
  <c r="CX211" i="10"/>
  <c r="CJ211" i="10"/>
  <c r="BV211" i="10"/>
  <c r="BT211" i="10"/>
  <c r="BR211" i="10"/>
  <c r="BP211" i="10"/>
  <c r="BB211" i="10"/>
  <c r="AT211" i="10"/>
  <c r="N211" i="10"/>
  <c r="M211" i="10"/>
  <c r="L211" i="10"/>
  <c r="J211" i="10"/>
  <c r="F211" i="10"/>
  <c r="H215" i="10" s="1"/>
  <c r="CY170" i="10"/>
  <c r="CW170" i="10"/>
  <c r="CU170" i="10"/>
  <c r="CS170" i="10"/>
  <c r="CQ170" i="10"/>
  <c r="CO170" i="10"/>
  <c r="CM170" i="10"/>
  <c r="AK170" i="10" s="1"/>
  <c r="CK170" i="10"/>
  <c r="CI170" i="10"/>
  <c r="CG170" i="10"/>
  <c r="CE170" i="10"/>
  <c r="CC170" i="10"/>
  <c r="CA170" i="10"/>
  <c r="BY170" i="10"/>
  <c r="BW170" i="10"/>
  <c r="BU170" i="10"/>
  <c r="BS170" i="10"/>
  <c r="BQ170" i="10"/>
  <c r="BO170" i="10"/>
  <c r="BM170" i="10"/>
  <c r="BK170" i="10"/>
  <c r="BI170" i="10"/>
  <c r="BG170" i="10"/>
  <c r="BE170" i="10"/>
  <c r="BC170" i="10"/>
  <c r="BA170" i="10"/>
  <c r="AY170" i="10"/>
  <c r="AW170" i="10"/>
  <c r="AU170" i="10"/>
  <c r="AS170" i="10"/>
  <c r="K170" i="10"/>
  <c r="I170" i="10"/>
  <c r="G170" i="10"/>
  <c r="CY169" i="10"/>
  <c r="CW169" i="10"/>
  <c r="CU169" i="10"/>
  <c r="CS169" i="10"/>
  <c r="CQ169" i="10"/>
  <c r="CO169" i="10"/>
  <c r="CM169" i="10"/>
  <c r="CK169" i="10"/>
  <c r="CI169" i="10"/>
  <c r="CG169" i="10"/>
  <c r="CE169" i="10"/>
  <c r="CC169" i="10"/>
  <c r="CA169" i="10"/>
  <c r="BY169" i="10"/>
  <c r="BW169" i="10"/>
  <c r="BU169" i="10"/>
  <c r="BS169" i="10"/>
  <c r="BQ169" i="10"/>
  <c r="BO169" i="10"/>
  <c r="BM169" i="10"/>
  <c r="BK169" i="10"/>
  <c r="BI169" i="10"/>
  <c r="BG169" i="10"/>
  <c r="BE169" i="10"/>
  <c r="BC169" i="10"/>
  <c r="BA169" i="10"/>
  <c r="AY169" i="10"/>
  <c r="AW169" i="10"/>
  <c r="AU169" i="10"/>
  <c r="AS169" i="10"/>
  <c r="K169" i="10"/>
  <c r="I169" i="10"/>
  <c r="G169" i="10"/>
  <c r="CY168" i="10"/>
  <c r="CW168" i="10"/>
  <c r="CU168" i="10"/>
  <c r="CS168" i="10"/>
  <c r="CQ168" i="10"/>
  <c r="CO168" i="10"/>
  <c r="CM168" i="10"/>
  <c r="CK168" i="10"/>
  <c r="CI168" i="10"/>
  <c r="AI168" i="10" s="1"/>
  <c r="CG168" i="10"/>
  <c r="CE168" i="10"/>
  <c r="CC168" i="10"/>
  <c r="CA168" i="10"/>
  <c r="BY168" i="10"/>
  <c r="BW168" i="10"/>
  <c r="BU168" i="10"/>
  <c r="BS168" i="10"/>
  <c r="BQ168" i="10"/>
  <c r="BO168" i="10"/>
  <c r="BM168" i="10"/>
  <c r="BK168" i="10"/>
  <c r="BI168" i="10"/>
  <c r="BG168" i="10"/>
  <c r="BE168" i="10"/>
  <c r="BC168" i="10"/>
  <c r="BA168" i="10"/>
  <c r="AY168" i="10"/>
  <c r="AW168" i="10"/>
  <c r="AU168" i="10"/>
  <c r="AS168" i="10"/>
  <c r="I168" i="10"/>
  <c r="G168" i="10"/>
  <c r="CY167" i="10"/>
  <c r="CW167" i="10"/>
  <c r="CU167" i="10"/>
  <c r="CS167" i="10"/>
  <c r="CQ167" i="10"/>
  <c r="CO167" i="10"/>
  <c r="CM167" i="10"/>
  <c r="CK167" i="10"/>
  <c r="CI167" i="10"/>
  <c r="CG167" i="10"/>
  <c r="CE167" i="10"/>
  <c r="CC167" i="10"/>
  <c r="CA167" i="10"/>
  <c r="BY167" i="10"/>
  <c r="BW167" i="10"/>
  <c r="BU167" i="10"/>
  <c r="BS167" i="10"/>
  <c r="BQ167" i="10"/>
  <c r="BO167" i="10"/>
  <c r="BM167" i="10"/>
  <c r="BK167" i="10"/>
  <c r="BI167" i="10"/>
  <c r="BG167" i="10"/>
  <c r="BE167" i="10"/>
  <c r="BC167" i="10"/>
  <c r="BA167" i="10"/>
  <c r="AY167" i="10"/>
  <c r="AW167" i="10"/>
  <c r="AU167" i="10"/>
  <c r="AS167" i="10"/>
  <c r="K167" i="10"/>
  <c r="I167" i="10"/>
  <c r="G167" i="10"/>
  <c r="CY166" i="10"/>
  <c r="CW166" i="10"/>
  <c r="CU166" i="10"/>
  <c r="CS166" i="10"/>
  <c r="CQ166" i="10"/>
  <c r="CO166" i="10"/>
  <c r="CM166" i="10"/>
  <c r="AK166" i="10" s="1"/>
  <c r="CK166" i="10"/>
  <c r="CI166" i="10"/>
  <c r="AI166" i="10" s="1"/>
  <c r="CG166" i="10"/>
  <c r="CE166" i="10"/>
  <c r="CC166" i="10"/>
  <c r="CA166" i="10"/>
  <c r="BY166" i="10"/>
  <c r="BW166" i="10"/>
  <c r="BU166" i="10"/>
  <c r="BS166" i="10"/>
  <c r="BQ166" i="10"/>
  <c r="BO166" i="10"/>
  <c r="BM166" i="10"/>
  <c r="BK166" i="10"/>
  <c r="BI166" i="10"/>
  <c r="BG166" i="10"/>
  <c r="BE166" i="10"/>
  <c r="BC166" i="10"/>
  <c r="BA166" i="10"/>
  <c r="AY166" i="10"/>
  <c r="AW166" i="10"/>
  <c r="AU166" i="10"/>
  <c r="AS166" i="10"/>
  <c r="I166" i="10"/>
  <c r="G166" i="10"/>
  <c r="CY165" i="10"/>
  <c r="CW165" i="10"/>
  <c r="CU165" i="10"/>
  <c r="CS165" i="10"/>
  <c r="CQ165" i="10"/>
  <c r="CO165" i="10"/>
  <c r="CM165" i="10"/>
  <c r="CK165" i="10"/>
  <c r="CI165" i="10"/>
  <c r="AI165" i="10" s="1"/>
  <c r="CG165" i="10"/>
  <c r="CE165" i="10"/>
  <c r="CC165" i="10"/>
  <c r="CA165" i="10"/>
  <c r="BY165" i="10"/>
  <c r="BW165" i="10"/>
  <c r="BU165" i="10"/>
  <c r="BS165" i="10"/>
  <c r="BQ165" i="10"/>
  <c r="BO165" i="10"/>
  <c r="BM165" i="10"/>
  <c r="BK165" i="10"/>
  <c r="BI165" i="10"/>
  <c r="BG165" i="10"/>
  <c r="BE165" i="10"/>
  <c r="BC165" i="10"/>
  <c r="BA165" i="10"/>
  <c r="AY165" i="10"/>
  <c r="AW165" i="10"/>
  <c r="AU165" i="10"/>
  <c r="AS165" i="10"/>
  <c r="I165" i="10"/>
  <c r="G165" i="10"/>
  <c r="CZ164" i="10"/>
  <c r="CX164" i="10"/>
  <c r="CV164" i="10"/>
  <c r="CT164" i="10"/>
  <c r="CR164" i="10"/>
  <c r="CP164" i="10"/>
  <c r="CN164" i="10"/>
  <c r="CL164" i="10"/>
  <c r="CJ164" i="10"/>
  <c r="CH164" i="10"/>
  <c r="CF164" i="10"/>
  <c r="CD164" i="10"/>
  <c r="CB164" i="10"/>
  <c r="BZ164" i="10"/>
  <c r="BX164" i="10"/>
  <c r="BV164" i="10"/>
  <c r="BT164" i="10"/>
  <c r="BR164" i="10"/>
  <c r="BP164" i="10"/>
  <c r="BN164" i="10"/>
  <c r="BL164" i="10"/>
  <c r="BJ164" i="10"/>
  <c r="BH164" i="10"/>
  <c r="BF164" i="10"/>
  <c r="BD164" i="10"/>
  <c r="BB164" i="10"/>
  <c r="AZ164" i="10"/>
  <c r="AX164" i="10"/>
  <c r="AV164" i="10"/>
  <c r="AT164" i="10"/>
  <c r="N164" i="10"/>
  <c r="M164" i="10"/>
  <c r="L164" i="10"/>
  <c r="J164" i="10"/>
  <c r="F164" i="10"/>
  <c r="K181" i="10"/>
  <c r="G181" i="10"/>
  <c r="K180" i="10"/>
  <c r="G180" i="10"/>
  <c r="K179" i="10"/>
  <c r="G179" i="10"/>
  <c r="K178" i="10"/>
  <c r="G178" i="10"/>
  <c r="K177" i="10"/>
  <c r="G177" i="10"/>
  <c r="K176" i="10"/>
  <c r="G176" i="10"/>
  <c r="K175" i="10"/>
  <c r="G175" i="10"/>
  <c r="K174" i="10"/>
  <c r="G174" i="10"/>
  <c r="K173" i="10"/>
  <c r="G173" i="10"/>
  <c r="K172" i="10"/>
  <c r="G172" i="10"/>
  <c r="CZ171" i="10"/>
  <c r="CX171" i="10"/>
  <c r="CV171" i="10"/>
  <c r="CT171" i="10"/>
  <c r="CR171" i="10"/>
  <c r="CP171" i="10"/>
  <c r="CN171" i="10"/>
  <c r="CL171" i="10"/>
  <c r="CJ171" i="10"/>
  <c r="CH171" i="10"/>
  <c r="CF171" i="10"/>
  <c r="CD171" i="10"/>
  <c r="CB171" i="10"/>
  <c r="BZ171" i="10"/>
  <c r="BX171" i="10"/>
  <c r="BV171" i="10"/>
  <c r="BT171" i="10"/>
  <c r="BR171" i="10"/>
  <c r="BP171" i="10"/>
  <c r="BN171" i="10"/>
  <c r="BL171" i="10"/>
  <c r="BJ171" i="10"/>
  <c r="BH171" i="10"/>
  <c r="BF171" i="10"/>
  <c r="BD171" i="10"/>
  <c r="BB171" i="10"/>
  <c r="AZ171" i="10"/>
  <c r="AX171" i="10"/>
  <c r="AV171" i="10"/>
  <c r="AT171" i="10"/>
  <c r="N171" i="10"/>
  <c r="M171" i="10"/>
  <c r="L171" i="10"/>
  <c r="J171" i="10"/>
  <c r="F171" i="10"/>
  <c r="H188" i="10" s="1"/>
  <c r="CY64" i="10"/>
  <c r="CW64" i="10"/>
  <c r="CU64" i="10"/>
  <c r="CS64" i="10"/>
  <c r="CQ64" i="10"/>
  <c r="CO64" i="10"/>
  <c r="CM64" i="10"/>
  <c r="CK64" i="10"/>
  <c r="CI64" i="10"/>
  <c r="CG64" i="10"/>
  <c r="CE64" i="10"/>
  <c r="CC64" i="10"/>
  <c r="CA64" i="10"/>
  <c r="BY64" i="10"/>
  <c r="BW64" i="10"/>
  <c r="BU64" i="10"/>
  <c r="BS64" i="10"/>
  <c r="BQ64" i="10"/>
  <c r="BO64" i="10"/>
  <c r="BM64" i="10"/>
  <c r="BK64" i="10"/>
  <c r="BI64" i="10"/>
  <c r="BG64" i="10"/>
  <c r="BE64" i="10"/>
  <c r="BC64" i="10"/>
  <c r="BA64" i="10"/>
  <c r="AY64" i="10"/>
  <c r="AW64" i="10"/>
  <c r="AU64" i="10"/>
  <c r="AS64" i="10"/>
  <c r="K64" i="10"/>
  <c r="I64" i="10"/>
  <c r="G64" i="10"/>
  <c r="CY63" i="10"/>
  <c r="CW63" i="10"/>
  <c r="CU63" i="10"/>
  <c r="CS63" i="10"/>
  <c r="CQ63" i="10"/>
  <c r="CO63" i="10"/>
  <c r="AL63" i="10" s="1"/>
  <c r="CM63" i="10"/>
  <c r="CK63" i="10"/>
  <c r="CI63" i="10"/>
  <c r="CG63" i="10"/>
  <c r="CE63" i="10"/>
  <c r="CC63" i="10"/>
  <c r="CA63" i="10"/>
  <c r="BY63" i="10"/>
  <c r="BW63" i="10"/>
  <c r="BU63" i="10"/>
  <c r="BS63" i="10"/>
  <c r="BQ63" i="10"/>
  <c r="BO63" i="10"/>
  <c r="BM63" i="10"/>
  <c r="BK63" i="10"/>
  <c r="BI63" i="10"/>
  <c r="BG63" i="10"/>
  <c r="BE63" i="10"/>
  <c r="BC63" i="10"/>
  <c r="BA63" i="10"/>
  <c r="AY63" i="10"/>
  <c r="AW63" i="10"/>
  <c r="AU63" i="10"/>
  <c r="AS63" i="10"/>
  <c r="K63" i="10"/>
  <c r="I63" i="10"/>
  <c r="G63" i="10"/>
  <c r="CY62" i="10"/>
  <c r="CW62" i="10"/>
  <c r="CU62" i="10"/>
  <c r="AO62" i="10" s="1"/>
  <c r="CS62" i="10"/>
  <c r="CQ62" i="10"/>
  <c r="AM62" i="10" s="1"/>
  <c r="CO62" i="10"/>
  <c r="CM62" i="10"/>
  <c r="CK62" i="10"/>
  <c r="CI62" i="10"/>
  <c r="CG62" i="10"/>
  <c r="CE62" i="10"/>
  <c r="CC62" i="10"/>
  <c r="CA62" i="10"/>
  <c r="BY62" i="10"/>
  <c r="BW62" i="10"/>
  <c r="BU62" i="10"/>
  <c r="BS62" i="10"/>
  <c r="BQ62" i="10"/>
  <c r="BO62" i="10"/>
  <c r="BM62" i="10"/>
  <c r="BK62" i="10"/>
  <c r="BI62" i="10"/>
  <c r="BG62" i="10"/>
  <c r="BE62" i="10"/>
  <c r="BC62" i="10"/>
  <c r="BA62" i="10"/>
  <c r="AY62" i="10"/>
  <c r="AW62" i="10"/>
  <c r="AU62" i="10"/>
  <c r="AS62" i="10"/>
  <c r="K62" i="10"/>
  <c r="I62" i="10"/>
  <c r="G62" i="10"/>
  <c r="CY61" i="10"/>
  <c r="CW61" i="10"/>
  <c r="CU61" i="10"/>
  <c r="CS61" i="10"/>
  <c r="CQ61" i="10"/>
  <c r="CO61" i="10"/>
  <c r="CM61" i="10"/>
  <c r="CK61" i="10"/>
  <c r="CI61" i="10"/>
  <c r="CG61" i="10"/>
  <c r="CE61" i="10"/>
  <c r="CC61" i="10"/>
  <c r="CA61" i="10"/>
  <c r="BY61" i="10"/>
  <c r="BW61" i="10"/>
  <c r="BU61" i="10"/>
  <c r="BS61" i="10"/>
  <c r="BQ61" i="10"/>
  <c r="BO61" i="10"/>
  <c r="BM61" i="10"/>
  <c r="BK61" i="10"/>
  <c r="BI61" i="10"/>
  <c r="BG61" i="10"/>
  <c r="BE61" i="10"/>
  <c r="BC61" i="10"/>
  <c r="BA61" i="10"/>
  <c r="AY61" i="10"/>
  <c r="AW61" i="10"/>
  <c r="AU61" i="10"/>
  <c r="AS61" i="10"/>
  <c r="K61" i="10"/>
  <c r="I61" i="10"/>
  <c r="G61" i="10"/>
  <c r="CY60" i="10"/>
  <c r="CW60" i="10"/>
  <c r="CU60" i="10"/>
  <c r="CS60" i="10"/>
  <c r="CQ60" i="10"/>
  <c r="CO60" i="10"/>
  <c r="CM60" i="10"/>
  <c r="CK60" i="10"/>
  <c r="CI60" i="10"/>
  <c r="CG60" i="10"/>
  <c r="CE60" i="10"/>
  <c r="CC60" i="10"/>
  <c r="CA60" i="10"/>
  <c r="BY60" i="10"/>
  <c r="BW60" i="10"/>
  <c r="BU60" i="10"/>
  <c r="BS60" i="10"/>
  <c r="BQ60" i="10"/>
  <c r="BO60" i="10"/>
  <c r="BM60" i="10"/>
  <c r="BK60" i="10"/>
  <c r="BI60" i="10"/>
  <c r="BG60" i="10"/>
  <c r="BE60" i="10"/>
  <c r="BC60" i="10"/>
  <c r="BA60" i="10"/>
  <c r="AY60" i="10"/>
  <c r="AW60" i="10"/>
  <c r="AU60" i="10"/>
  <c r="AS60" i="10"/>
  <c r="K60" i="10"/>
  <c r="I60" i="10"/>
  <c r="G60" i="10"/>
  <c r="CY59" i="10"/>
  <c r="CW59" i="10"/>
  <c r="CU59" i="10"/>
  <c r="CS59" i="10"/>
  <c r="CQ59" i="10"/>
  <c r="CO59" i="10"/>
  <c r="CM59" i="10"/>
  <c r="CK59" i="10"/>
  <c r="CI59" i="10"/>
  <c r="CG59" i="10"/>
  <c r="CE59" i="10"/>
  <c r="CC59" i="10"/>
  <c r="CA59" i="10"/>
  <c r="BY59" i="10"/>
  <c r="BW59" i="10"/>
  <c r="BU59" i="10"/>
  <c r="BS59" i="10"/>
  <c r="BQ59" i="10"/>
  <c r="BO59" i="10"/>
  <c r="BM59" i="10"/>
  <c r="BK59" i="10"/>
  <c r="BI59" i="10"/>
  <c r="BG59" i="10"/>
  <c r="BE59" i="10"/>
  <c r="BC59" i="10"/>
  <c r="BA59" i="10"/>
  <c r="AY59" i="10"/>
  <c r="AW59" i="10"/>
  <c r="AU59" i="10"/>
  <c r="AS59" i="10"/>
  <c r="K59" i="10"/>
  <c r="I59" i="10"/>
  <c r="G59" i="10"/>
  <c r="K58" i="10"/>
  <c r="G58" i="10"/>
  <c r="K57" i="10"/>
  <c r="G57" i="10"/>
  <c r="CY56" i="10"/>
  <c r="CW56" i="10"/>
  <c r="CU56" i="10"/>
  <c r="CS56" i="10"/>
  <c r="CQ56" i="10"/>
  <c r="CO56" i="10"/>
  <c r="CM56" i="10"/>
  <c r="CK56" i="10"/>
  <c r="CI56" i="10"/>
  <c r="CG56" i="10"/>
  <c r="CE56" i="10"/>
  <c r="CC56" i="10"/>
  <c r="CA56" i="10"/>
  <c r="BY56" i="10"/>
  <c r="BW56" i="10"/>
  <c r="BU56" i="10"/>
  <c r="BS56" i="10"/>
  <c r="BQ56" i="10"/>
  <c r="BO56" i="10"/>
  <c r="BM56" i="10"/>
  <c r="BK56" i="10"/>
  <c r="BI56" i="10"/>
  <c r="BG56" i="10"/>
  <c r="BE56" i="10"/>
  <c r="BC56" i="10"/>
  <c r="BA56" i="10"/>
  <c r="AY56" i="10"/>
  <c r="AW56" i="10"/>
  <c r="AU56" i="10"/>
  <c r="AS56" i="10"/>
  <c r="K56" i="10"/>
  <c r="I56" i="10"/>
  <c r="G56" i="10"/>
  <c r="CY55" i="10"/>
  <c r="CW55" i="10"/>
  <c r="CU55" i="10"/>
  <c r="CS55" i="10"/>
  <c r="CQ55" i="10"/>
  <c r="CO55" i="10"/>
  <c r="CM55" i="10"/>
  <c r="CK55" i="10"/>
  <c r="CI55" i="10"/>
  <c r="CG55" i="10"/>
  <c r="CE55" i="10"/>
  <c r="CC55" i="10"/>
  <c r="CA55" i="10"/>
  <c r="BY55" i="10"/>
  <c r="BW55" i="10"/>
  <c r="BU55" i="10"/>
  <c r="BS55" i="10"/>
  <c r="BQ55" i="10"/>
  <c r="BO55" i="10"/>
  <c r="BM55" i="10"/>
  <c r="BK55" i="10"/>
  <c r="BI55" i="10"/>
  <c r="BG55" i="10"/>
  <c r="BE55" i="10"/>
  <c r="BC55" i="10"/>
  <c r="BA55" i="10"/>
  <c r="AY55" i="10"/>
  <c r="AW55" i="10"/>
  <c r="AU55" i="10"/>
  <c r="AS55" i="10"/>
  <c r="K55" i="10"/>
  <c r="I55" i="10"/>
  <c r="G55" i="10"/>
  <c r="CY54" i="10"/>
  <c r="CW54" i="10"/>
  <c r="CU54" i="10"/>
  <c r="CS54" i="10"/>
  <c r="CQ54" i="10"/>
  <c r="CO54" i="10"/>
  <c r="CM54" i="10"/>
  <c r="CK54" i="10"/>
  <c r="CI54" i="10"/>
  <c r="CG54" i="10"/>
  <c r="CE54" i="10"/>
  <c r="CC54" i="10"/>
  <c r="CA54" i="10"/>
  <c r="BY54" i="10"/>
  <c r="BW54" i="10"/>
  <c r="BU54" i="10"/>
  <c r="BS54" i="10"/>
  <c r="BQ54" i="10"/>
  <c r="BO54" i="10"/>
  <c r="BM54" i="10"/>
  <c r="BK54" i="10"/>
  <c r="BI54" i="10"/>
  <c r="BG54" i="10"/>
  <c r="BE54" i="10"/>
  <c r="BC54" i="10"/>
  <c r="BA54" i="10"/>
  <c r="AY54" i="10"/>
  <c r="AW54" i="10"/>
  <c r="AU54" i="10"/>
  <c r="AS54" i="10"/>
  <c r="K54" i="10"/>
  <c r="I54" i="10"/>
  <c r="G54" i="10"/>
  <c r="CY53" i="10"/>
  <c r="CW53" i="10"/>
  <c r="CU53" i="10"/>
  <c r="CS53" i="10"/>
  <c r="CQ53" i="10"/>
  <c r="CO53" i="10"/>
  <c r="CM53" i="10"/>
  <c r="CK53" i="10"/>
  <c r="CI53" i="10"/>
  <c r="CG53" i="10"/>
  <c r="CE53" i="10"/>
  <c r="CC53" i="10"/>
  <c r="CA53" i="10"/>
  <c r="BY53" i="10"/>
  <c r="BW53" i="10"/>
  <c r="BU53" i="10"/>
  <c r="BS53" i="10"/>
  <c r="BQ53" i="10"/>
  <c r="BO53" i="10"/>
  <c r="BM53" i="10"/>
  <c r="BK53" i="10"/>
  <c r="BI53" i="10"/>
  <c r="BG53" i="10"/>
  <c r="BE53" i="10"/>
  <c r="BC53" i="10"/>
  <c r="BA53" i="10"/>
  <c r="AY53" i="10"/>
  <c r="AW53" i="10"/>
  <c r="AU53" i="10"/>
  <c r="AS53" i="10"/>
  <c r="K53" i="10"/>
  <c r="I53" i="10"/>
  <c r="G53" i="10"/>
  <c r="CY52" i="10"/>
  <c r="CW52" i="10"/>
  <c r="CU52" i="10"/>
  <c r="CS52" i="10"/>
  <c r="CQ52" i="10"/>
  <c r="CO52" i="10"/>
  <c r="CM52" i="10"/>
  <c r="CK52" i="10"/>
  <c r="CI52" i="10"/>
  <c r="CG52" i="10"/>
  <c r="CE52" i="10"/>
  <c r="CC52" i="10"/>
  <c r="CA52" i="10"/>
  <c r="BY52" i="10"/>
  <c r="BW52" i="10"/>
  <c r="BU52" i="10"/>
  <c r="BS52" i="10"/>
  <c r="BQ52" i="10"/>
  <c r="BO52" i="10"/>
  <c r="BM52" i="10"/>
  <c r="BK52" i="10"/>
  <c r="BI52" i="10"/>
  <c r="BG52" i="10"/>
  <c r="BE52" i="10"/>
  <c r="BC52" i="10"/>
  <c r="BA52" i="10"/>
  <c r="AY52" i="10"/>
  <c r="AW52" i="10"/>
  <c r="AU52" i="10"/>
  <c r="AS52" i="10"/>
  <c r="K52" i="10"/>
  <c r="I52" i="10"/>
  <c r="G52" i="10"/>
  <c r="CY51" i="10"/>
  <c r="CW51" i="10"/>
  <c r="CU51" i="10"/>
  <c r="CS51" i="10"/>
  <c r="CQ51" i="10"/>
  <c r="CO51" i="10"/>
  <c r="CM51" i="10"/>
  <c r="CK51" i="10"/>
  <c r="CI51" i="10"/>
  <c r="CG51" i="10"/>
  <c r="CE51" i="10"/>
  <c r="CC51" i="10"/>
  <c r="CA51" i="10"/>
  <c r="BY51" i="10"/>
  <c r="BW51" i="10"/>
  <c r="BU51" i="10"/>
  <c r="BS51" i="10"/>
  <c r="BQ51" i="10"/>
  <c r="BO51" i="10"/>
  <c r="BM51" i="10"/>
  <c r="BK51" i="10"/>
  <c r="BI51" i="10"/>
  <c r="BG51" i="10"/>
  <c r="BE51" i="10"/>
  <c r="BC51" i="10"/>
  <c r="BA51" i="10"/>
  <c r="AY51" i="10"/>
  <c r="AW51" i="10"/>
  <c r="AU51" i="10"/>
  <c r="AS51" i="10"/>
  <c r="K51" i="10"/>
  <c r="I51" i="10"/>
  <c r="G51" i="10"/>
  <c r="CY50" i="10"/>
  <c r="CW50" i="10"/>
  <c r="CU50" i="10"/>
  <c r="CS50" i="10"/>
  <c r="CQ50" i="10"/>
  <c r="CO50" i="10"/>
  <c r="CM50" i="10"/>
  <c r="CK50" i="10"/>
  <c r="CI50" i="10"/>
  <c r="CG50" i="10"/>
  <c r="CE50" i="10"/>
  <c r="CC50" i="10"/>
  <c r="CA50" i="10"/>
  <c r="BY50" i="10"/>
  <c r="BW50" i="10"/>
  <c r="BU50" i="10"/>
  <c r="BS50" i="10"/>
  <c r="BQ50" i="10"/>
  <c r="BO50" i="10"/>
  <c r="BM50" i="10"/>
  <c r="BK50" i="10"/>
  <c r="BI50" i="10"/>
  <c r="BG50" i="10"/>
  <c r="BE50" i="10"/>
  <c r="BC50" i="10"/>
  <c r="BA50" i="10"/>
  <c r="AY50" i="10"/>
  <c r="AW50" i="10"/>
  <c r="AU50" i="10"/>
  <c r="AS50" i="10"/>
  <c r="K50" i="10"/>
  <c r="I50" i="10"/>
  <c r="G50" i="10"/>
  <c r="CZ49" i="10"/>
  <c r="CX49" i="10"/>
  <c r="CV49" i="10"/>
  <c r="CT49" i="10"/>
  <c r="CR49" i="10"/>
  <c r="CP49" i="10"/>
  <c r="CN49" i="10"/>
  <c r="CL49" i="10"/>
  <c r="CJ49" i="10"/>
  <c r="CH49" i="10"/>
  <c r="CF49" i="10"/>
  <c r="CD49" i="10"/>
  <c r="CB49" i="10"/>
  <c r="BZ49" i="10"/>
  <c r="BX49" i="10"/>
  <c r="BV49" i="10"/>
  <c r="BT49" i="10"/>
  <c r="BR49" i="10"/>
  <c r="BP49" i="10"/>
  <c r="BN49" i="10"/>
  <c r="BL49" i="10"/>
  <c r="BJ49" i="10"/>
  <c r="BH49" i="10"/>
  <c r="BF49" i="10"/>
  <c r="BD49" i="10"/>
  <c r="BB49" i="10"/>
  <c r="AZ49" i="10"/>
  <c r="AX49" i="10"/>
  <c r="AV49" i="10"/>
  <c r="AT49" i="10"/>
  <c r="N49" i="10"/>
  <c r="M49" i="10"/>
  <c r="L49" i="10"/>
  <c r="J49" i="10"/>
  <c r="F49" i="10"/>
  <c r="H58" i="10" s="1"/>
  <c r="CS58" i="10" s="1"/>
  <c r="K111" i="10"/>
  <c r="G111" i="10"/>
  <c r="K110" i="10"/>
  <c r="G110" i="10"/>
  <c r="K109" i="10"/>
  <c r="G109" i="10"/>
  <c r="K108" i="10"/>
  <c r="G108" i="10"/>
  <c r="K107" i="10"/>
  <c r="G107" i="10"/>
  <c r="K106" i="10"/>
  <c r="G106" i="10"/>
  <c r="K105" i="10"/>
  <c r="G105" i="10"/>
  <c r="K104" i="10"/>
  <c r="G104" i="10"/>
  <c r="K103" i="10"/>
  <c r="G103" i="10"/>
  <c r="K102" i="10"/>
  <c r="G102" i="10"/>
  <c r="K101" i="10"/>
  <c r="G101" i="10"/>
  <c r="K100" i="10"/>
  <c r="G100" i="10"/>
  <c r="CZ99" i="10"/>
  <c r="CX99" i="10"/>
  <c r="CV99" i="10"/>
  <c r="CT99" i="10"/>
  <c r="CR99" i="10"/>
  <c r="CQ99" i="10"/>
  <c r="CP99" i="10"/>
  <c r="CN99" i="10"/>
  <c r="CL99" i="10"/>
  <c r="CJ99" i="10"/>
  <c r="CI99" i="10"/>
  <c r="CH99" i="10"/>
  <c r="CF99" i="10"/>
  <c r="CD99" i="10"/>
  <c r="CB99" i="10"/>
  <c r="BZ99" i="10"/>
  <c r="BX99" i="10"/>
  <c r="BV99" i="10"/>
  <c r="BT99" i="10"/>
  <c r="BR99" i="10"/>
  <c r="BP99" i="10"/>
  <c r="BN99" i="10"/>
  <c r="BL99" i="10"/>
  <c r="BJ99" i="10"/>
  <c r="BH99" i="10"/>
  <c r="BF99" i="10"/>
  <c r="BD99" i="10"/>
  <c r="BB99" i="10"/>
  <c r="AZ99" i="10"/>
  <c r="AX99" i="10"/>
  <c r="AV99" i="10"/>
  <c r="AT99" i="10"/>
  <c r="N99" i="10"/>
  <c r="M99" i="10"/>
  <c r="L99" i="10"/>
  <c r="CM99" i="10" s="1"/>
  <c r="J99" i="10"/>
  <c r="F99" i="10"/>
  <c r="H101" i="10" s="1"/>
  <c r="K163" i="10"/>
  <c r="G163" i="10"/>
  <c r="K162" i="10"/>
  <c r="G162" i="10"/>
  <c r="K161" i="10"/>
  <c r="G161" i="10"/>
  <c r="K160" i="10"/>
  <c r="G160" i="10"/>
  <c r="K159" i="10"/>
  <c r="G159" i="10"/>
  <c r="K158" i="10"/>
  <c r="G158" i="10"/>
  <c r="K157" i="10"/>
  <c r="G157" i="10"/>
  <c r="K156" i="10"/>
  <c r="G156" i="10"/>
  <c r="CZ155" i="10"/>
  <c r="CX155" i="10"/>
  <c r="CV155" i="10"/>
  <c r="CT155" i="10"/>
  <c r="CR155" i="10"/>
  <c r="CP155" i="10"/>
  <c r="CN155" i="10"/>
  <c r="CL155" i="10"/>
  <c r="CJ155" i="10"/>
  <c r="CH155" i="10"/>
  <c r="CF155" i="10"/>
  <c r="CD155" i="10"/>
  <c r="CB155" i="10"/>
  <c r="BZ155" i="10"/>
  <c r="BX155" i="10"/>
  <c r="BV155" i="10"/>
  <c r="BT155" i="10"/>
  <c r="BR155" i="10"/>
  <c r="BP155" i="10"/>
  <c r="BN155" i="10"/>
  <c r="BL155" i="10"/>
  <c r="BJ155" i="10"/>
  <c r="BH155" i="10"/>
  <c r="BF155" i="10"/>
  <c r="BD155" i="10"/>
  <c r="BB155" i="10"/>
  <c r="AZ155" i="10"/>
  <c r="AX155" i="10"/>
  <c r="AV155" i="10"/>
  <c r="N155" i="10"/>
  <c r="M155" i="10"/>
  <c r="L155" i="10"/>
  <c r="J155" i="10"/>
  <c r="F155" i="10"/>
  <c r="H161" i="10" s="1"/>
  <c r="G98" i="10"/>
  <c r="K97" i="10"/>
  <c r="G97" i="10"/>
  <c r="K96" i="10"/>
  <c r="G96" i="10"/>
  <c r="K95" i="10"/>
  <c r="G95" i="10"/>
  <c r="K94" i="10"/>
  <c r="G94" i="10"/>
  <c r="K93" i="10"/>
  <c r="G93" i="10"/>
  <c r="K92" i="10"/>
  <c r="G92" i="10"/>
  <c r="CY91" i="10"/>
  <c r="CW91" i="10"/>
  <c r="CU91" i="10"/>
  <c r="CS91" i="10"/>
  <c r="CQ91" i="10"/>
  <c r="CO91" i="10"/>
  <c r="CM91" i="10"/>
  <c r="CK91" i="10"/>
  <c r="CI91" i="10"/>
  <c r="CG91" i="10"/>
  <c r="CE91" i="10"/>
  <c r="CC91" i="10"/>
  <c r="CA91" i="10"/>
  <c r="BY91" i="10"/>
  <c r="BW91" i="10"/>
  <c r="BU91" i="10"/>
  <c r="BS91" i="10"/>
  <c r="BQ91" i="10"/>
  <c r="BO91" i="10"/>
  <c r="BM91" i="10"/>
  <c r="BK91" i="10"/>
  <c r="BI91" i="10"/>
  <c r="BG91" i="10"/>
  <c r="BE91" i="10"/>
  <c r="BC91" i="10"/>
  <c r="BA91" i="10"/>
  <c r="AY91" i="10"/>
  <c r="AW91" i="10"/>
  <c r="AU91" i="10"/>
  <c r="AS91" i="10"/>
  <c r="K91" i="10"/>
  <c r="I91" i="10"/>
  <c r="G91" i="10"/>
  <c r="K90" i="10"/>
  <c r="G90" i="10"/>
  <c r="CZ89" i="10"/>
  <c r="CX89" i="10"/>
  <c r="CV89" i="10"/>
  <c r="CT89" i="10"/>
  <c r="CR89" i="10"/>
  <c r="CP89" i="10"/>
  <c r="CN89" i="10"/>
  <c r="CL89" i="10"/>
  <c r="CJ89" i="10"/>
  <c r="CH89" i="10"/>
  <c r="CF89" i="10"/>
  <c r="CD89" i="10"/>
  <c r="CB89" i="10"/>
  <c r="BZ89" i="10"/>
  <c r="BX89" i="10"/>
  <c r="BV89" i="10"/>
  <c r="BT89" i="10"/>
  <c r="BR89" i="10"/>
  <c r="BP89" i="10"/>
  <c r="BN89" i="10"/>
  <c r="BL89" i="10"/>
  <c r="BJ89" i="10"/>
  <c r="BH89" i="10"/>
  <c r="BF89" i="10"/>
  <c r="BD89" i="10"/>
  <c r="BB89" i="10"/>
  <c r="AZ89" i="10"/>
  <c r="AX89" i="10"/>
  <c r="AV89" i="10"/>
  <c r="AT89" i="10"/>
  <c r="N89" i="10"/>
  <c r="M89" i="10"/>
  <c r="L89" i="10"/>
  <c r="J89" i="10"/>
  <c r="F89" i="10"/>
  <c r="H96" i="10" s="1"/>
  <c r="CY96" i="10" s="1"/>
  <c r="K88" i="10"/>
  <c r="G88" i="10"/>
  <c r="K87" i="10"/>
  <c r="G87" i="10"/>
  <c r="K86" i="10"/>
  <c r="G86" i="10"/>
  <c r="K85" i="10"/>
  <c r="G85" i="10"/>
  <c r="K84" i="10"/>
  <c r="G84" i="10"/>
  <c r="K83" i="10"/>
  <c r="G83" i="10"/>
  <c r="K82" i="10"/>
  <c r="G82" i="10"/>
  <c r="K81" i="10"/>
  <c r="G81" i="10"/>
  <c r="K80" i="10"/>
  <c r="G80" i="10"/>
  <c r="K79" i="10"/>
  <c r="G79" i="10"/>
  <c r="K78" i="10"/>
  <c r="G78" i="10"/>
  <c r="K77" i="10"/>
  <c r="G77" i="10"/>
  <c r="CZ76" i="10"/>
  <c r="CX76" i="10"/>
  <c r="CV76" i="10"/>
  <c r="CT76" i="10"/>
  <c r="CR76" i="10"/>
  <c r="CP76" i="10"/>
  <c r="CN76" i="10"/>
  <c r="CL76" i="10"/>
  <c r="CJ76" i="10"/>
  <c r="CH76" i="10"/>
  <c r="CF76" i="10"/>
  <c r="CD76" i="10"/>
  <c r="CB76" i="10"/>
  <c r="BZ76" i="10"/>
  <c r="BX76" i="10"/>
  <c r="BV76" i="10"/>
  <c r="BT76" i="10"/>
  <c r="BR76" i="10"/>
  <c r="BP76" i="10"/>
  <c r="BN76" i="10"/>
  <c r="BL76" i="10"/>
  <c r="BJ76" i="10"/>
  <c r="BH76" i="10"/>
  <c r="BF76" i="10"/>
  <c r="BD76" i="10"/>
  <c r="BB76" i="10"/>
  <c r="AZ76" i="10"/>
  <c r="AX76" i="10"/>
  <c r="AV76" i="10"/>
  <c r="AT76" i="10"/>
  <c r="N76" i="10"/>
  <c r="M76" i="10"/>
  <c r="L76" i="10"/>
  <c r="J76" i="10"/>
  <c r="F76" i="10"/>
  <c r="H85" i="10" s="1"/>
  <c r="K154" i="10"/>
  <c r="G154" i="10"/>
  <c r="K153" i="10"/>
  <c r="G153" i="10"/>
  <c r="K152" i="10"/>
  <c r="G152" i="10"/>
  <c r="K151" i="10"/>
  <c r="G151" i="10"/>
  <c r="K150" i="10"/>
  <c r="G150" i="10"/>
  <c r="K149" i="10"/>
  <c r="G149" i="10"/>
  <c r="K148" i="10"/>
  <c r="G148" i="10"/>
  <c r="K147" i="10"/>
  <c r="G147" i="10"/>
  <c r="K146" i="10"/>
  <c r="G146" i="10"/>
  <c r="K145" i="10"/>
  <c r="G145" i="10"/>
  <c r="K144" i="10"/>
  <c r="G144" i="10"/>
  <c r="CY143" i="10"/>
  <c r="CW143" i="10"/>
  <c r="CU143" i="10"/>
  <c r="CS143" i="10"/>
  <c r="CQ143" i="10"/>
  <c r="CO143" i="10"/>
  <c r="CM143" i="10"/>
  <c r="CK143" i="10"/>
  <c r="CI143" i="10"/>
  <c r="CG143" i="10"/>
  <c r="CE143" i="10"/>
  <c r="CC143" i="10"/>
  <c r="CA143" i="10"/>
  <c r="BY143" i="10"/>
  <c r="BW143" i="10"/>
  <c r="BU143" i="10"/>
  <c r="BS143" i="10"/>
  <c r="BQ143" i="10"/>
  <c r="BO143" i="10"/>
  <c r="BM143" i="10"/>
  <c r="BK143" i="10"/>
  <c r="BI143" i="10"/>
  <c r="BG143" i="10"/>
  <c r="BE143" i="10"/>
  <c r="BC143" i="10"/>
  <c r="BA143" i="10"/>
  <c r="AY143" i="10"/>
  <c r="AW143" i="10"/>
  <c r="AU143" i="10"/>
  <c r="AS143" i="10"/>
  <c r="K143" i="10"/>
  <c r="I143" i="10"/>
  <c r="G143" i="10"/>
  <c r="K142" i="10"/>
  <c r="G142" i="10"/>
  <c r="K141" i="10"/>
  <c r="G141" i="10"/>
  <c r="CY140" i="10"/>
  <c r="CW140" i="10"/>
  <c r="CU140" i="10"/>
  <c r="CS140" i="10"/>
  <c r="CQ140" i="10"/>
  <c r="CO140" i="10"/>
  <c r="CM140" i="10"/>
  <c r="CK140" i="10"/>
  <c r="CI140" i="10"/>
  <c r="CG140" i="10"/>
  <c r="CE140" i="10"/>
  <c r="CC140" i="10"/>
  <c r="CA140" i="10"/>
  <c r="BY140" i="10"/>
  <c r="BW140" i="10"/>
  <c r="BU140" i="10"/>
  <c r="BS140" i="10"/>
  <c r="BQ140" i="10"/>
  <c r="BO140" i="10"/>
  <c r="BM140" i="10"/>
  <c r="BK140" i="10"/>
  <c r="BI140" i="10"/>
  <c r="BG140" i="10"/>
  <c r="BE140" i="10"/>
  <c r="BC140" i="10"/>
  <c r="BA140" i="10"/>
  <c r="AY140" i="10"/>
  <c r="AW140" i="10"/>
  <c r="AU140" i="10"/>
  <c r="AS140" i="10"/>
  <c r="K140" i="10"/>
  <c r="I140" i="10"/>
  <c r="G140" i="10"/>
  <c r="CY139" i="10"/>
  <c r="CW139" i="10"/>
  <c r="CU139" i="10"/>
  <c r="CS139" i="10"/>
  <c r="CQ139" i="10"/>
  <c r="CO139" i="10"/>
  <c r="CM139" i="10"/>
  <c r="CK139" i="10"/>
  <c r="CI139" i="10"/>
  <c r="CG139" i="10"/>
  <c r="CE139" i="10"/>
  <c r="CC139" i="10"/>
  <c r="CA139" i="10"/>
  <c r="BY139" i="10"/>
  <c r="BW139" i="10"/>
  <c r="BU139" i="10"/>
  <c r="BS139" i="10"/>
  <c r="BQ139" i="10"/>
  <c r="BO139" i="10"/>
  <c r="BM139" i="10"/>
  <c r="BK139" i="10"/>
  <c r="BI139" i="10"/>
  <c r="BG139" i="10"/>
  <c r="BE139" i="10"/>
  <c r="BC139" i="10"/>
  <c r="BA139" i="10"/>
  <c r="AY139" i="10"/>
  <c r="AW139" i="10"/>
  <c r="AU139" i="10"/>
  <c r="AS139" i="10"/>
  <c r="K139" i="10"/>
  <c r="I139" i="10"/>
  <c r="G139" i="10"/>
  <c r="CZ138" i="10"/>
  <c r="CX138" i="10"/>
  <c r="CV138" i="10"/>
  <c r="CT138" i="10"/>
  <c r="CR138" i="10"/>
  <c r="CP138" i="10"/>
  <c r="CN138" i="10"/>
  <c r="CL138" i="10"/>
  <c r="CJ138" i="10"/>
  <c r="CH138" i="10"/>
  <c r="CF138" i="10"/>
  <c r="CD138" i="10"/>
  <c r="CB138" i="10"/>
  <c r="BZ138" i="10"/>
  <c r="BX138" i="10"/>
  <c r="BV138" i="10"/>
  <c r="BT138" i="10"/>
  <c r="BR138" i="10"/>
  <c r="BP138" i="10"/>
  <c r="BN138" i="10"/>
  <c r="BL138" i="10"/>
  <c r="BJ138" i="10"/>
  <c r="BH138" i="10"/>
  <c r="BF138" i="10"/>
  <c r="BD138" i="10"/>
  <c r="BB138" i="10"/>
  <c r="AZ138" i="10"/>
  <c r="AX138" i="10"/>
  <c r="AV138" i="10"/>
  <c r="AT138" i="10"/>
  <c r="N138" i="10"/>
  <c r="M138" i="10"/>
  <c r="L138" i="10"/>
  <c r="J138" i="10"/>
  <c r="F138" i="10"/>
  <c r="H142" i="10" s="1"/>
  <c r="K37" i="10"/>
  <c r="G37" i="10"/>
  <c r="K36" i="10"/>
  <c r="G36" i="10"/>
  <c r="K35" i="10"/>
  <c r="G35" i="10"/>
  <c r="K34" i="10"/>
  <c r="G34" i="10"/>
  <c r="K33" i="10"/>
  <c r="G33" i="10"/>
  <c r="K32" i="10"/>
  <c r="G32" i="10"/>
  <c r="K31" i="10"/>
  <c r="G31" i="10"/>
  <c r="CY30" i="10"/>
  <c r="CW30" i="10"/>
  <c r="CU30" i="10"/>
  <c r="CS30" i="10"/>
  <c r="CQ30" i="10"/>
  <c r="CO30" i="10"/>
  <c r="CM30" i="10"/>
  <c r="CK30" i="10"/>
  <c r="CI30" i="10"/>
  <c r="CG30" i="10"/>
  <c r="CE30" i="10"/>
  <c r="CC30" i="10"/>
  <c r="CA30" i="10"/>
  <c r="BY30" i="10"/>
  <c r="BW30" i="10"/>
  <c r="BU30" i="10"/>
  <c r="BS30" i="10"/>
  <c r="BQ30" i="10"/>
  <c r="BO30" i="10"/>
  <c r="BM30" i="10"/>
  <c r="BK30" i="10"/>
  <c r="BI30" i="10"/>
  <c r="BG30" i="10"/>
  <c r="BE30" i="10"/>
  <c r="BC30" i="10"/>
  <c r="BA30" i="10"/>
  <c r="AY30" i="10"/>
  <c r="AW30" i="10"/>
  <c r="AU30" i="10"/>
  <c r="AS30" i="10"/>
  <c r="K30" i="10"/>
  <c r="I30" i="10"/>
  <c r="G30" i="10"/>
  <c r="CY29" i="10"/>
  <c r="CW29" i="10"/>
  <c r="CU29" i="10"/>
  <c r="CS29" i="10"/>
  <c r="CQ29" i="10"/>
  <c r="CO29" i="10"/>
  <c r="CM29" i="10"/>
  <c r="CK29" i="10"/>
  <c r="CI29" i="10"/>
  <c r="CG29" i="10"/>
  <c r="CE29" i="10"/>
  <c r="CC29" i="10"/>
  <c r="CA29" i="10"/>
  <c r="BY29" i="10"/>
  <c r="BW29" i="10"/>
  <c r="BU29" i="10"/>
  <c r="BS29" i="10"/>
  <c r="BQ29" i="10"/>
  <c r="BO29" i="10"/>
  <c r="BM29" i="10"/>
  <c r="BK29" i="10"/>
  <c r="BI29" i="10"/>
  <c r="BG29" i="10"/>
  <c r="BE29" i="10"/>
  <c r="BC29" i="10"/>
  <c r="BA29" i="10"/>
  <c r="AY29" i="10"/>
  <c r="AW29" i="10"/>
  <c r="AU29" i="10"/>
  <c r="AS29" i="10"/>
  <c r="K29" i="10"/>
  <c r="I29" i="10"/>
  <c r="G29" i="10"/>
  <c r="CY28" i="10"/>
  <c r="CW28" i="10"/>
  <c r="CU28" i="10"/>
  <c r="CS28" i="10"/>
  <c r="CQ28" i="10"/>
  <c r="CO28" i="10"/>
  <c r="AL28" i="10" s="1"/>
  <c r="CM28" i="10"/>
  <c r="CK28" i="10"/>
  <c r="CI28" i="10"/>
  <c r="CG28" i="10"/>
  <c r="CE28" i="10"/>
  <c r="CC28" i="10"/>
  <c r="CA28" i="10"/>
  <c r="BY28" i="10"/>
  <c r="BW28" i="10"/>
  <c r="BU28" i="10"/>
  <c r="BS28" i="10"/>
  <c r="BQ28" i="10"/>
  <c r="BO28" i="10"/>
  <c r="BM28" i="10"/>
  <c r="BK28" i="10"/>
  <c r="BI28" i="10"/>
  <c r="BG28" i="10"/>
  <c r="BE28" i="10"/>
  <c r="BC28" i="10"/>
  <c r="BA28" i="10"/>
  <c r="AY28" i="10"/>
  <c r="AW28" i="10"/>
  <c r="AU28" i="10"/>
  <c r="AS28" i="10"/>
  <c r="K28" i="10"/>
  <c r="I28" i="10"/>
  <c r="G28" i="10"/>
  <c r="CZ27" i="10"/>
  <c r="CX27" i="10"/>
  <c r="CV27" i="10"/>
  <c r="CT27" i="10"/>
  <c r="CR27" i="10"/>
  <c r="CP27" i="10"/>
  <c r="CN27" i="10"/>
  <c r="CL27" i="10"/>
  <c r="CJ27" i="10"/>
  <c r="CH27" i="10"/>
  <c r="CF27" i="10"/>
  <c r="CD27" i="10"/>
  <c r="CB27" i="10"/>
  <c r="BZ27" i="10"/>
  <c r="BX27" i="10"/>
  <c r="BV27" i="10"/>
  <c r="BT27" i="10"/>
  <c r="BR27" i="10"/>
  <c r="BP27" i="10"/>
  <c r="BN27" i="10"/>
  <c r="BL27" i="10"/>
  <c r="BJ27" i="10"/>
  <c r="BH27" i="10"/>
  <c r="BD27" i="10"/>
  <c r="BB27" i="10"/>
  <c r="AZ27" i="10"/>
  <c r="AX27" i="10"/>
  <c r="AV27" i="10"/>
  <c r="AT27" i="10"/>
  <c r="N27" i="10"/>
  <c r="M27" i="10"/>
  <c r="L27" i="10"/>
  <c r="J27" i="10"/>
  <c r="F27" i="10"/>
  <c r="CY137" i="10"/>
  <c r="CW137" i="10"/>
  <c r="CU137" i="10"/>
  <c r="CS137" i="10"/>
  <c r="CQ137" i="10"/>
  <c r="CO137" i="10"/>
  <c r="CM137" i="10"/>
  <c r="CK137" i="10"/>
  <c r="CI137" i="10"/>
  <c r="CG137" i="10"/>
  <c r="CE137" i="10"/>
  <c r="CC137" i="10"/>
  <c r="CA137" i="10"/>
  <c r="BY137" i="10"/>
  <c r="BW137" i="10"/>
  <c r="BU137" i="10"/>
  <c r="BS137" i="10"/>
  <c r="BQ137" i="10"/>
  <c r="BO137" i="10"/>
  <c r="BM137" i="10"/>
  <c r="BK137" i="10"/>
  <c r="BI137" i="10"/>
  <c r="BG137" i="10"/>
  <c r="BE137" i="10"/>
  <c r="BC137" i="10"/>
  <c r="BA137" i="10"/>
  <c r="AY137" i="10"/>
  <c r="AW137" i="10"/>
  <c r="AU137" i="10"/>
  <c r="AS137" i="10"/>
  <c r="K137" i="10"/>
  <c r="I137" i="10"/>
  <c r="G137" i="10"/>
  <c r="CY136" i="10"/>
  <c r="CW136" i="10"/>
  <c r="CU136" i="10"/>
  <c r="CS136" i="10"/>
  <c r="CQ136" i="10"/>
  <c r="CO136" i="10"/>
  <c r="CM136" i="10"/>
  <c r="CK136" i="10"/>
  <c r="CI136" i="10"/>
  <c r="CG136" i="10"/>
  <c r="CE136" i="10"/>
  <c r="CC136" i="10"/>
  <c r="CA136" i="10"/>
  <c r="BY136" i="10"/>
  <c r="BW136" i="10"/>
  <c r="BU136" i="10"/>
  <c r="BS136" i="10"/>
  <c r="BQ136" i="10"/>
  <c r="BO136" i="10"/>
  <c r="BM136" i="10"/>
  <c r="BK136" i="10"/>
  <c r="BI136" i="10"/>
  <c r="BG136" i="10"/>
  <c r="BE136" i="10"/>
  <c r="BC136" i="10"/>
  <c r="BA136" i="10"/>
  <c r="AY136" i="10"/>
  <c r="AW136" i="10"/>
  <c r="AU136" i="10"/>
  <c r="AS136" i="10"/>
  <c r="K136" i="10"/>
  <c r="I136" i="10"/>
  <c r="G136" i="10"/>
  <c r="CY135" i="10"/>
  <c r="CW135" i="10"/>
  <c r="CU135" i="10"/>
  <c r="CS135" i="10"/>
  <c r="CQ135" i="10"/>
  <c r="CO135" i="10"/>
  <c r="CM135" i="10"/>
  <c r="CK135" i="10"/>
  <c r="CI135" i="10"/>
  <c r="CG135" i="10"/>
  <c r="CE135" i="10"/>
  <c r="CC135" i="10"/>
  <c r="CA135" i="10"/>
  <c r="BY135" i="10"/>
  <c r="BW135" i="10"/>
  <c r="BU135" i="10"/>
  <c r="BS135" i="10"/>
  <c r="BQ135" i="10"/>
  <c r="BO135" i="10"/>
  <c r="BM135" i="10"/>
  <c r="BK135" i="10"/>
  <c r="BI135" i="10"/>
  <c r="BG135" i="10"/>
  <c r="BE135" i="10"/>
  <c r="BC135" i="10"/>
  <c r="BA135" i="10"/>
  <c r="AY135" i="10"/>
  <c r="AW135" i="10"/>
  <c r="AU135" i="10"/>
  <c r="AS135" i="10"/>
  <c r="K135" i="10"/>
  <c r="I135" i="10"/>
  <c r="G135" i="10"/>
  <c r="K134" i="10"/>
  <c r="G134" i="10"/>
  <c r="CY133" i="10"/>
  <c r="CW133" i="10"/>
  <c r="CU133" i="10"/>
  <c r="CS133" i="10"/>
  <c r="CQ133" i="10"/>
  <c r="CO133" i="10"/>
  <c r="CM133" i="10"/>
  <c r="CK133" i="10"/>
  <c r="CI133" i="10"/>
  <c r="CG133" i="10"/>
  <c r="CE133" i="10"/>
  <c r="CC133" i="10"/>
  <c r="CA133" i="10"/>
  <c r="BY133" i="10"/>
  <c r="BW133" i="10"/>
  <c r="BU133" i="10"/>
  <c r="BS133" i="10"/>
  <c r="BQ133" i="10"/>
  <c r="BO133" i="10"/>
  <c r="BM133" i="10"/>
  <c r="BK133" i="10"/>
  <c r="BI133" i="10"/>
  <c r="BG133" i="10"/>
  <c r="BE133" i="10"/>
  <c r="BC133" i="10"/>
  <c r="BA133" i="10"/>
  <c r="AY133" i="10"/>
  <c r="AW133" i="10"/>
  <c r="AU133" i="10"/>
  <c r="AS133" i="10"/>
  <c r="K133" i="10"/>
  <c r="I133" i="10"/>
  <c r="G133" i="10"/>
  <c r="CY132" i="10"/>
  <c r="CW132" i="10"/>
  <c r="CU132" i="10"/>
  <c r="CS132" i="10"/>
  <c r="CQ132" i="10"/>
  <c r="CO132" i="10"/>
  <c r="AL132" i="10" s="1"/>
  <c r="CM132" i="10"/>
  <c r="CK132" i="10"/>
  <c r="CI132" i="10"/>
  <c r="CG132" i="10"/>
  <c r="CE132" i="10"/>
  <c r="CC132" i="10"/>
  <c r="CA132" i="10"/>
  <c r="BY132" i="10"/>
  <c r="BW132" i="10"/>
  <c r="BU132" i="10"/>
  <c r="BS132" i="10"/>
  <c r="BQ132" i="10"/>
  <c r="BO132" i="10"/>
  <c r="BM132" i="10"/>
  <c r="BK132" i="10"/>
  <c r="BI132" i="10"/>
  <c r="BG132" i="10"/>
  <c r="BE132" i="10"/>
  <c r="BC132" i="10"/>
  <c r="BA132" i="10"/>
  <c r="AY132" i="10"/>
  <c r="AW132" i="10"/>
  <c r="AU132" i="10"/>
  <c r="AS132" i="10"/>
  <c r="K132" i="10"/>
  <c r="I132" i="10"/>
  <c r="G132" i="10"/>
  <c r="CY131" i="10"/>
  <c r="CW131" i="10"/>
  <c r="CU131" i="10"/>
  <c r="CS131" i="10"/>
  <c r="CQ131" i="10"/>
  <c r="CO131" i="10"/>
  <c r="CM131" i="10"/>
  <c r="CK131" i="10"/>
  <c r="CI131" i="10"/>
  <c r="CG131" i="10"/>
  <c r="CE131" i="10"/>
  <c r="CC131" i="10"/>
  <c r="CA131" i="10"/>
  <c r="BY131" i="10"/>
  <c r="BW131" i="10"/>
  <c r="BU131" i="10"/>
  <c r="BS131" i="10"/>
  <c r="BQ131" i="10"/>
  <c r="BO131" i="10"/>
  <c r="BM131" i="10"/>
  <c r="BK131" i="10"/>
  <c r="BI131" i="10"/>
  <c r="BG131" i="10"/>
  <c r="BE131" i="10"/>
  <c r="BC131" i="10"/>
  <c r="BA131" i="10"/>
  <c r="AY131" i="10"/>
  <c r="AW131" i="10"/>
  <c r="AU131" i="10"/>
  <c r="AS131" i="10"/>
  <c r="K131" i="10"/>
  <c r="I131" i="10"/>
  <c r="G131" i="10"/>
  <c r="CY130" i="10"/>
  <c r="CW130" i="10"/>
  <c r="CU130" i="10"/>
  <c r="CS130" i="10"/>
  <c r="CQ130" i="10"/>
  <c r="CO130" i="10"/>
  <c r="CM130" i="10"/>
  <c r="CK130" i="10"/>
  <c r="CI130" i="10"/>
  <c r="CG130" i="10"/>
  <c r="CE130" i="10"/>
  <c r="CC130" i="10"/>
  <c r="CA130" i="10"/>
  <c r="BY130" i="10"/>
  <c r="BW130" i="10"/>
  <c r="BU130" i="10"/>
  <c r="BS130" i="10"/>
  <c r="BQ130" i="10"/>
  <c r="BO130" i="10"/>
  <c r="BM130" i="10"/>
  <c r="BK130" i="10"/>
  <c r="BI130" i="10"/>
  <c r="BG130" i="10"/>
  <c r="BE130" i="10"/>
  <c r="BC130" i="10"/>
  <c r="BA130" i="10"/>
  <c r="AY130" i="10"/>
  <c r="AW130" i="10"/>
  <c r="AU130" i="10"/>
  <c r="AS130" i="10"/>
  <c r="K130" i="10"/>
  <c r="I130" i="10"/>
  <c r="G130" i="10"/>
  <c r="CY129" i="10"/>
  <c r="CW129" i="10"/>
  <c r="CU129" i="10"/>
  <c r="CS129" i="10"/>
  <c r="CQ129" i="10"/>
  <c r="CO129" i="10"/>
  <c r="CM129" i="10"/>
  <c r="CK129" i="10"/>
  <c r="CI129" i="10"/>
  <c r="CG129" i="10"/>
  <c r="CE129" i="10"/>
  <c r="CC129" i="10"/>
  <c r="CA129" i="10"/>
  <c r="BY129" i="10"/>
  <c r="BW129" i="10"/>
  <c r="BU129" i="10"/>
  <c r="BS129" i="10"/>
  <c r="BQ129" i="10"/>
  <c r="BO129" i="10"/>
  <c r="BM129" i="10"/>
  <c r="BK129" i="10"/>
  <c r="BI129" i="10"/>
  <c r="BG129" i="10"/>
  <c r="BE129" i="10"/>
  <c r="BC129" i="10"/>
  <c r="BA129" i="10"/>
  <c r="AY129" i="10"/>
  <c r="AW129" i="10"/>
  <c r="AU129" i="10"/>
  <c r="AS129" i="10"/>
  <c r="K129" i="10"/>
  <c r="I129" i="10"/>
  <c r="G129" i="10"/>
  <c r="CY128" i="10"/>
  <c r="CW128" i="10"/>
  <c r="CU128" i="10"/>
  <c r="CS128" i="10"/>
  <c r="CQ128" i="10"/>
  <c r="CO128" i="10"/>
  <c r="CM128" i="10"/>
  <c r="CK128" i="10"/>
  <c r="CI128" i="10"/>
  <c r="CG128" i="10"/>
  <c r="CE128" i="10"/>
  <c r="CC128" i="10"/>
  <c r="CA128" i="10"/>
  <c r="BY128" i="10"/>
  <c r="BW128" i="10"/>
  <c r="BU128" i="10"/>
  <c r="BS128" i="10"/>
  <c r="BQ128" i="10"/>
  <c r="BO128" i="10"/>
  <c r="BM128" i="10"/>
  <c r="BK128" i="10"/>
  <c r="BI128" i="10"/>
  <c r="BG128" i="10"/>
  <c r="BE128" i="10"/>
  <c r="BC128" i="10"/>
  <c r="BA128" i="10"/>
  <c r="AY128" i="10"/>
  <c r="AW128" i="10"/>
  <c r="AU128" i="10"/>
  <c r="AS128" i="10"/>
  <c r="K128" i="10"/>
  <c r="I128" i="10"/>
  <c r="G128" i="10"/>
  <c r="CZ127" i="10"/>
  <c r="CX127" i="10"/>
  <c r="CV127" i="10"/>
  <c r="CT127" i="10"/>
  <c r="CR127" i="10"/>
  <c r="CP127" i="10"/>
  <c r="CN127" i="10"/>
  <c r="CL127" i="10"/>
  <c r="CJ127" i="10"/>
  <c r="CH127" i="10"/>
  <c r="CF127" i="10"/>
  <c r="CD127" i="10"/>
  <c r="CB127" i="10"/>
  <c r="BZ127" i="10"/>
  <c r="BX127" i="10"/>
  <c r="BV127" i="10"/>
  <c r="BT127" i="10"/>
  <c r="BR127" i="10"/>
  <c r="BP127" i="10"/>
  <c r="BN127" i="10"/>
  <c r="BL127" i="10"/>
  <c r="BJ127" i="10"/>
  <c r="BH127" i="10"/>
  <c r="BF127" i="10"/>
  <c r="BD127" i="10"/>
  <c r="BB127" i="10"/>
  <c r="AZ127" i="10"/>
  <c r="AX127" i="10"/>
  <c r="AV127" i="10"/>
  <c r="AT127" i="10"/>
  <c r="N127" i="10"/>
  <c r="M127" i="10"/>
  <c r="L127" i="10"/>
  <c r="J127" i="10"/>
  <c r="F127" i="10"/>
  <c r="H134" i="10" s="1"/>
  <c r="K126" i="10"/>
  <c r="G126" i="10"/>
  <c r="K125" i="10"/>
  <c r="G125" i="10"/>
  <c r="CY124" i="10"/>
  <c r="CW124" i="10"/>
  <c r="CU124" i="10"/>
  <c r="CS124" i="10"/>
  <c r="CQ124" i="10"/>
  <c r="CO124" i="10"/>
  <c r="CM124" i="10"/>
  <c r="CK124" i="10"/>
  <c r="CI124" i="10"/>
  <c r="CG124" i="10"/>
  <c r="CE124" i="10"/>
  <c r="CC124" i="10"/>
  <c r="CA124" i="10"/>
  <c r="BY124" i="10"/>
  <c r="BW124" i="10"/>
  <c r="BU124" i="10"/>
  <c r="BS124" i="10"/>
  <c r="BQ124" i="10"/>
  <c r="BO124" i="10"/>
  <c r="BM124" i="10"/>
  <c r="BK124" i="10"/>
  <c r="BI124" i="10"/>
  <c r="BG124" i="10"/>
  <c r="BE124" i="10"/>
  <c r="BC124" i="10"/>
  <c r="BA124" i="10"/>
  <c r="AY124" i="10"/>
  <c r="AW124" i="10"/>
  <c r="AU124" i="10"/>
  <c r="AS124" i="10"/>
  <c r="K124" i="10"/>
  <c r="I124" i="10"/>
  <c r="G124" i="10"/>
  <c r="CY123" i="10"/>
  <c r="CW123" i="10"/>
  <c r="CU123" i="10"/>
  <c r="CS123" i="10"/>
  <c r="CQ123" i="10"/>
  <c r="CO123" i="10"/>
  <c r="CM123" i="10"/>
  <c r="CK123" i="10"/>
  <c r="CI123" i="10"/>
  <c r="CG123" i="10"/>
  <c r="CE123" i="10"/>
  <c r="CC123" i="10"/>
  <c r="CA123" i="10"/>
  <c r="BY123" i="10"/>
  <c r="BW123" i="10"/>
  <c r="BU123" i="10"/>
  <c r="BS123" i="10"/>
  <c r="BQ123" i="10"/>
  <c r="BO123" i="10"/>
  <c r="BM123" i="10"/>
  <c r="BK123" i="10"/>
  <c r="BI123" i="10"/>
  <c r="BG123" i="10"/>
  <c r="BE123" i="10"/>
  <c r="BC123" i="10"/>
  <c r="BA123" i="10"/>
  <c r="AY123" i="10"/>
  <c r="AW123" i="10"/>
  <c r="AU123" i="10"/>
  <c r="AS123" i="10"/>
  <c r="K123" i="10"/>
  <c r="I123" i="10"/>
  <c r="G123" i="10"/>
  <c r="K122" i="10"/>
  <c r="G122" i="10"/>
  <c r="K121" i="10"/>
  <c r="G121" i="10"/>
  <c r="K120" i="10"/>
  <c r="G120" i="10"/>
  <c r="CY119" i="10"/>
  <c r="CW119" i="10"/>
  <c r="CU119" i="10"/>
  <c r="CS119" i="10"/>
  <c r="CQ119" i="10"/>
  <c r="CO119" i="10"/>
  <c r="CM119" i="10"/>
  <c r="CK119" i="10"/>
  <c r="CI119" i="10"/>
  <c r="CG119" i="10"/>
  <c r="CE119" i="10"/>
  <c r="CC119" i="10"/>
  <c r="CA119" i="10"/>
  <c r="BY119" i="10"/>
  <c r="BW119" i="10"/>
  <c r="BU119" i="10"/>
  <c r="BS119" i="10"/>
  <c r="BQ119" i="10"/>
  <c r="BO119" i="10"/>
  <c r="BM119" i="10"/>
  <c r="BK119" i="10"/>
  <c r="BI119" i="10"/>
  <c r="BG119" i="10"/>
  <c r="BE119" i="10"/>
  <c r="BC119" i="10"/>
  <c r="BA119" i="10"/>
  <c r="AY119" i="10"/>
  <c r="AW119" i="10"/>
  <c r="AU119" i="10"/>
  <c r="AS119" i="10"/>
  <c r="K119" i="10"/>
  <c r="I119" i="10"/>
  <c r="G119" i="10"/>
  <c r="CY118" i="10"/>
  <c r="CW118" i="10"/>
  <c r="CU118" i="10"/>
  <c r="CS118" i="10"/>
  <c r="CQ118" i="10"/>
  <c r="CO118" i="10"/>
  <c r="CM118" i="10"/>
  <c r="CK118" i="10"/>
  <c r="CI118" i="10"/>
  <c r="CG118" i="10"/>
  <c r="CE118" i="10"/>
  <c r="CC118" i="10"/>
  <c r="CA118" i="10"/>
  <c r="BY118" i="10"/>
  <c r="BW118" i="10"/>
  <c r="BU118" i="10"/>
  <c r="BS118" i="10"/>
  <c r="BQ118" i="10"/>
  <c r="BO118" i="10"/>
  <c r="BM118" i="10"/>
  <c r="BK118" i="10"/>
  <c r="BI118" i="10"/>
  <c r="BG118" i="10"/>
  <c r="BE118" i="10"/>
  <c r="BC118" i="10"/>
  <c r="BA118" i="10"/>
  <c r="AY118" i="10"/>
  <c r="AW118" i="10"/>
  <c r="AU118" i="10"/>
  <c r="AS118" i="10"/>
  <c r="K118" i="10"/>
  <c r="I118" i="10"/>
  <c r="G118" i="10"/>
  <c r="K117" i="10"/>
  <c r="G117" i="10"/>
  <c r="CZ116" i="10"/>
  <c r="CX116" i="10"/>
  <c r="CV116" i="10"/>
  <c r="CT116" i="10"/>
  <c r="CR116" i="10"/>
  <c r="CP116" i="10"/>
  <c r="CN116" i="10"/>
  <c r="CL116" i="10"/>
  <c r="CJ116" i="10"/>
  <c r="CH116" i="10"/>
  <c r="CF116" i="10"/>
  <c r="CD116" i="10"/>
  <c r="CB116" i="10"/>
  <c r="BZ116" i="10"/>
  <c r="BX116" i="10"/>
  <c r="BV116" i="10"/>
  <c r="BT116" i="10"/>
  <c r="BR116" i="10"/>
  <c r="BP116" i="10"/>
  <c r="BN116" i="10"/>
  <c r="BL116" i="10"/>
  <c r="BJ116" i="10"/>
  <c r="BH116" i="10"/>
  <c r="BF116" i="10"/>
  <c r="BD116" i="10"/>
  <c r="BB116" i="10"/>
  <c r="AZ116" i="10"/>
  <c r="AX116" i="10"/>
  <c r="AV116" i="10"/>
  <c r="AT116" i="10"/>
  <c r="N116" i="10"/>
  <c r="M116" i="10"/>
  <c r="L116" i="10"/>
  <c r="J116" i="10"/>
  <c r="F116" i="10"/>
  <c r="H126" i="10" s="1"/>
  <c r="K75" i="10"/>
  <c r="G75" i="10"/>
  <c r="K74" i="10"/>
  <c r="G74" i="10"/>
  <c r="CY73" i="10"/>
  <c r="CW73" i="10"/>
  <c r="CU73" i="10"/>
  <c r="CS73" i="10"/>
  <c r="CQ73" i="10"/>
  <c r="CO73" i="10"/>
  <c r="CM73" i="10"/>
  <c r="CK73" i="10"/>
  <c r="CI73" i="10"/>
  <c r="CG73" i="10"/>
  <c r="CE73" i="10"/>
  <c r="CC73" i="10"/>
  <c r="CA73" i="10"/>
  <c r="BY73" i="10"/>
  <c r="BW73" i="10"/>
  <c r="BU73" i="10"/>
  <c r="BS73" i="10"/>
  <c r="BQ73" i="10"/>
  <c r="BO73" i="10"/>
  <c r="BM73" i="10"/>
  <c r="BK73" i="10"/>
  <c r="BI73" i="10"/>
  <c r="BG73" i="10"/>
  <c r="BE73" i="10"/>
  <c r="BC73" i="10"/>
  <c r="BA73" i="10"/>
  <c r="AY73" i="10"/>
  <c r="AW73" i="10"/>
  <c r="AU73" i="10"/>
  <c r="AS73" i="10"/>
  <c r="K73" i="10"/>
  <c r="I73" i="10"/>
  <c r="G73" i="10"/>
  <c r="CY72" i="10"/>
  <c r="CW72" i="10"/>
  <c r="CU72" i="10"/>
  <c r="CS72" i="10"/>
  <c r="CQ72" i="10"/>
  <c r="CO72" i="10"/>
  <c r="CM72" i="10"/>
  <c r="CK72" i="10"/>
  <c r="CI72" i="10"/>
  <c r="CG72" i="10"/>
  <c r="CE72" i="10"/>
  <c r="CC72" i="10"/>
  <c r="CA72" i="10"/>
  <c r="BY72" i="10"/>
  <c r="BW72" i="10"/>
  <c r="BU72" i="10"/>
  <c r="BS72" i="10"/>
  <c r="BQ72" i="10"/>
  <c r="BO72" i="10"/>
  <c r="BM72" i="10"/>
  <c r="BK72" i="10"/>
  <c r="BI72" i="10"/>
  <c r="BG72" i="10"/>
  <c r="BE72" i="10"/>
  <c r="BC72" i="10"/>
  <c r="BA72" i="10"/>
  <c r="AY72" i="10"/>
  <c r="AW72" i="10"/>
  <c r="AU72" i="10"/>
  <c r="AS72" i="10"/>
  <c r="K72" i="10"/>
  <c r="I72" i="10"/>
  <c r="G72" i="10"/>
  <c r="K71" i="10"/>
  <c r="G71" i="10"/>
  <c r="K70" i="10"/>
  <c r="G70" i="10"/>
  <c r="CY69" i="10"/>
  <c r="CW69" i="10"/>
  <c r="CU69" i="10"/>
  <c r="CS69" i="10"/>
  <c r="CQ69" i="10"/>
  <c r="CO69" i="10"/>
  <c r="CM69" i="10"/>
  <c r="CK69" i="10"/>
  <c r="CI69" i="10"/>
  <c r="CG69" i="10"/>
  <c r="CE69" i="10"/>
  <c r="CC69" i="10"/>
  <c r="CA69" i="10"/>
  <c r="BY69" i="10"/>
  <c r="BW69" i="10"/>
  <c r="BU69" i="10"/>
  <c r="BS69" i="10"/>
  <c r="BQ69" i="10"/>
  <c r="BO69" i="10"/>
  <c r="BM69" i="10"/>
  <c r="BK69" i="10"/>
  <c r="BI69" i="10"/>
  <c r="BG69" i="10"/>
  <c r="BE69" i="10"/>
  <c r="BC69" i="10"/>
  <c r="BA69" i="10"/>
  <c r="AY69" i="10"/>
  <c r="AW69" i="10"/>
  <c r="AU69" i="10"/>
  <c r="AS69" i="10"/>
  <c r="K69" i="10"/>
  <c r="I69" i="10"/>
  <c r="G69" i="10"/>
  <c r="K68" i="10"/>
  <c r="G68" i="10"/>
  <c r="K67" i="10"/>
  <c r="G67" i="10"/>
  <c r="CY66" i="10"/>
  <c r="CW66" i="10"/>
  <c r="CU66" i="10"/>
  <c r="CS66" i="10"/>
  <c r="CQ66" i="10"/>
  <c r="AM66" i="10" s="1"/>
  <c r="CO66" i="10"/>
  <c r="CM66" i="10"/>
  <c r="CK66" i="10"/>
  <c r="CI66" i="10"/>
  <c r="CG66" i="10"/>
  <c r="CE66" i="10"/>
  <c r="CC66" i="10"/>
  <c r="CA66" i="10"/>
  <c r="BY66" i="10"/>
  <c r="BW66" i="10"/>
  <c r="BU66" i="10"/>
  <c r="BS66" i="10"/>
  <c r="BQ66" i="10"/>
  <c r="BO66" i="10"/>
  <c r="BM66" i="10"/>
  <c r="BK66" i="10"/>
  <c r="BI66" i="10"/>
  <c r="BG66" i="10"/>
  <c r="BE66" i="10"/>
  <c r="BC66" i="10"/>
  <c r="BA66" i="10"/>
  <c r="AY66" i="10"/>
  <c r="AW66" i="10"/>
  <c r="AU66" i="10"/>
  <c r="AS66" i="10"/>
  <c r="K66" i="10"/>
  <c r="I66" i="10"/>
  <c r="G66" i="10"/>
  <c r="CZ65" i="10"/>
  <c r="CX65" i="10"/>
  <c r="CV65" i="10"/>
  <c r="CT65" i="10"/>
  <c r="CR65" i="10"/>
  <c r="CP65" i="10"/>
  <c r="CN65" i="10"/>
  <c r="CL65" i="10"/>
  <c r="CJ65" i="10"/>
  <c r="CH65" i="10"/>
  <c r="CF65" i="10"/>
  <c r="CD65" i="10"/>
  <c r="CB65" i="10"/>
  <c r="BZ65" i="10"/>
  <c r="BX65" i="10"/>
  <c r="BV65" i="10"/>
  <c r="BT65" i="10"/>
  <c r="BR65" i="10"/>
  <c r="BP65" i="10"/>
  <c r="BN65" i="10"/>
  <c r="BL65" i="10"/>
  <c r="BJ65" i="10"/>
  <c r="BH65" i="10"/>
  <c r="BF65" i="10"/>
  <c r="BD65" i="10"/>
  <c r="BB65" i="10"/>
  <c r="AZ65" i="10"/>
  <c r="AX65" i="10"/>
  <c r="AV65" i="10"/>
  <c r="AT65" i="10"/>
  <c r="N65" i="10"/>
  <c r="M65" i="10"/>
  <c r="L65" i="10"/>
  <c r="J65" i="10"/>
  <c r="F65" i="10"/>
  <c r="H74" i="10" s="1"/>
  <c r="CY48" i="10"/>
  <c r="CW48" i="10"/>
  <c r="CU48" i="10"/>
  <c r="CS48" i="10"/>
  <c r="CQ48" i="10"/>
  <c r="CO48" i="10"/>
  <c r="CM48" i="10"/>
  <c r="CK48" i="10"/>
  <c r="CI48" i="10"/>
  <c r="CG48" i="10"/>
  <c r="CE48" i="10"/>
  <c r="CC48" i="10"/>
  <c r="CA48" i="10"/>
  <c r="BY48" i="10"/>
  <c r="BW48" i="10"/>
  <c r="BU48" i="10"/>
  <c r="BS48" i="10"/>
  <c r="BQ48" i="10"/>
  <c r="BO48" i="10"/>
  <c r="BM48" i="10"/>
  <c r="BK48" i="10"/>
  <c r="BI48" i="10"/>
  <c r="BG48" i="10"/>
  <c r="BE48" i="10"/>
  <c r="BC48" i="10"/>
  <c r="BA48" i="10"/>
  <c r="AY48" i="10"/>
  <c r="AW48" i="10"/>
  <c r="AU48" i="10"/>
  <c r="AS48" i="10"/>
  <c r="K48" i="10"/>
  <c r="I48" i="10"/>
  <c r="G48" i="10"/>
  <c r="CY47" i="10"/>
  <c r="CW47" i="10"/>
  <c r="CU47" i="10"/>
  <c r="CS47" i="10"/>
  <c r="CQ47" i="10"/>
  <c r="CO47" i="10"/>
  <c r="CM47" i="10"/>
  <c r="CK47" i="10"/>
  <c r="CI47" i="10"/>
  <c r="CG47" i="10"/>
  <c r="CE47" i="10"/>
  <c r="CC47" i="10"/>
  <c r="CA47" i="10"/>
  <c r="BY47" i="10"/>
  <c r="BW47" i="10"/>
  <c r="BU47" i="10"/>
  <c r="BS47" i="10"/>
  <c r="BQ47" i="10"/>
  <c r="BO47" i="10"/>
  <c r="BM47" i="10"/>
  <c r="BK47" i="10"/>
  <c r="BI47" i="10"/>
  <c r="BG47" i="10"/>
  <c r="BE47" i="10"/>
  <c r="BC47" i="10"/>
  <c r="BA47" i="10"/>
  <c r="AY47" i="10"/>
  <c r="AW47" i="10"/>
  <c r="AU47" i="10"/>
  <c r="AS47" i="10"/>
  <c r="K47" i="10"/>
  <c r="I47" i="10"/>
  <c r="G47" i="10"/>
  <c r="CY46" i="10"/>
  <c r="CW46" i="10"/>
  <c r="CU46" i="10"/>
  <c r="CS46" i="10"/>
  <c r="CQ46" i="10"/>
  <c r="CO46" i="10"/>
  <c r="CM46" i="10"/>
  <c r="CK46" i="10"/>
  <c r="CI46" i="10"/>
  <c r="CG46" i="10"/>
  <c r="CE46" i="10"/>
  <c r="CC46" i="10"/>
  <c r="CA46" i="10"/>
  <c r="BY46" i="10"/>
  <c r="BW46" i="10"/>
  <c r="BU46" i="10"/>
  <c r="BS46" i="10"/>
  <c r="BQ46" i="10"/>
  <c r="BO46" i="10"/>
  <c r="BM46" i="10"/>
  <c r="BK46" i="10"/>
  <c r="BI46" i="10"/>
  <c r="BG46" i="10"/>
  <c r="BE46" i="10"/>
  <c r="BC46" i="10"/>
  <c r="BA46" i="10"/>
  <c r="AY46" i="10"/>
  <c r="AW46" i="10"/>
  <c r="AU46" i="10"/>
  <c r="AS46" i="10"/>
  <c r="K46" i="10"/>
  <c r="I46" i="10"/>
  <c r="G46" i="10"/>
  <c r="CY45" i="10"/>
  <c r="CW45" i="10"/>
  <c r="CU45" i="10"/>
  <c r="CS45" i="10"/>
  <c r="CQ45" i="10"/>
  <c r="CO45" i="10"/>
  <c r="CM45" i="10"/>
  <c r="CK45" i="10"/>
  <c r="CI45" i="10"/>
  <c r="CG45" i="10"/>
  <c r="CE45" i="10"/>
  <c r="CC45" i="10"/>
  <c r="CA45" i="10"/>
  <c r="BY45" i="10"/>
  <c r="BW45" i="10"/>
  <c r="BU45" i="10"/>
  <c r="BS45" i="10"/>
  <c r="BQ45" i="10"/>
  <c r="BO45" i="10"/>
  <c r="BM45" i="10"/>
  <c r="BK45" i="10"/>
  <c r="BI45" i="10"/>
  <c r="BG45" i="10"/>
  <c r="BE45" i="10"/>
  <c r="BC45" i="10"/>
  <c r="BA45" i="10"/>
  <c r="AY45" i="10"/>
  <c r="AW45" i="10"/>
  <c r="AU45" i="10"/>
  <c r="AS45" i="10"/>
  <c r="K45" i="10"/>
  <c r="I45" i="10"/>
  <c r="G45" i="10"/>
  <c r="K44" i="10"/>
  <c r="G44" i="10"/>
  <c r="K43" i="10"/>
  <c r="G43" i="10"/>
  <c r="K42" i="10"/>
  <c r="G42" i="10"/>
  <c r="K41" i="10"/>
  <c r="G41" i="10"/>
  <c r="CY40" i="10"/>
  <c r="CW40" i="10"/>
  <c r="CU40" i="10"/>
  <c r="CS40" i="10"/>
  <c r="CQ40" i="10"/>
  <c r="CO40" i="10"/>
  <c r="CM40" i="10"/>
  <c r="CK40" i="10"/>
  <c r="CI40" i="10"/>
  <c r="CG40" i="10"/>
  <c r="CE40" i="10"/>
  <c r="CC40" i="10"/>
  <c r="CA40" i="10"/>
  <c r="BY40" i="10"/>
  <c r="BW40" i="10"/>
  <c r="BU40" i="10"/>
  <c r="BS40" i="10"/>
  <c r="BQ40" i="10"/>
  <c r="BO40" i="10"/>
  <c r="BM40" i="10"/>
  <c r="BK40" i="10"/>
  <c r="BI40" i="10"/>
  <c r="BG40" i="10"/>
  <c r="BE40" i="10"/>
  <c r="BC40" i="10"/>
  <c r="BA40" i="10"/>
  <c r="AY40" i="10"/>
  <c r="AW40" i="10"/>
  <c r="AU40" i="10"/>
  <c r="AS40" i="10"/>
  <c r="K40" i="10"/>
  <c r="I40" i="10"/>
  <c r="G40" i="10"/>
  <c r="K39" i="10"/>
  <c r="G39" i="10"/>
  <c r="CZ38" i="10"/>
  <c r="CX38" i="10"/>
  <c r="CV38" i="10"/>
  <c r="CT38" i="10"/>
  <c r="CR38" i="10"/>
  <c r="CP38" i="10"/>
  <c r="CN38" i="10"/>
  <c r="CL38" i="10"/>
  <c r="CJ38" i="10"/>
  <c r="CH38" i="10"/>
  <c r="CF38" i="10"/>
  <c r="CD38" i="10"/>
  <c r="CB38" i="10"/>
  <c r="BZ38" i="10"/>
  <c r="BX38" i="10"/>
  <c r="BV38" i="10"/>
  <c r="BT38" i="10"/>
  <c r="BR38" i="10"/>
  <c r="BP38" i="10"/>
  <c r="BN38" i="10"/>
  <c r="BL38" i="10"/>
  <c r="BJ38" i="10"/>
  <c r="BH38" i="10"/>
  <c r="BF38" i="10"/>
  <c r="AX38" i="10"/>
  <c r="N38" i="10"/>
  <c r="M38" i="10"/>
  <c r="L38" i="10"/>
  <c r="J38" i="10"/>
  <c r="F38" i="10"/>
  <c r="H44" i="10" s="1"/>
  <c r="CQ44" i="10" s="1"/>
  <c r="K26" i="10"/>
  <c r="G26" i="10"/>
  <c r="K25" i="10"/>
  <c r="G25" i="10"/>
  <c r="K24" i="10"/>
  <c r="G24" i="10"/>
  <c r="K23" i="10"/>
  <c r="G23" i="10"/>
  <c r="K22" i="10"/>
  <c r="G22" i="10"/>
  <c r="K21" i="10"/>
  <c r="G21" i="10"/>
  <c r="K20" i="10"/>
  <c r="G20" i="10"/>
  <c r="K19" i="10"/>
  <c r="G19" i="10"/>
  <c r="K18" i="10"/>
  <c r="G18" i="10"/>
  <c r="K17" i="10"/>
  <c r="G17" i="10"/>
  <c r="K16" i="10"/>
  <c r="G16" i="10"/>
  <c r="K15" i="10"/>
  <c r="G15" i="10"/>
  <c r="K14" i="10"/>
  <c r="G14" i="10"/>
  <c r="K13" i="10"/>
  <c r="G13" i="10"/>
  <c r="K12" i="10"/>
  <c r="G12" i="10"/>
  <c r="K11" i="10"/>
  <c r="G11" i="10"/>
  <c r="K10" i="10"/>
  <c r="G10" i="10"/>
  <c r="K9" i="10"/>
  <c r="G9" i="10"/>
  <c r="K8" i="10"/>
  <c r="G8" i="10"/>
  <c r="K7" i="10"/>
  <c r="G7" i="10"/>
  <c r="CZ6" i="10"/>
  <c r="CX6" i="10"/>
  <c r="CV6" i="10"/>
  <c r="CT6" i="10"/>
  <c r="CR6" i="10"/>
  <c r="CP6" i="10"/>
  <c r="CN6" i="10"/>
  <c r="CL6" i="10"/>
  <c r="CJ6" i="10"/>
  <c r="CH6" i="10"/>
  <c r="CF6" i="10"/>
  <c r="CD6" i="10"/>
  <c r="CB6" i="10"/>
  <c r="BZ6" i="10"/>
  <c r="BX6" i="10"/>
  <c r="BV6" i="10"/>
  <c r="BT6" i="10"/>
  <c r="BR6" i="10"/>
  <c r="BP6" i="10"/>
  <c r="BN6" i="10"/>
  <c r="BL6" i="10"/>
  <c r="BJ6" i="10"/>
  <c r="BH6" i="10"/>
  <c r="BF6" i="10"/>
  <c r="BD6" i="10"/>
  <c r="BB6" i="10"/>
  <c r="AZ6" i="10"/>
  <c r="AX6" i="10"/>
  <c r="AV6" i="10"/>
  <c r="AT6" i="10"/>
  <c r="N6" i="10"/>
  <c r="M6" i="10"/>
  <c r="L6" i="10"/>
  <c r="J6" i="10"/>
  <c r="F6" i="10"/>
  <c r="I203" i="5"/>
  <c r="I204" i="5"/>
  <c r="H210" i="5"/>
  <c r="K258" i="10" l="1"/>
  <c r="H268" i="10"/>
  <c r="CU268" i="10" s="1"/>
  <c r="H261" i="10"/>
  <c r="CU261" i="10" s="1"/>
  <c r="H263" i="10"/>
  <c r="I268" i="10"/>
  <c r="CI268" i="10"/>
  <c r="AI268" i="10" s="1"/>
  <c r="CY268" i="10"/>
  <c r="H259" i="10"/>
  <c r="H266" i="10"/>
  <c r="H262" i="10"/>
  <c r="CM268" i="10"/>
  <c r="H269" i="10"/>
  <c r="CW268" i="10"/>
  <c r="CO261" i="10"/>
  <c r="H264" i="10"/>
  <c r="H260" i="10"/>
  <c r="H267" i="10"/>
  <c r="CQ268" i="10"/>
  <c r="CG268" i="10"/>
  <c r="CC261" i="10"/>
  <c r="CS268" i="10"/>
  <c r="H270" i="10"/>
  <c r="CE261" i="10"/>
  <c r="H265" i="10"/>
  <c r="CE268" i="10"/>
  <c r="H250" i="10"/>
  <c r="CW250" i="10" s="1"/>
  <c r="G237" i="10"/>
  <c r="H245" i="10"/>
  <c r="CG245" i="10" s="1"/>
  <c r="H239" i="10"/>
  <c r="CW239" i="10" s="1"/>
  <c r="H243" i="10"/>
  <c r="CQ243" i="10" s="1"/>
  <c r="CU250" i="10"/>
  <c r="CQ250" i="10"/>
  <c r="CM239" i="10"/>
  <c r="CK239" i="10"/>
  <c r="CS239" i="10"/>
  <c r="K237" i="10"/>
  <c r="H242" i="10"/>
  <c r="H248" i="10"/>
  <c r="H251" i="10"/>
  <c r="H241" i="10"/>
  <c r="H246" i="10"/>
  <c r="H238" i="10"/>
  <c r="H249" i="10"/>
  <c r="H240" i="10"/>
  <c r="H244" i="10"/>
  <c r="H252" i="10"/>
  <c r="H247" i="10"/>
  <c r="H199" i="10"/>
  <c r="CY199" i="10" s="1"/>
  <c r="H227" i="10"/>
  <c r="CW227" i="10" s="1"/>
  <c r="H234" i="10"/>
  <c r="CU234" i="10" s="1"/>
  <c r="G224" i="10"/>
  <c r="K224" i="10"/>
  <c r="H198" i="10"/>
  <c r="H229" i="10"/>
  <c r="CI234" i="10"/>
  <c r="AI234" i="10" s="1"/>
  <c r="H225" i="10"/>
  <c r="H232" i="10"/>
  <c r="H196" i="10"/>
  <c r="CY196" i="10" s="1"/>
  <c r="H228" i="10"/>
  <c r="H235" i="10"/>
  <c r="H197" i="10"/>
  <c r="H230" i="10"/>
  <c r="H202" i="10"/>
  <c r="H226" i="10"/>
  <c r="H233" i="10"/>
  <c r="H201" i="10"/>
  <c r="H236" i="10"/>
  <c r="H200" i="10"/>
  <c r="H231" i="10"/>
  <c r="H186" i="10"/>
  <c r="CU188" i="10"/>
  <c r="CE188" i="10"/>
  <c r="CG188" i="10"/>
  <c r="CS188" i="10"/>
  <c r="CC188" i="10"/>
  <c r="CQ188" i="10"/>
  <c r="CO188" i="10"/>
  <c r="CM188" i="10"/>
  <c r="CW188" i="10"/>
  <c r="CK188" i="10"/>
  <c r="CY188" i="10"/>
  <c r="CI188" i="10"/>
  <c r="AI188" i="10" s="1"/>
  <c r="I188" i="10"/>
  <c r="H189" i="10"/>
  <c r="H187" i="10"/>
  <c r="G253" i="10"/>
  <c r="K253" i="10"/>
  <c r="H256" i="10"/>
  <c r="H254" i="10"/>
  <c r="H257" i="10"/>
  <c r="G195" i="10"/>
  <c r="H255" i="10"/>
  <c r="AI66" i="10"/>
  <c r="AJ66" i="10" s="1"/>
  <c r="AK66" i="10" s="1"/>
  <c r="AL66" i="10" s="1"/>
  <c r="AI140" i="10"/>
  <c r="AJ140" i="10" s="1"/>
  <c r="AK140" i="10" s="1"/>
  <c r="AL140" i="10" s="1"/>
  <c r="AM140" i="10" s="1"/>
  <c r="AN140" i="10" s="1"/>
  <c r="AO140" i="10" s="1"/>
  <c r="AP140" i="10" s="1"/>
  <c r="AQ140" i="10" s="1"/>
  <c r="G182" i="10"/>
  <c r="H209" i="10"/>
  <c r="CU209" i="10" s="1"/>
  <c r="K182" i="10"/>
  <c r="K195" i="10"/>
  <c r="H193" i="10"/>
  <c r="CU193" i="10" s="1"/>
  <c r="H204" i="10"/>
  <c r="AI47" i="10"/>
  <c r="AJ47" i="10" s="1"/>
  <c r="AK47" i="10" s="1"/>
  <c r="AL47" i="10" s="1"/>
  <c r="AM47" i="10" s="1"/>
  <c r="AN47" i="10" s="1"/>
  <c r="AO47" i="10" s="1"/>
  <c r="AP47" i="10" s="1"/>
  <c r="AQ47" i="10" s="1"/>
  <c r="H207" i="10"/>
  <c r="H210" i="10"/>
  <c r="H205" i="10"/>
  <c r="H208" i="10"/>
  <c r="H203" i="10"/>
  <c r="H206" i="10"/>
  <c r="H185" i="10"/>
  <c r="H191" i="10"/>
  <c r="H183" i="10"/>
  <c r="H194" i="10"/>
  <c r="H190" i="10"/>
  <c r="H192" i="10"/>
  <c r="H184" i="10"/>
  <c r="AI114" i="10"/>
  <c r="AM63" i="10"/>
  <c r="AN63" i="10" s="1"/>
  <c r="AO63" i="10" s="1"/>
  <c r="AP63" i="10" s="1"/>
  <c r="AQ63" i="10" s="1"/>
  <c r="K112" i="10"/>
  <c r="AI135" i="10"/>
  <c r="AJ135" i="10" s="1"/>
  <c r="AK135" i="10" s="1"/>
  <c r="AL135" i="10" s="1"/>
  <c r="AM135" i="10" s="1"/>
  <c r="AN135" i="10" s="1"/>
  <c r="AO135" i="10" s="1"/>
  <c r="AP135" i="10" s="1"/>
  <c r="AQ135" i="10" s="1"/>
  <c r="K155" i="10"/>
  <c r="AM132" i="10"/>
  <c r="AN132" i="10" s="1"/>
  <c r="AO132" i="10" s="1"/>
  <c r="AP132" i="10" s="1"/>
  <c r="AQ132" i="10" s="1"/>
  <c r="AP62" i="10"/>
  <c r="AQ62" i="10" s="1"/>
  <c r="AM28" i="10"/>
  <c r="AN28" i="10" s="1"/>
  <c r="AO28" i="10" s="1"/>
  <c r="AP28" i="10" s="1"/>
  <c r="AQ28" i="10" s="1"/>
  <c r="AI91" i="10"/>
  <c r="AJ91" i="10" s="1"/>
  <c r="AK91" i="10" s="1"/>
  <c r="AL91" i="10" s="1"/>
  <c r="AM91" i="10" s="1"/>
  <c r="AN91" i="10" s="1"/>
  <c r="AO91" i="10" s="1"/>
  <c r="AP91" i="10" s="1"/>
  <c r="AQ91" i="10" s="1"/>
  <c r="AL170" i="10"/>
  <c r="AM170" i="10" s="1"/>
  <c r="AN170" i="10" s="1"/>
  <c r="AO170" i="10" s="1"/>
  <c r="AP170" i="10" s="1"/>
  <c r="AQ170" i="10" s="1"/>
  <c r="G38" i="10"/>
  <c r="AI48" i="10"/>
  <c r="AJ48" i="10" s="1"/>
  <c r="AK48" i="10" s="1"/>
  <c r="AL48" i="10" s="1"/>
  <c r="AM48" i="10" s="1"/>
  <c r="AN48" i="10" s="1"/>
  <c r="AO48" i="10" s="1"/>
  <c r="AP48" i="10" s="1"/>
  <c r="AQ48" i="10" s="1"/>
  <c r="CQ113" i="10"/>
  <c r="CQ112" i="10" s="1"/>
  <c r="AI123" i="10"/>
  <c r="AJ123" i="10" s="1"/>
  <c r="AK123" i="10" s="1"/>
  <c r="AL123" i="10" s="1"/>
  <c r="AM123" i="10" s="1"/>
  <c r="AN123" i="10" s="1"/>
  <c r="AO123" i="10" s="1"/>
  <c r="AP123" i="10" s="1"/>
  <c r="AQ123" i="10" s="1"/>
  <c r="AI276" i="10"/>
  <c r="AJ276" i="10" s="1"/>
  <c r="AK276" i="10" s="1"/>
  <c r="AL276" i="10" s="1"/>
  <c r="AM276" i="10" s="1"/>
  <c r="AN276" i="10" s="1"/>
  <c r="AO276" i="10" s="1"/>
  <c r="AP276" i="10" s="1"/>
  <c r="AQ276" i="10" s="1"/>
  <c r="K6" i="10"/>
  <c r="AK115" i="10"/>
  <c r="AL115" i="10" s="1"/>
  <c r="AM115" i="10" s="1"/>
  <c r="AN115" i="10" s="1"/>
  <c r="AO115" i="10" s="1"/>
  <c r="AP115" i="10" s="1"/>
  <c r="AQ115" i="10" s="1"/>
  <c r="AN66" i="10"/>
  <c r="AO66" i="10" s="1"/>
  <c r="AP66" i="10" s="1"/>
  <c r="AQ66" i="10" s="1"/>
  <c r="K65" i="10"/>
  <c r="K76" i="10"/>
  <c r="G99" i="10"/>
  <c r="AJ165" i="10"/>
  <c r="AK165" i="10" s="1"/>
  <c r="AL165" i="10" s="1"/>
  <c r="AM165" i="10" s="1"/>
  <c r="AN165" i="10" s="1"/>
  <c r="AO165" i="10" s="1"/>
  <c r="AP165" i="10" s="1"/>
  <c r="AQ165" i="10" s="1"/>
  <c r="CY112" i="10"/>
  <c r="AI133" i="10"/>
  <c r="AJ133" i="10" s="1"/>
  <c r="AK133" i="10" s="1"/>
  <c r="AL133" i="10" s="1"/>
  <c r="AM133" i="10" s="1"/>
  <c r="AN133" i="10" s="1"/>
  <c r="AO133" i="10" s="1"/>
  <c r="AP133" i="10" s="1"/>
  <c r="AQ133" i="10" s="1"/>
  <c r="AI28" i="10"/>
  <c r="AI143" i="10"/>
  <c r="AJ143" i="10" s="1"/>
  <c r="AK143" i="10" s="1"/>
  <c r="AL143" i="10" s="1"/>
  <c r="AM143" i="10" s="1"/>
  <c r="AN143" i="10" s="1"/>
  <c r="AO143" i="10" s="1"/>
  <c r="AP143" i="10" s="1"/>
  <c r="AQ143" i="10" s="1"/>
  <c r="AI63" i="10"/>
  <c r="AJ63" i="10" s="1"/>
  <c r="AK63" i="10" s="1"/>
  <c r="AI167" i="10"/>
  <c r="AJ167" i="10" s="1"/>
  <c r="AK167" i="10" s="1"/>
  <c r="AL167" i="10" s="1"/>
  <c r="AM167" i="10" s="1"/>
  <c r="AN167" i="10" s="1"/>
  <c r="AO167" i="10" s="1"/>
  <c r="AP167" i="10" s="1"/>
  <c r="AQ167" i="10" s="1"/>
  <c r="G138" i="10"/>
  <c r="G76" i="10"/>
  <c r="AW164" i="10"/>
  <c r="G127" i="10"/>
  <c r="H104" i="10"/>
  <c r="CG104" i="10" s="1"/>
  <c r="AI73" i="10"/>
  <c r="AJ73" i="10" s="1"/>
  <c r="AK73" i="10" s="1"/>
  <c r="AL73" i="10" s="1"/>
  <c r="AM73" i="10" s="1"/>
  <c r="AN73" i="10" s="1"/>
  <c r="AO73" i="10" s="1"/>
  <c r="AP73" i="10" s="1"/>
  <c r="AQ73" i="10" s="1"/>
  <c r="CI101" i="10"/>
  <c r="AI101" i="10" s="1"/>
  <c r="CS101" i="10"/>
  <c r="BS101" i="10"/>
  <c r="K116" i="10"/>
  <c r="H103" i="10"/>
  <c r="CO103" i="10" s="1"/>
  <c r="AI132" i="10"/>
  <c r="AJ132" i="10" s="1"/>
  <c r="AK132" i="10" s="1"/>
  <c r="I164" i="10"/>
  <c r="G112" i="10"/>
  <c r="I286" i="10"/>
  <c r="H292" i="10"/>
  <c r="BY292" i="10" s="1"/>
  <c r="AI275" i="10"/>
  <c r="AJ275" i="10" s="1"/>
  <c r="AK275" i="10" s="1"/>
  <c r="AL275" i="10" s="1"/>
  <c r="AM275" i="10" s="1"/>
  <c r="AN275" i="10" s="1"/>
  <c r="AO275" i="10" s="1"/>
  <c r="AP275" i="10" s="1"/>
  <c r="AQ275" i="10" s="1"/>
  <c r="AI45" i="10"/>
  <c r="AJ45" i="10" s="1"/>
  <c r="AK45" i="10" s="1"/>
  <c r="AL45" i="10" s="1"/>
  <c r="AM45" i="10" s="1"/>
  <c r="AN45" i="10" s="1"/>
  <c r="AO45" i="10" s="1"/>
  <c r="AP45" i="10" s="1"/>
  <c r="AQ45" i="10" s="1"/>
  <c r="AI119" i="10"/>
  <c r="AJ119" i="10" s="1"/>
  <c r="AK119" i="10" s="1"/>
  <c r="AL119" i="10" s="1"/>
  <c r="AM119" i="10" s="1"/>
  <c r="AN119" i="10" s="1"/>
  <c r="AO119" i="10" s="1"/>
  <c r="AP119" i="10" s="1"/>
  <c r="AQ119" i="10" s="1"/>
  <c r="H160" i="10"/>
  <c r="CW160" i="10" s="1"/>
  <c r="AL166" i="10"/>
  <c r="AM166" i="10" s="1"/>
  <c r="AN166" i="10" s="1"/>
  <c r="AO166" i="10" s="1"/>
  <c r="AP166" i="10" s="1"/>
  <c r="AQ166" i="10" s="1"/>
  <c r="BZ294" i="10"/>
  <c r="G6" i="10"/>
  <c r="AI124" i="10"/>
  <c r="AJ124" i="10" s="1"/>
  <c r="AK124" i="10" s="1"/>
  <c r="AL124" i="10" s="1"/>
  <c r="AM124" i="10" s="1"/>
  <c r="AN124" i="10" s="1"/>
  <c r="AO124" i="10" s="1"/>
  <c r="AP124" i="10" s="1"/>
  <c r="AQ124" i="10" s="1"/>
  <c r="K138" i="10"/>
  <c r="K49" i="10"/>
  <c r="AI54" i="10"/>
  <c r="AJ54" i="10" s="1"/>
  <c r="AK54" i="10" s="1"/>
  <c r="AL54" i="10" s="1"/>
  <c r="AM54" i="10" s="1"/>
  <c r="AN54" i="10" s="1"/>
  <c r="AO54" i="10" s="1"/>
  <c r="AP54" i="10" s="1"/>
  <c r="AQ54" i="10" s="1"/>
  <c r="AI60" i="10"/>
  <c r="AJ60" i="10" s="1"/>
  <c r="AK60" i="10" s="1"/>
  <c r="AL60" i="10" s="1"/>
  <c r="AM60" i="10" s="1"/>
  <c r="AN60" i="10" s="1"/>
  <c r="AO60" i="10" s="1"/>
  <c r="AP60" i="10" s="1"/>
  <c r="AQ60" i="10" s="1"/>
  <c r="BE164" i="10"/>
  <c r="AK114" i="10"/>
  <c r="AL114" i="10" s="1"/>
  <c r="AM114" i="10" s="1"/>
  <c r="AN114" i="10" s="1"/>
  <c r="AO114" i="10" s="1"/>
  <c r="AP114" i="10" s="1"/>
  <c r="AQ114" i="10" s="1"/>
  <c r="BQ286" i="10"/>
  <c r="BJ294" i="10"/>
  <c r="AI128" i="10"/>
  <c r="AJ128" i="10" s="1"/>
  <c r="AK128" i="10" s="1"/>
  <c r="AL128" i="10" s="1"/>
  <c r="AM128" i="10" s="1"/>
  <c r="AN128" i="10" s="1"/>
  <c r="AO128" i="10" s="1"/>
  <c r="AP128" i="10" s="1"/>
  <c r="AQ128" i="10" s="1"/>
  <c r="AU164" i="10"/>
  <c r="BK164" i="10"/>
  <c r="CA164" i="10"/>
  <c r="CQ164" i="10"/>
  <c r="BU286" i="10"/>
  <c r="AT294" i="10"/>
  <c r="CC164" i="10"/>
  <c r="CI286" i="10"/>
  <c r="AI286" i="10" s="1"/>
  <c r="G27" i="10"/>
  <c r="K27" i="10"/>
  <c r="AI61" i="10"/>
  <c r="AJ61" i="10" s="1"/>
  <c r="AK61" i="10" s="1"/>
  <c r="AL61" i="10" s="1"/>
  <c r="AM61" i="10" s="1"/>
  <c r="AN61" i="10" s="1"/>
  <c r="AO61" i="10" s="1"/>
  <c r="AP61" i="10" s="1"/>
  <c r="AQ61" i="10" s="1"/>
  <c r="AI170" i="10"/>
  <c r="AJ170" i="10" s="1"/>
  <c r="BE113" i="10"/>
  <c r="BE112" i="10" s="1"/>
  <c r="AI284" i="10"/>
  <c r="AJ284" i="10" s="1"/>
  <c r="AK284" i="10" s="1"/>
  <c r="AL284" i="10" s="1"/>
  <c r="AM284" i="10" s="1"/>
  <c r="AN284" i="10" s="1"/>
  <c r="AO284" i="10" s="1"/>
  <c r="AP284" i="10" s="1"/>
  <c r="AQ284" i="10" s="1"/>
  <c r="CK286" i="10"/>
  <c r="AI279" i="10"/>
  <c r="AJ279" i="10" s="1"/>
  <c r="AK279" i="10" s="1"/>
  <c r="AL279" i="10" s="1"/>
  <c r="AM279" i="10" s="1"/>
  <c r="AN279" i="10" s="1"/>
  <c r="AO279" i="10" s="1"/>
  <c r="AP279" i="10" s="1"/>
  <c r="AQ279" i="10" s="1"/>
  <c r="AV294" i="10"/>
  <c r="BL294" i="10"/>
  <c r="CB294" i="10"/>
  <c r="AI46" i="10"/>
  <c r="AJ46" i="10" s="1"/>
  <c r="AK46" i="10" s="1"/>
  <c r="AL46" i="10" s="1"/>
  <c r="AM46" i="10" s="1"/>
  <c r="AN46" i="10" s="1"/>
  <c r="AO46" i="10" s="1"/>
  <c r="AP46" i="10" s="1"/>
  <c r="AQ46" i="10" s="1"/>
  <c r="AY96" i="10"/>
  <c r="CC96" i="10"/>
  <c r="H157" i="10"/>
  <c r="CS157" i="10" s="1"/>
  <c r="AW101" i="10"/>
  <c r="CY101" i="10"/>
  <c r="G49" i="10"/>
  <c r="AI50" i="10"/>
  <c r="AJ50" i="10" s="1"/>
  <c r="AK50" i="10" s="1"/>
  <c r="AL50" i="10" s="1"/>
  <c r="AM50" i="10" s="1"/>
  <c r="AN50" i="10" s="1"/>
  <c r="AO50" i="10" s="1"/>
  <c r="AP50" i="10" s="1"/>
  <c r="AQ50" i="10" s="1"/>
  <c r="AN62" i="10"/>
  <c r="AI64" i="10"/>
  <c r="AJ64" i="10" s="1"/>
  <c r="AK64" i="10" s="1"/>
  <c r="AL64" i="10" s="1"/>
  <c r="AM64" i="10" s="1"/>
  <c r="AN64" i="10" s="1"/>
  <c r="AO64" i="10" s="1"/>
  <c r="AP64" i="10" s="1"/>
  <c r="AQ64" i="10" s="1"/>
  <c r="AS164" i="10"/>
  <c r="BY164" i="10"/>
  <c r="CO164" i="10"/>
  <c r="AJ168" i="10"/>
  <c r="AK168" i="10" s="1"/>
  <c r="AL168" i="10" s="1"/>
  <c r="AM168" i="10" s="1"/>
  <c r="AN168" i="10" s="1"/>
  <c r="AO168" i="10" s="1"/>
  <c r="AP168" i="10" s="1"/>
  <c r="AQ168" i="10" s="1"/>
  <c r="AI169" i="10"/>
  <c r="AJ169" i="10" s="1"/>
  <c r="AK169" i="10" s="1"/>
  <c r="AL169" i="10" s="1"/>
  <c r="AM169" i="10" s="1"/>
  <c r="AN169" i="10" s="1"/>
  <c r="AO169" i="10" s="1"/>
  <c r="AP169" i="10" s="1"/>
  <c r="AQ169" i="10" s="1"/>
  <c r="BI113" i="10"/>
  <c r="BI112" i="10" s="1"/>
  <c r="AX294" i="10"/>
  <c r="BN294" i="10"/>
  <c r="CD294" i="10"/>
  <c r="G65" i="10"/>
  <c r="AI69" i="10"/>
  <c r="AJ69" i="10" s="1"/>
  <c r="AK69" i="10" s="1"/>
  <c r="AL69" i="10" s="1"/>
  <c r="AM69" i="10" s="1"/>
  <c r="AN69" i="10" s="1"/>
  <c r="AO69" i="10" s="1"/>
  <c r="AP69" i="10" s="1"/>
  <c r="AQ69" i="10" s="1"/>
  <c r="H117" i="10"/>
  <c r="CW117" i="10" s="1"/>
  <c r="AI137" i="10"/>
  <c r="AJ137" i="10" s="1"/>
  <c r="AK137" i="10" s="1"/>
  <c r="AL137" i="10" s="1"/>
  <c r="AM137" i="10" s="1"/>
  <c r="AN137" i="10" s="1"/>
  <c r="AO137" i="10" s="1"/>
  <c r="AP137" i="10" s="1"/>
  <c r="AQ137" i="10" s="1"/>
  <c r="AI30" i="10"/>
  <c r="AJ30" i="10" s="1"/>
  <c r="AK30" i="10" s="1"/>
  <c r="AL30" i="10" s="1"/>
  <c r="AM30" i="10" s="1"/>
  <c r="AN30" i="10" s="1"/>
  <c r="AO30" i="10" s="1"/>
  <c r="AP30" i="10" s="1"/>
  <c r="AQ30" i="10" s="1"/>
  <c r="BE96" i="10"/>
  <c r="CE96" i="10"/>
  <c r="BA101" i="10"/>
  <c r="AI51" i="10"/>
  <c r="AJ51" i="10" s="1"/>
  <c r="AK51" i="10" s="1"/>
  <c r="AL51" i="10" s="1"/>
  <c r="AM51" i="10" s="1"/>
  <c r="AN51" i="10" s="1"/>
  <c r="AO51" i="10" s="1"/>
  <c r="AP51" i="10" s="1"/>
  <c r="AQ51" i="10" s="1"/>
  <c r="BA164" i="10"/>
  <c r="BQ164" i="10"/>
  <c r="BM113" i="10"/>
  <c r="BM112" i="10" s="1"/>
  <c r="AI282" i="10"/>
  <c r="AJ282" i="10" s="1"/>
  <c r="AK282" i="10" s="1"/>
  <c r="AL282" i="10" s="1"/>
  <c r="AM282" i="10" s="1"/>
  <c r="AN282" i="10" s="1"/>
  <c r="AO282" i="10" s="1"/>
  <c r="AP282" i="10" s="1"/>
  <c r="AQ282" i="10" s="1"/>
  <c r="BA286" i="10"/>
  <c r="CW286" i="10"/>
  <c r="K271" i="10"/>
  <c r="AZ294" i="10"/>
  <c r="BP294" i="10"/>
  <c r="CF294" i="10"/>
  <c r="G89" i="10"/>
  <c r="BG96" i="10"/>
  <c r="CK96" i="10"/>
  <c r="BG101" i="10"/>
  <c r="AI52" i="10"/>
  <c r="AJ52" i="10" s="1"/>
  <c r="AK52" i="10" s="1"/>
  <c r="AL52" i="10" s="1"/>
  <c r="AM52" i="10" s="1"/>
  <c r="AN52" i="10" s="1"/>
  <c r="AO52" i="10" s="1"/>
  <c r="AP52" i="10" s="1"/>
  <c r="AQ52" i="10" s="1"/>
  <c r="CY164" i="10"/>
  <c r="CC113" i="10"/>
  <c r="CC112" i="10" s="1"/>
  <c r="G281" i="10"/>
  <c r="BC286" i="10"/>
  <c r="CY286" i="10"/>
  <c r="H289" i="10"/>
  <c r="CK289" i="10" s="1"/>
  <c r="H94" i="10"/>
  <c r="CQ94" i="10" s="1"/>
  <c r="BB294" i="10"/>
  <c r="BR294" i="10"/>
  <c r="CH294" i="10"/>
  <c r="H121" i="10"/>
  <c r="CQ121" i="10" s="1"/>
  <c r="BK96" i="10"/>
  <c r="CM96" i="10"/>
  <c r="BO101" i="10"/>
  <c r="AI53" i="10"/>
  <c r="AJ53" i="10" s="1"/>
  <c r="AK53" i="10" s="1"/>
  <c r="AL53" i="10" s="1"/>
  <c r="AM53" i="10" s="1"/>
  <c r="AN53" i="10" s="1"/>
  <c r="AO53" i="10" s="1"/>
  <c r="AP53" i="10" s="1"/>
  <c r="AQ53" i="10" s="1"/>
  <c r="AI59" i="10"/>
  <c r="AJ59" i="10" s="1"/>
  <c r="AK59" i="10" s="1"/>
  <c r="AL59" i="10" s="1"/>
  <c r="AM59" i="10" s="1"/>
  <c r="AN59" i="10" s="1"/>
  <c r="AO59" i="10" s="1"/>
  <c r="AP59" i="10" s="1"/>
  <c r="AQ59" i="10" s="1"/>
  <c r="K171" i="10"/>
  <c r="AJ166" i="10"/>
  <c r="CG113" i="10"/>
  <c r="CG112" i="10" s="1"/>
  <c r="H283" i="10"/>
  <c r="BG283" i="10" s="1"/>
  <c r="BO286" i="10"/>
  <c r="AI291" i="10"/>
  <c r="AJ291" i="10" s="1"/>
  <c r="AK291" i="10" s="1"/>
  <c r="AL291" i="10" s="1"/>
  <c r="AM291" i="10" s="1"/>
  <c r="AN291" i="10" s="1"/>
  <c r="AO291" i="10" s="1"/>
  <c r="AP291" i="10" s="1"/>
  <c r="AQ291" i="10" s="1"/>
  <c r="BD294" i="10"/>
  <c r="BT294" i="10"/>
  <c r="K38" i="10"/>
  <c r="AI130" i="10"/>
  <c r="AJ130" i="10" s="1"/>
  <c r="AK130" i="10" s="1"/>
  <c r="AL130" i="10" s="1"/>
  <c r="AM130" i="10" s="1"/>
  <c r="AN130" i="10" s="1"/>
  <c r="AO130" i="10" s="1"/>
  <c r="AP130" i="10" s="1"/>
  <c r="AQ130" i="10" s="1"/>
  <c r="BO96" i="10"/>
  <c r="CQ96" i="10"/>
  <c r="CG164" i="10"/>
  <c r="CW164" i="10"/>
  <c r="K211" i="10"/>
  <c r="CI113" i="10"/>
  <c r="AI113" i="10" s="1"/>
  <c r="CA96" i="10"/>
  <c r="BF294" i="10"/>
  <c r="BV294" i="10"/>
  <c r="AI40" i="10"/>
  <c r="AJ40" i="10" s="1"/>
  <c r="AK40" i="10" s="1"/>
  <c r="AL40" i="10" s="1"/>
  <c r="AM40" i="10" s="1"/>
  <c r="AN40" i="10" s="1"/>
  <c r="AO40" i="10" s="1"/>
  <c r="AP40" i="10" s="1"/>
  <c r="AQ40" i="10" s="1"/>
  <c r="K127" i="10"/>
  <c r="AI131" i="10"/>
  <c r="AJ131" i="10" s="1"/>
  <c r="AK131" i="10" s="1"/>
  <c r="AL131" i="10" s="1"/>
  <c r="AM131" i="10" s="1"/>
  <c r="AN131" i="10" s="1"/>
  <c r="AO131" i="10" s="1"/>
  <c r="AP131" i="10" s="1"/>
  <c r="AQ131" i="10" s="1"/>
  <c r="BS96" i="10"/>
  <c r="CU96" i="10"/>
  <c r="CC101" i="10"/>
  <c r="AI55" i="10"/>
  <c r="AJ55" i="10" s="1"/>
  <c r="AK55" i="10" s="1"/>
  <c r="AL55" i="10" s="1"/>
  <c r="AM55" i="10" s="1"/>
  <c r="AN55" i="10" s="1"/>
  <c r="AO55" i="10" s="1"/>
  <c r="AP55" i="10" s="1"/>
  <c r="AQ55" i="10" s="1"/>
  <c r="BM164" i="10"/>
  <c r="CS164" i="10"/>
  <c r="G211" i="10"/>
  <c r="H92" i="10"/>
  <c r="CU92" i="10" s="1"/>
  <c r="AW96" i="10"/>
  <c r="BH294" i="10"/>
  <c r="BX294" i="10"/>
  <c r="AI72" i="10"/>
  <c r="AJ72" i="10" s="1"/>
  <c r="AK72" i="10" s="1"/>
  <c r="AL72" i="10" s="1"/>
  <c r="AM72" i="10" s="1"/>
  <c r="AN72" i="10" s="1"/>
  <c r="AO72" i="10" s="1"/>
  <c r="AP72" i="10" s="1"/>
  <c r="AQ72" i="10" s="1"/>
  <c r="G116" i="10"/>
  <c r="AI118" i="10"/>
  <c r="AJ118" i="10" s="1"/>
  <c r="AK118" i="10" s="1"/>
  <c r="AL118" i="10" s="1"/>
  <c r="AM118" i="10" s="1"/>
  <c r="AN118" i="10" s="1"/>
  <c r="AO118" i="10" s="1"/>
  <c r="AP118" i="10" s="1"/>
  <c r="AQ118" i="10" s="1"/>
  <c r="AI136" i="10"/>
  <c r="AJ136" i="10" s="1"/>
  <c r="AK136" i="10" s="1"/>
  <c r="AL136" i="10" s="1"/>
  <c r="AM136" i="10" s="1"/>
  <c r="AN136" i="10" s="1"/>
  <c r="AO136" i="10" s="1"/>
  <c r="AP136" i="10" s="1"/>
  <c r="AQ136" i="10" s="1"/>
  <c r="H95" i="10"/>
  <c r="CU95" i="10" s="1"/>
  <c r="AU96" i="10"/>
  <c r="BU96" i="10"/>
  <c r="I101" i="10"/>
  <c r="CG101" i="10"/>
  <c r="AI56" i="10"/>
  <c r="AJ56" i="10" s="1"/>
  <c r="AK56" i="10" s="1"/>
  <c r="AL56" i="10" s="1"/>
  <c r="AM56" i="10" s="1"/>
  <c r="AN56" i="10" s="1"/>
  <c r="AO56" i="10" s="1"/>
  <c r="AP56" i="10" s="1"/>
  <c r="AQ56" i="10" s="1"/>
  <c r="G171" i="10"/>
  <c r="BA113" i="10"/>
  <c r="BA112" i="10" s="1"/>
  <c r="H288" i="10"/>
  <c r="AY288" i="10" s="1"/>
  <c r="H11" i="10"/>
  <c r="H19" i="10"/>
  <c r="H14" i="10"/>
  <c r="H22" i="10"/>
  <c r="H43" i="10"/>
  <c r="H9" i="10"/>
  <c r="H17" i="10"/>
  <c r="H25" i="10"/>
  <c r="H12" i="10"/>
  <c r="H20" i="10"/>
  <c r="H41" i="10"/>
  <c r="AU44" i="10"/>
  <c r="H7" i="10"/>
  <c r="H15" i="10"/>
  <c r="H23" i="10"/>
  <c r="BK44" i="10"/>
  <c r="H10" i="10"/>
  <c r="H18" i="10"/>
  <c r="H26" i="10"/>
  <c r="CA44" i="10"/>
  <c r="CW126" i="10"/>
  <c r="CG126" i="10"/>
  <c r="BQ126" i="10"/>
  <c r="BA126" i="10"/>
  <c r="CU126" i="10"/>
  <c r="CE126" i="10"/>
  <c r="BO126" i="10"/>
  <c r="AY126" i="10"/>
  <c r="CS126" i="10"/>
  <c r="CC126" i="10"/>
  <c r="BM126" i="10"/>
  <c r="AW126" i="10"/>
  <c r="CQ126" i="10"/>
  <c r="CA126" i="10"/>
  <c r="BK126" i="10"/>
  <c r="AU126" i="10"/>
  <c r="CO126" i="10"/>
  <c r="BY126" i="10"/>
  <c r="BI126" i="10"/>
  <c r="AS126" i="10"/>
  <c r="CM126" i="10"/>
  <c r="BW126" i="10"/>
  <c r="BG126" i="10"/>
  <c r="CK126" i="10"/>
  <c r="BU126" i="10"/>
  <c r="BE126" i="10"/>
  <c r="CY126" i="10"/>
  <c r="CI126" i="10"/>
  <c r="AI126" i="10" s="1"/>
  <c r="BS126" i="10"/>
  <c r="BC126" i="10"/>
  <c r="I126" i="10"/>
  <c r="H13" i="10"/>
  <c r="H21" i="10"/>
  <c r="H39" i="10"/>
  <c r="H42" i="10"/>
  <c r="CW74" i="10"/>
  <c r="CG74" i="10"/>
  <c r="BQ74" i="10"/>
  <c r="BA74" i="10"/>
  <c r="CU74" i="10"/>
  <c r="CE74" i="10"/>
  <c r="BO74" i="10"/>
  <c r="AY74" i="10"/>
  <c r="CS74" i="10"/>
  <c r="CC74" i="10"/>
  <c r="BM74" i="10"/>
  <c r="AW74" i="10"/>
  <c r="CQ74" i="10"/>
  <c r="AM74" i="10" s="1"/>
  <c r="CA74" i="10"/>
  <c r="BK74" i="10"/>
  <c r="AU74" i="10"/>
  <c r="CO74" i="10"/>
  <c r="BY74" i="10"/>
  <c r="BI74" i="10"/>
  <c r="AS74" i="10"/>
  <c r="CM74" i="10"/>
  <c r="BW74" i="10"/>
  <c r="BG74" i="10"/>
  <c r="CK74" i="10"/>
  <c r="BU74" i="10"/>
  <c r="BE74" i="10"/>
  <c r="CY74" i="10"/>
  <c r="CI74" i="10"/>
  <c r="AI74" i="10" s="1"/>
  <c r="BS74" i="10"/>
  <c r="BC74" i="10"/>
  <c r="I74" i="10"/>
  <c r="H8" i="10"/>
  <c r="H16" i="10"/>
  <c r="H24" i="10"/>
  <c r="CK44" i="10"/>
  <c r="BU44" i="10"/>
  <c r="BE44" i="10"/>
  <c r="CY44" i="10"/>
  <c r="CI44" i="10"/>
  <c r="AI44" i="10" s="1"/>
  <c r="BS44" i="10"/>
  <c r="BC44" i="10"/>
  <c r="I44" i="10"/>
  <c r="CW44" i="10"/>
  <c r="CG44" i="10"/>
  <c r="BQ44" i="10"/>
  <c r="BA44" i="10"/>
  <c r="CU44" i="10"/>
  <c r="CE44" i="10"/>
  <c r="BO44" i="10"/>
  <c r="AY44" i="10"/>
  <c r="CS44" i="10"/>
  <c r="CC44" i="10"/>
  <c r="BM44" i="10"/>
  <c r="AW44" i="10"/>
  <c r="CO44" i="10"/>
  <c r="BY44" i="10"/>
  <c r="BI44" i="10"/>
  <c r="AS44" i="10"/>
  <c r="CM44" i="10"/>
  <c r="BW44" i="10"/>
  <c r="BG44" i="10"/>
  <c r="CU134" i="10"/>
  <c r="CE134" i="10"/>
  <c r="CE127" i="10" s="1"/>
  <c r="BO134" i="10"/>
  <c r="BO127" i="10" s="1"/>
  <c r="AY134" i="10"/>
  <c r="AY127" i="10" s="1"/>
  <c r="CM134" i="10"/>
  <c r="CM127" i="10" s="1"/>
  <c r="BW134" i="10"/>
  <c r="BW127" i="10" s="1"/>
  <c r="BG134" i="10"/>
  <c r="BG127" i="10" s="1"/>
  <c r="CS134" i="10"/>
  <c r="CS127" i="10" s="1"/>
  <c r="BY134" i="10"/>
  <c r="BY127" i="10" s="1"/>
  <c r="BC134" i="10"/>
  <c r="BC127" i="10" s="1"/>
  <c r="CQ134" i="10"/>
  <c r="CQ127" i="10" s="1"/>
  <c r="BU134" i="10"/>
  <c r="BU127" i="10" s="1"/>
  <c r="BA134" i="10"/>
  <c r="BA127" i="10" s="1"/>
  <c r="CO134" i="10"/>
  <c r="CO127" i="10" s="1"/>
  <c r="BS134" i="10"/>
  <c r="BS127" i="10" s="1"/>
  <c r="AW134" i="10"/>
  <c r="AW127" i="10" s="1"/>
  <c r="CK134" i="10"/>
  <c r="CK127" i="10" s="1"/>
  <c r="BQ134" i="10"/>
  <c r="BQ127" i="10" s="1"/>
  <c r="AU134" i="10"/>
  <c r="AU127" i="10" s="1"/>
  <c r="CI134" i="10"/>
  <c r="BM134" i="10"/>
  <c r="BM127" i="10" s="1"/>
  <c r="AS134" i="10"/>
  <c r="AS127" i="10" s="1"/>
  <c r="CG134" i="10"/>
  <c r="CG127" i="10" s="1"/>
  <c r="BK134" i="10"/>
  <c r="BK127" i="10" s="1"/>
  <c r="I134" i="10"/>
  <c r="I127" i="10" s="1"/>
  <c r="CY134" i="10"/>
  <c r="CY127" i="10" s="1"/>
  <c r="CC134" i="10"/>
  <c r="CC127" i="10" s="1"/>
  <c r="BI134" i="10"/>
  <c r="BI127" i="10" s="1"/>
  <c r="CW134" i="10"/>
  <c r="CW127" i="10" s="1"/>
  <c r="CA134" i="10"/>
  <c r="CA127" i="10" s="1"/>
  <c r="BE134" i="10"/>
  <c r="BE127" i="10" s="1"/>
  <c r="CU142" i="10"/>
  <c r="CE142" i="10"/>
  <c r="BO142" i="10"/>
  <c r="AY142" i="10"/>
  <c r="CM142" i="10"/>
  <c r="BW142" i="10"/>
  <c r="BG142" i="10"/>
  <c r="CK142" i="10"/>
  <c r="BQ142" i="10"/>
  <c r="AU142" i="10"/>
  <c r="CI142" i="10"/>
  <c r="AI142" i="10" s="1"/>
  <c r="BM142" i="10"/>
  <c r="AS142" i="10"/>
  <c r="I142" i="10"/>
  <c r="CG142" i="10"/>
  <c r="BK142" i="10"/>
  <c r="CY142" i="10"/>
  <c r="CC142" i="10"/>
  <c r="BI142" i="10"/>
  <c r="CW142" i="10"/>
  <c r="CA142" i="10"/>
  <c r="BE142" i="10"/>
  <c r="CS142" i="10"/>
  <c r="BY142" i="10"/>
  <c r="BC142" i="10"/>
  <c r="CQ142" i="10"/>
  <c r="BU142" i="10"/>
  <c r="BA142" i="10"/>
  <c r="CO142" i="10"/>
  <c r="BS142" i="10"/>
  <c r="AW142" i="10"/>
  <c r="H68" i="10"/>
  <c r="H71" i="10"/>
  <c r="AI129" i="10"/>
  <c r="AJ129" i="10" s="1"/>
  <c r="AK129" i="10" s="1"/>
  <c r="AL129" i="10" s="1"/>
  <c r="AM129" i="10" s="1"/>
  <c r="AN129" i="10" s="1"/>
  <c r="AO129" i="10" s="1"/>
  <c r="AP129" i="10" s="1"/>
  <c r="AQ129" i="10" s="1"/>
  <c r="H33" i="10"/>
  <c r="H37" i="10"/>
  <c r="H31" i="10"/>
  <c r="AI139" i="10"/>
  <c r="AJ139" i="10" s="1"/>
  <c r="AK139" i="10" s="1"/>
  <c r="AL139" i="10" s="1"/>
  <c r="AM139" i="10" s="1"/>
  <c r="AN139" i="10" s="1"/>
  <c r="AO139" i="10" s="1"/>
  <c r="AP139" i="10" s="1"/>
  <c r="AQ139" i="10" s="1"/>
  <c r="H75" i="10"/>
  <c r="H32" i="10"/>
  <c r="H141" i="10"/>
  <c r="CU85" i="10"/>
  <c r="CE85" i="10"/>
  <c r="BO85" i="10"/>
  <c r="AY85" i="10"/>
  <c r="CM85" i="10"/>
  <c r="BW85" i="10"/>
  <c r="BG85" i="10"/>
  <c r="CW85" i="10"/>
  <c r="CA85" i="10"/>
  <c r="BE85" i="10"/>
  <c r="CS85" i="10"/>
  <c r="BY85" i="10"/>
  <c r="BC85" i="10"/>
  <c r="CQ85" i="10"/>
  <c r="BU85" i="10"/>
  <c r="BA85" i="10"/>
  <c r="CO85" i="10"/>
  <c r="BS85" i="10"/>
  <c r="AW85" i="10"/>
  <c r="CK85" i="10"/>
  <c r="BQ85" i="10"/>
  <c r="AU85" i="10"/>
  <c r="CI85" i="10"/>
  <c r="AI85" i="10" s="1"/>
  <c r="BM85" i="10"/>
  <c r="AS85" i="10"/>
  <c r="I85" i="10"/>
  <c r="CG85" i="10"/>
  <c r="BK85" i="10"/>
  <c r="CY85" i="10"/>
  <c r="CC85" i="10"/>
  <c r="BI85" i="10"/>
  <c r="CU161" i="10"/>
  <c r="CE161" i="10"/>
  <c r="BO161" i="10"/>
  <c r="AY161" i="10"/>
  <c r="CM161" i="10"/>
  <c r="BW161" i="10"/>
  <c r="BG161" i="10"/>
  <c r="CY161" i="10"/>
  <c r="CC161" i="10"/>
  <c r="BI161" i="10"/>
  <c r="CO161" i="10"/>
  <c r="BS161" i="10"/>
  <c r="AW161" i="10"/>
  <c r="CW161" i="10"/>
  <c r="BU161" i="10"/>
  <c r="AS161" i="10"/>
  <c r="CS161" i="10"/>
  <c r="BQ161" i="10"/>
  <c r="CQ161" i="10"/>
  <c r="BM161" i="10"/>
  <c r="CK161" i="10"/>
  <c r="BK161" i="10"/>
  <c r="CI161" i="10"/>
  <c r="AI161" i="10" s="1"/>
  <c r="BE161" i="10"/>
  <c r="CG161" i="10"/>
  <c r="BC161" i="10"/>
  <c r="CA161" i="10"/>
  <c r="BA161" i="10"/>
  <c r="I161" i="10"/>
  <c r="BY161" i="10"/>
  <c r="AU161" i="10"/>
  <c r="H125" i="10"/>
  <c r="H34" i="10"/>
  <c r="H35" i="10"/>
  <c r="H67" i="10"/>
  <c r="H70" i="10"/>
  <c r="H122" i="10"/>
  <c r="AJ28" i="10"/>
  <c r="AK28" i="10" s="1"/>
  <c r="H36" i="10"/>
  <c r="H151" i="10"/>
  <c r="H148" i="10"/>
  <c r="H153" i="10"/>
  <c r="H145" i="10"/>
  <c r="H150" i="10"/>
  <c r="H147" i="10"/>
  <c r="H152" i="10"/>
  <c r="H149" i="10"/>
  <c r="H154" i="10"/>
  <c r="H146" i="10"/>
  <c r="H144" i="10"/>
  <c r="H120" i="10"/>
  <c r="AI29" i="10"/>
  <c r="AJ29" i="10" s="1"/>
  <c r="AK29" i="10" s="1"/>
  <c r="AL29" i="10" s="1"/>
  <c r="AM29" i="10" s="1"/>
  <c r="AN29" i="10" s="1"/>
  <c r="AO29" i="10" s="1"/>
  <c r="AP29" i="10" s="1"/>
  <c r="AQ29" i="10" s="1"/>
  <c r="G155" i="10"/>
  <c r="H78" i="10"/>
  <c r="K89" i="10"/>
  <c r="H158" i="10"/>
  <c r="H162" i="10"/>
  <c r="H156" i="10"/>
  <c r="H163" i="10"/>
  <c r="H82" i="10"/>
  <c r="H86" i="10"/>
  <c r="H87" i="10"/>
  <c r="H88" i="10"/>
  <c r="H79" i="10"/>
  <c r="H80" i="10"/>
  <c r="H159" i="10"/>
  <c r="H77" i="10"/>
  <c r="H81" i="10"/>
  <c r="H83" i="10"/>
  <c r="H84" i="10"/>
  <c r="CW96" i="10"/>
  <c r="CG96" i="10"/>
  <c r="BQ96" i="10"/>
  <c r="BA96" i="10"/>
  <c r="CO96" i="10"/>
  <c r="BY96" i="10"/>
  <c r="BI96" i="10"/>
  <c r="AS96" i="10"/>
  <c r="BC96" i="10"/>
  <c r="BW96" i="10"/>
  <c r="CS96" i="10"/>
  <c r="H90" i="10"/>
  <c r="H93" i="10"/>
  <c r="I96" i="10"/>
  <c r="BM96" i="10"/>
  <c r="CI96" i="10"/>
  <c r="AI96" i="10" s="1"/>
  <c r="H97" i="10"/>
  <c r="H98" i="10"/>
  <c r="K99" i="10"/>
  <c r="BM101" i="10"/>
  <c r="CM101" i="10"/>
  <c r="CK101" i="10"/>
  <c r="BU101" i="10"/>
  <c r="BE101" i="10"/>
  <c r="CU101" i="10"/>
  <c r="CQ101" i="10"/>
  <c r="CA101" i="10"/>
  <c r="BK101" i="10"/>
  <c r="AU101" i="10"/>
  <c r="CO101" i="10"/>
  <c r="BY101" i="10"/>
  <c r="BI101" i="10"/>
  <c r="AS101" i="10"/>
  <c r="BQ101" i="10"/>
  <c r="CW101" i="10"/>
  <c r="H110" i="10"/>
  <c r="H102" i="10"/>
  <c r="H107" i="10"/>
  <c r="H109" i="10"/>
  <c r="H106" i="10"/>
  <c r="H111" i="10"/>
  <c r="H108" i="10"/>
  <c r="H100" i="10"/>
  <c r="H105" i="10"/>
  <c r="AY101" i="10"/>
  <c r="BW101" i="10"/>
  <c r="BC101" i="10"/>
  <c r="CE101" i="10"/>
  <c r="AU58" i="10"/>
  <c r="BO58" i="10"/>
  <c r="CK58" i="10"/>
  <c r="AW58" i="10"/>
  <c r="BS58" i="10"/>
  <c r="CM58" i="10"/>
  <c r="AI62" i="10"/>
  <c r="AJ62" i="10" s="1"/>
  <c r="AK62" i="10" s="1"/>
  <c r="AL62" i="10" s="1"/>
  <c r="AY58" i="10"/>
  <c r="BU58" i="10"/>
  <c r="CQ58" i="10"/>
  <c r="BC58" i="10"/>
  <c r="BW58" i="10"/>
  <c r="CO58" i="10"/>
  <c r="BY58" i="10"/>
  <c r="BI58" i="10"/>
  <c r="AS58" i="10"/>
  <c r="CW58" i="10"/>
  <c r="CG58" i="10"/>
  <c r="BQ58" i="10"/>
  <c r="BA58" i="10"/>
  <c r="BE58" i="10"/>
  <c r="CA58" i="10"/>
  <c r="CU58" i="10"/>
  <c r="BG58" i="10"/>
  <c r="CC58" i="10"/>
  <c r="CY58" i="10"/>
  <c r="H57" i="10"/>
  <c r="BK58" i="10"/>
  <c r="CE58" i="10"/>
  <c r="I58" i="10"/>
  <c r="BM58" i="10"/>
  <c r="CI58" i="10"/>
  <c r="AI58" i="10" s="1"/>
  <c r="CK164" i="10"/>
  <c r="H181" i="10"/>
  <c r="H179" i="10"/>
  <c r="H178" i="10"/>
  <c r="H175" i="10"/>
  <c r="H172" i="10"/>
  <c r="H177" i="10"/>
  <c r="BI164" i="10"/>
  <c r="CK215" i="10"/>
  <c r="BU215" i="10"/>
  <c r="BE215" i="10"/>
  <c r="CU215" i="10"/>
  <c r="CE215" i="10"/>
  <c r="BO215" i="10"/>
  <c r="AY215" i="10"/>
  <c r="CS215" i="10"/>
  <c r="CC215" i="10"/>
  <c r="BM215" i="10"/>
  <c r="AW215" i="10"/>
  <c r="CM215" i="10"/>
  <c r="BW215" i="10"/>
  <c r="BG215" i="10"/>
  <c r="BY215" i="10"/>
  <c r="AS215" i="10"/>
  <c r="CY215" i="10"/>
  <c r="BS215" i="10"/>
  <c r="CW215" i="10"/>
  <c r="BQ215" i="10"/>
  <c r="CQ215" i="10"/>
  <c r="BK215" i="10"/>
  <c r="CO215" i="10"/>
  <c r="BI215" i="10"/>
  <c r="CI215" i="10"/>
  <c r="AI215" i="10" s="1"/>
  <c r="AJ215" i="10" s="1"/>
  <c r="BC215" i="10"/>
  <c r="CG215" i="10"/>
  <c r="BA215" i="10"/>
  <c r="I215" i="10"/>
  <c r="H173" i="10"/>
  <c r="H174" i="10"/>
  <c r="H180" i="10"/>
  <c r="H221" i="10"/>
  <c r="H213" i="10"/>
  <c r="H220" i="10"/>
  <c r="H212" i="10"/>
  <c r="H217" i="10"/>
  <c r="H216" i="10"/>
  <c r="H222" i="10"/>
  <c r="H223" i="10"/>
  <c r="H218" i="10"/>
  <c r="H219" i="10"/>
  <c r="H214" i="10"/>
  <c r="AU215" i="10"/>
  <c r="G164" i="10"/>
  <c r="CA215" i="10"/>
  <c r="H176" i="10"/>
  <c r="BU164" i="10"/>
  <c r="K164" i="10"/>
  <c r="BC164" i="10"/>
  <c r="BS164" i="10"/>
  <c r="CI164" i="10"/>
  <c r="BG164" i="10"/>
  <c r="BW164" i="10"/>
  <c r="CM164" i="10"/>
  <c r="AY164" i="10"/>
  <c r="BO164" i="10"/>
  <c r="CE164" i="10"/>
  <c r="AW272" i="10"/>
  <c r="CA272" i="10"/>
  <c r="CC272" i="10"/>
  <c r="CQ272" i="10"/>
  <c r="K281" i="10"/>
  <c r="CO272" i="10"/>
  <c r="BY272" i="10"/>
  <c r="BI272" i="10"/>
  <c r="AS272" i="10"/>
  <c r="CM272" i="10"/>
  <c r="BW272" i="10"/>
  <c r="BG272" i="10"/>
  <c r="CK272" i="10"/>
  <c r="BU272" i="10"/>
  <c r="BE272" i="10"/>
  <c r="CY272" i="10"/>
  <c r="CI272" i="10"/>
  <c r="BS272" i="10"/>
  <c r="BC272" i="10"/>
  <c r="I272" i="10"/>
  <c r="CG272" i="10"/>
  <c r="BA272" i="10"/>
  <c r="CW272" i="10"/>
  <c r="BQ272" i="10"/>
  <c r="CE272" i="10"/>
  <c r="AU272" i="10"/>
  <c r="BO272" i="10"/>
  <c r="CS272" i="10"/>
  <c r="BM272" i="10"/>
  <c r="BK272" i="10"/>
  <c r="AY272" i="10"/>
  <c r="CW112" i="10"/>
  <c r="BS113" i="10"/>
  <c r="BS112" i="10" s="1"/>
  <c r="AI115" i="10"/>
  <c r="CU113" i="10"/>
  <c r="CE113" i="10"/>
  <c r="CE112" i="10" s="1"/>
  <c r="BO113" i="10"/>
  <c r="BO112" i="10" s="1"/>
  <c r="AY113" i="10"/>
  <c r="AY112" i="10" s="1"/>
  <c r="CM113" i="10"/>
  <c r="CM112" i="10" s="1"/>
  <c r="BW113" i="10"/>
  <c r="BW112" i="10" s="1"/>
  <c r="BG113" i="10"/>
  <c r="BG112" i="10" s="1"/>
  <c r="CS113" i="10"/>
  <c r="CS112" i="10" s="1"/>
  <c r="BY113" i="10"/>
  <c r="BY112" i="10" s="1"/>
  <c r="BC113" i="10"/>
  <c r="BC112" i="10" s="1"/>
  <c r="CK113" i="10"/>
  <c r="CK112" i="10" s="1"/>
  <c r="BQ113" i="10"/>
  <c r="BQ112" i="10" s="1"/>
  <c r="AU113" i="10"/>
  <c r="AU112" i="10" s="1"/>
  <c r="AS113" i="10"/>
  <c r="AS112" i="10" s="1"/>
  <c r="BU113" i="10"/>
  <c r="BU112" i="10" s="1"/>
  <c r="I113" i="10"/>
  <c r="I112" i="10" s="1"/>
  <c r="AW113" i="10"/>
  <c r="AW112" i="10" s="1"/>
  <c r="CA113" i="10"/>
  <c r="CA112" i="10" s="1"/>
  <c r="H280" i="10"/>
  <c r="H273" i="10"/>
  <c r="H278" i="10"/>
  <c r="H274" i="10"/>
  <c r="G271" i="10"/>
  <c r="BK113" i="10"/>
  <c r="BK112" i="10" s="1"/>
  <c r="CO113" i="10"/>
  <c r="CO112" i="10" s="1"/>
  <c r="AI277" i="10"/>
  <c r="AJ277" i="10" s="1"/>
  <c r="AK277" i="10" s="1"/>
  <c r="AL277" i="10" s="1"/>
  <c r="AM277" i="10" s="1"/>
  <c r="AN277" i="10" s="1"/>
  <c r="AO277" i="10" s="1"/>
  <c r="AP277" i="10" s="1"/>
  <c r="AQ277" i="10" s="1"/>
  <c r="CQ286" i="10"/>
  <c r="CA286" i="10"/>
  <c r="BK286" i="10"/>
  <c r="AU286" i="10"/>
  <c r="CO286" i="10"/>
  <c r="BY286" i="10"/>
  <c r="BI286" i="10"/>
  <c r="AS286" i="10"/>
  <c r="CM286" i="10"/>
  <c r="BW286" i="10"/>
  <c r="BG286" i="10"/>
  <c r="CG286" i="10"/>
  <c r="BE286" i="10"/>
  <c r="CU286" i="10"/>
  <c r="BS286" i="10"/>
  <c r="AW286" i="10"/>
  <c r="AY286" i="10"/>
  <c r="CE286" i="10"/>
  <c r="BM286" i="10"/>
  <c r="CS286" i="10"/>
  <c r="H285" i="10"/>
  <c r="H293" i="10"/>
  <c r="H290" i="10"/>
  <c r="H287" i="10"/>
  <c r="AJ124" i="5"/>
  <c r="AJ123" i="5"/>
  <c r="AI123" i="5"/>
  <c r="AI12" i="5"/>
  <c r="M6" i="9"/>
  <c r="N6" i="9"/>
  <c r="O6" i="9"/>
  <c r="P6" i="9"/>
  <c r="Q6" i="9"/>
  <c r="R6" i="9"/>
  <c r="S6" i="9"/>
  <c r="T6" i="9"/>
  <c r="L6" i="9"/>
  <c r="CG12" i="5"/>
  <c r="I196" i="10" l="1"/>
  <c r="CK250" i="10"/>
  <c r="AJ250" i="10" s="1"/>
  <c r="AK250" i="10" s="1"/>
  <c r="AL250" i="10" s="1"/>
  <c r="AM250" i="10" s="1"/>
  <c r="AN250" i="10" s="1"/>
  <c r="AO250" i="10" s="1"/>
  <c r="AP250" i="10" s="1"/>
  <c r="AQ250" i="10" s="1"/>
  <c r="CC268" i="10"/>
  <c r="CO268" i="10"/>
  <c r="CK268" i="10"/>
  <c r="CO250" i="10"/>
  <c r="CS261" i="10"/>
  <c r="CY261" i="10"/>
  <c r="CK261" i="10"/>
  <c r="CI261" i="10"/>
  <c r="AI261" i="10" s="1"/>
  <c r="CC250" i="10"/>
  <c r="I261" i="10"/>
  <c r="CE250" i="10"/>
  <c r="CG261" i="10"/>
  <c r="CW261" i="10"/>
  <c r="CI250" i="10"/>
  <c r="AI250" i="10" s="1"/>
  <c r="CQ261" i="10"/>
  <c r="AJ268" i="10"/>
  <c r="CY250" i="10"/>
  <c r="CM261" i="10"/>
  <c r="CK267" i="10"/>
  <c r="CY267" i="10"/>
  <c r="CI267" i="10"/>
  <c r="AI267" i="10" s="1"/>
  <c r="AJ267" i="10" s="1"/>
  <c r="AK267" i="10" s="1"/>
  <c r="I267" i="10"/>
  <c r="CW267" i="10"/>
  <c r="CG267" i="10"/>
  <c r="CU267" i="10"/>
  <c r="CE267" i="10"/>
  <c r="CM267" i="10"/>
  <c r="CS267" i="10"/>
  <c r="CC267" i="10"/>
  <c r="CQ267" i="10"/>
  <c r="CO267" i="10"/>
  <c r="BU260" i="10"/>
  <c r="BE260" i="10"/>
  <c r="BS260" i="10"/>
  <c r="BC260" i="10"/>
  <c r="BQ260" i="10"/>
  <c r="BA260" i="10"/>
  <c r="BO260" i="10"/>
  <c r="AY260" i="10"/>
  <c r="BG260" i="10"/>
  <c r="BM260" i="10"/>
  <c r="AW260" i="10"/>
  <c r="BW260" i="10"/>
  <c r="CA260" i="10"/>
  <c r="BK260" i="10"/>
  <c r="AU260" i="10"/>
  <c r="BY260" i="10"/>
  <c r="BI260" i="10"/>
  <c r="AS260" i="10"/>
  <c r="CA259" i="10"/>
  <c r="BK259" i="10"/>
  <c r="AU259" i="10"/>
  <c r="BY259" i="10"/>
  <c r="BI259" i="10"/>
  <c r="AS259" i="10"/>
  <c r="BM259" i="10"/>
  <c r="BW259" i="10"/>
  <c r="BG259" i="10"/>
  <c r="BU259" i="10"/>
  <c r="BE259" i="10"/>
  <c r="BS259" i="10"/>
  <c r="BC259" i="10"/>
  <c r="AW259" i="10"/>
  <c r="BQ259" i="10"/>
  <c r="BA259" i="10"/>
  <c r="BO259" i="10"/>
  <c r="AY259" i="10"/>
  <c r="CE234" i="10"/>
  <c r="I234" i="10"/>
  <c r="CY270" i="10"/>
  <c r="CI270" i="10"/>
  <c r="AI270" i="10" s="1"/>
  <c r="I270" i="10"/>
  <c r="CW270" i="10"/>
  <c r="CG270" i="10"/>
  <c r="CU270" i="10"/>
  <c r="CE270" i="10"/>
  <c r="CS270" i="10"/>
  <c r="CC270" i="10"/>
  <c r="CQ270" i="10"/>
  <c r="CO270" i="10"/>
  <c r="CM270" i="10"/>
  <c r="CK270" i="10"/>
  <c r="CY262" i="10"/>
  <c r="CI262" i="10"/>
  <c r="AI262" i="10" s="1"/>
  <c r="CW262" i="10"/>
  <c r="CU262" i="10"/>
  <c r="CS262" i="10"/>
  <c r="I262" i="10"/>
  <c r="CQ262" i="10"/>
  <c r="CK262" i="10"/>
  <c r="CO262" i="10"/>
  <c r="CM262" i="10"/>
  <c r="AK268" i="10"/>
  <c r="AL268" i="10" s="1"/>
  <c r="AM268" i="10" s="1"/>
  <c r="AN268" i="10" s="1"/>
  <c r="AO268" i="10" s="1"/>
  <c r="AP268" i="10" s="1"/>
  <c r="AQ268" i="10" s="1"/>
  <c r="BO268" i="10"/>
  <c r="AY268" i="10"/>
  <c r="BW264" i="10"/>
  <c r="BG264" i="10"/>
  <c r="BM268" i="10"/>
  <c r="AW268" i="10"/>
  <c r="BU264" i="10"/>
  <c r="BE264" i="10"/>
  <c r="BA268" i="10"/>
  <c r="BY264" i="10"/>
  <c r="AS264" i="10"/>
  <c r="CA268" i="10"/>
  <c r="BK268" i="10"/>
  <c r="AU268" i="10"/>
  <c r="BS264" i="10"/>
  <c r="BC264" i="10"/>
  <c r="BY268" i="10"/>
  <c r="BI268" i="10"/>
  <c r="AS268" i="10"/>
  <c r="BQ264" i="10"/>
  <c r="BA264" i="10"/>
  <c r="BQ268" i="10"/>
  <c r="BI264" i="10"/>
  <c r="BW268" i="10"/>
  <c r="BG268" i="10"/>
  <c r="BO264" i="10"/>
  <c r="AY264" i="10"/>
  <c r="BU268" i="10"/>
  <c r="BE268" i="10"/>
  <c r="BM264" i="10"/>
  <c r="AW264" i="10"/>
  <c r="BS268" i="10"/>
  <c r="BC268" i="10"/>
  <c r="CA264" i="10"/>
  <c r="BK264" i="10"/>
  <c r="AU264" i="10"/>
  <c r="I250" i="10"/>
  <c r="CS250" i="10"/>
  <c r="CG250" i="10"/>
  <c r="CS263" i="10"/>
  <c r="CC263" i="10"/>
  <c r="CQ263" i="10"/>
  <c r="CO263" i="10"/>
  <c r="CE263" i="10"/>
  <c r="CM263" i="10"/>
  <c r="CK263" i="10"/>
  <c r="CY263" i="10"/>
  <c r="CI263" i="10"/>
  <c r="AI263" i="10" s="1"/>
  <c r="AJ263" i="10" s="1"/>
  <c r="I263" i="10"/>
  <c r="CW263" i="10"/>
  <c r="CG263" i="10"/>
  <c r="CU263" i="10"/>
  <c r="BO261" i="10"/>
  <c r="AY261" i="10"/>
  <c r="BM261" i="10"/>
  <c r="AW261" i="10"/>
  <c r="BQ261" i="10"/>
  <c r="CA261" i="10"/>
  <c r="BK261" i="10"/>
  <c r="AU261" i="10"/>
  <c r="BY261" i="10"/>
  <c r="BI261" i="10"/>
  <c r="AS261" i="10"/>
  <c r="BA261" i="10"/>
  <c r="BW261" i="10"/>
  <c r="BG261" i="10"/>
  <c r="BU261" i="10"/>
  <c r="BE261" i="10"/>
  <c r="BS261" i="10"/>
  <c r="BC261" i="10"/>
  <c r="CK260" i="10"/>
  <c r="CY260" i="10"/>
  <c r="CI260" i="10"/>
  <c r="AI260" i="10" s="1"/>
  <c r="I260" i="10"/>
  <c r="CW260" i="10"/>
  <c r="CG260" i="10"/>
  <c r="CM260" i="10"/>
  <c r="CU260" i="10"/>
  <c r="CE260" i="10"/>
  <c r="CS260" i="10"/>
  <c r="CC260" i="10"/>
  <c r="CQ260" i="10"/>
  <c r="CO260" i="10"/>
  <c r="BY269" i="10"/>
  <c r="BI269" i="10"/>
  <c r="AS269" i="10"/>
  <c r="BQ265" i="10"/>
  <c r="BA265" i="10"/>
  <c r="BW269" i="10"/>
  <c r="BG269" i="10"/>
  <c r="BO265" i="10"/>
  <c r="AY265" i="10"/>
  <c r="CA269" i="10"/>
  <c r="BK269" i="10"/>
  <c r="BC265" i="10"/>
  <c r="BU269" i="10"/>
  <c r="BE269" i="10"/>
  <c r="BM265" i="10"/>
  <c r="AW265" i="10"/>
  <c r="BS269" i="10"/>
  <c r="BC269" i="10"/>
  <c r="CA265" i="10"/>
  <c r="BK265" i="10"/>
  <c r="AU265" i="10"/>
  <c r="AU269" i="10"/>
  <c r="BS265" i="10"/>
  <c r="BQ269" i="10"/>
  <c r="BA269" i="10"/>
  <c r="BY265" i="10"/>
  <c r="BI265" i="10"/>
  <c r="AS265" i="10"/>
  <c r="BO269" i="10"/>
  <c r="AY269" i="10"/>
  <c r="BW265" i="10"/>
  <c r="BG265" i="10"/>
  <c r="BM269" i="10"/>
  <c r="AW269" i="10"/>
  <c r="BU265" i="10"/>
  <c r="BE265" i="10"/>
  <c r="I245" i="10"/>
  <c r="CM264" i="10"/>
  <c r="CK264" i="10"/>
  <c r="CY264" i="10"/>
  <c r="CI264" i="10"/>
  <c r="AI264" i="10" s="1"/>
  <c r="AJ264" i="10" s="1"/>
  <c r="AK264" i="10" s="1"/>
  <c r="I264" i="10"/>
  <c r="CW264" i="10"/>
  <c r="CG264" i="10"/>
  <c r="CO264" i="10"/>
  <c r="CU264" i="10"/>
  <c r="CE264" i="10"/>
  <c r="CS264" i="10"/>
  <c r="CC264" i="10"/>
  <c r="CQ264" i="10"/>
  <c r="CQ266" i="10"/>
  <c r="CC266" i="10"/>
  <c r="CO266" i="10"/>
  <c r="CM266" i="10"/>
  <c r="CK266" i="10"/>
  <c r="CY266" i="10"/>
  <c r="CI266" i="10"/>
  <c r="AI266" i="10" s="1"/>
  <c r="AJ266" i="10" s="1"/>
  <c r="AK266" i="10" s="1"/>
  <c r="I266" i="10"/>
  <c r="CS266" i="10"/>
  <c r="CW266" i="10"/>
  <c r="CG266" i="10"/>
  <c r="CU266" i="10"/>
  <c r="CE266" i="10"/>
  <c r="CW245" i="10"/>
  <c r="AJ261" i="10"/>
  <c r="AK261" i="10" s="1"/>
  <c r="AL261" i="10" s="1"/>
  <c r="AM261" i="10" s="1"/>
  <c r="AN261" i="10" s="1"/>
  <c r="AO261" i="10" s="1"/>
  <c r="AP261" i="10" s="1"/>
  <c r="AQ261" i="10" s="1"/>
  <c r="CA266" i="10"/>
  <c r="BK266" i="10"/>
  <c r="AU266" i="10"/>
  <c r="BY266" i="10"/>
  <c r="BI266" i="10"/>
  <c r="AS266" i="10"/>
  <c r="BW266" i="10"/>
  <c r="BG266" i="10"/>
  <c r="AW266" i="10"/>
  <c r="BU266" i="10"/>
  <c r="BE266" i="10"/>
  <c r="BM266" i="10"/>
  <c r="BS266" i="10"/>
  <c r="BC266" i="10"/>
  <c r="BQ266" i="10"/>
  <c r="BA266" i="10"/>
  <c r="BO266" i="10"/>
  <c r="AY266" i="10"/>
  <c r="CK243" i="10"/>
  <c r="CQ259" i="10"/>
  <c r="CO259" i="10"/>
  <c r="CM259" i="10"/>
  <c r="CK259" i="10"/>
  <c r="CK258" i="10" s="1"/>
  <c r="CC259" i="10"/>
  <c r="CY259" i="10"/>
  <c r="CI259" i="10"/>
  <c r="I259" i="10"/>
  <c r="CW259" i="10"/>
  <c r="CG259" i="10"/>
  <c r="CS259" i="10"/>
  <c r="CU259" i="10"/>
  <c r="CE259" i="10"/>
  <c r="BU267" i="10"/>
  <c r="BE267" i="10"/>
  <c r="BM263" i="10"/>
  <c r="AW263" i="10"/>
  <c r="BS267" i="10"/>
  <c r="BC267" i="10"/>
  <c r="CA263" i="10"/>
  <c r="BK263" i="10"/>
  <c r="AU263" i="10"/>
  <c r="AY263" i="10"/>
  <c r="BQ267" i="10"/>
  <c r="BA267" i="10"/>
  <c r="BY263" i="10"/>
  <c r="BI263" i="10"/>
  <c r="AS263" i="10"/>
  <c r="BO267" i="10"/>
  <c r="AY267" i="10"/>
  <c r="BW263" i="10"/>
  <c r="BG263" i="10"/>
  <c r="BW267" i="10"/>
  <c r="BG267" i="10"/>
  <c r="BO263" i="10"/>
  <c r="BM267" i="10"/>
  <c r="AW267" i="10"/>
  <c r="BU263" i="10"/>
  <c r="BE263" i="10"/>
  <c r="CA267" i="10"/>
  <c r="BK267" i="10"/>
  <c r="AU267" i="10"/>
  <c r="BS263" i="10"/>
  <c r="BC263" i="10"/>
  <c r="BY267" i="10"/>
  <c r="BI267" i="10"/>
  <c r="AS267" i="10"/>
  <c r="BQ263" i="10"/>
  <c r="BA263" i="10"/>
  <c r="BS270" i="10"/>
  <c r="BC270" i="10"/>
  <c r="BQ270" i="10"/>
  <c r="BA270" i="10"/>
  <c r="BO270" i="10"/>
  <c r="AY270" i="10"/>
  <c r="BE270" i="10"/>
  <c r="BM270" i="10"/>
  <c r="AW270" i="10"/>
  <c r="CA270" i="10"/>
  <c r="BK270" i="10"/>
  <c r="AU270" i="10"/>
  <c r="BY270" i="10"/>
  <c r="BI270" i="10"/>
  <c r="AS270" i="10"/>
  <c r="BU270" i="10"/>
  <c r="BW270" i="10"/>
  <c r="BG270" i="10"/>
  <c r="CY239" i="10"/>
  <c r="CM250" i="10"/>
  <c r="CO243" i="10"/>
  <c r="CW265" i="10"/>
  <c r="CG265" i="10"/>
  <c r="I265" i="10"/>
  <c r="CU265" i="10"/>
  <c r="CE265" i="10"/>
  <c r="CY265" i="10"/>
  <c r="CS265" i="10"/>
  <c r="CC265" i="10"/>
  <c r="CQ265" i="10"/>
  <c r="CO265" i="10"/>
  <c r="CM265" i="10"/>
  <c r="CK265" i="10"/>
  <c r="CI265" i="10"/>
  <c r="AI265" i="10" s="1"/>
  <c r="CO269" i="10"/>
  <c r="CM269" i="10"/>
  <c r="CK269" i="10"/>
  <c r="CY269" i="10"/>
  <c r="CI269" i="10"/>
  <c r="AI269" i="10" s="1"/>
  <c r="I269" i="10"/>
  <c r="CQ269" i="10"/>
  <c r="CW269" i="10"/>
  <c r="CG269" i="10"/>
  <c r="CU269" i="10"/>
  <c r="CE269" i="10"/>
  <c r="CS269" i="10"/>
  <c r="CC269" i="10"/>
  <c r="CK199" i="10"/>
  <c r="CO245" i="10"/>
  <c r="CY245" i="10"/>
  <c r="CU199" i="10"/>
  <c r="CC245" i="10"/>
  <c r="CI245" i="10"/>
  <c r="AI245" i="10" s="1"/>
  <c r="CS199" i="10"/>
  <c r="CE196" i="10"/>
  <c r="CQ245" i="10"/>
  <c r="CM245" i="10"/>
  <c r="CM196" i="10"/>
  <c r="CI239" i="10"/>
  <c r="AI239" i="10" s="1"/>
  <c r="CU243" i="10"/>
  <c r="CM243" i="10"/>
  <c r="CS243" i="10"/>
  <c r="CW243" i="10"/>
  <c r="CM234" i="10"/>
  <c r="CQ239" i="10"/>
  <c r="I239" i="10"/>
  <c r="CI243" i="10"/>
  <c r="AI243" i="10" s="1"/>
  <c r="AJ243" i="10" s="1"/>
  <c r="AK243" i="10" s="1"/>
  <c r="CS245" i="10"/>
  <c r="CU245" i="10"/>
  <c r="CE245" i="10"/>
  <c r="CQ234" i="10"/>
  <c r="CK245" i="10"/>
  <c r="CU239" i="10"/>
  <c r="CO239" i="10"/>
  <c r="CY243" i="10"/>
  <c r="CS227" i="10"/>
  <c r="I243" i="10"/>
  <c r="CM227" i="10"/>
  <c r="CY244" i="10"/>
  <c r="CI244" i="10"/>
  <c r="I244" i="10"/>
  <c r="CW244" i="10"/>
  <c r="CG244" i="10"/>
  <c r="CU244" i="10"/>
  <c r="CE244" i="10"/>
  <c r="CS244" i="10"/>
  <c r="CC244" i="10"/>
  <c r="CM244" i="10"/>
  <c r="CQ244" i="10"/>
  <c r="CO244" i="10"/>
  <c r="CK244" i="10"/>
  <c r="CW241" i="10"/>
  <c r="CU241" i="10"/>
  <c r="CS241" i="10"/>
  <c r="I241" i="10"/>
  <c r="CQ241" i="10"/>
  <c r="CK241" i="10"/>
  <c r="CO241" i="10"/>
  <c r="CM241" i="10"/>
  <c r="CY241" i="10"/>
  <c r="CI241" i="10"/>
  <c r="AI241" i="10" s="1"/>
  <c r="CK242" i="10"/>
  <c r="CY242" i="10"/>
  <c r="CI242" i="10"/>
  <c r="AI242" i="10" s="1"/>
  <c r="CW242" i="10"/>
  <c r="CU242" i="10"/>
  <c r="CS242" i="10"/>
  <c r="I242" i="10"/>
  <c r="CQ242" i="10"/>
  <c r="CO242" i="10"/>
  <c r="CM242" i="10"/>
  <c r="CA248" i="10"/>
  <c r="BK248" i="10"/>
  <c r="AU248" i="10"/>
  <c r="AY248" i="10"/>
  <c r="BY248" i="10"/>
  <c r="BI248" i="10"/>
  <c r="AS248" i="10"/>
  <c r="BW248" i="10"/>
  <c r="BG248" i="10"/>
  <c r="BU248" i="10"/>
  <c r="BE248" i="10"/>
  <c r="BS248" i="10"/>
  <c r="BC248" i="10"/>
  <c r="BQ248" i="10"/>
  <c r="BA248" i="10"/>
  <c r="BO248" i="10"/>
  <c r="BM248" i="10"/>
  <c r="AW248" i="10"/>
  <c r="BW246" i="10"/>
  <c r="BG246" i="10"/>
  <c r="AU246" i="10"/>
  <c r="BU246" i="10"/>
  <c r="BE246" i="10"/>
  <c r="CA246" i="10"/>
  <c r="BS246" i="10"/>
  <c r="BC246" i="10"/>
  <c r="BQ246" i="10"/>
  <c r="BA246" i="10"/>
  <c r="BO246" i="10"/>
  <c r="AY246" i="10"/>
  <c r="BM246" i="10"/>
  <c r="AW246" i="10"/>
  <c r="BK246" i="10"/>
  <c r="BY246" i="10"/>
  <c r="BI246" i="10"/>
  <c r="AS246" i="10"/>
  <c r="BU249" i="10"/>
  <c r="BE249" i="10"/>
  <c r="BI249" i="10"/>
  <c r="BS249" i="10"/>
  <c r="BC249" i="10"/>
  <c r="AS249" i="10"/>
  <c r="BQ249" i="10"/>
  <c r="BA249" i="10"/>
  <c r="BO249" i="10"/>
  <c r="AY249" i="10"/>
  <c r="BM249" i="10"/>
  <c r="AW249" i="10"/>
  <c r="CA249" i="10"/>
  <c r="BK249" i="10"/>
  <c r="AU249" i="10"/>
  <c r="BY249" i="10"/>
  <c r="BW249" i="10"/>
  <c r="BG249" i="10"/>
  <c r="CC227" i="10"/>
  <c r="CS240" i="10"/>
  <c r="I240" i="10"/>
  <c r="CQ240" i="10"/>
  <c r="CO240" i="10"/>
  <c r="CW240" i="10"/>
  <c r="CM240" i="10"/>
  <c r="CK240" i="10"/>
  <c r="CY240" i="10"/>
  <c r="CI240" i="10"/>
  <c r="AI240" i="10" s="1"/>
  <c r="CU240" i="10"/>
  <c r="CK249" i="10"/>
  <c r="CO249" i="10"/>
  <c r="CY249" i="10"/>
  <c r="CI249" i="10"/>
  <c r="AI249" i="10" s="1"/>
  <c r="I249" i="10"/>
  <c r="CW249" i="10"/>
  <c r="CG249" i="10"/>
  <c r="CU249" i="10"/>
  <c r="CE249" i="10"/>
  <c r="CS249" i="10"/>
  <c r="CC249" i="10"/>
  <c r="CQ249" i="10"/>
  <c r="CM249" i="10"/>
  <c r="BS244" i="10"/>
  <c r="BC244" i="10"/>
  <c r="BU238" i="10"/>
  <c r="BE238" i="10"/>
  <c r="BQ244" i="10"/>
  <c r="BA244" i="10"/>
  <c r="BS238" i="10"/>
  <c r="BC238" i="10"/>
  <c r="BO244" i="10"/>
  <c r="AY244" i="10"/>
  <c r="BQ238" i="10"/>
  <c r="BA238" i="10"/>
  <c r="BW244" i="10"/>
  <c r="BY238" i="10"/>
  <c r="BM244" i="10"/>
  <c r="AW244" i="10"/>
  <c r="BO238" i="10"/>
  <c r="AY238" i="10"/>
  <c r="AS238" i="10"/>
  <c r="CA244" i="10"/>
  <c r="BK244" i="10"/>
  <c r="AU244" i="10"/>
  <c r="BM238" i="10"/>
  <c r="AW238" i="10"/>
  <c r="BG244" i="10"/>
  <c r="BY244" i="10"/>
  <c r="BI244" i="10"/>
  <c r="AS244" i="10"/>
  <c r="CA238" i="10"/>
  <c r="BK238" i="10"/>
  <c r="AU238" i="10"/>
  <c r="BI238" i="10"/>
  <c r="BW238" i="10"/>
  <c r="BG238" i="10"/>
  <c r="BE244" i="10"/>
  <c r="BU244" i="10"/>
  <c r="BQ247" i="10"/>
  <c r="BA247" i="10"/>
  <c r="BE247" i="10"/>
  <c r="BO247" i="10"/>
  <c r="AY247" i="10"/>
  <c r="BM247" i="10"/>
  <c r="AW247" i="10"/>
  <c r="CA247" i="10"/>
  <c r="BK247" i="10"/>
  <c r="AU247" i="10"/>
  <c r="BU247" i="10"/>
  <c r="BY247" i="10"/>
  <c r="BI247" i="10"/>
  <c r="AS247" i="10"/>
  <c r="BW247" i="10"/>
  <c r="BG247" i="10"/>
  <c r="BS247" i="10"/>
  <c r="BC247" i="10"/>
  <c r="BO250" i="10"/>
  <c r="AY250" i="10"/>
  <c r="BS250" i="10"/>
  <c r="BM250" i="10"/>
  <c r="AW250" i="10"/>
  <c r="CA250" i="10"/>
  <c r="BK250" i="10"/>
  <c r="AU250" i="10"/>
  <c r="BY250" i="10"/>
  <c r="BI250" i="10"/>
  <c r="AS250" i="10"/>
  <c r="BW250" i="10"/>
  <c r="BG250" i="10"/>
  <c r="BU250" i="10"/>
  <c r="BE250" i="10"/>
  <c r="BC250" i="10"/>
  <c r="BA250" i="10"/>
  <c r="BQ250" i="10"/>
  <c r="CW196" i="10"/>
  <c r="CW234" i="10"/>
  <c r="CK234" i="10"/>
  <c r="AJ234" i="10" s="1"/>
  <c r="AK234" i="10" s="1"/>
  <c r="CG234" i="10"/>
  <c r="CO199" i="10"/>
  <c r="CW247" i="10"/>
  <c r="CG247" i="10"/>
  <c r="CU247" i="10"/>
  <c r="CE247" i="10"/>
  <c r="CK247" i="10"/>
  <c r="CS247" i="10"/>
  <c r="CC247" i="10"/>
  <c r="CQ247" i="10"/>
  <c r="CO247" i="10"/>
  <c r="CM247" i="10"/>
  <c r="I247" i="10"/>
  <c r="CI247" i="10"/>
  <c r="AI247" i="10" s="1"/>
  <c r="CY247" i="10"/>
  <c r="CQ248" i="10"/>
  <c r="CE248" i="10"/>
  <c r="CO248" i="10"/>
  <c r="CM248" i="10"/>
  <c r="CK248" i="10"/>
  <c r="CY248" i="10"/>
  <c r="CI248" i="10"/>
  <c r="AI248" i="10" s="1"/>
  <c r="I248" i="10"/>
  <c r="CW248" i="10"/>
  <c r="CG248" i="10"/>
  <c r="CU248" i="10"/>
  <c r="CS248" i="10"/>
  <c r="CC248" i="10"/>
  <c r="BS252" i="10"/>
  <c r="BC252" i="10"/>
  <c r="BQ252" i="10"/>
  <c r="BA252" i="10"/>
  <c r="BO252" i="10"/>
  <c r="AY252" i="10"/>
  <c r="BM252" i="10"/>
  <c r="AW252" i="10"/>
  <c r="CA252" i="10"/>
  <c r="BK252" i="10"/>
  <c r="AU252" i="10"/>
  <c r="BG252" i="10"/>
  <c r="BY252" i="10"/>
  <c r="BI252" i="10"/>
  <c r="AS252" i="10"/>
  <c r="BW252" i="10"/>
  <c r="BU252" i="10"/>
  <c r="BE252" i="10"/>
  <c r="CO251" i="10"/>
  <c r="CC251" i="10"/>
  <c r="CM251" i="10"/>
  <c r="CS251" i="10"/>
  <c r="CK251" i="10"/>
  <c r="CY251" i="10"/>
  <c r="CI251" i="10"/>
  <c r="AI251" i="10" s="1"/>
  <c r="I251" i="10"/>
  <c r="CW251" i="10"/>
  <c r="CG251" i="10"/>
  <c r="CU251" i="10"/>
  <c r="CE251" i="10"/>
  <c r="CQ251" i="10"/>
  <c r="CO234" i="10"/>
  <c r="CK238" i="10"/>
  <c r="CY238" i="10"/>
  <c r="CI238" i="10"/>
  <c r="AI238" i="10" s="1"/>
  <c r="I238" i="10"/>
  <c r="CW238" i="10"/>
  <c r="CG238" i="10"/>
  <c r="CU238" i="10"/>
  <c r="CE238" i="10"/>
  <c r="CO238" i="10"/>
  <c r="CS238" i="10"/>
  <c r="CC238" i="10"/>
  <c r="CQ238" i="10"/>
  <c r="CM238" i="10"/>
  <c r="AJ239" i="10"/>
  <c r="AK239" i="10" s="1"/>
  <c r="AL239" i="10" s="1"/>
  <c r="BM245" i="10"/>
  <c r="AW245" i="10"/>
  <c r="CA245" i="10"/>
  <c r="BK245" i="10"/>
  <c r="AU245" i="10"/>
  <c r="BY245" i="10"/>
  <c r="BI245" i="10"/>
  <c r="AS245" i="10"/>
  <c r="BQ245" i="10"/>
  <c r="BW245" i="10"/>
  <c r="BG245" i="10"/>
  <c r="BU245" i="10"/>
  <c r="BE245" i="10"/>
  <c r="BS245" i="10"/>
  <c r="BC245" i="10"/>
  <c r="BA245" i="10"/>
  <c r="BO245" i="10"/>
  <c r="AY245" i="10"/>
  <c r="BY251" i="10"/>
  <c r="BI251" i="10"/>
  <c r="AS251" i="10"/>
  <c r="BM251" i="10"/>
  <c r="BW251" i="10"/>
  <c r="BG251" i="10"/>
  <c r="BU251" i="10"/>
  <c r="BE251" i="10"/>
  <c r="BS251" i="10"/>
  <c r="BC251" i="10"/>
  <c r="BQ251" i="10"/>
  <c r="BA251" i="10"/>
  <c r="BO251" i="10"/>
  <c r="AY251" i="10"/>
  <c r="AW251" i="10"/>
  <c r="BK251" i="10"/>
  <c r="AU251" i="10"/>
  <c r="CA251" i="10"/>
  <c r="CS196" i="10"/>
  <c r="CS234" i="10"/>
  <c r="I227" i="10"/>
  <c r="CM199" i="10"/>
  <c r="CY252" i="10"/>
  <c r="CI252" i="10"/>
  <c r="AI252" i="10" s="1"/>
  <c r="I252" i="10"/>
  <c r="CW252" i="10"/>
  <c r="CG252" i="10"/>
  <c r="CU252" i="10"/>
  <c r="CE252" i="10"/>
  <c r="CS252" i="10"/>
  <c r="CC252" i="10"/>
  <c r="CQ252" i="10"/>
  <c r="CO252" i="10"/>
  <c r="CM252" i="10"/>
  <c r="CK252" i="10"/>
  <c r="CM246" i="10"/>
  <c r="CK246" i="10"/>
  <c r="CY246" i="10"/>
  <c r="CI246" i="10"/>
  <c r="AI246" i="10" s="1"/>
  <c r="I246" i="10"/>
  <c r="CW246" i="10"/>
  <c r="CG246" i="10"/>
  <c r="CU246" i="10"/>
  <c r="CE246" i="10"/>
  <c r="CS246" i="10"/>
  <c r="CC246" i="10"/>
  <c r="CQ246" i="10"/>
  <c r="CO246" i="10"/>
  <c r="CO196" i="10"/>
  <c r="CC234" i="10"/>
  <c r="CY234" i="10"/>
  <c r="CK227" i="10"/>
  <c r="CG196" i="10"/>
  <c r="CK196" i="10"/>
  <c r="CI227" i="10"/>
  <c r="AI227" i="10" s="1"/>
  <c r="CE227" i="10"/>
  <c r="CW199" i="10"/>
  <c r="CU196" i="10"/>
  <c r="CY227" i="10"/>
  <c r="CU227" i="10"/>
  <c r="CQ199" i="10"/>
  <c r="I199" i="10"/>
  <c r="CC196" i="10"/>
  <c r="CO227" i="10"/>
  <c r="CI199" i="10"/>
  <c r="AI199" i="10" s="1"/>
  <c r="AJ199" i="10" s="1"/>
  <c r="CI196" i="10"/>
  <c r="AI196" i="10" s="1"/>
  <c r="CQ196" i="10"/>
  <c r="CG227" i="10"/>
  <c r="CQ227" i="10"/>
  <c r="BY235" i="10"/>
  <c r="BI235" i="10"/>
  <c r="AS235" i="10"/>
  <c r="BQ231" i="10"/>
  <c r="BA231" i="10"/>
  <c r="CA235" i="10"/>
  <c r="BK235" i="10"/>
  <c r="BW235" i="10"/>
  <c r="BG235" i="10"/>
  <c r="BO231" i="10"/>
  <c r="AY231" i="10"/>
  <c r="AU235" i="10"/>
  <c r="BU235" i="10"/>
  <c r="BE235" i="10"/>
  <c r="BM231" i="10"/>
  <c r="AW231" i="10"/>
  <c r="BC231" i="10"/>
  <c r="BS235" i="10"/>
  <c r="BC235" i="10"/>
  <c r="CA231" i="10"/>
  <c r="BK231" i="10"/>
  <c r="AU231" i="10"/>
  <c r="BQ235" i="10"/>
  <c r="BA235" i="10"/>
  <c r="BY231" i="10"/>
  <c r="BI231" i="10"/>
  <c r="AS231" i="10"/>
  <c r="BO235" i="10"/>
  <c r="AY235" i="10"/>
  <c r="BW231" i="10"/>
  <c r="BG231" i="10"/>
  <c r="BS231" i="10"/>
  <c r="BM235" i="10"/>
  <c r="AW235" i="10"/>
  <c r="BU231" i="10"/>
  <c r="BE231" i="10"/>
  <c r="CM230" i="10"/>
  <c r="CK230" i="10"/>
  <c r="CO230" i="10"/>
  <c r="CY230" i="10"/>
  <c r="CI230" i="10"/>
  <c r="AI230" i="10" s="1"/>
  <c r="I230" i="10"/>
  <c r="CW230" i="10"/>
  <c r="CG230" i="10"/>
  <c r="CU230" i="10"/>
  <c r="CE230" i="10"/>
  <c r="CS230" i="10"/>
  <c r="CC230" i="10"/>
  <c r="CQ230" i="10"/>
  <c r="CQ225" i="10"/>
  <c r="CO225" i="10"/>
  <c r="CM225" i="10"/>
  <c r="CK225" i="10"/>
  <c r="CY225" i="10"/>
  <c r="CI225" i="10"/>
  <c r="I225" i="10"/>
  <c r="CW225" i="10"/>
  <c r="CG225" i="10"/>
  <c r="CU225" i="10"/>
  <c r="CE225" i="10"/>
  <c r="CS225" i="10"/>
  <c r="CC225" i="10"/>
  <c r="CU201" i="10"/>
  <c r="CK201" i="10"/>
  <c r="CQ201" i="10"/>
  <c r="I201" i="10"/>
  <c r="CW201" i="10"/>
  <c r="CM201" i="10"/>
  <c r="CS201" i="10"/>
  <c r="CY201" i="10"/>
  <c r="CI201" i="10"/>
  <c r="AI201" i="10" s="1"/>
  <c r="CO201" i="10"/>
  <c r="CM197" i="10"/>
  <c r="CS197" i="10"/>
  <c r="CY197" i="10"/>
  <c r="CI197" i="10"/>
  <c r="AI197" i="10" s="1"/>
  <c r="CO197" i="10"/>
  <c r="CU197" i="10"/>
  <c r="CK197" i="10"/>
  <c r="I197" i="10"/>
  <c r="CQ197" i="10"/>
  <c r="CW197" i="10"/>
  <c r="BS236" i="10"/>
  <c r="BC236" i="10"/>
  <c r="BQ236" i="10"/>
  <c r="BA236" i="10"/>
  <c r="BO236" i="10"/>
  <c r="AY236" i="10"/>
  <c r="BM236" i="10"/>
  <c r="AW236" i="10"/>
  <c r="CA236" i="10"/>
  <c r="BK236" i="10"/>
  <c r="AU236" i="10"/>
  <c r="BE236" i="10"/>
  <c r="BY236" i="10"/>
  <c r="BI236" i="10"/>
  <c r="AS236" i="10"/>
  <c r="BU236" i="10"/>
  <c r="BW236" i="10"/>
  <c r="BG236" i="10"/>
  <c r="BO227" i="10"/>
  <c r="AY227" i="10"/>
  <c r="BM227" i="10"/>
  <c r="AW227" i="10"/>
  <c r="CA227" i="10"/>
  <c r="BK227" i="10"/>
  <c r="AU227" i="10"/>
  <c r="BY227" i="10"/>
  <c r="BI227" i="10"/>
  <c r="AS227" i="10"/>
  <c r="BW227" i="10"/>
  <c r="BG227" i="10"/>
  <c r="BU227" i="10"/>
  <c r="BE227" i="10"/>
  <c r="BS227" i="10"/>
  <c r="BC227" i="10"/>
  <c r="BQ227" i="10"/>
  <c r="BA227" i="10"/>
  <c r="BU233" i="10"/>
  <c r="BE233" i="10"/>
  <c r="BM229" i="10"/>
  <c r="AW229" i="10"/>
  <c r="BG233" i="10"/>
  <c r="BS233" i="10"/>
  <c r="BC233" i="10"/>
  <c r="CA229" i="10"/>
  <c r="BK229" i="10"/>
  <c r="AU229" i="10"/>
  <c r="BQ233" i="10"/>
  <c r="BA233" i="10"/>
  <c r="BY229" i="10"/>
  <c r="BI229" i="10"/>
  <c r="AS229" i="10"/>
  <c r="BO233" i="10"/>
  <c r="AY233" i="10"/>
  <c r="BW229" i="10"/>
  <c r="BG229" i="10"/>
  <c r="BM233" i="10"/>
  <c r="AW233" i="10"/>
  <c r="BU229" i="10"/>
  <c r="BE229" i="10"/>
  <c r="CA233" i="10"/>
  <c r="BK233" i="10"/>
  <c r="AU233" i="10"/>
  <c r="BS229" i="10"/>
  <c r="BC229" i="10"/>
  <c r="BO229" i="10"/>
  <c r="BY233" i="10"/>
  <c r="BI233" i="10"/>
  <c r="AS233" i="10"/>
  <c r="BQ229" i="10"/>
  <c r="BA229" i="10"/>
  <c r="BW233" i="10"/>
  <c r="AY229" i="10"/>
  <c r="CW231" i="10"/>
  <c r="CG231" i="10"/>
  <c r="I231" i="10"/>
  <c r="CU231" i="10"/>
  <c r="CE231" i="10"/>
  <c r="CI231" i="10"/>
  <c r="AI231" i="10" s="1"/>
  <c r="CS231" i="10"/>
  <c r="CC231" i="10"/>
  <c r="CQ231" i="10"/>
  <c r="CO231" i="10"/>
  <c r="CY231" i="10"/>
  <c r="CM231" i="10"/>
  <c r="CK231" i="10"/>
  <c r="CK233" i="10"/>
  <c r="CY233" i="10"/>
  <c r="CI233" i="10"/>
  <c r="AI233" i="10" s="1"/>
  <c r="I233" i="10"/>
  <c r="CM233" i="10"/>
  <c r="CW233" i="10"/>
  <c r="CG233" i="10"/>
  <c r="CU233" i="10"/>
  <c r="CE233" i="10"/>
  <c r="CS233" i="10"/>
  <c r="CC233" i="10"/>
  <c r="CQ233" i="10"/>
  <c r="CO233" i="10"/>
  <c r="CY228" i="10"/>
  <c r="CI228" i="10"/>
  <c r="AI228" i="10" s="1"/>
  <c r="CK228" i="10"/>
  <c r="CW228" i="10"/>
  <c r="CU228" i="10"/>
  <c r="CS228" i="10"/>
  <c r="I228" i="10"/>
  <c r="CQ228" i="10"/>
  <c r="CO228" i="10"/>
  <c r="CM228" i="10"/>
  <c r="CS229" i="10"/>
  <c r="CC229" i="10"/>
  <c r="CU229" i="10"/>
  <c r="CQ229" i="10"/>
  <c r="CO229" i="10"/>
  <c r="CM229" i="10"/>
  <c r="CK229" i="10"/>
  <c r="CY229" i="10"/>
  <c r="CI229" i="10"/>
  <c r="AI229" i="10" s="1"/>
  <c r="I229" i="10"/>
  <c r="CW229" i="10"/>
  <c r="CG229" i="10"/>
  <c r="CE229" i="10"/>
  <c r="BU226" i="10"/>
  <c r="BE226" i="10"/>
  <c r="BS226" i="10"/>
  <c r="BC226" i="10"/>
  <c r="BQ226" i="10"/>
  <c r="BA226" i="10"/>
  <c r="BO226" i="10"/>
  <c r="AY226" i="10"/>
  <c r="BM226" i="10"/>
  <c r="AW226" i="10"/>
  <c r="CA226" i="10"/>
  <c r="BK226" i="10"/>
  <c r="AU226" i="10"/>
  <c r="BY226" i="10"/>
  <c r="BI226" i="10"/>
  <c r="AS226" i="10"/>
  <c r="BW226" i="10"/>
  <c r="BG226" i="10"/>
  <c r="CA225" i="10"/>
  <c r="BK225" i="10"/>
  <c r="AU225" i="10"/>
  <c r="BM196" i="10"/>
  <c r="AW196" i="10"/>
  <c r="BY225" i="10"/>
  <c r="BI225" i="10"/>
  <c r="AS225" i="10"/>
  <c r="CA196" i="10"/>
  <c r="BK196" i="10"/>
  <c r="AU196" i="10"/>
  <c r="BW225" i="10"/>
  <c r="BG225" i="10"/>
  <c r="BY196" i="10"/>
  <c r="BI196" i="10"/>
  <c r="AS196" i="10"/>
  <c r="BU225" i="10"/>
  <c r="BE225" i="10"/>
  <c r="BW196" i="10"/>
  <c r="BG196" i="10"/>
  <c r="BS225" i="10"/>
  <c r="BC225" i="10"/>
  <c r="BU196" i="10"/>
  <c r="BE196" i="10"/>
  <c r="BQ225" i="10"/>
  <c r="BA225" i="10"/>
  <c r="BS196" i="10"/>
  <c r="BC196" i="10"/>
  <c r="BO225" i="10"/>
  <c r="AY225" i="10"/>
  <c r="BQ196" i="10"/>
  <c r="BA196" i="10"/>
  <c r="BM225" i="10"/>
  <c r="AW225" i="10"/>
  <c r="BO196" i="10"/>
  <c r="AY196" i="10"/>
  <c r="CK200" i="10"/>
  <c r="CQ200" i="10"/>
  <c r="I200" i="10"/>
  <c r="CW200" i="10"/>
  <c r="CM200" i="10"/>
  <c r="CS200" i="10"/>
  <c r="CY200" i="10"/>
  <c r="CI200" i="10"/>
  <c r="AI200" i="10" s="1"/>
  <c r="CO200" i="10"/>
  <c r="CU200" i="10"/>
  <c r="CK226" i="10"/>
  <c r="CY226" i="10"/>
  <c r="CI226" i="10"/>
  <c r="AI226" i="10" s="1"/>
  <c r="I226" i="10"/>
  <c r="CW226" i="10"/>
  <c r="CG226" i="10"/>
  <c r="CU226" i="10"/>
  <c r="CE226" i="10"/>
  <c r="CS226" i="10"/>
  <c r="CC226" i="10"/>
  <c r="CQ226" i="10"/>
  <c r="CO226" i="10"/>
  <c r="CM226" i="10"/>
  <c r="CW198" i="10"/>
  <c r="I198" i="10"/>
  <c r="CM198" i="10"/>
  <c r="CS198" i="10"/>
  <c r="CY198" i="10"/>
  <c r="CI198" i="10"/>
  <c r="AI198" i="10" s="1"/>
  <c r="CO198" i="10"/>
  <c r="CU198" i="10"/>
  <c r="CK198" i="10"/>
  <c r="CQ198" i="10"/>
  <c r="CO235" i="10"/>
  <c r="CM235" i="10"/>
  <c r="CK235" i="10"/>
  <c r="CQ235" i="10"/>
  <c r="CY235" i="10"/>
  <c r="CI235" i="10"/>
  <c r="AI235" i="10" s="1"/>
  <c r="I235" i="10"/>
  <c r="CW235" i="10"/>
  <c r="CG235" i="10"/>
  <c r="CU235" i="10"/>
  <c r="CE235" i="10"/>
  <c r="CS235" i="10"/>
  <c r="CC235" i="10"/>
  <c r="CA232" i="10"/>
  <c r="BK232" i="10"/>
  <c r="AU232" i="10"/>
  <c r="AW232" i="10"/>
  <c r="BY232" i="10"/>
  <c r="BI232" i="10"/>
  <c r="AS232" i="10"/>
  <c r="BM232" i="10"/>
  <c r="BW232" i="10"/>
  <c r="BG232" i="10"/>
  <c r="BU232" i="10"/>
  <c r="BE232" i="10"/>
  <c r="BS232" i="10"/>
  <c r="BC232" i="10"/>
  <c r="BQ232" i="10"/>
  <c r="BA232" i="10"/>
  <c r="BO232" i="10"/>
  <c r="AY232" i="10"/>
  <c r="BO234" i="10"/>
  <c r="AY234" i="10"/>
  <c r="BW230" i="10"/>
  <c r="BG230" i="10"/>
  <c r="BM234" i="10"/>
  <c r="AW234" i="10"/>
  <c r="BU230" i="10"/>
  <c r="BE230" i="10"/>
  <c r="CA234" i="10"/>
  <c r="BK234" i="10"/>
  <c r="AU234" i="10"/>
  <c r="BS230" i="10"/>
  <c r="BC230" i="10"/>
  <c r="BQ234" i="10"/>
  <c r="BY234" i="10"/>
  <c r="BI234" i="10"/>
  <c r="AS234" i="10"/>
  <c r="BQ230" i="10"/>
  <c r="BA230" i="10"/>
  <c r="BW234" i="10"/>
  <c r="BG234" i="10"/>
  <c r="BO230" i="10"/>
  <c r="AY230" i="10"/>
  <c r="BA234" i="10"/>
  <c r="BY230" i="10"/>
  <c r="BU234" i="10"/>
  <c r="BE234" i="10"/>
  <c r="BM230" i="10"/>
  <c r="AW230" i="10"/>
  <c r="AS230" i="10"/>
  <c r="BS234" i="10"/>
  <c r="BC234" i="10"/>
  <c r="CA230" i="10"/>
  <c r="BK230" i="10"/>
  <c r="AU230" i="10"/>
  <c r="BI230" i="10"/>
  <c r="CY236" i="10"/>
  <c r="CI236" i="10"/>
  <c r="AI236" i="10" s="1"/>
  <c r="I236" i="10"/>
  <c r="CW236" i="10"/>
  <c r="CG236" i="10"/>
  <c r="CU236" i="10"/>
  <c r="CE236" i="10"/>
  <c r="CS236" i="10"/>
  <c r="CC236" i="10"/>
  <c r="CQ236" i="10"/>
  <c r="CO236" i="10"/>
  <c r="CM236" i="10"/>
  <c r="CK236" i="10"/>
  <c r="CQ232" i="10"/>
  <c r="CS232" i="10"/>
  <c r="CO232" i="10"/>
  <c r="CM232" i="10"/>
  <c r="CK232" i="10"/>
  <c r="CY232" i="10"/>
  <c r="CI232" i="10"/>
  <c r="AI232" i="10" s="1"/>
  <c r="I232" i="10"/>
  <c r="CC232" i="10"/>
  <c r="CW232" i="10"/>
  <c r="CG232" i="10"/>
  <c r="CU232" i="10"/>
  <c r="CE232" i="10"/>
  <c r="AJ188" i="10"/>
  <c r="AK188" i="10" s="1"/>
  <c r="AL188" i="10" s="1"/>
  <c r="AM188" i="10" s="1"/>
  <c r="AN188" i="10" s="1"/>
  <c r="AO188" i="10" s="1"/>
  <c r="AP188" i="10" s="1"/>
  <c r="AQ188" i="10" s="1"/>
  <c r="CY186" i="10"/>
  <c r="CI186" i="10"/>
  <c r="AI186" i="10" s="1"/>
  <c r="CW186" i="10"/>
  <c r="CU186" i="10"/>
  <c r="CS186" i="10"/>
  <c r="CQ186" i="10"/>
  <c r="CO186" i="10"/>
  <c r="CM186" i="10"/>
  <c r="I186" i="10"/>
  <c r="CK186" i="10"/>
  <c r="CG292" i="10"/>
  <c r="BU292" i="10"/>
  <c r="CK187" i="10"/>
  <c r="CY187" i="10"/>
  <c r="CI187" i="10"/>
  <c r="AI187" i="10" s="1"/>
  <c r="I187" i="10"/>
  <c r="CW187" i="10"/>
  <c r="CG187" i="10"/>
  <c r="CU187" i="10"/>
  <c r="CE187" i="10"/>
  <c r="CS187" i="10"/>
  <c r="CC187" i="10"/>
  <c r="CM187" i="10"/>
  <c r="CQ187" i="10"/>
  <c r="CO187" i="10"/>
  <c r="BO188" i="10"/>
  <c r="AY188" i="10"/>
  <c r="BA188" i="10"/>
  <c r="BM188" i="10"/>
  <c r="AW188" i="10"/>
  <c r="CA188" i="10"/>
  <c r="BK188" i="10"/>
  <c r="AU188" i="10"/>
  <c r="BY188" i="10"/>
  <c r="BI188" i="10"/>
  <c r="AS188" i="10"/>
  <c r="BW188" i="10"/>
  <c r="BG188" i="10"/>
  <c r="BQ188" i="10"/>
  <c r="BU188" i="10"/>
  <c r="BE188" i="10"/>
  <c r="BS188" i="10"/>
  <c r="BC188" i="10"/>
  <c r="CO189" i="10"/>
  <c r="CM189" i="10"/>
  <c r="CQ189" i="10"/>
  <c r="CK189" i="10"/>
  <c r="CY189" i="10"/>
  <c r="CI189" i="10"/>
  <c r="AI189" i="10" s="1"/>
  <c r="I189" i="10"/>
  <c r="CW189" i="10"/>
  <c r="CG189" i="10"/>
  <c r="CU189" i="10"/>
  <c r="CE189" i="10"/>
  <c r="CS189" i="10"/>
  <c r="CC189" i="10"/>
  <c r="BY189" i="10"/>
  <c r="BI189" i="10"/>
  <c r="AS189" i="10"/>
  <c r="CA189" i="10"/>
  <c r="BK189" i="10"/>
  <c r="BW189" i="10"/>
  <c r="BG189" i="10"/>
  <c r="BU189" i="10"/>
  <c r="BE189" i="10"/>
  <c r="BS189" i="10"/>
  <c r="BC189" i="10"/>
  <c r="BQ189" i="10"/>
  <c r="BA189" i="10"/>
  <c r="AU189" i="10"/>
  <c r="BO189" i="10"/>
  <c r="AY189" i="10"/>
  <c r="BM189" i="10"/>
  <c r="AW189" i="10"/>
  <c r="BU187" i="10"/>
  <c r="BE187" i="10"/>
  <c r="BS187" i="10"/>
  <c r="BC187" i="10"/>
  <c r="BG187" i="10"/>
  <c r="BQ187" i="10"/>
  <c r="BA187" i="10"/>
  <c r="BO187" i="10"/>
  <c r="AY187" i="10"/>
  <c r="BM187" i="10"/>
  <c r="AW187" i="10"/>
  <c r="BW187" i="10"/>
  <c r="CA187" i="10"/>
  <c r="BK187" i="10"/>
  <c r="AU187" i="10"/>
  <c r="BY187" i="10"/>
  <c r="BI187" i="10"/>
  <c r="AS187" i="10"/>
  <c r="BS288" i="10"/>
  <c r="AW95" i="10"/>
  <c r="BO292" i="10"/>
  <c r="CG288" i="10"/>
  <c r="CQ288" i="10"/>
  <c r="CY289" i="10"/>
  <c r="BG292" i="10"/>
  <c r="CO292" i="10"/>
  <c r="AW289" i="10"/>
  <c r="BQ292" i="10"/>
  <c r="CA288" i="10"/>
  <c r="CW292" i="10"/>
  <c r="CS193" i="10"/>
  <c r="CO254" i="10"/>
  <c r="CM254" i="10"/>
  <c r="CQ254" i="10"/>
  <c r="CK254" i="10"/>
  <c r="CY254" i="10"/>
  <c r="CI254" i="10"/>
  <c r="I254" i="10"/>
  <c r="CW254" i="10"/>
  <c r="CG254" i="10"/>
  <c r="CU254" i="10"/>
  <c r="CE254" i="10"/>
  <c r="CS254" i="10"/>
  <c r="CC254" i="10"/>
  <c r="CY255" i="10"/>
  <c r="CI255" i="10"/>
  <c r="AI255" i="10" s="1"/>
  <c r="I255" i="10"/>
  <c r="CW255" i="10"/>
  <c r="CG255" i="10"/>
  <c r="CU255" i="10"/>
  <c r="CE255" i="10"/>
  <c r="CK255" i="10"/>
  <c r="CS255" i="10"/>
  <c r="CC255" i="10"/>
  <c r="CQ255" i="10"/>
  <c r="CO255" i="10"/>
  <c r="CM255" i="10"/>
  <c r="BW257" i="10"/>
  <c r="BG257" i="10"/>
  <c r="BI257" i="10"/>
  <c r="BU257" i="10"/>
  <c r="BE257" i="10"/>
  <c r="BS257" i="10"/>
  <c r="BC257" i="10"/>
  <c r="AS257" i="10"/>
  <c r="BQ257" i="10"/>
  <c r="BA257" i="10"/>
  <c r="BO257" i="10"/>
  <c r="AY257" i="10"/>
  <c r="BY257" i="10"/>
  <c r="BM257" i="10"/>
  <c r="AW257" i="10"/>
  <c r="CA257" i="10"/>
  <c r="BK257" i="10"/>
  <c r="AU257" i="10"/>
  <c r="BM256" i="10"/>
  <c r="AW256" i="10"/>
  <c r="CA256" i="10"/>
  <c r="BK256" i="10"/>
  <c r="AU256" i="10"/>
  <c r="BO256" i="10"/>
  <c r="BY256" i="10"/>
  <c r="BI256" i="10"/>
  <c r="AS256" i="10"/>
  <c r="BW256" i="10"/>
  <c r="BG256" i="10"/>
  <c r="BU256" i="10"/>
  <c r="BE256" i="10"/>
  <c r="BS256" i="10"/>
  <c r="BC256" i="10"/>
  <c r="AY256" i="10"/>
  <c r="BQ256" i="10"/>
  <c r="BA256" i="10"/>
  <c r="CS256" i="10"/>
  <c r="CC256" i="10"/>
  <c r="CQ256" i="10"/>
  <c r="CO256" i="10"/>
  <c r="CM256" i="10"/>
  <c r="CK256" i="10"/>
  <c r="CY256" i="10"/>
  <c r="CI256" i="10"/>
  <c r="AI256" i="10" s="1"/>
  <c r="I256" i="10"/>
  <c r="CE256" i="10"/>
  <c r="CW256" i="10"/>
  <c r="CG256" i="10"/>
  <c r="CU256" i="10"/>
  <c r="CM257" i="10"/>
  <c r="CK257" i="10"/>
  <c r="CO257" i="10"/>
  <c r="CY257" i="10"/>
  <c r="CI257" i="10"/>
  <c r="AI257" i="10" s="1"/>
  <c r="I257" i="10"/>
  <c r="CW257" i="10"/>
  <c r="CG257" i="10"/>
  <c r="CU257" i="10"/>
  <c r="CE257" i="10"/>
  <c r="CS257" i="10"/>
  <c r="CC257" i="10"/>
  <c r="CQ257" i="10"/>
  <c r="BS255" i="10"/>
  <c r="BC255" i="10"/>
  <c r="BQ255" i="10"/>
  <c r="BA255" i="10"/>
  <c r="BU255" i="10"/>
  <c r="BO255" i="10"/>
  <c r="AY255" i="10"/>
  <c r="BM255" i="10"/>
  <c r="AW255" i="10"/>
  <c r="BE255" i="10"/>
  <c r="CA255" i="10"/>
  <c r="BK255" i="10"/>
  <c r="AU255" i="10"/>
  <c r="BY255" i="10"/>
  <c r="BI255" i="10"/>
  <c r="AS255" i="10"/>
  <c r="BW255" i="10"/>
  <c r="BG255" i="10"/>
  <c r="BY254" i="10"/>
  <c r="BI254" i="10"/>
  <c r="AS254" i="10"/>
  <c r="BW254" i="10"/>
  <c r="BG254" i="10"/>
  <c r="AU254" i="10"/>
  <c r="BU254" i="10"/>
  <c r="BE254" i="10"/>
  <c r="BK254" i="10"/>
  <c r="BS254" i="10"/>
  <c r="BC254" i="10"/>
  <c r="BQ254" i="10"/>
  <c r="BA254" i="10"/>
  <c r="CA254" i="10"/>
  <c r="BO254" i="10"/>
  <c r="AY254" i="10"/>
  <c r="BM254" i="10"/>
  <c r="AW254" i="10"/>
  <c r="CK209" i="10"/>
  <c r="I288" i="10"/>
  <c r="BM288" i="10"/>
  <c r="BG289" i="10"/>
  <c r="CQ209" i="10"/>
  <c r="AS288" i="10"/>
  <c r="CC288" i="10"/>
  <c r="CW288" i="10"/>
  <c r="CS288" i="10"/>
  <c r="CO209" i="10"/>
  <c r="CM289" i="10"/>
  <c r="BO288" i="10"/>
  <c r="CW209" i="10"/>
  <c r="CI112" i="10"/>
  <c r="CI288" i="10"/>
  <c r="AI288" i="10" s="1"/>
  <c r="CE288" i="10"/>
  <c r="BE121" i="10"/>
  <c r="BG288" i="10"/>
  <c r="BI288" i="10"/>
  <c r="BK288" i="10"/>
  <c r="CU288" i="10"/>
  <c r="CC95" i="10"/>
  <c r="CW157" i="10"/>
  <c r="CQ193" i="10"/>
  <c r="CY193" i="10"/>
  <c r="CE209" i="10"/>
  <c r="CG209" i="10"/>
  <c r="CW193" i="10"/>
  <c r="I193" i="10"/>
  <c r="CO193" i="10"/>
  <c r="CY209" i="10"/>
  <c r="CE193" i="10"/>
  <c r="CS209" i="10"/>
  <c r="CI209" i="10"/>
  <c r="AI209" i="10" s="1"/>
  <c r="CG193" i="10"/>
  <c r="CC209" i="10"/>
  <c r="CM209" i="10"/>
  <c r="I209" i="10"/>
  <c r="CK208" i="10"/>
  <c r="CY208" i="10"/>
  <c r="CI208" i="10"/>
  <c r="AI208" i="10" s="1"/>
  <c r="I208" i="10"/>
  <c r="CM208" i="10"/>
  <c r="CW208" i="10"/>
  <c r="CG208" i="10"/>
  <c r="CU208" i="10"/>
  <c r="CE208" i="10"/>
  <c r="CS208" i="10"/>
  <c r="CC208" i="10"/>
  <c r="CQ208" i="10"/>
  <c r="CO208" i="10"/>
  <c r="BY202" i="10"/>
  <c r="BI202" i="10"/>
  <c r="AS202" i="10"/>
  <c r="CA202" i="10"/>
  <c r="AU202" i="10"/>
  <c r="BW202" i="10"/>
  <c r="BG202" i="10"/>
  <c r="BU202" i="10"/>
  <c r="BE202" i="10"/>
  <c r="BS202" i="10"/>
  <c r="BC202" i="10"/>
  <c r="BK202" i="10"/>
  <c r="BQ202" i="10"/>
  <c r="BA202" i="10"/>
  <c r="BO202" i="10"/>
  <c r="AY202" i="10"/>
  <c r="BM202" i="10"/>
  <c r="AW202" i="10"/>
  <c r="CI193" i="10"/>
  <c r="AI193" i="10" s="1"/>
  <c r="CQ207" i="10"/>
  <c r="CS207" i="10"/>
  <c r="CO207" i="10"/>
  <c r="CC207" i="10"/>
  <c r="CM207" i="10"/>
  <c r="CK207" i="10"/>
  <c r="CY207" i="10"/>
  <c r="CI207" i="10"/>
  <c r="AI207" i="10" s="1"/>
  <c r="I207" i="10"/>
  <c r="CW207" i="10"/>
  <c r="CG207" i="10"/>
  <c r="CU207" i="10"/>
  <c r="CE207" i="10"/>
  <c r="BU208" i="10"/>
  <c r="BE208" i="10"/>
  <c r="BW208" i="10"/>
  <c r="BS208" i="10"/>
  <c r="BC208" i="10"/>
  <c r="BQ208" i="10"/>
  <c r="BA208" i="10"/>
  <c r="BO208" i="10"/>
  <c r="AY208" i="10"/>
  <c r="BG208" i="10"/>
  <c r="BM208" i="10"/>
  <c r="AW208" i="10"/>
  <c r="CA208" i="10"/>
  <c r="BK208" i="10"/>
  <c r="AU208" i="10"/>
  <c r="BY208" i="10"/>
  <c r="BI208" i="10"/>
  <c r="AS208" i="10"/>
  <c r="BQ104" i="10"/>
  <c r="CC193" i="10"/>
  <c r="CM205" i="10"/>
  <c r="CK205" i="10"/>
  <c r="CY205" i="10"/>
  <c r="CI205" i="10"/>
  <c r="AI205" i="10" s="1"/>
  <c r="I205" i="10"/>
  <c r="CW205" i="10"/>
  <c r="CG205" i="10"/>
  <c r="CO205" i="10"/>
  <c r="CU205" i="10"/>
  <c r="CE205" i="10"/>
  <c r="CS205" i="10"/>
  <c r="CC205" i="10"/>
  <c r="CQ205" i="10"/>
  <c r="CA207" i="10"/>
  <c r="BK207" i="10"/>
  <c r="AU207" i="10"/>
  <c r="BY207" i="10"/>
  <c r="BI207" i="10"/>
  <c r="AS207" i="10"/>
  <c r="BW207" i="10"/>
  <c r="BG207" i="10"/>
  <c r="BU207" i="10"/>
  <c r="BE207" i="10"/>
  <c r="BS207" i="10"/>
  <c r="BC207" i="10"/>
  <c r="BQ207" i="10"/>
  <c r="BA207" i="10"/>
  <c r="BM207" i="10"/>
  <c r="BO207" i="10"/>
  <c r="AY207" i="10"/>
  <c r="AW207" i="10"/>
  <c r="BO209" i="10"/>
  <c r="AY209" i="10"/>
  <c r="BM209" i="10"/>
  <c r="AW209" i="10"/>
  <c r="CA209" i="10"/>
  <c r="BK209" i="10"/>
  <c r="AU209" i="10"/>
  <c r="BY209" i="10"/>
  <c r="BI209" i="10"/>
  <c r="AS209" i="10"/>
  <c r="BQ209" i="10"/>
  <c r="BW209" i="10"/>
  <c r="BG209" i="10"/>
  <c r="BU209" i="10"/>
  <c r="BE209" i="10"/>
  <c r="BS209" i="10"/>
  <c r="BC209" i="10"/>
  <c r="BA209" i="10"/>
  <c r="CM193" i="10"/>
  <c r="CO210" i="10"/>
  <c r="CM210" i="10"/>
  <c r="CQ210" i="10"/>
  <c r="CK210" i="10"/>
  <c r="CY210" i="10"/>
  <c r="CI210" i="10"/>
  <c r="AI210" i="10" s="1"/>
  <c r="I210" i="10"/>
  <c r="CW210" i="10"/>
  <c r="CG210" i="10"/>
  <c r="CU210" i="10"/>
  <c r="CE210" i="10"/>
  <c r="CS210" i="10"/>
  <c r="CC210" i="10"/>
  <c r="BW205" i="10"/>
  <c r="BG205" i="10"/>
  <c r="BU205" i="10"/>
  <c r="BE205" i="10"/>
  <c r="BY205" i="10"/>
  <c r="BS205" i="10"/>
  <c r="BC205" i="10"/>
  <c r="BQ205" i="10"/>
  <c r="BA205" i="10"/>
  <c r="BO205" i="10"/>
  <c r="AY205" i="10"/>
  <c r="BM205" i="10"/>
  <c r="AW205" i="10"/>
  <c r="AS205" i="10"/>
  <c r="CA205" i="10"/>
  <c r="BK205" i="10"/>
  <c r="AU205" i="10"/>
  <c r="BI205" i="10"/>
  <c r="BQ206" i="10"/>
  <c r="BA206" i="10"/>
  <c r="BO206" i="10"/>
  <c r="AY206" i="10"/>
  <c r="BM206" i="10"/>
  <c r="AW206" i="10"/>
  <c r="BC206" i="10"/>
  <c r="CA206" i="10"/>
  <c r="BK206" i="10"/>
  <c r="AU206" i="10"/>
  <c r="BY206" i="10"/>
  <c r="BI206" i="10"/>
  <c r="AS206" i="10"/>
  <c r="BW206" i="10"/>
  <c r="BG206" i="10"/>
  <c r="BS206" i="10"/>
  <c r="BU206" i="10"/>
  <c r="BE206" i="10"/>
  <c r="BY210" i="10"/>
  <c r="BI210" i="10"/>
  <c r="AS210" i="10"/>
  <c r="CA210" i="10"/>
  <c r="BW210" i="10"/>
  <c r="BG210" i="10"/>
  <c r="BK210" i="10"/>
  <c r="BU210" i="10"/>
  <c r="BE210" i="10"/>
  <c r="BS210" i="10"/>
  <c r="BC210" i="10"/>
  <c r="BQ210" i="10"/>
  <c r="BA210" i="10"/>
  <c r="BO210" i="10"/>
  <c r="AY210" i="10"/>
  <c r="AU210" i="10"/>
  <c r="BM210" i="10"/>
  <c r="AW210" i="10"/>
  <c r="BY104" i="10"/>
  <c r="BM204" i="10"/>
  <c r="AW204" i="10"/>
  <c r="CA204" i="10"/>
  <c r="BK204" i="10"/>
  <c r="AU204" i="10"/>
  <c r="AY204" i="10"/>
  <c r="BY204" i="10"/>
  <c r="BI204" i="10"/>
  <c r="AS204" i="10"/>
  <c r="BW204" i="10"/>
  <c r="BG204" i="10"/>
  <c r="BU204" i="10"/>
  <c r="BE204" i="10"/>
  <c r="BO204" i="10"/>
  <c r="BS204" i="10"/>
  <c r="BC204" i="10"/>
  <c r="BQ204" i="10"/>
  <c r="BA204" i="10"/>
  <c r="AU104" i="10"/>
  <c r="CK193" i="10"/>
  <c r="CY203" i="10"/>
  <c r="CI203" i="10"/>
  <c r="AI203" i="10" s="1"/>
  <c r="I203" i="10"/>
  <c r="CW203" i="10"/>
  <c r="CG203" i="10"/>
  <c r="CU203" i="10"/>
  <c r="CE203" i="10"/>
  <c r="CS203" i="10"/>
  <c r="CC203" i="10"/>
  <c r="CQ203" i="10"/>
  <c r="CO203" i="10"/>
  <c r="CM203" i="10"/>
  <c r="CK203" i="10"/>
  <c r="CO202" i="10"/>
  <c r="CM202" i="10"/>
  <c r="CK202" i="10"/>
  <c r="CY202" i="10"/>
  <c r="CI202" i="10"/>
  <c r="I202" i="10"/>
  <c r="CW202" i="10"/>
  <c r="CG202" i="10"/>
  <c r="CU202" i="10"/>
  <c r="CE202" i="10"/>
  <c r="CQ202" i="10"/>
  <c r="CS202" i="10"/>
  <c r="CC202" i="10"/>
  <c r="CS204" i="10"/>
  <c r="CC204" i="10"/>
  <c r="CQ204" i="10"/>
  <c r="CO204" i="10"/>
  <c r="CE204" i="10"/>
  <c r="CM204" i="10"/>
  <c r="CU204" i="10"/>
  <c r="CK204" i="10"/>
  <c r="CY204" i="10"/>
  <c r="CI204" i="10"/>
  <c r="AI204" i="10" s="1"/>
  <c r="I204" i="10"/>
  <c r="CW204" i="10"/>
  <c r="CG204" i="10"/>
  <c r="CW206" i="10"/>
  <c r="CG206" i="10"/>
  <c r="CY206" i="10"/>
  <c r="CU206" i="10"/>
  <c r="CE206" i="10"/>
  <c r="CI206" i="10"/>
  <c r="AI206" i="10" s="1"/>
  <c r="CS206" i="10"/>
  <c r="CC206" i="10"/>
  <c r="CQ206" i="10"/>
  <c r="CO206" i="10"/>
  <c r="I206" i="10"/>
  <c r="CM206" i="10"/>
  <c r="CK206" i="10"/>
  <c r="BS203" i="10"/>
  <c r="BC203" i="10"/>
  <c r="BU203" i="10"/>
  <c r="BQ203" i="10"/>
  <c r="BA203" i="10"/>
  <c r="BE203" i="10"/>
  <c r="BO203" i="10"/>
  <c r="AY203" i="10"/>
  <c r="BM203" i="10"/>
  <c r="AW203" i="10"/>
  <c r="CA203" i="10"/>
  <c r="BK203" i="10"/>
  <c r="AU203" i="10"/>
  <c r="BY203" i="10"/>
  <c r="BI203" i="10"/>
  <c r="AS203" i="10"/>
  <c r="BW203" i="10"/>
  <c r="BG203" i="10"/>
  <c r="CI104" i="10"/>
  <c r="AI104" i="10" s="1"/>
  <c r="BM185" i="10"/>
  <c r="AW185" i="10"/>
  <c r="CA185" i="10"/>
  <c r="BK185" i="10"/>
  <c r="AU185" i="10"/>
  <c r="BO185" i="10"/>
  <c r="BY185" i="10"/>
  <c r="BI185" i="10"/>
  <c r="AS185" i="10"/>
  <c r="BW185" i="10"/>
  <c r="BG185" i="10"/>
  <c r="AY185" i="10"/>
  <c r="BU185" i="10"/>
  <c r="BE185" i="10"/>
  <c r="BS185" i="10"/>
  <c r="BC185" i="10"/>
  <c r="BQ185" i="10"/>
  <c r="BA185" i="10"/>
  <c r="BS184" i="10"/>
  <c r="BC184" i="10"/>
  <c r="BQ184" i="10"/>
  <c r="BA184" i="10"/>
  <c r="BE184" i="10"/>
  <c r="BO184" i="10"/>
  <c r="AY184" i="10"/>
  <c r="BU184" i="10"/>
  <c r="BM184" i="10"/>
  <c r="AW184" i="10"/>
  <c r="CA184" i="10"/>
  <c r="BK184" i="10"/>
  <c r="AU184" i="10"/>
  <c r="BY184" i="10"/>
  <c r="BI184" i="10"/>
  <c r="AS184" i="10"/>
  <c r="BW184" i="10"/>
  <c r="BG184" i="10"/>
  <c r="CA191" i="10"/>
  <c r="BK191" i="10"/>
  <c r="AU191" i="10"/>
  <c r="AW191" i="10"/>
  <c r="BY191" i="10"/>
  <c r="BI191" i="10"/>
  <c r="AS191" i="10"/>
  <c r="BW191" i="10"/>
  <c r="BG191" i="10"/>
  <c r="BM191" i="10"/>
  <c r="BU191" i="10"/>
  <c r="BE191" i="10"/>
  <c r="BS191" i="10"/>
  <c r="BC191" i="10"/>
  <c r="BQ191" i="10"/>
  <c r="BA191" i="10"/>
  <c r="BO191" i="10"/>
  <c r="AY191" i="10"/>
  <c r="CC104" i="10"/>
  <c r="CO194" i="10"/>
  <c r="CQ194" i="10"/>
  <c r="CM194" i="10"/>
  <c r="CK194" i="10"/>
  <c r="CY194" i="10"/>
  <c r="CI194" i="10"/>
  <c r="AI194" i="10" s="1"/>
  <c r="I194" i="10"/>
  <c r="CW194" i="10"/>
  <c r="CG194" i="10"/>
  <c r="CU194" i="10"/>
  <c r="CE194" i="10"/>
  <c r="CS194" i="10"/>
  <c r="CC194" i="10"/>
  <c r="CS185" i="10"/>
  <c r="CC185" i="10"/>
  <c r="CU185" i="10"/>
  <c r="CQ185" i="10"/>
  <c r="CO185" i="10"/>
  <c r="CM185" i="10"/>
  <c r="CK185" i="10"/>
  <c r="CY185" i="10"/>
  <c r="CI185" i="10"/>
  <c r="AI185" i="10" s="1"/>
  <c r="I185" i="10"/>
  <c r="CE185" i="10"/>
  <c r="CW185" i="10"/>
  <c r="CG185" i="10"/>
  <c r="BY183" i="10"/>
  <c r="BI183" i="10"/>
  <c r="AS183" i="10"/>
  <c r="BW183" i="10"/>
  <c r="BG183" i="10"/>
  <c r="BK183" i="10"/>
  <c r="BU183" i="10"/>
  <c r="BE183" i="10"/>
  <c r="AU183" i="10"/>
  <c r="BS183" i="10"/>
  <c r="BC183" i="10"/>
  <c r="CA183" i="10"/>
  <c r="BQ183" i="10"/>
  <c r="BA183" i="10"/>
  <c r="BO183" i="10"/>
  <c r="AY183" i="10"/>
  <c r="BM183" i="10"/>
  <c r="AW183" i="10"/>
  <c r="BO104" i="10"/>
  <c r="CY184" i="10"/>
  <c r="CI184" i="10"/>
  <c r="AI184" i="10" s="1"/>
  <c r="I184" i="10"/>
  <c r="CK184" i="10"/>
  <c r="CW184" i="10"/>
  <c r="CG184" i="10"/>
  <c r="CU184" i="10"/>
  <c r="CE184" i="10"/>
  <c r="CS184" i="10"/>
  <c r="CC184" i="10"/>
  <c r="CQ184" i="10"/>
  <c r="CO184" i="10"/>
  <c r="CM184" i="10"/>
  <c r="BW190" i="10"/>
  <c r="BG190" i="10"/>
  <c r="BU190" i="10"/>
  <c r="BE190" i="10"/>
  <c r="AS190" i="10"/>
  <c r="BS190" i="10"/>
  <c r="BC190" i="10"/>
  <c r="BQ190" i="10"/>
  <c r="BA190" i="10"/>
  <c r="BO190" i="10"/>
  <c r="AY190" i="10"/>
  <c r="BM190" i="10"/>
  <c r="AW190" i="10"/>
  <c r="BY190" i="10"/>
  <c r="CA190" i="10"/>
  <c r="BK190" i="10"/>
  <c r="AU190" i="10"/>
  <c r="BI190" i="10"/>
  <c r="CO183" i="10"/>
  <c r="CM183" i="10"/>
  <c r="CK183" i="10"/>
  <c r="CY183" i="10"/>
  <c r="CI183" i="10"/>
  <c r="AI183" i="10" s="1"/>
  <c r="I183" i="10"/>
  <c r="CW183" i="10"/>
  <c r="CG183" i="10"/>
  <c r="CU183" i="10"/>
  <c r="CE183" i="10"/>
  <c r="CS183" i="10"/>
  <c r="CC183" i="10"/>
  <c r="CQ183" i="10"/>
  <c r="BU192" i="10"/>
  <c r="BE192" i="10"/>
  <c r="BW192" i="10"/>
  <c r="BS192" i="10"/>
  <c r="BC192" i="10"/>
  <c r="BQ192" i="10"/>
  <c r="BA192" i="10"/>
  <c r="BG192" i="10"/>
  <c r="BO192" i="10"/>
  <c r="AY192" i="10"/>
  <c r="BM192" i="10"/>
  <c r="AW192" i="10"/>
  <c r="CA192" i="10"/>
  <c r="BK192" i="10"/>
  <c r="AU192" i="10"/>
  <c r="BY192" i="10"/>
  <c r="BI192" i="10"/>
  <c r="AS192" i="10"/>
  <c r="BE104" i="10"/>
  <c r="CK192" i="10"/>
  <c r="CY192" i="10"/>
  <c r="CI192" i="10"/>
  <c r="AI192" i="10" s="1"/>
  <c r="I192" i="10"/>
  <c r="CW192" i="10"/>
  <c r="CG192" i="10"/>
  <c r="CM192" i="10"/>
  <c r="CU192" i="10"/>
  <c r="CE192" i="10"/>
  <c r="CS192" i="10"/>
  <c r="CC192" i="10"/>
  <c r="CQ192" i="10"/>
  <c r="CO192" i="10"/>
  <c r="CM190" i="10"/>
  <c r="CO190" i="10"/>
  <c r="CK190" i="10"/>
  <c r="CY190" i="10"/>
  <c r="CI190" i="10"/>
  <c r="AI190" i="10" s="1"/>
  <c r="I190" i="10"/>
  <c r="CW190" i="10"/>
  <c r="CG190" i="10"/>
  <c r="CU190" i="10"/>
  <c r="CE190" i="10"/>
  <c r="CS190" i="10"/>
  <c r="CC190" i="10"/>
  <c r="CQ190" i="10"/>
  <c r="BO193" i="10"/>
  <c r="AY193" i="10"/>
  <c r="BA193" i="10"/>
  <c r="BM193" i="10"/>
  <c r="AW193" i="10"/>
  <c r="CA193" i="10"/>
  <c r="BK193" i="10"/>
  <c r="AU193" i="10"/>
  <c r="BY193" i="10"/>
  <c r="BI193" i="10"/>
  <c r="AS193" i="10"/>
  <c r="BW193" i="10"/>
  <c r="BG193" i="10"/>
  <c r="BU193" i="10"/>
  <c r="BE193" i="10"/>
  <c r="BS193" i="10"/>
  <c r="BC193" i="10"/>
  <c r="BQ193" i="10"/>
  <c r="CQ191" i="10"/>
  <c r="CS191" i="10"/>
  <c r="CO191" i="10"/>
  <c r="CM191" i="10"/>
  <c r="CK191" i="10"/>
  <c r="CY191" i="10"/>
  <c r="CI191" i="10"/>
  <c r="AI191" i="10" s="1"/>
  <c r="I191" i="10"/>
  <c r="CW191" i="10"/>
  <c r="CG191" i="10"/>
  <c r="CU191" i="10"/>
  <c r="CE191" i="10"/>
  <c r="CC191" i="10"/>
  <c r="BY194" i="10"/>
  <c r="BI194" i="10"/>
  <c r="AS194" i="10"/>
  <c r="BK194" i="10"/>
  <c r="BW194" i="10"/>
  <c r="BG194" i="10"/>
  <c r="CA194" i="10"/>
  <c r="BU194" i="10"/>
  <c r="BE194" i="10"/>
  <c r="BS194" i="10"/>
  <c r="BC194" i="10"/>
  <c r="BQ194" i="10"/>
  <c r="BA194" i="10"/>
  <c r="BO194" i="10"/>
  <c r="AY194" i="10"/>
  <c r="AU194" i="10"/>
  <c r="BM194" i="10"/>
  <c r="AW194" i="10"/>
  <c r="CW104" i="10"/>
  <c r="CO104" i="10"/>
  <c r="CS104" i="10"/>
  <c r="CY104" i="10"/>
  <c r="BA104" i="10"/>
  <c r="AY104" i="10"/>
  <c r="BG104" i="10"/>
  <c r="BK104" i="10"/>
  <c r="CE104" i="10"/>
  <c r="BU104" i="10"/>
  <c r="BW104" i="10"/>
  <c r="CA104" i="10"/>
  <c r="CU104" i="10"/>
  <c r="CK104" i="10"/>
  <c r="CM104" i="10"/>
  <c r="CQ104" i="10"/>
  <c r="I104" i="10"/>
  <c r="AS104" i="10"/>
  <c r="AW104" i="10"/>
  <c r="BC104" i="10"/>
  <c r="CM283" i="10"/>
  <c r="BI104" i="10"/>
  <c r="BM104" i="10"/>
  <c r="BS104" i="10"/>
  <c r="CQ283" i="10"/>
  <c r="CS283" i="10"/>
  <c r="BY283" i="10"/>
  <c r="CG283" i="10"/>
  <c r="BE283" i="10"/>
  <c r="BO283" i="10"/>
  <c r="BW283" i="10"/>
  <c r="CA95" i="10"/>
  <c r="AJ58" i="10"/>
  <c r="AK58" i="10" s="1"/>
  <c r="AL58" i="10" s="1"/>
  <c r="AM58" i="10" s="1"/>
  <c r="AN58" i="10" s="1"/>
  <c r="AO58" i="10" s="1"/>
  <c r="AP58" i="10" s="1"/>
  <c r="AQ58" i="10" s="1"/>
  <c r="BI94" i="10"/>
  <c r="BC103" i="10"/>
  <c r="AU103" i="10"/>
  <c r="BS94" i="10"/>
  <c r="BG160" i="10"/>
  <c r="AW117" i="10"/>
  <c r="BS117" i="10"/>
  <c r="BG117" i="10"/>
  <c r="CG117" i="10"/>
  <c r="BO117" i="10"/>
  <c r="CI103" i="10"/>
  <c r="AI103" i="10" s="1"/>
  <c r="AY117" i="10"/>
  <c r="BC117" i="10"/>
  <c r="CA103" i="10"/>
  <c r="AU160" i="10"/>
  <c r="BG92" i="10"/>
  <c r="CQ117" i="10"/>
  <c r="BQ117" i="10"/>
  <c r="CQ160" i="10"/>
  <c r="BQ160" i="10"/>
  <c r="CM92" i="10"/>
  <c r="CA117" i="10"/>
  <c r="BY117" i="10"/>
  <c r="BA117" i="10"/>
  <c r="BO92" i="10"/>
  <c r="BE160" i="10"/>
  <c r="BA92" i="10"/>
  <c r="AU117" i="10"/>
  <c r="BI117" i="10"/>
  <c r="CM103" i="10"/>
  <c r="CS103" i="10"/>
  <c r="CE160" i="10"/>
  <c r="CS117" i="10"/>
  <c r="AS117" i="10"/>
  <c r="BO103" i="10"/>
  <c r="CE117" i="10"/>
  <c r="BM117" i="10"/>
  <c r="CM117" i="10"/>
  <c r="CI117" i="10"/>
  <c r="AI117" i="10" s="1"/>
  <c r="BU288" i="10"/>
  <c r="AW288" i="10"/>
  <c r="BK160" i="10"/>
  <c r="AS160" i="10"/>
  <c r="CC117" i="10"/>
  <c r="BK117" i="10"/>
  <c r="CO117" i="10"/>
  <c r="BW117" i="10"/>
  <c r="I117" i="10"/>
  <c r="BK292" i="10"/>
  <c r="BM160" i="10"/>
  <c r="CS121" i="10"/>
  <c r="AJ74" i="10"/>
  <c r="AK74" i="10" s="1"/>
  <c r="AL74" i="10" s="1"/>
  <c r="CC289" i="10"/>
  <c r="CC160" i="10"/>
  <c r="CO160" i="10"/>
  <c r="CW121" i="10"/>
  <c r="CE121" i="10"/>
  <c r="CC121" i="10"/>
  <c r="BA121" i="10"/>
  <c r="AW121" i="10"/>
  <c r="CA121" i="10"/>
  <c r="BO121" i="10"/>
  <c r="AW283" i="10"/>
  <c r="BA288" i="10"/>
  <c r="AU288" i="10"/>
  <c r="CG289" i="10"/>
  <c r="CA160" i="10"/>
  <c r="CK160" i="10"/>
  <c r="CM160" i="10"/>
  <c r="CO121" i="10"/>
  <c r="CY121" i="10"/>
  <c r="CY117" i="10"/>
  <c r="I292" i="10"/>
  <c r="BY121" i="10"/>
  <c r="BW121" i="10"/>
  <c r="BC121" i="10"/>
  <c r="BA160" i="10"/>
  <c r="BG157" i="10"/>
  <c r="AS121" i="10"/>
  <c r="I121" i="10"/>
  <c r="AY292" i="10"/>
  <c r="CK292" i="10"/>
  <c r="BC289" i="10"/>
  <c r="I289" i="10"/>
  <c r="BW289" i="10"/>
  <c r="AY103" i="10"/>
  <c r="BS103" i="10"/>
  <c r="BK103" i="10"/>
  <c r="CU157" i="10"/>
  <c r="BM95" i="10"/>
  <c r="BC292" i="10"/>
  <c r="CQ292" i="10"/>
  <c r="BW292" i="10"/>
  <c r="BA289" i="10"/>
  <c r="AY289" i="10"/>
  <c r="BS289" i="10"/>
  <c r="AS289" i="10"/>
  <c r="CE103" i="10"/>
  <c r="CY103" i="10"/>
  <c r="CQ103" i="10"/>
  <c r="BK157" i="10"/>
  <c r="CG157" i="10"/>
  <c r="CS95" i="10"/>
  <c r="BG95" i="10"/>
  <c r="AJ286" i="10"/>
  <c r="AK286" i="10" s="1"/>
  <c r="AL286" i="10" s="1"/>
  <c r="AM286" i="10" s="1"/>
  <c r="AN286" i="10" s="1"/>
  <c r="AO286" i="10" s="1"/>
  <c r="AP286" i="10" s="1"/>
  <c r="AQ286" i="10" s="1"/>
  <c r="CU292" i="10"/>
  <c r="BA292" i="10"/>
  <c r="CM292" i="10"/>
  <c r="CE289" i="10"/>
  <c r="CU289" i="10"/>
  <c r="BI289" i="10"/>
  <c r="BG103" i="10"/>
  <c r="CU103" i="10"/>
  <c r="AS103" i="10"/>
  <c r="CI157" i="10"/>
  <c r="AI157" i="10" s="1"/>
  <c r="BC157" i="10"/>
  <c r="CM95" i="10"/>
  <c r="I157" i="10"/>
  <c r="BE95" i="10"/>
  <c r="CS292" i="10"/>
  <c r="CK103" i="10"/>
  <c r="CI292" i="10"/>
  <c r="AI292" i="10" s="1"/>
  <c r="BW103" i="10"/>
  <c r="CC292" i="10"/>
  <c r="CW289" i="10"/>
  <c r="BE289" i="10"/>
  <c r="AW103" i="10"/>
  <c r="CG103" i="10"/>
  <c r="BI103" i="10"/>
  <c r="CO95" i="10"/>
  <c r="BQ95" i="10"/>
  <c r="BU95" i="10"/>
  <c r="BE103" i="10"/>
  <c r="BS292" i="10"/>
  <c r="AW292" i="10"/>
  <c r="AU292" i="10"/>
  <c r="BM292" i="10"/>
  <c r="AS292" i="10"/>
  <c r="BM289" i="10"/>
  <c r="BY289" i="10"/>
  <c r="CY292" i="10"/>
  <c r="BI292" i="10"/>
  <c r="BQ289" i="10"/>
  <c r="CS289" i="10"/>
  <c r="BU289" i="10"/>
  <c r="CO289" i="10"/>
  <c r="BM103" i="10"/>
  <c r="CW103" i="10"/>
  <c r="BY103" i="10"/>
  <c r="BU103" i="10"/>
  <c r="BS95" i="10"/>
  <c r="AU95" i="10"/>
  <c r="CE95" i="10"/>
  <c r="CK95" i="10"/>
  <c r="AN74" i="10"/>
  <c r="AO74" i="10" s="1"/>
  <c r="AP74" i="10" s="1"/>
  <c r="AQ74" i="10" s="1"/>
  <c r="BE292" i="10"/>
  <c r="CA289" i="10"/>
  <c r="BK289" i="10"/>
  <c r="CC103" i="10"/>
  <c r="I103" i="10"/>
  <c r="AY95" i="10"/>
  <c r="CA157" i="10"/>
  <c r="BI95" i="10"/>
  <c r="AJ96" i="10"/>
  <c r="AK96" i="10" s="1"/>
  <c r="AL96" i="10" s="1"/>
  <c r="AM96" i="10" s="1"/>
  <c r="AN96" i="10" s="1"/>
  <c r="AO96" i="10" s="1"/>
  <c r="AP96" i="10" s="1"/>
  <c r="AQ96" i="10" s="1"/>
  <c r="AY160" i="10"/>
  <c r="I160" i="10"/>
  <c r="BU160" i="10"/>
  <c r="BS160" i="10"/>
  <c r="BU92" i="10"/>
  <c r="BG121" i="10"/>
  <c r="CA292" i="10"/>
  <c r="CE292" i="10"/>
  <c r="CY160" i="10"/>
  <c r="CG160" i="10"/>
  <c r="BI160" i="10"/>
  <c r="BK121" i="10"/>
  <c r="CK121" i="10"/>
  <c r="CI121" i="10"/>
  <c r="AI121" i="10" s="1"/>
  <c r="CG121" i="10"/>
  <c r="BA103" i="10"/>
  <c r="BQ103" i="10"/>
  <c r="BY160" i="10"/>
  <c r="AW160" i="10"/>
  <c r="CU160" i="10"/>
  <c r="CG92" i="10"/>
  <c r="AU121" i="10"/>
  <c r="BU121" i="10"/>
  <c r="BS121" i="10"/>
  <c r="BQ121" i="10"/>
  <c r="CU121" i="10"/>
  <c r="BW160" i="10"/>
  <c r="CS160" i="10"/>
  <c r="BO160" i="10"/>
  <c r="CI160" i="10"/>
  <c r="AI160" i="10" s="1"/>
  <c r="BC160" i="10"/>
  <c r="BW92" i="10"/>
  <c r="BI121" i="10"/>
  <c r="CM121" i="10"/>
  <c r="AY121" i="10"/>
  <c r="BM121" i="10"/>
  <c r="BI157" i="10"/>
  <c r="AU157" i="10"/>
  <c r="BW157" i="10"/>
  <c r="CY94" i="10"/>
  <c r="BK92" i="10"/>
  <c r="AJ126" i="10"/>
  <c r="AK126" i="10" s="1"/>
  <c r="AL126" i="10" s="1"/>
  <c r="AM126" i="10" s="1"/>
  <c r="AN126" i="10" s="1"/>
  <c r="AO126" i="10" s="1"/>
  <c r="AP126" i="10" s="1"/>
  <c r="AQ126" i="10" s="1"/>
  <c r="CU117" i="10"/>
  <c r="CK117" i="10"/>
  <c r="BU117" i="10"/>
  <c r="BE117" i="10"/>
  <c r="CO94" i="10"/>
  <c r="BQ157" i="10"/>
  <c r="CM157" i="10"/>
  <c r="AU94" i="10"/>
  <c r="CQ157" i="10"/>
  <c r="AY92" i="10"/>
  <c r="CI289" i="10"/>
  <c r="AI289" i="10" s="1"/>
  <c r="AJ289" i="10" s="1"/>
  <c r="BO289" i="10"/>
  <c r="AU289" i="10"/>
  <c r="CQ289" i="10"/>
  <c r="BU94" i="10"/>
  <c r="CY157" i="10"/>
  <c r="CK157" i="10"/>
  <c r="AJ157" i="10" s="1"/>
  <c r="CG94" i="10"/>
  <c r="BK94" i="10"/>
  <c r="BM157" i="10"/>
  <c r="AJ142" i="10"/>
  <c r="AK142" i="10" s="1"/>
  <c r="AL142" i="10" s="1"/>
  <c r="AM142" i="10" s="1"/>
  <c r="AN142" i="10" s="1"/>
  <c r="AO142" i="10" s="1"/>
  <c r="AP142" i="10" s="1"/>
  <c r="AQ142" i="10" s="1"/>
  <c r="CO283" i="10"/>
  <c r="BQ283" i="10"/>
  <c r="AS283" i="10"/>
  <c r="CK283" i="10"/>
  <c r="BM283" i="10"/>
  <c r="AU283" i="10"/>
  <c r="CI283" i="10"/>
  <c r="AI283" i="10" s="1"/>
  <c r="BK283" i="10"/>
  <c r="I283" i="10"/>
  <c r="CU283" i="10"/>
  <c r="CE283" i="10"/>
  <c r="BI283" i="10"/>
  <c r="CC283" i="10"/>
  <c r="BC283" i="10"/>
  <c r="CY283" i="10"/>
  <c r="CA283" i="10"/>
  <c r="BA283" i="10"/>
  <c r="BS283" i="10"/>
  <c r="CW283" i="10"/>
  <c r="BU283" i="10"/>
  <c r="AY283" i="10"/>
  <c r="CS94" i="10"/>
  <c r="AY94" i="10"/>
  <c r="BU157" i="10"/>
  <c r="AY157" i="10"/>
  <c r="BM94" i="10"/>
  <c r="CA94" i="10"/>
  <c r="CE92" i="10"/>
  <c r="CM288" i="10"/>
  <c r="CK288" i="10"/>
  <c r="CO288" i="10"/>
  <c r="BY288" i="10"/>
  <c r="BW288" i="10"/>
  <c r="BQ288" i="10"/>
  <c r="BE288" i="10"/>
  <c r="CY288" i="10"/>
  <c r="BC288" i="10"/>
  <c r="CY95" i="10"/>
  <c r="BW95" i="10"/>
  <c r="BO95" i="10"/>
  <c r="BK95" i="10"/>
  <c r="I95" i="10"/>
  <c r="CW95" i="10"/>
  <c r="BC95" i="10"/>
  <c r="CQ95" i="10"/>
  <c r="BA95" i="10"/>
  <c r="CI95" i="10"/>
  <c r="AI95" i="10" s="1"/>
  <c r="AS95" i="10"/>
  <c r="CG95" i="10"/>
  <c r="BY95" i="10"/>
  <c r="CI94" i="10"/>
  <c r="AI94" i="10" s="1"/>
  <c r="AJ101" i="10"/>
  <c r="AK101" i="10" s="1"/>
  <c r="AL101" i="10" s="1"/>
  <c r="AM101" i="10" s="1"/>
  <c r="AN101" i="10" s="1"/>
  <c r="AO101" i="10" s="1"/>
  <c r="AP101" i="10" s="1"/>
  <c r="AQ101" i="10" s="1"/>
  <c r="BW94" i="10"/>
  <c r="CC157" i="10"/>
  <c r="CQ92" i="10"/>
  <c r="BY157" i="10"/>
  <c r="AS157" i="10"/>
  <c r="BO157" i="10"/>
  <c r="BS157" i="10"/>
  <c r="I94" i="10"/>
  <c r="CE94" i="10"/>
  <c r="BQ94" i="10"/>
  <c r="BO94" i="10"/>
  <c r="CW94" i="10"/>
  <c r="BG94" i="10"/>
  <c r="CU94" i="10"/>
  <c r="BE94" i="10"/>
  <c r="CM94" i="10"/>
  <c r="AW94" i="10"/>
  <c r="CK94" i="10"/>
  <c r="AS94" i="10"/>
  <c r="BY94" i="10"/>
  <c r="CC94" i="10"/>
  <c r="CO157" i="10"/>
  <c r="BA94" i="10"/>
  <c r="BA157" i="10"/>
  <c r="AW157" i="10"/>
  <c r="BE157" i="10"/>
  <c r="CE157" i="10"/>
  <c r="BC94" i="10"/>
  <c r="CI92" i="10"/>
  <c r="AI92" i="10" s="1"/>
  <c r="BE92" i="10"/>
  <c r="CC92" i="10"/>
  <c r="BC92" i="10"/>
  <c r="CK92" i="10"/>
  <c r="CA92" i="10"/>
  <c r="AW92" i="10"/>
  <c r="BI92" i="10"/>
  <c r="CY92" i="10"/>
  <c r="BY92" i="10"/>
  <c r="AU92" i="10"/>
  <c r="CW92" i="10"/>
  <c r="BS92" i="10"/>
  <c r="AS92" i="10"/>
  <c r="CS92" i="10"/>
  <c r="BQ92" i="10"/>
  <c r="CO92" i="10"/>
  <c r="BM92" i="10"/>
  <c r="I92" i="10"/>
  <c r="CK287" i="10"/>
  <c r="BU287" i="10"/>
  <c r="BE287" i="10"/>
  <c r="CY287" i="10"/>
  <c r="CI287" i="10"/>
  <c r="AI287" i="10" s="1"/>
  <c r="BS287" i="10"/>
  <c r="BC287" i="10"/>
  <c r="I287" i="10"/>
  <c r="CW287" i="10"/>
  <c r="CG287" i="10"/>
  <c r="BQ287" i="10"/>
  <c r="BA287" i="10"/>
  <c r="CS287" i="10"/>
  <c r="BW287" i="10"/>
  <c r="AU287" i="10"/>
  <c r="CE287" i="10"/>
  <c r="BI287" i="10"/>
  <c r="BO287" i="10"/>
  <c r="CO287" i="10"/>
  <c r="BG287" i="10"/>
  <c r="BM287" i="10"/>
  <c r="CM287" i="10"/>
  <c r="AS287" i="10"/>
  <c r="CC287" i="10"/>
  <c r="CA287" i="10"/>
  <c r="AW287" i="10"/>
  <c r="CU287" i="10"/>
  <c r="CQ287" i="10"/>
  <c r="BY287" i="10"/>
  <c r="AY287" i="10"/>
  <c r="BK287" i="10"/>
  <c r="CY293" i="10"/>
  <c r="CI293" i="10"/>
  <c r="AI293" i="10" s="1"/>
  <c r="BS293" i="10"/>
  <c r="BC293" i="10"/>
  <c r="I293" i="10"/>
  <c r="CW293" i="10"/>
  <c r="CG293" i="10"/>
  <c r="BQ293" i="10"/>
  <c r="BA293" i="10"/>
  <c r="CU293" i="10"/>
  <c r="CE293" i="10"/>
  <c r="BO293" i="10"/>
  <c r="AY293" i="10"/>
  <c r="CO293" i="10"/>
  <c r="BM293" i="10"/>
  <c r="CA293" i="10"/>
  <c r="BE293" i="10"/>
  <c r="BY293" i="10"/>
  <c r="AS293" i="10"/>
  <c r="CS293" i="10"/>
  <c r="BK293" i="10"/>
  <c r="CC293" i="10"/>
  <c r="BG293" i="10"/>
  <c r="CQ293" i="10"/>
  <c r="AW293" i="10"/>
  <c r="CM293" i="10"/>
  <c r="AU293" i="10"/>
  <c r="CK293" i="10"/>
  <c r="BW293" i="10"/>
  <c r="BI293" i="10"/>
  <c r="BU293" i="10"/>
  <c r="CQ278" i="10"/>
  <c r="CA278" i="10"/>
  <c r="BK278" i="10"/>
  <c r="AU278" i="10"/>
  <c r="CO278" i="10"/>
  <c r="BY278" i="10"/>
  <c r="BI278" i="10"/>
  <c r="AS278" i="10"/>
  <c r="CM278" i="10"/>
  <c r="BW278" i="10"/>
  <c r="BG278" i="10"/>
  <c r="CK278" i="10"/>
  <c r="BU278" i="10"/>
  <c r="BE278" i="10"/>
  <c r="CU278" i="10"/>
  <c r="BO278" i="10"/>
  <c r="CE278" i="10"/>
  <c r="AY278" i="10"/>
  <c r="CG278" i="10"/>
  <c r="BQ278" i="10"/>
  <c r="BC278" i="10"/>
  <c r="CI278" i="10"/>
  <c r="AI278" i="10" s="1"/>
  <c r="CC278" i="10"/>
  <c r="BS278" i="10"/>
  <c r="I278" i="10"/>
  <c r="CY278" i="10"/>
  <c r="CW278" i="10"/>
  <c r="CS278" i="10"/>
  <c r="BM278" i="10"/>
  <c r="BA278" i="10"/>
  <c r="AW278" i="10"/>
  <c r="CS219" i="10"/>
  <c r="CC219" i="10"/>
  <c r="BM219" i="10"/>
  <c r="AW219" i="10"/>
  <c r="CM219" i="10"/>
  <c r="BW219" i="10"/>
  <c r="BG219" i="10"/>
  <c r="CK219" i="10"/>
  <c r="BU219" i="10"/>
  <c r="BE219" i="10"/>
  <c r="CU219" i="10"/>
  <c r="CE219" i="10"/>
  <c r="BO219" i="10"/>
  <c r="AY219" i="10"/>
  <c r="CW219" i="10"/>
  <c r="BQ219" i="10"/>
  <c r="CQ219" i="10"/>
  <c r="BK219" i="10"/>
  <c r="CO219" i="10"/>
  <c r="BI219" i="10"/>
  <c r="CI219" i="10"/>
  <c r="AI219" i="10" s="1"/>
  <c r="BC219" i="10"/>
  <c r="CG219" i="10"/>
  <c r="BA219" i="10"/>
  <c r="I219" i="10"/>
  <c r="CA219" i="10"/>
  <c r="AU219" i="10"/>
  <c r="BY219" i="10"/>
  <c r="AS219" i="10"/>
  <c r="BS219" i="10"/>
  <c r="CY219" i="10"/>
  <c r="CW213" i="10"/>
  <c r="CG213" i="10"/>
  <c r="BQ213" i="10"/>
  <c r="BA213" i="10"/>
  <c r="CQ213" i="10"/>
  <c r="AM213" i="10" s="1"/>
  <c r="CA213" i="10"/>
  <c r="BK213" i="10"/>
  <c r="AU213" i="10"/>
  <c r="CO213" i="10"/>
  <c r="BY213" i="10"/>
  <c r="BI213" i="10"/>
  <c r="AS213" i="10"/>
  <c r="CY213" i="10"/>
  <c r="CI213" i="10"/>
  <c r="AI213" i="10" s="1"/>
  <c r="BS213" i="10"/>
  <c r="BC213" i="10"/>
  <c r="I213" i="10"/>
  <c r="CU213" i="10"/>
  <c r="BO213" i="10"/>
  <c r="CS213" i="10"/>
  <c r="BM213" i="10"/>
  <c r="CM213" i="10"/>
  <c r="BG213" i="10"/>
  <c r="CK213" i="10"/>
  <c r="BE213" i="10"/>
  <c r="CE213" i="10"/>
  <c r="AY213" i="10"/>
  <c r="CC213" i="10"/>
  <c r="AW213" i="10"/>
  <c r="BW213" i="10"/>
  <c r="BU213" i="10"/>
  <c r="AK215" i="10"/>
  <c r="AL215" i="10" s="1"/>
  <c r="AM215" i="10" s="1"/>
  <c r="AN215" i="10" s="1"/>
  <c r="AO215" i="10" s="1"/>
  <c r="AP215" i="10" s="1"/>
  <c r="AQ215" i="10" s="1"/>
  <c r="CW102" i="10"/>
  <c r="CG102" i="10"/>
  <c r="BQ102" i="10"/>
  <c r="BA102" i="10"/>
  <c r="CU102" i="10"/>
  <c r="CE102" i="10"/>
  <c r="BO102" i="10"/>
  <c r="AY102" i="10"/>
  <c r="CO102" i="10"/>
  <c r="BY102" i="10"/>
  <c r="BI102" i="10"/>
  <c r="AS102" i="10"/>
  <c r="CK102" i="10"/>
  <c r="BU102" i="10"/>
  <c r="BE102" i="10"/>
  <c r="CY102" i="10"/>
  <c r="CI102" i="10"/>
  <c r="AI102" i="10" s="1"/>
  <c r="BS102" i="10"/>
  <c r="BC102" i="10"/>
  <c r="I102" i="10"/>
  <c r="BW102" i="10"/>
  <c r="BM102" i="10"/>
  <c r="BK102" i="10"/>
  <c r="CS102" i="10"/>
  <c r="BG102" i="10"/>
  <c r="CQ102" i="10"/>
  <c r="AW102" i="10"/>
  <c r="CM102" i="10"/>
  <c r="AU102" i="10"/>
  <c r="CC102" i="10"/>
  <c r="CA102" i="10"/>
  <c r="CO86" i="10"/>
  <c r="BY86" i="10"/>
  <c r="BI86" i="10"/>
  <c r="AS86" i="10"/>
  <c r="CW86" i="10"/>
  <c r="CG86" i="10"/>
  <c r="BQ86" i="10"/>
  <c r="BA86" i="10"/>
  <c r="CU86" i="10"/>
  <c r="CA86" i="10"/>
  <c r="BE86" i="10"/>
  <c r="CS86" i="10"/>
  <c r="BW86" i="10"/>
  <c r="BC86" i="10"/>
  <c r="CQ86" i="10"/>
  <c r="BU86" i="10"/>
  <c r="AY86" i="10"/>
  <c r="CM86" i="10"/>
  <c r="BS86" i="10"/>
  <c r="AW86" i="10"/>
  <c r="CK86" i="10"/>
  <c r="BO86" i="10"/>
  <c r="AU86" i="10"/>
  <c r="CI86" i="10"/>
  <c r="AI86" i="10" s="1"/>
  <c r="BM86" i="10"/>
  <c r="I86" i="10"/>
  <c r="CE86" i="10"/>
  <c r="BK86" i="10"/>
  <c r="CY86" i="10"/>
  <c r="CC86" i="10"/>
  <c r="BG86" i="10"/>
  <c r="CK145" i="10"/>
  <c r="BU145" i="10"/>
  <c r="BE145" i="10"/>
  <c r="CW145" i="10"/>
  <c r="CG145" i="10"/>
  <c r="BQ145" i="10"/>
  <c r="BA145" i="10"/>
  <c r="CU145" i="10"/>
  <c r="CE145" i="10"/>
  <c r="BO145" i="10"/>
  <c r="AY145" i="10"/>
  <c r="CS145" i="10"/>
  <c r="CC145" i="10"/>
  <c r="BM145" i="10"/>
  <c r="AW145" i="10"/>
  <c r="CO145" i="10"/>
  <c r="BY145" i="10"/>
  <c r="BI145" i="10"/>
  <c r="AS145" i="10"/>
  <c r="CM145" i="10"/>
  <c r="BW145" i="10"/>
  <c r="BG145" i="10"/>
  <c r="CI145" i="10"/>
  <c r="AI145" i="10" s="1"/>
  <c r="CA145" i="10"/>
  <c r="BS145" i="10"/>
  <c r="I145" i="10"/>
  <c r="BK145" i="10"/>
  <c r="BC145" i="10"/>
  <c r="AU145" i="10"/>
  <c r="CY145" i="10"/>
  <c r="CQ145" i="10"/>
  <c r="CK35" i="10"/>
  <c r="BU35" i="10"/>
  <c r="BE35" i="10"/>
  <c r="CS35" i="10"/>
  <c r="CC35" i="10"/>
  <c r="BM35" i="10"/>
  <c r="AW35" i="10"/>
  <c r="CM35" i="10"/>
  <c r="BQ35" i="10"/>
  <c r="AU35" i="10"/>
  <c r="CI35" i="10"/>
  <c r="AI35" i="10" s="1"/>
  <c r="BO35" i="10"/>
  <c r="AS35" i="10"/>
  <c r="CG35" i="10"/>
  <c r="BK35" i="10"/>
  <c r="I35" i="10"/>
  <c r="CY35" i="10"/>
  <c r="CE35" i="10"/>
  <c r="BI35" i="10"/>
  <c r="CW35" i="10"/>
  <c r="CA35" i="10"/>
  <c r="BG35" i="10"/>
  <c r="CU35" i="10"/>
  <c r="BY35" i="10"/>
  <c r="BC35" i="10"/>
  <c r="CQ35" i="10"/>
  <c r="BW35" i="10"/>
  <c r="BA35" i="10"/>
  <c r="CO35" i="10"/>
  <c r="BS35" i="10"/>
  <c r="AY35" i="10"/>
  <c r="CK141" i="10"/>
  <c r="BU141" i="10"/>
  <c r="BE141" i="10"/>
  <c r="CS141" i="10"/>
  <c r="CC141" i="10"/>
  <c r="BM141" i="10"/>
  <c r="AW141" i="10"/>
  <c r="CO141" i="10"/>
  <c r="BS141" i="10"/>
  <c r="AY141" i="10"/>
  <c r="CM141" i="10"/>
  <c r="BQ141" i="10"/>
  <c r="AU141" i="10"/>
  <c r="CI141" i="10"/>
  <c r="BO141" i="10"/>
  <c r="AS141" i="10"/>
  <c r="CG141" i="10"/>
  <c r="BK141" i="10"/>
  <c r="I141" i="10"/>
  <c r="CY141" i="10"/>
  <c r="CE141" i="10"/>
  <c r="BI141" i="10"/>
  <c r="CW141" i="10"/>
  <c r="CA141" i="10"/>
  <c r="BG141" i="10"/>
  <c r="CU141" i="10"/>
  <c r="BY141" i="10"/>
  <c r="BC141" i="10"/>
  <c r="CQ141" i="10"/>
  <c r="BW141" i="10"/>
  <c r="BA141" i="10"/>
  <c r="AJ44" i="10"/>
  <c r="AK44" i="10" s="1"/>
  <c r="AL44" i="10" s="1"/>
  <c r="AM44" i="10" s="1"/>
  <c r="AN44" i="10" s="1"/>
  <c r="AO44" i="10" s="1"/>
  <c r="AP44" i="10" s="1"/>
  <c r="AQ44" i="10" s="1"/>
  <c r="CO20" i="10"/>
  <c r="BY20" i="10"/>
  <c r="BI20" i="10"/>
  <c r="AS20" i="10"/>
  <c r="CM20" i="10"/>
  <c r="BW20" i="10"/>
  <c r="BG20" i="10"/>
  <c r="CK20" i="10"/>
  <c r="BU20" i="10"/>
  <c r="BE20" i="10"/>
  <c r="CY20" i="10"/>
  <c r="CI20" i="10"/>
  <c r="AI20" i="10" s="1"/>
  <c r="BS20" i="10"/>
  <c r="BC20" i="10"/>
  <c r="I20" i="10"/>
  <c r="CW20" i="10"/>
  <c r="CG20" i="10"/>
  <c r="BQ20" i="10"/>
  <c r="BA20" i="10"/>
  <c r="CE20" i="10"/>
  <c r="CU20" i="10"/>
  <c r="BO20" i="10"/>
  <c r="AY20" i="10"/>
  <c r="CS20" i="10"/>
  <c r="CC20" i="10"/>
  <c r="BM20" i="10"/>
  <c r="AW20" i="10"/>
  <c r="CQ20" i="10"/>
  <c r="CA20" i="10"/>
  <c r="BK20" i="10"/>
  <c r="AU20" i="10"/>
  <c r="CS274" i="10"/>
  <c r="CC274" i="10"/>
  <c r="BM274" i="10"/>
  <c r="AW274" i="10"/>
  <c r="CQ274" i="10"/>
  <c r="CA274" i="10"/>
  <c r="BK274" i="10"/>
  <c r="AU274" i="10"/>
  <c r="CO274" i="10"/>
  <c r="BY274" i="10"/>
  <c r="BI274" i="10"/>
  <c r="AS274" i="10"/>
  <c r="CM274" i="10"/>
  <c r="BW274" i="10"/>
  <c r="BG274" i="10"/>
  <c r="CY274" i="10"/>
  <c r="BS274" i="10"/>
  <c r="CI274" i="10"/>
  <c r="AI274" i="10" s="1"/>
  <c r="BC274" i="10"/>
  <c r="I274" i="10"/>
  <c r="CE274" i="10"/>
  <c r="BO274" i="10"/>
  <c r="CG274" i="10"/>
  <c r="BA274" i="10"/>
  <c r="CW274" i="10"/>
  <c r="AY274" i="10"/>
  <c r="CU274" i="10"/>
  <c r="CK274" i="10"/>
  <c r="BU274" i="10"/>
  <c r="BQ274" i="10"/>
  <c r="BE274" i="10"/>
  <c r="CY218" i="10"/>
  <c r="CI218" i="10"/>
  <c r="AI218" i="10" s="1"/>
  <c r="BS218" i="10"/>
  <c r="BC218" i="10"/>
  <c r="I218" i="10"/>
  <c r="CS218" i="10"/>
  <c r="CC218" i="10"/>
  <c r="BM218" i="10"/>
  <c r="AW218" i="10"/>
  <c r="CQ218" i="10"/>
  <c r="CA218" i="10"/>
  <c r="BK218" i="10"/>
  <c r="AU218" i="10"/>
  <c r="CK218" i="10"/>
  <c r="BU218" i="10"/>
  <c r="BE218" i="10"/>
  <c r="CU218" i="10"/>
  <c r="BO218" i="10"/>
  <c r="CO218" i="10"/>
  <c r="BI218" i="10"/>
  <c r="CM218" i="10"/>
  <c r="BG218" i="10"/>
  <c r="CG218" i="10"/>
  <c r="BA218" i="10"/>
  <c r="CE218" i="10"/>
  <c r="AY218" i="10"/>
  <c r="BY218" i="10"/>
  <c r="AS218" i="10"/>
  <c r="BW218" i="10"/>
  <c r="CW218" i="10"/>
  <c r="BQ218" i="10"/>
  <c r="CW221" i="10"/>
  <c r="CG221" i="10"/>
  <c r="BQ221" i="10"/>
  <c r="BA221" i="10"/>
  <c r="CQ221" i="10"/>
  <c r="CA221" i="10"/>
  <c r="BK221" i="10"/>
  <c r="AU221" i="10"/>
  <c r="CO221" i="10"/>
  <c r="BY221" i="10"/>
  <c r="BI221" i="10"/>
  <c r="AS221" i="10"/>
  <c r="CY221" i="10"/>
  <c r="CI221" i="10"/>
  <c r="AI221" i="10" s="1"/>
  <c r="BS221" i="10"/>
  <c r="BC221" i="10"/>
  <c r="I221" i="10"/>
  <c r="CE221" i="10"/>
  <c r="AY221" i="10"/>
  <c r="CC221" i="10"/>
  <c r="AW221" i="10"/>
  <c r="BW221" i="10"/>
  <c r="BU221" i="10"/>
  <c r="CU221" i="10"/>
  <c r="BO221" i="10"/>
  <c r="CS221" i="10"/>
  <c r="BM221" i="10"/>
  <c r="CM221" i="10"/>
  <c r="BG221" i="10"/>
  <c r="BE221" i="10"/>
  <c r="CK221" i="10"/>
  <c r="CU105" i="10"/>
  <c r="CE105" i="10"/>
  <c r="BO105" i="10"/>
  <c r="AY105" i="10"/>
  <c r="CS105" i="10"/>
  <c r="CC105" i="10"/>
  <c r="BM105" i="10"/>
  <c r="AW105" i="10"/>
  <c r="CQ105" i="10"/>
  <c r="CA105" i="10"/>
  <c r="BK105" i="10"/>
  <c r="AU105" i="10"/>
  <c r="CO105" i="10"/>
  <c r="BY105" i="10"/>
  <c r="BI105" i="10"/>
  <c r="AS105" i="10"/>
  <c r="CM105" i="10"/>
  <c r="BW105" i="10"/>
  <c r="BG105" i="10"/>
  <c r="CK105" i="10"/>
  <c r="BU105" i="10"/>
  <c r="BE105" i="10"/>
  <c r="CY105" i="10"/>
  <c r="CI105" i="10"/>
  <c r="AI105" i="10" s="1"/>
  <c r="BS105" i="10"/>
  <c r="BC105" i="10"/>
  <c r="I105" i="10"/>
  <c r="CW105" i="10"/>
  <c r="CG105" i="10"/>
  <c r="BQ105" i="10"/>
  <c r="BA105" i="10"/>
  <c r="CW110" i="10"/>
  <c r="CG110" i="10"/>
  <c r="BQ110" i="10"/>
  <c r="BA110" i="10"/>
  <c r="CU110" i="10"/>
  <c r="CE110" i="10"/>
  <c r="BO110" i="10"/>
  <c r="AY110" i="10"/>
  <c r="CS110" i="10"/>
  <c r="CC110" i="10"/>
  <c r="BM110" i="10"/>
  <c r="AW110" i="10"/>
  <c r="CQ110" i="10"/>
  <c r="CA110" i="10"/>
  <c r="BK110" i="10"/>
  <c r="AU110" i="10"/>
  <c r="CO110" i="10"/>
  <c r="BY110" i="10"/>
  <c r="BI110" i="10"/>
  <c r="AS110" i="10"/>
  <c r="CM110" i="10"/>
  <c r="BW110" i="10"/>
  <c r="BG110" i="10"/>
  <c r="CK110" i="10"/>
  <c r="BU110" i="10"/>
  <c r="BE110" i="10"/>
  <c r="CY110" i="10"/>
  <c r="CI110" i="10"/>
  <c r="AI110" i="10" s="1"/>
  <c r="BS110" i="10"/>
  <c r="BC110" i="10"/>
  <c r="I110" i="10"/>
  <c r="CQ159" i="10"/>
  <c r="CA159" i="10"/>
  <c r="BK159" i="10"/>
  <c r="AU159" i="10"/>
  <c r="CY159" i="10"/>
  <c r="CI159" i="10"/>
  <c r="AI159" i="10" s="1"/>
  <c r="BS159" i="10"/>
  <c r="BC159" i="10"/>
  <c r="I159" i="10"/>
  <c r="CK159" i="10"/>
  <c r="BO159" i="10"/>
  <c r="AS159" i="10"/>
  <c r="CU159" i="10"/>
  <c r="BY159" i="10"/>
  <c r="BE159" i="10"/>
  <c r="CE159" i="10"/>
  <c r="BA159" i="10"/>
  <c r="CC159" i="10"/>
  <c r="AY159" i="10"/>
  <c r="BW159" i="10"/>
  <c r="AW159" i="10"/>
  <c r="CW159" i="10"/>
  <c r="BU159" i="10"/>
  <c r="CS159" i="10"/>
  <c r="BQ159" i="10"/>
  <c r="CO159" i="10"/>
  <c r="AL159" i="10" s="1"/>
  <c r="BM159" i="10"/>
  <c r="CM159" i="10"/>
  <c r="BI159" i="10"/>
  <c r="CG159" i="10"/>
  <c r="BG159" i="10"/>
  <c r="CW82" i="10"/>
  <c r="CG82" i="10"/>
  <c r="BQ82" i="10"/>
  <c r="BA82" i="10"/>
  <c r="CO82" i="10"/>
  <c r="BY82" i="10"/>
  <c r="BI82" i="10"/>
  <c r="AS82" i="10"/>
  <c r="CI82" i="10"/>
  <c r="AI82" i="10" s="1"/>
  <c r="BM82" i="10"/>
  <c r="I82" i="10"/>
  <c r="CE82" i="10"/>
  <c r="BK82" i="10"/>
  <c r="CY82" i="10"/>
  <c r="CC82" i="10"/>
  <c r="BG82" i="10"/>
  <c r="CU82" i="10"/>
  <c r="CA82" i="10"/>
  <c r="BE82" i="10"/>
  <c r="CS82" i="10"/>
  <c r="BW82" i="10"/>
  <c r="BC82" i="10"/>
  <c r="CQ82" i="10"/>
  <c r="BU82" i="10"/>
  <c r="AY82" i="10"/>
  <c r="CM82" i="10"/>
  <c r="BS82" i="10"/>
  <c r="AW82" i="10"/>
  <c r="CK82" i="10"/>
  <c r="BO82" i="10"/>
  <c r="AU82" i="10"/>
  <c r="CS156" i="10"/>
  <c r="CC156" i="10"/>
  <c r="BM156" i="10"/>
  <c r="AW156" i="10"/>
  <c r="CK156" i="10"/>
  <c r="BU156" i="10"/>
  <c r="BE156" i="10"/>
  <c r="CO156" i="10"/>
  <c r="BS156" i="10"/>
  <c r="AY156" i="10"/>
  <c r="CY156" i="10"/>
  <c r="CE156" i="10"/>
  <c r="BI156" i="10"/>
  <c r="CU156" i="10"/>
  <c r="BQ156" i="10"/>
  <c r="CQ156" i="10"/>
  <c r="BO156" i="10"/>
  <c r="CM156" i="10"/>
  <c r="BK156" i="10"/>
  <c r="CI156" i="10"/>
  <c r="BG156" i="10"/>
  <c r="CG156" i="10"/>
  <c r="BC156" i="10"/>
  <c r="CA156" i="10"/>
  <c r="BA156" i="10"/>
  <c r="BY156" i="10"/>
  <c r="AU156" i="10"/>
  <c r="I156" i="10"/>
  <c r="CW156" i="10"/>
  <c r="BW156" i="10"/>
  <c r="AS156" i="10"/>
  <c r="CQ144" i="10"/>
  <c r="CA144" i="10"/>
  <c r="BK144" i="10"/>
  <c r="AU144" i="10"/>
  <c r="CM144" i="10"/>
  <c r="BW144" i="10"/>
  <c r="BG144" i="10"/>
  <c r="CK144" i="10"/>
  <c r="BU144" i="10"/>
  <c r="BE144" i="10"/>
  <c r="CY144" i="10"/>
  <c r="CI144" i="10"/>
  <c r="AI144" i="10" s="1"/>
  <c r="BS144" i="10"/>
  <c r="CS144" i="10"/>
  <c r="CC144" i="10"/>
  <c r="BM144" i="10"/>
  <c r="AW144" i="10"/>
  <c r="CE144" i="10"/>
  <c r="AS144" i="10"/>
  <c r="I144" i="10"/>
  <c r="BY144" i="10"/>
  <c r="BQ144" i="10"/>
  <c r="BO144" i="10"/>
  <c r="CW144" i="10"/>
  <c r="BI144" i="10"/>
  <c r="CU144" i="10"/>
  <c r="BC144" i="10"/>
  <c r="CO144" i="10"/>
  <c r="BA144" i="10"/>
  <c r="CG144" i="10"/>
  <c r="AY144" i="10"/>
  <c r="CK153" i="10"/>
  <c r="BU153" i="10"/>
  <c r="BE153" i="10"/>
  <c r="CY153" i="10"/>
  <c r="CI153" i="10"/>
  <c r="AI153" i="10" s="1"/>
  <c r="BS153" i="10"/>
  <c r="BC153" i="10"/>
  <c r="I153" i="10"/>
  <c r="CW153" i="10"/>
  <c r="CG153" i="10"/>
  <c r="BQ153" i="10"/>
  <c r="BA153" i="10"/>
  <c r="CU153" i="10"/>
  <c r="CE153" i="10"/>
  <c r="BO153" i="10"/>
  <c r="AY153" i="10"/>
  <c r="CS153" i="10"/>
  <c r="CC153" i="10"/>
  <c r="BM153" i="10"/>
  <c r="AW153" i="10"/>
  <c r="CQ153" i="10"/>
  <c r="CA153" i="10"/>
  <c r="BK153" i="10"/>
  <c r="AU153" i="10"/>
  <c r="CO153" i="10"/>
  <c r="BY153" i="10"/>
  <c r="BI153" i="10"/>
  <c r="AS153" i="10"/>
  <c r="CM153" i="10"/>
  <c r="BW153" i="10"/>
  <c r="BG153" i="10"/>
  <c r="CQ34" i="10"/>
  <c r="CA34" i="10"/>
  <c r="BK34" i="10"/>
  <c r="AU34" i="10"/>
  <c r="CY34" i="10"/>
  <c r="CI34" i="10"/>
  <c r="AI34" i="10" s="1"/>
  <c r="BS34" i="10"/>
  <c r="BC34" i="10"/>
  <c r="I34" i="10"/>
  <c r="CO34" i="10"/>
  <c r="BU34" i="10"/>
  <c r="AY34" i="10"/>
  <c r="CM34" i="10"/>
  <c r="BQ34" i="10"/>
  <c r="AW34" i="10"/>
  <c r="CK34" i="10"/>
  <c r="BO34" i="10"/>
  <c r="AS34" i="10"/>
  <c r="CG34" i="10"/>
  <c r="BM34" i="10"/>
  <c r="CE34" i="10"/>
  <c r="BI34" i="10"/>
  <c r="CW34" i="10"/>
  <c r="CC34" i="10"/>
  <c r="BG34" i="10"/>
  <c r="CU34" i="10"/>
  <c r="BY34" i="10"/>
  <c r="BE34" i="10"/>
  <c r="CS34" i="10"/>
  <c r="BW34" i="10"/>
  <c r="BA34" i="10"/>
  <c r="AJ85" i="10"/>
  <c r="AK85" i="10" s="1"/>
  <c r="AL85" i="10" s="1"/>
  <c r="AM85" i="10" s="1"/>
  <c r="AN85" i="10" s="1"/>
  <c r="AO85" i="10" s="1"/>
  <c r="AP85" i="10" s="1"/>
  <c r="AQ85" i="10" s="1"/>
  <c r="CU71" i="10"/>
  <c r="CE71" i="10"/>
  <c r="BO71" i="10"/>
  <c r="AY71" i="10"/>
  <c r="CS71" i="10"/>
  <c r="CC71" i="10"/>
  <c r="BM71" i="10"/>
  <c r="AW71" i="10"/>
  <c r="CQ71" i="10"/>
  <c r="AM71" i="10" s="1"/>
  <c r="CA71" i="10"/>
  <c r="BK71" i="10"/>
  <c r="AU71" i="10"/>
  <c r="CO71" i="10"/>
  <c r="BY71" i="10"/>
  <c r="BI71" i="10"/>
  <c r="AS71" i="10"/>
  <c r="CM71" i="10"/>
  <c r="BW71" i="10"/>
  <c r="BG71" i="10"/>
  <c r="CK71" i="10"/>
  <c r="BU71" i="10"/>
  <c r="BE71" i="10"/>
  <c r="CY71" i="10"/>
  <c r="CI71" i="10"/>
  <c r="AI71" i="10" s="1"/>
  <c r="BS71" i="10"/>
  <c r="BC71" i="10"/>
  <c r="I71" i="10"/>
  <c r="CW71" i="10"/>
  <c r="CG71" i="10"/>
  <c r="BQ71" i="10"/>
  <c r="BA71" i="10"/>
  <c r="CO12" i="10"/>
  <c r="BY12" i="10"/>
  <c r="BI12" i="10"/>
  <c r="AS12" i="10"/>
  <c r="CM12" i="10"/>
  <c r="BW12" i="10"/>
  <c r="BG12" i="10"/>
  <c r="CK12" i="10"/>
  <c r="BU12" i="10"/>
  <c r="BE12" i="10"/>
  <c r="CY12" i="10"/>
  <c r="CI12" i="10"/>
  <c r="AI12" i="10" s="1"/>
  <c r="BS12" i="10"/>
  <c r="BC12" i="10"/>
  <c r="I12" i="10"/>
  <c r="CW12" i="10"/>
  <c r="CG12" i="10"/>
  <c r="BQ12" i="10"/>
  <c r="BA12" i="10"/>
  <c r="CU12" i="10"/>
  <c r="BO12" i="10"/>
  <c r="CE12" i="10"/>
  <c r="AY12" i="10"/>
  <c r="CS12" i="10"/>
  <c r="CC12" i="10"/>
  <c r="BM12" i="10"/>
  <c r="AW12" i="10"/>
  <c r="CQ12" i="10"/>
  <c r="CA12" i="10"/>
  <c r="BK12" i="10"/>
  <c r="AU12" i="10"/>
  <c r="CW285" i="10"/>
  <c r="CG285" i="10"/>
  <c r="BQ285" i="10"/>
  <c r="BA285" i="10"/>
  <c r="CU285" i="10"/>
  <c r="CE285" i="10"/>
  <c r="BO285" i="10"/>
  <c r="AY285" i="10"/>
  <c r="CS285" i="10"/>
  <c r="CC285" i="10"/>
  <c r="BM285" i="10"/>
  <c r="AW285" i="10"/>
  <c r="CO285" i="10"/>
  <c r="BS285" i="10"/>
  <c r="I285" i="10"/>
  <c r="CA285" i="10"/>
  <c r="BE285" i="10"/>
  <c r="BY285" i="10"/>
  <c r="AS285" i="10"/>
  <c r="CY285" i="10"/>
  <c r="BK285" i="10"/>
  <c r="BU285" i="10"/>
  <c r="CM285" i="10"/>
  <c r="AU285" i="10"/>
  <c r="CK285" i="10"/>
  <c r="CI285" i="10"/>
  <c r="BW285" i="10"/>
  <c r="BI285" i="10"/>
  <c r="BG285" i="10"/>
  <c r="BC285" i="10"/>
  <c r="CQ285" i="10"/>
  <c r="CY273" i="10"/>
  <c r="CI273" i="10"/>
  <c r="AI273" i="10" s="1"/>
  <c r="BS273" i="10"/>
  <c r="BC273" i="10"/>
  <c r="I273" i="10"/>
  <c r="CW273" i="10"/>
  <c r="CG273" i="10"/>
  <c r="BQ273" i="10"/>
  <c r="BA273" i="10"/>
  <c r="CU273" i="10"/>
  <c r="CE273" i="10"/>
  <c r="BO273" i="10"/>
  <c r="AY273" i="10"/>
  <c r="CS273" i="10"/>
  <c r="CC273" i="10"/>
  <c r="BM273" i="10"/>
  <c r="AW273" i="10"/>
  <c r="CO273" i="10"/>
  <c r="BI273" i="10"/>
  <c r="BY273" i="10"/>
  <c r="AS273" i="10"/>
  <c r="CA273" i="10"/>
  <c r="BE273" i="10"/>
  <c r="CK273" i="10"/>
  <c r="BW273" i="10"/>
  <c r="BU273" i="10"/>
  <c r="CQ273" i="10"/>
  <c r="CM273" i="10"/>
  <c r="BG273" i="10"/>
  <c r="AU273" i="10"/>
  <c r="AI272" i="10"/>
  <c r="AJ272" i="10" s="1"/>
  <c r="AK272" i="10" s="1"/>
  <c r="AL272" i="10" s="1"/>
  <c r="AM272" i="10" s="1"/>
  <c r="AN272" i="10" s="1"/>
  <c r="AO272" i="10" s="1"/>
  <c r="AP272" i="10" s="1"/>
  <c r="AQ272" i="10" s="1"/>
  <c r="CY280" i="10"/>
  <c r="CI280" i="10"/>
  <c r="AI280" i="10" s="1"/>
  <c r="BS280" i="10"/>
  <c r="BC280" i="10"/>
  <c r="CW280" i="10"/>
  <c r="CG280" i="10"/>
  <c r="BQ280" i="10"/>
  <c r="BA280" i="10"/>
  <c r="CU280" i="10"/>
  <c r="CE280" i="10"/>
  <c r="BO280" i="10"/>
  <c r="AY280" i="10"/>
  <c r="CS280" i="10"/>
  <c r="CC280" i="10"/>
  <c r="BM280" i="10"/>
  <c r="AW280" i="10"/>
  <c r="CA280" i="10"/>
  <c r="AU280" i="10"/>
  <c r="BU280" i="10"/>
  <c r="CQ280" i="10"/>
  <c r="BK280" i="10"/>
  <c r="BG280" i="10"/>
  <c r="CM280" i="10"/>
  <c r="AS280" i="10"/>
  <c r="BY280" i="10"/>
  <c r="BW280" i="10"/>
  <c r="BI280" i="10"/>
  <c r="BE280" i="10"/>
  <c r="I280" i="10"/>
  <c r="CO280" i="10"/>
  <c r="CK280" i="10"/>
  <c r="CK223" i="10"/>
  <c r="BU223" i="10"/>
  <c r="BE223" i="10"/>
  <c r="CU223" i="10"/>
  <c r="CE223" i="10"/>
  <c r="BO223" i="10"/>
  <c r="AY223" i="10"/>
  <c r="CS223" i="10"/>
  <c r="CC223" i="10"/>
  <c r="BM223" i="10"/>
  <c r="AW223" i="10"/>
  <c r="CM223" i="10"/>
  <c r="BW223" i="10"/>
  <c r="BG223" i="10"/>
  <c r="CO223" i="10"/>
  <c r="BI223" i="10"/>
  <c r="CI223" i="10"/>
  <c r="AI223" i="10" s="1"/>
  <c r="BC223" i="10"/>
  <c r="CG223" i="10"/>
  <c r="BA223" i="10"/>
  <c r="I223" i="10"/>
  <c r="CA223" i="10"/>
  <c r="AU223" i="10"/>
  <c r="BY223" i="10"/>
  <c r="AS223" i="10"/>
  <c r="CY223" i="10"/>
  <c r="BS223" i="10"/>
  <c r="CW223" i="10"/>
  <c r="BQ223" i="10"/>
  <c r="CQ223" i="10"/>
  <c r="BK223" i="10"/>
  <c r="CM180" i="10"/>
  <c r="BW180" i="10"/>
  <c r="BG180" i="10"/>
  <c r="CU180" i="10"/>
  <c r="CE180" i="10"/>
  <c r="BO180" i="10"/>
  <c r="AY180" i="10"/>
  <c r="CI180" i="10"/>
  <c r="AI180" i="10" s="1"/>
  <c r="BM180" i="10"/>
  <c r="AS180" i="10"/>
  <c r="I180" i="10"/>
  <c r="CY180" i="10"/>
  <c r="CC180" i="10"/>
  <c r="BI180" i="10"/>
  <c r="CW180" i="10"/>
  <c r="CA180" i="10"/>
  <c r="BE180" i="10"/>
  <c r="CS180" i="10"/>
  <c r="BY180" i="10"/>
  <c r="BC180" i="10"/>
  <c r="CQ180" i="10"/>
  <c r="BU180" i="10"/>
  <c r="BA180" i="10"/>
  <c r="CO180" i="10"/>
  <c r="BS180" i="10"/>
  <c r="AW180" i="10"/>
  <c r="BQ180" i="10"/>
  <c r="BK180" i="10"/>
  <c r="AU180" i="10"/>
  <c r="CK180" i="10"/>
  <c r="CG180" i="10"/>
  <c r="CS177" i="10"/>
  <c r="CC177" i="10"/>
  <c r="BM177" i="10"/>
  <c r="AW177" i="10"/>
  <c r="CO177" i="10"/>
  <c r="BY177" i="10"/>
  <c r="BI177" i="10"/>
  <c r="AS177" i="10"/>
  <c r="CM177" i="10"/>
  <c r="BW177" i="10"/>
  <c r="BG177" i="10"/>
  <c r="CK177" i="10"/>
  <c r="BU177" i="10"/>
  <c r="BE177" i="10"/>
  <c r="CY177" i="10"/>
  <c r="CI177" i="10"/>
  <c r="AI177" i="10" s="1"/>
  <c r="BS177" i="10"/>
  <c r="BC177" i="10"/>
  <c r="I177" i="10"/>
  <c r="CW177" i="10"/>
  <c r="CG177" i="10"/>
  <c r="BQ177" i="10"/>
  <c r="BA177" i="10"/>
  <c r="BK177" i="10"/>
  <c r="AY177" i="10"/>
  <c r="AU177" i="10"/>
  <c r="CU177" i="10"/>
  <c r="CQ177" i="10"/>
  <c r="CE177" i="10"/>
  <c r="CA177" i="10"/>
  <c r="BO177" i="10"/>
  <c r="CU57" i="10"/>
  <c r="CE57" i="10"/>
  <c r="CE49" i="10" s="1"/>
  <c r="BO57" i="10"/>
  <c r="BO49" i="10" s="1"/>
  <c r="AY57" i="10"/>
  <c r="AY49" i="10" s="1"/>
  <c r="CM57" i="10"/>
  <c r="CM49" i="10" s="1"/>
  <c r="BW57" i="10"/>
  <c r="BW49" i="10" s="1"/>
  <c r="BG57" i="10"/>
  <c r="BG49" i="10" s="1"/>
  <c r="CI57" i="10"/>
  <c r="BM57" i="10"/>
  <c r="BM49" i="10" s="1"/>
  <c r="AS57" i="10"/>
  <c r="AS49" i="10" s="1"/>
  <c r="I57" i="10"/>
  <c r="I49" i="10" s="1"/>
  <c r="CG57" i="10"/>
  <c r="CG49" i="10" s="1"/>
  <c r="BK57" i="10"/>
  <c r="BK49" i="10" s="1"/>
  <c r="CY57" i="10"/>
  <c r="CY49" i="10" s="1"/>
  <c r="CC57" i="10"/>
  <c r="CC49" i="10" s="1"/>
  <c r="BI57" i="10"/>
  <c r="BI49" i="10" s="1"/>
  <c r="CW57" i="10"/>
  <c r="CW49" i="10" s="1"/>
  <c r="CA57" i="10"/>
  <c r="CA49" i="10" s="1"/>
  <c r="BE57" i="10"/>
  <c r="BE49" i="10" s="1"/>
  <c r="CS57" i="10"/>
  <c r="CS49" i="10" s="1"/>
  <c r="BY57" i="10"/>
  <c r="BY49" i="10" s="1"/>
  <c r="BC57" i="10"/>
  <c r="BC49" i="10" s="1"/>
  <c r="CQ57" i="10"/>
  <c r="CQ49" i="10" s="1"/>
  <c r="BU57" i="10"/>
  <c r="BU49" i="10" s="1"/>
  <c r="BA57" i="10"/>
  <c r="BA49" i="10" s="1"/>
  <c r="CO57" i="10"/>
  <c r="BS57" i="10"/>
  <c r="BS49" i="10" s="1"/>
  <c r="AW57" i="10"/>
  <c r="AW49" i="10" s="1"/>
  <c r="CK57" i="10"/>
  <c r="CK49" i="10" s="1"/>
  <c r="BQ57" i="10"/>
  <c r="BQ49" i="10" s="1"/>
  <c r="AU57" i="10"/>
  <c r="AU49" i="10" s="1"/>
  <c r="CQ100" i="10"/>
  <c r="CA100" i="10"/>
  <c r="BK100" i="10"/>
  <c r="AU100" i="10"/>
  <c r="CW100" i="10"/>
  <c r="CG100" i="10"/>
  <c r="BQ100" i="10"/>
  <c r="BA100" i="10"/>
  <c r="CU100" i="10"/>
  <c r="CE100" i="10"/>
  <c r="BO100" i="10"/>
  <c r="AY100" i="10"/>
  <c r="CS100" i="10"/>
  <c r="BU100" i="10"/>
  <c r="AS100" i="10"/>
  <c r="I100" i="10"/>
  <c r="CO100" i="10"/>
  <c r="BS100" i="10"/>
  <c r="CM100" i="10"/>
  <c r="BM100" i="10"/>
  <c r="CK100" i="10"/>
  <c r="BI100" i="10"/>
  <c r="CI100" i="10"/>
  <c r="AI100" i="10" s="1"/>
  <c r="BG100" i="10"/>
  <c r="CC100" i="10"/>
  <c r="BE100" i="10"/>
  <c r="BY100" i="10"/>
  <c r="BC100" i="10"/>
  <c r="CY100" i="10"/>
  <c r="BW100" i="10"/>
  <c r="AW100" i="10"/>
  <c r="CO162" i="10"/>
  <c r="BY162" i="10"/>
  <c r="BI162" i="10"/>
  <c r="AS162" i="10"/>
  <c r="CW162" i="10"/>
  <c r="CG162" i="10"/>
  <c r="BQ162" i="10"/>
  <c r="BA162" i="10"/>
  <c r="CY162" i="10"/>
  <c r="CC162" i="10"/>
  <c r="BG162" i="10"/>
  <c r="CM162" i="10"/>
  <c r="BS162" i="10"/>
  <c r="AW162" i="10"/>
  <c r="CU162" i="10"/>
  <c r="BU162" i="10"/>
  <c r="CS162" i="10"/>
  <c r="BO162" i="10"/>
  <c r="CQ162" i="10"/>
  <c r="BM162" i="10"/>
  <c r="CK162" i="10"/>
  <c r="BK162" i="10"/>
  <c r="CI162" i="10"/>
  <c r="AI162" i="10" s="1"/>
  <c r="BE162" i="10"/>
  <c r="CE162" i="10"/>
  <c r="BC162" i="10"/>
  <c r="CA162" i="10"/>
  <c r="AY162" i="10"/>
  <c r="I162" i="10"/>
  <c r="BW162" i="10"/>
  <c r="AU162" i="10"/>
  <c r="CU146" i="10"/>
  <c r="CE146" i="10"/>
  <c r="BO146" i="10"/>
  <c r="AY146" i="10"/>
  <c r="CQ146" i="10"/>
  <c r="CA146" i="10"/>
  <c r="BK146" i="10"/>
  <c r="AU146" i="10"/>
  <c r="CO146" i="10"/>
  <c r="BY146" i="10"/>
  <c r="BI146" i="10"/>
  <c r="AS146" i="10"/>
  <c r="CM146" i="10"/>
  <c r="BW146" i="10"/>
  <c r="BG146" i="10"/>
  <c r="CY146" i="10"/>
  <c r="CI146" i="10"/>
  <c r="AI146" i="10" s="1"/>
  <c r="BS146" i="10"/>
  <c r="BC146" i="10"/>
  <c r="I146" i="10"/>
  <c r="CW146" i="10"/>
  <c r="CG146" i="10"/>
  <c r="BQ146" i="10"/>
  <c r="BA146" i="10"/>
  <c r="BE146" i="10"/>
  <c r="AW146" i="10"/>
  <c r="CS146" i="10"/>
  <c r="CK146" i="10"/>
  <c r="CC146" i="10"/>
  <c r="BU146" i="10"/>
  <c r="BM146" i="10"/>
  <c r="CY148" i="10"/>
  <c r="CI148" i="10"/>
  <c r="AI148" i="10" s="1"/>
  <c r="BS148" i="10"/>
  <c r="BC148" i="10"/>
  <c r="I148" i="10"/>
  <c r="CW148" i="10"/>
  <c r="CG148" i="10"/>
  <c r="BQ148" i="10"/>
  <c r="BA148" i="10"/>
  <c r="CU148" i="10"/>
  <c r="CE148" i="10"/>
  <c r="BO148" i="10"/>
  <c r="AY148" i="10"/>
  <c r="CS148" i="10"/>
  <c r="CC148" i="10"/>
  <c r="BM148" i="10"/>
  <c r="AW148" i="10"/>
  <c r="CQ148" i="10"/>
  <c r="CA148" i="10"/>
  <c r="BK148" i="10"/>
  <c r="AU148" i="10"/>
  <c r="CO148" i="10"/>
  <c r="BY148" i="10"/>
  <c r="BI148" i="10"/>
  <c r="AS148" i="10"/>
  <c r="CM148" i="10"/>
  <c r="BW148" i="10"/>
  <c r="BG148" i="10"/>
  <c r="CK148" i="10"/>
  <c r="BU148" i="10"/>
  <c r="BE148" i="10"/>
  <c r="CM125" i="10"/>
  <c r="BW125" i="10"/>
  <c r="BG125" i="10"/>
  <c r="CK125" i="10"/>
  <c r="BU125" i="10"/>
  <c r="BE125" i="10"/>
  <c r="CY125" i="10"/>
  <c r="CI125" i="10"/>
  <c r="AI125" i="10" s="1"/>
  <c r="BS125" i="10"/>
  <c r="BC125" i="10"/>
  <c r="I125" i="10"/>
  <c r="CW125" i="10"/>
  <c r="CG125" i="10"/>
  <c r="BQ125" i="10"/>
  <c r="BA125" i="10"/>
  <c r="CU125" i="10"/>
  <c r="CE125" i="10"/>
  <c r="BO125" i="10"/>
  <c r="AY125" i="10"/>
  <c r="CS125" i="10"/>
  <c r="CC125" i="10"/>
  <c r="BM125" i="10"/>
  <c r="AW125" i="10"/>
  <c r="CQ125" i="10"/>
  <c r="CA125" i="10"/>
  <c r="BK125" i="10"/>
  <c r="AU125" i="10"/>
  <c r="CO125" i="10"/>
  <c r="BY125" i="10"/>
  <c r="BI125" i="10"/>
  <c r="AS125" i="10"/>
  <c r="AJ161" i="10"/>
  <c r="AK161" i="10" s="1"/>
  <c r="AL161" i="10" s="1"/>
  <c r="AM161" i="10" s="1"/>
  <c r="AN161" i="10" s="1"/>
  <c r="AO161" i="10" s="1"/>
  <c r="AP161" i="10" s="1"/>
  <c r="AQ161" i="10" s="1"/>
  <c r="CS31" i="10"/>
  <c r="CC31" i="10"/>
  <c r="BM31" i="10"/>
  <c r="AW31" i="10"/>
  <c r="CK31" i="10"/>
  <c r="BU31" i="10"/>
  <c r="BE31" i="10"/>
  <c r="CU31" i="10"/>
  <c r="BY31" i="10"/>
  <c r="BC31" i="10"/>
  <c r="CQ31" i="10"/>
  <c r="BW31" i="10"/>
  <c r="BA31" i="10"/>
  <c r="CO31" i="10"/>
  <c r="BS31" i="10"/>
  <c r="AY31" i="10"/>
  <c r="CM31" i="10"/>
  <c r="BQ31" i="10"/>
  <c r="AU31" i="10"/>
  <c r="CI31" i="10"/>
  <c r="BO31" i="10"/>
  <c r="AS31" i="10"/>
  <c r="CG31" i="10"/>
  <c r="BK31" i="10"/>
  <c r="I31" i="10"/>
  <c r="CY31" i="10"/>
  <c r="CE31" i="10"/>
  <c r="BI31" i="10"/>
  <c r="CW31" i="10"/>
  <c r="CA31" i="10"/>
  <c r="BG31" i="10"/>
  <c r="CU68" i="10"/>
  <c r="CE68" i="10"/>
  <c r="BO68" i="10"/>
  <c r="AY68" i="10"/>
  <c r="CS68" i="10"/>
  <c r="CC68" i="10"/>
  <c r="BM68" i="10"/>
  <c r="AW68" i="10"/>
  <c r="CQ68" i="10"/>
  <c r="CA68" i="10"/>
  <c r="BK68" i="10"/>
  <c r="AU68" i="10"/>
  <c r="CO68" i="10"/>
  <c r="BY68" i="10"/>
  <c r="BI68" i="10"/>
  <c r="AS68" i="10"/>
  <c r="CM68" i="10"/>
  <c r="BW68" i="10"/>
  <c r="BG68" i="10"/>
  <c r="CK68" i="10"/>
  <c r="BU68" i="10"/>
  <c r="BE68" i="10"/>
  <c r="CY68" i="10"/>
  <c r="CI68" i="10"/>
  <c r="AI68" i="10" s="1"/>
  <c r="BS68" i="10"/>
  <c r="BC68" i="10"/>
  <c r="I68" i="10"/>
  <c r="CW68" i="10"/>
  <c r="CG68" i="10"/>
  <c r="BQ68" i="10"/>
  <c r="BA68" i="10"/>
  <c r="CK26" i="10"/>
  <c r="BU26" i="10"/>
  <c r="BE26" i="10"/>
  <c r="CY26" i="10"/>
  <c r="CI26" i="10"/>
  <c r="AI26" i="10" s="1"/>
  <c r="BS26" i="10"/>
  <c r="BC26" i="10"/>
  <c r="I26" i="10"/>
  <c r="CW26" i="10"/>
  <c r="CG26" i="10"/>
  <c r="BQ26" i="10"/>
  <c r="BA26" i="10"/>
  <c r="CU26" i="10"/>
  <c r="CE26" i="10"/>
  <c r="BO26" i="10"/>
  <c r="AY26" i="10"/>
  <c r="CS26" i="10"/>
  <c r="CC26" i="10"/>
  <c r="BM26" i="10"/>
  <c r="AW26" i="10"/>
  <c r="AU26" i="10"/>
  <c r="CQ26" i="10"/>
  <c r="CA26" i="10"/>
  <c r="BK26" i="10"/>
  <c r="CO26" i="10"/>
  <c r="BY26" i="10"/>
  <c r="BI26" i="10"/>
  <c r="AS26" i="10"/>
  <c r="CM26" i="10"/>
  <c r="BW26" i="10"/>
  <c r="BG26" i="10"/>
  <c r="AJ113" i="10"/>
  <c r="AK113" i="10" s="1"/>
  <c r="AL113" i="10" s="1"/>
  <c r="AM113" i="10" s="1"/>
  <c r="AN113" i="10" s="1"/>
  <c r="AO113" i="10" s="1"/>
  <c r="AP113" i="10" s="1"/>
  <c r="AQ113" i="10" s="1"/>
  <c r="CQ222" i="10"/>
  <c r="CA222" i="10"/>
  <c r="BK222" i="10"/>
  <c r="AU222" i="10"/>
  <c r="CK222" i="10"/>
  <c r="BU222" i="10"/>
  <c r="BE222" i="10"/>
  <c r="CY222" i="10"/>
  <c r="CI222" i="10"/>
  <c r="AI222" i="10" s="1"/>
  <c r="BS222" i="10"/>
  <c r="BC222" i="10"/>
  <c r="I222" i="10"/>
  <c r="CS222" i="10"/>
  <c r="CC222" i="10"/>
  <c r="BM222" i="10"/>
  <c r="AW222" i="10"/>
  <c r="CM222" i="10"/>
  <c r="BG222" i="10"/>
  <c r="CG222" i="10"/>
  <c r="BA222" i="10"/>
  <c r="CE222" i="10"/>
  <c r="AY222" i="10"/>
  <c r="BY222" i="10"/>
  <c r="AS222" i="10"/>
  <c r="BW222" i="10"/>
  <c r="CW222" i="10"/>
  <c r="BQ222" i="10"/>
  <c r="CU222" i="10"/>
  <c r="BO222" i="10"/>
  <c r="CO222" i="10"/>
  <c r="BI222" i="10"/>
  <c r="CU174" i="10"/>
  <c r="CE174" i="10"/>
  <c r="BO174" i="10"/>
  <c r="AY174" i="10"/>
  <c r="CM174" i="10"/>
  <c r="BW174" i="10"/>
  <c r="BG174" i="10"/>
  <c r="CK174" i="10"/>
  <c r="BU174" i="10"/>
  <c r="BE174" i="10"/>
  <c r="CY174" i="10"/>
  <c r="CI174" i="10"/>
  <c r="AI174" i="10" s="1"/>
  <c r="BS174" i="10"/>
  <c r="BC174" i="10"/>
  <c r="I174" i="10"/>
  <c r="CW174" i="10"/>
  <c r="BQ174" i="10"/>
  <c r="CS174" i="10"/>
  <c r="BM174" i="10"/>
  <c r="CQ174" i="10"/>
  <c r="BK174" i="10"/>
  <c r="CO174" i="10"/>
  <c r="BI174" i="10"/>
  <c r="CG174" i="10"/>
  <c r="BA174" i="10"/>
  <c r="CC174" i="10"/>
  <c r="AW174" i="10"/>
  <c r="CA174" i="10"/>
  <c r="AU174" i="10"/>
  <c r="BY174" i="10"/>
  <c r="AS174" i="10"/>
  <c r="CQ172" i="10"/>
  <c r="CA172" i="10"/>
  <c r="BK172" i="10"/>
  <c r="AU172" i="10"/>
  <c r="CY172" i="10"/>
  <c r="CI172" i="10"/>
  <c r="BS172" i="10"/>
  <c r="BC172" i="10"/>
  <c r="I172" i="10"/>
  <c r="CW172" i="10"/>
  <c r="CG172" i="10"/>
  <c r="BQ172" i="10"/>
  <c r="BA172" i="10"/>
  <c r="CU172" i="10"/>
  <c r="CE172" i="10"/>
  <c r="BO172" i="10"/>
  <c r="AY172" i="10"/>
  <c r="CO172" i="10"/>
  <c r="BI172" i="10"/>
  <c r="CM172" i="10"/>
  <c r="BG172" i="10"/>
  <c r="CK172" i="10"/>
  <c r="BE172" i="10"/>
  <c r="CC172" i="10"/>
  <c r="AW172" i="10"/>
  <c r="BY172" i="10"/>
  <c r="AS172" i="10"/>
  <c r="BW172" i="10"/>
  <c r="BU172" i="10"/>
  <c r="CS172" i="10"/>
  <c r="BM172" i="10"/>
  <c r="CS108" i="10"/>
  <c r="CC108" i="10"/>
  <c r="BM108" i="10"/>
  <c r="AW108" i="10"/>
  <c r="CQ108" i="10"/>
  <c r="CA108" i="10"/>
  <c r="BK108" i="10"/>
  <c r="AU108" i="10"/>
  <c r="CO108" i="10"/>
  <c r="BY108" i="10"/>
  <c r="BI108" i="10"/>
  <c r="AS108" i="10"/>
  <c r="CM108" i="10"/>
  <c r="BW108" i="10"/>
  <c r="BG108" i="10"/>
  <c r="CK108" i="10"/>
  <c r="BU108" i="10"/>
  <c r="BE108" i="10"/>
  <c r="CY108" i="10"/>
  <c r="CI108" i="10"/>
  <c r="AI108" i="10" s="1"/>
  <c r="BS108" i="10"/>
  <c r="BC108" i="10"/>
  <c r="I108" i="10"/>
  <c r="CW108" i="10"/>
  <c r="CG108" i="10"/>
  <c r="BQ108" i="10"/>
  <c r="BA108" i="10"/>
  <c r="CU108" i="10"/>
  <c r="CE108" i="10"/>
  <c r="BO108" i="10"/>
  <c r="AY108" i="10"/>
  <c r="CW93" i="10"/>
  <c r="CG93" i="10"/>
  <c r="BQ93" i="10"/>
  <c r="BA93" i="10"/>
  <c r="CO93" i="10"/>
  <c r="BY93" i="10"/>
  <c r="BI93" i="10"/>
  <c r="AS93" i="10"/>
  <c r="CY93" i="10"/>
  <c r="CC93" i="10"/>
  <c r="BG93" i="10"/>
  <c r="CU93" i="10"/>
  <c r="CA93" i="10"/>
  <c r="BE93" i="10"/>
  <c r="CS93" i="10"/>
  <c r="BW93" i="10"/>
  <c r="BC93" i="10"/>
  <c r="CQ93" i="10"/>
  <c r="BU93" i="10"/>
  <c r="AY93" i="10"/>
  <c r="CM93" i="10"/>
  <c r="BS93" i="10"/>
  <c r="AW93" i="10"/>
  <c r="CK93" i="10"/>
  <c r="BO93" i="10"/>
  <c r="AU93" i="10"/>
  <c r="CI93" i="10"/>
  <c r="AI93" i="10" s="1"/>
  <c r="BM93" i="10"/>
  <c r="I93" i="10"/>
  <c r="CE93" i="10"/>
  <c r="BK93" i="10"/>
  <c r="CK84" i="10"/>
  <c r="BU84" i="10"/>
  <c r="BE84" i="10"/>
  <c r="CS84" i="10"/>
  <c r="CC84" i="10"/>
  <c r="BM84" i="10"/>
  <c r="AW84" i="10"/>
  <c r="CY84" i="10"/>
  <c r="CE84" i="10"/>
  <c r="BI84" i="10"/>
  <c r="CW84" i="10"/>
  <c r="CA84" i="10"/>
  <c r="BG84" i="10"/>
  <c r="CU84" i="10"/>
  <c r="BY84" i="10"/>
  <c r="BC84" i="10"/>
  <c r="CQ84" i="10"/>
  <c r="BW84" i="10"/>
  <c r="BA84" i="10"/>
  <c r="CO84" i="10"/>
  <c r="BS84" i="10"/>
  <c r="AY84" i="10"/>
  <c r="CM84" i="10"/>
  <c r="BQ84" i="10"/>
  <c r="AU84" i="10"/>
  <c r="CI84" i="10"/>
  <c r="AI84" i="10" s="1"/>
  <c r="BO84" i="10"/>
  <c r="AS84" i="10"/>
  <c r="CG84" i="10"/>
  <c r="BK84" i="10"/>
  <c r="I84" i="10"/>
  <c r="CS80" i="10"/>
  <c r="CC80" i="10"/>
  <c r="BM80" i="10"/>
  <c r="AW80" i="10"/>
  <c r="CK80" i="10"/>
  <c r="BU80" i="10"/>
  <c r="BE80" i="10"/>
  <c r="CM80" i="10"/>
  <c r="BQ80" i="10"/>
  <c r="AU80" i="10"/>
  <c r="CI80" i="10"/>
  <c r="AI80" i="10" s="1"/>
  <c r="BO80" i="10"/>
  <c r="AS80" i="10"/>
  <c r="CG80" i="10"/>
  <c r="BK80" i="10"/>
  <c r="I80" i="10"/>
  <c r="CY80" i="10"/>
  <c r="CE80" i="10"/>
  <c r="BI80" i="10"/>
  <c r="CW80" i="10"/>
  <c r="CA80" i="10"/>
  <c r="BG80" i="10"/>
  <c r="CU80" i="10"/>
  <c r="BY80" i="10"/>
  <c r="BC80" i="10"/>
  <c r="CQ80" i="10"/>
  <c r="BW80" i="10"/>
  <c r="BA80" i="10"/>
  <c r="CO80" i="10"/>
  <c r="BS80" i="10"/>
  <c r="AY80" i="10"/>
  <c r="CW158" i="10"/>
  <c r="CG158" i="10"/>
  <c r="BQ158" i="10"/>
  <c r="BA158" i="10"/>
  <c r="CO158" i="10"/>
  <c r="BY158" i="10"/>
  <c r="BI158" i="10"/>
  <c r="AS158" i="10"/>
  <c r="CK158" i="10"/>
  <c r="AJ158" i="10" s="1"/>
  <c r="BO158" i="10"/>
  <c r="AU158" i="10"/>
  <c r="CU158" i="10"/>
  <c r="CA158" i="10"/>
  <c r="BE158" i="10"/>
  <c r="CI158" i="10"/>
  <c r="AI158" i="10" s="1"/>
  <c r="BG158" i="10"/>
  <c r="CE158" i="10"/>
  <c r="BC158" i="10"/>
  <c r="CC158" i="10"/>
  <c r="AY158" i="10"/>
  <c r="BW158" i="10"/>
  <c r="AW158" i="10"/>
  <c r="I158" i="10"/>
  <c r="CY158" i="10"/>
  <c r="BU158" i="10"/>
  <c r="CS158" i="10"/>
  <c r="BS158" i="10"/>
  <c r="CQ158" i="10"/>
  <c r="BM158" i="10"/>
  <c r="CM158" i="10"/>
  <c r="BK158" i="10"/>
  <c r="CS78" i="10"/>
  <c r="CC78" i="10"/>
  <c r="BM78" i="10"/>
  <c r="AW78" i="10"/>
  <c r="CQ78" i="10"/>
  <c r="CA78" i="10"/>
  <c r="BK78" i="10"/>
  <c r="AU78" i="10"/>
  <c r="CO78" i="10"/>
  <c r="BY78" i="10"/>
  <c r="BI78" i="10"/>
  <c r="AS78" i="10"/>
  <c r="CM78" i="10"/>
  <c r="BW78" i="10"/>
  <c r="BG78" i="10"/>
  <c r="CK78" i="10"/>
  <c r="BU78" i="10"/>
  <c r="BE78" i="10"/>
  <c r="CY78" i="10"/>
  <c r="CI78" i="10"/>
  <c r="AI78" i="10" s="1"/>
  <c r="BS78" i="10"/>
  <c r="BC78" i="10"/>
  <c r="I78" i="10"/>
  <c r="CW78" i="10"/>
  <c r="CG78" i="10"/>
  <c r="BQ78" i="10"/>
  <c r="BA78" i="10"/>
  <c r="CU78" i="10"/>
  <c r="CE78" i="10"/>
  <c r="BO78" i="10"/>
  <c r="AY78" i="10"/>
  <c r="CU154" i="10"/>
  <c r="CE154" i="10"/>
  <c r="BO154" i="10"/>
  <c r="AY154" i="10"/>
  <c r="CS154" i="10"/>
  <c r="CC154" i="10"/>
  <c r="BM154" i="10"/>
  <c r="AW154" i="10"/>
  <c r="CQ154" i="10"/>
  <c r="CA154" i="10"/>
  <c r="BK154" i="10"/>
  <c r="AU154" i="10"/>
  <c r="CO154" i="10"/>
  <c r="BY154" i="10"/>
  <c r="BI154" i="10"/>
  <c r="AS154" i="10"/>
  <c r="CM154" i="10"/>
  <c r="BW154" i="10"/>
  <c r="BG154" i="10"/>
  <c r="CK154" i="10"/>
  <c r="BU154" i="10"/>
  <c r="BE154" i="10"/>
  <c r="CY154" i="10"/>
  <c r="CI154" i="10"/>
  <c r="AI154" i="10" s="1"/>
  <c r="BS154" i="10"/>
  <c r="BC154" i="10"/>
  <c r="I154" i="10"/>
  <c r="CW154" i="10"/>
  <c r="CG154" i="10"/>
  <c r="BQ154" i="10"/>
  <c r="BA154" i="10"/>
  <c r="CW151" i="10"/>
  <c r="CG151" i="10"/>
  <c r="BQ151" i="10"/>
  <c r="BA151" i="10"/>
  <c r="CU151" i="10"/>
  <c r="CE151" i="10"/>
  <c r="BO151" i="10"/>
  <c r="AY151" i="10"/>
  <c r="CS151" i="10"/>
  <c r="CC151" i="10"/>
  <c r="BM151" i="10"/>
  <c r="AW151" i="10"/>
  <c r="CQ151" i="10"/>
  <c r="CA151" i="10"/>
  <c r="BK151" i="10"/>
  <c r="AU151" i="10"/>
  <c r="CO151" i="10"/>
  <c r="BY151" i="10"/>
  <c r="BI151" i="10"/>
  <c r="AS151" i="10"/>
  <c r="CM151" i="10"/>
  <c r="BW151" i="10"/>
  <c r="BG151" i="10"/>
  <c r="CK151" i="10"/>
  <c r="BU151" i="10"/>
  <c r="BE151" i="10"/>
  <c r="CY151" i="10"/>
  <c r="CI151" i="10"/>
  <c r="AI151" i="10" s="1"/>
  <c r="BS151" i="10"/>
  <c r="BC151" i="10"/>
  <c r="I151" i="10"/>
  <c r="CU42" i="10"/>
  <c r="CE42" i="10"/>
  <c r="BO42" i="10"/>
  <c r="CS42" i="10"/>
  <c r="CC42" i="10"/>
  <c r="CQ42" i="10"/>
  <c r="CA42" i="10"/>
  <c r="CO42" i="10"/>
  <c r="BY42" i="10"/>
  <c r="BI42" i="10"/>
  <c r="CK42" i="10"/>
  <c r="BU42" i="10"/>
  <c r="BE42" i="10"/>
  <c r="CY42" i="10"/>
  <c r="CI42" i="10"/>
  <c r="AI42" i="10" s="1"/>
  <c r="BS42" i="10"/>
  <c r="CW42" i="10"/>
  <c r="BC42" i="10"/>
  <c r="I42" i="10"/>
  <c r="CM42" i="10"/>
  <c r="BA42" i="10"/>
  <c r="CG42" i="10"/>
  <c r="AY42" i="10"/>
  <c r="BW42" i="10"/>
  <c r="AW42" i="10"/>
  <c r="BQ42" i="10"/>
  <c r="AU42" i="10"/>
  <c r="BM42" i="10"/>
  <c r="AS42" i="10"/>
  <c r="BK42" i="10"/>
  <c r="BG42" i="10"/>
  <c r="CK18" i="10"/>
  <c r="BU18" i="10"/>
  <c r="BE18" i="10"/>
  <c r="CY18" i="10"/>
  <c r="CI18" i="10"/>
  <c r="AI18" i="10" s="1"/>
  <c r="BS18" i="10"/>
  <c r="BC18" i="10"/>
  <c r="I18" i="10"/>
  <c r="CW18" i="10"/>
  <c r="CG18" i="10"/>
  <c r="BQ18" i="10"/>
  <c r="BA18" i="10"/>
  <c r="CU18" i="10"/>
  <c r="CE18" i="10"/>
  <c r="BO18" i="10"/>
  <c r="AY18" i="10"/>
  <c r="CS18" i="10"/>
  <c r="CC18" i="10"/>
  <c r="BM18" i="10"/>
  <c r="AW18" i="10"/>
  <c r="CA18" i="10"/>
  <c r="AU18" i="10"/>
  <c r="CQ18" i="10"/>
  <c r="BK18" i="10"/>
  <c r="CO18" i="10"/>
  <c r="BY18" i="10"/>
  <c r="BI18" i="10"/>
  <c r="AS18" i="10"/>
  <c r="CM18" i="10"/>
  <c r="BW18" i="10"/>
  <c r="BG18" i="10"/>
  <c r="CM23" i="10"/>
  <c r="BW23" i="10"/>
  <c r="BG23" i="10"/>
  <c r="CK23" i="10"/>
  <c r="BU23" i="10"/>
  <c r="BE23" i="10"/>
  <c r="CY23" i="10"/>
  <c r="CI23" i="10"/>
  <c r="AI23" i="10" s="1"/>
  <c r="BS23" i="10"/>
  <c r="BC23" i="10"/>
  <c r="I23" i="10"/>
  <c r="CW23" i="10"/>
  <c r="CG23" i="10"/>
  <c r="BQ23" i="10"/>
  <c r="BA23" i="10"/>
  <c r="CU23" i="10"/>
  <c r="CE23" i="10"/>
  <c r="BO23" i="10"/>
  <c r="AY23" i="10"/>
  <c r="CS23" i="10"/>
  <c r="CC23" i="10"/>
  <c r="BM23" i="10"/>
  <c r="AW23" i="10"/>
  <c r="CQ23" i="10"/>
  <c r="CA23" i="10"/>
  <c r="BK23" i="10"/>
  <c r="AU23" i="10"/>
  <c r="CO23" i="10"/>
  <c r="BY23" i="10"/>
  <c r="BI23" i="10"/>
  <c r="AS23" i="10"/>
  <c r="CQ43" i="10"/>
  <c r="CA43" i="10"/>
  <c r="BK43" i="10"/>
  <c r="AU43" i="10"/>
  <c r="CO43" i="10"/>
  <c r="BY43" i="10"/>
  <c r="BI43" i="10"/>
  <c r="AS43" i="10"/>
  <c r="CM43" i="10"/>
  <c r="BW43" i="10"/>
  <c r="BG43" i="10"/>
  <c r="CK43" i="10"/>
  <c r="BU43" i="10"/>
  <c r="BE43" i="10"/>
  <c r="CY43" i="10"/>
  <c r="CI43" i="10"/>
  <c r="AI43" i="10" s="1"/>
  <c r="BS43" i="10"/>
  <c r="BC43" i="10"/>
  <c r="I43" i="10"/>
  <c r="CU43" i="10"/>
  <c r="CE43" i="10"/>
  <c r="BO43" i="10"/>
  <c r="AY43" i="10"/>
  <c r="CS43" i="10"/>
  <c r="CC43" i="10"/>
  <c r="BM43" i="10"/>
  <c r="AW43" i="10"/>
  <c r="CW43" i="10"/>
  <c r="CG43" i="10"/>
  <c r="BQ43" i="10"/>
  <c r="BA43" i="10"/>
  <c r="CU216" i="10"/>
  <c r="CE216" i="10"/>
  <c r="BO216" i="10"/>
  <c r="AY216" i="10"/>
  <c r="CO216" i="10"/>
  <c r="BY216" i="10"/>
  <c r="BI216" i="10"/>
  <c r="AS216" i="10"/>
  <c r="CM216" i="10"/>
  <c r="BW216" i="10"/>
  <c r="BG216" i="10"/>
  <c r="CW216" i="10"/>
  <c r="CG216" i="10"/>
  <c r="BQ216" i="10"/>
  <c r="BA216" i="10"/>
  <c r="CC216" i="10"/>
  <c r="AW216" i="10"/>
  <c r="CA216" i="10"/>
  <c r="AU216" i="10"/>
  <c r="BU216" i="10"/>
  <c r="CY216" i="10"/>
  <c r="BS216" i="10"/>
  <c r="CS216" i="10"/>
  <c r="BM216" i="10"/>
  <c r="CQ216" i="10"/>
  <c r="BK216" i="10"/>
  <c r="CK216" i="10"/>
  <c r="BE216" i="10"/>
  <c r="I216" i="10"/>
  <c r="CI216" i="10"/>
  <c r="AI216" i="10" s="1"/>
  <c r="BC216" i="10"/>
  <c r="CK173" i="10"/>
  <c r="BU173" i="10"/>
  <c r="BE173" i="10"/>
  <c r="CS173" i="10"/>
  <c r="CC173" i="10"/>
  <c r="BM173" i="10"/>
  <c r="AW173" i="10"/>
  <c r="CQ173" i="10"/>
  <c r="CA173" i="10"/>
  <c r="BK173" i="10"/>
  <c r="AU173" i="10"/>
  <c r="CO173" i="10"/>
  <c r="BY173" i="10"/>
  <c r="BI173" i="10"/>
  <c r="AS173" i="10"/>
  <c r="CW173" i="10"/>
  <c r="BQ173" i="10"/>
  <c r="CU173" i="10"/>
  <c r="BO173" i="10"/>
  <c r="CM173" i="10"/>
  <c r="BG173" i="10"/>
  <c r="CI173" i="10"/>
  <c r="AI173" i="10" s="1"/>
  <c r="BC173" i="10"/>
  <c r="CG173" i="10"/>
  <c r="BA173" i="10"/>
  <c r="I173" i="10"/>
  <c r="CE173" i="10"/>
  <c r="AY173" i="10"/>
  <c r="BW173" i="10"/>
  <c r="CY173" i="10"/>
  <c r="BS173" i="10"/>
  <c r="CO175" i="10"/>
  <c r="BY175" i="10"/>
  <c r="BI175" i="10"/>
  <c r="AS175" i="10"/>
  <c r="CW175" i="10"/>
  <c r="CG175" i="10"/>
  <c r="BQ175" i="10"/>
  <c r="BA175" i="10"/>
  <c r="CU175" i="10"/>
  <c r="CE175" i="10"/>
  <c r="BO175" i="10"/>
  <c r="AY175" i="10"/>
  <c r="CS175" i="10"/>
  <c r="CC175" i="10"/>
  <c r="BM175" i="10"/>
  <c r="AW175" i="10"/>
  <c r="BW175" i="10"/>
  <c r="BU175" i="10"/>
  <c r="CY175" i="10"/>
  <c r="BS175" i="10"/>
  <c r="CQ175" i="10"/>
  <c r="BK175" i="10"/>
  <c r="CM175" i="10"/>
  <c r="BG175" i="10"/>
  <c r="CK175" i="10"/>
  <c r="BE175" i="10"/>
  <c r="CI175" i="10"/>
  <c r="AI175" i="10" s="1"/>
  <c r="BC175" i="10"/>
  <c r="I175" i="10"/>
  <c r="CA175" i="10"/>
  <c r="AU175" i="10"/>
  <c r="CM111" i="10"/>
  <c r="BW111" i="10"/>
  <c r="BG111" i="10"/>
  <c r="CU111" i="10"/>
  <c r="CE111" i="10"/>
  <c r="BO111" i="10"/>
  <c r="AY111" i="10"/>
  <c r="CO111" i="10"/>
  <c r="BS111" i="10"/>
  <c r="AW111" i="10"/>
  <c r="CK111" i="10"/>
  <c r="BQ111" i="10"/>
  <c r="AU111" i="10"/>
  <c r="CI111" i="10"/>
  <c r="AI111" i="10" s="1"/>
  <c r="BM111" i="10"/>
  <c r="AS111" i="10"/>
  <c r="CG111" i="10"/>
  <c r="BK111" i="10"/>
  <c r="CY111" i="10"/>
  <c r="CC111" i="10"/>
  <c r="BI111" i="10"/>
  <c r="I111" i="10"/>
  <c r="CW111" i="10"/>
  <c r="CA111" i="10"/>
  <c r="BE111" i="10"/>
  <c r="CS111" i="10"/>
  <c r="BY111" i="10"/>
  <c r="BC111" i="10"/>
  <c r="CQ111" i="10"/>
  <c r="BU111" i="10"/>
  <c r="BA111" i="10"/>
  <c r="CW90" i="10"/>
  <c r="CG90" i="10"/>
  <c r="BQ90" i="10"/>
  <c r="BA90" i="10"/>
  <c r="CO90" i="10"/>
  <c r="BY90" i="10"/>
  <c r="BI90" i="10"/>
  <c r="AS90" i="10"/>
  <c r="CE90" i="10"/>
  <c r="BK90" i="10"/>
  <c r="CY90" i="10"/>
  <c r="CC90" i="10"/>
  <c r="BG90" i="10"/>
  <c r="CU90" i="10"/>
  <c r="CA90" i="10"/>
  <c r="BE90" i="10"/>
  <c r="CS90" i="10"/>
  <c r="BW90" i="10"/>
  <c r="BC90" i="10"/>
  <c r="CQ90" i="10"/>
  <c r="BU90" i="10"/>
  <c r="AY90" i="10"/>
  <c r="CM90" i="10"/>
  <c r="BS90" i="10"/>
  <c r="AW90" i="10"/>
  <c r="CK90" i="10"/>
  <c r="BO90" i="10"/>
  <c r="AU90" i="10"/>
  <c r="CI90" i="10"/>
  <c r="BM90" i="10"/>
  <c r="I90" i="10"/>
  <c r="CQ83" i="10"/>
  <c r="CA83" i="10"/>
  <c r="BK83" i="10"/>
  <c r="AU83" i="10"/>
  <c r="CY83" i="10"/>
  <c r="CI83" i="10"/>
  <c r="AI83" i="10" s="1"/>
  <c r="BS83" i="10"/>
  <c r="BC83" i="10"/>
  <c r="I83" i="10"/>
  <c r="CG83" i="10"/>
  <c r="BM83" i="10"/>
  <c r="CE83" i="10"/>
  <c r="BI83" i="10"/>
  <c r="CW83" i="10"/>
  <c r="CC83" i="10"/>
  <c r="BG83" i="10"/>
  <c r="CU83" i="10"/>
  <c r="BY83" i="10"/>
  <c r="BE83" i="10"/>
  <c r="CS83" i="10"/>
  <c r="BW83" i="10"/>
  <c r="BA83" i="10"/>
  <c r="CO83" i="10"/>
  <c r="BU83" i="10"/>
  <c r="AY83" i="10"/>
  <c r="CM83" i="10"/>
  <c r="BQ83" i="10"/>
  <c r="AW83" i="10"/>
  <c r="CK83" i="10"/>
  <c r="BO83" i="10"/>
  <c r="AS83" i="10"/>
  <c r="CY79" i="10"/>
  <c r="CQ79" i="10"/>
  <c r="CA79" i="10"/>
  <c r="CO79" i="10"/>
  <c r="BW79" i="10"/>
  <c r="BG79" i="10"/>
  <c r="CM79" i="10"/>
  <c r="BU79" i="10"/>
  <c r="BE79" i="10"/>
  <c r="CK79" i="10"/>
  <c r="BS79" i="10"/>
  <c r="BC79" i="10"/>
  <c r="I79" i="10"/>
  <c r="CI79" i="10"/>
  <c r="AI79" i="10" s="1"/>
  <c r="BQ79" i="10"/>
  <c r="BA79" i="10"/>
  <c r="CG79" i="10"/>
  <c r="BO79" i="10"/>
  <c r="AY79" i="10"/>
  <c r="CW79" i="10"/>
  <c r="CE79" i="10"/>
  <c r="BM79" i="10"/>
  <c r="AW79" i="10"/>
  <c r="CU79" i="10"/>
  <c r="CC79" i="10"/>
  <c r="BK79" i="10"/>
  <c r="AU79" i="10"/>
  <c r="CS79" i="10"/>
  <c r="BY79" i="10"/>
  <c r="BI79" i="10"/>
  <c r="AS79" i="10"/>
  <c r="CS149" i="10"/>
  <c r="CC149" i="10"/>
  <c r="BM149" i="10"/>
  <c r="AW149" i="10"/>
  <c r="CQ149" i="10"/>
  <c r="CA149" i="10"/>
  <c r="BK149" i="10"/>
  <c r="AU149" i="10"/>
  <c r="CO149" i="10"/>
  <c r="BY149" i="10"/>
  <c r="BI149" i="10"/>
  <c r="AS149" i="10"/>
  <c r="CM149" i="10"/>
  <c r="BW149" i="10"/>
  <c r="BG149" i="10"/>
  <c r="CK149" i="10"/>
  <c r="BU149" i="10"/>
  <c r="BE149" i="10"/>
  <c r="CY149" i="10"/>
  <c r="CI149" i="10"/>
  <c r="AI149" i="10" s="1"/>
  <c r="BS149" i="10"/>
  <c r="BC149" i="10"/>
  <c r="I149" i="10"/>
  <c r="CW149" i="10"/>
  <c r="CG149" i="10"/>
  <c r="BQ149" i="10"/>
  <c r="BA149" i="10"/>
  <c r="CU149" i="10"/>
  <c r="CE149" i="10"/>
  <c r="BO149" i="10"/>
  <c r="AY149" i="10"/>
  <c r="CU36" i="10"/>
  <c r="CE36" i="10"/>
  <c r="BO36" i="10"/>
  <c r="AY36" i="10"/>
  <c r="CM36" i="10"/>
  <c r="BW36" i="10"/>
  <c r="BG36" i="10"/>
  <c r="CI36" i="10"/>
  <c r="AI36" i="10" s="1"/>
  <c r="BM36" i="10"/>
  <c r="AS36" i="10"/>
  <c r="I36" i="10"/>
  <c r="CG36" i="10"/>
  <c r="BK36" i="10"/>
  <c r="CY36" i="10"/>
  <c r="CC36" i="10"/>
  <c r="BI36" i="10"/>
  <c r="CW36" i="10"/>
  <c r="CA36" i="10"/>
  <c r="BE36" i="10"/>
  <c r="CS36" i="10"/>
  <c r="BY36" i="10"/>
  <c r="BC36" i="10"/>
  <c r="CQ36" i="10"/>
  <c r="BU36" i="10"/>
  <c r="BA36" i="10"/>
  <c r="CO36" i="10"/>
  <c r="BS36" i="10"/>
  <c r="AW36" i="10"/>
  <c r="CK36" i="10"/>
  <c r="BQ36" i="10"/>
  <c r="AU36" i="10"/>
  <c r="CM32" i="10"/>
  <c r="BW32" i="10"/>
  <c r="BG32" i="10"/>
  <c r="CU32" i="10"/>
  <c r="CE32" i="10"/>
  <c r="BO32" i="10"/>
  <c r="AY32" i="10"/>
  <c r="CQ32" i="10"/>
  <c r="BU32" i="10"/>
  <c r="BA32" i="10"/>
  <c r="CO32" i="10"/>
  <c r="BS32" i="10"/>
  <c r="AW32" i="10"/>
  <c r="CK32" i="10"/>
  <c r="BQ32" i="10"/>
  <c r="AU32" i="10"/>
  <c r="CI32" i="10"/>
  <c r="AI32" i="10" s="1"/>
  <c r="BM32" i="10"/>
  <c r="AS32" i="10"/>
  <c r="I32" i="10"/>
  <c r="CG32" i="10"/>
  <c r="BK32" i="10"/>
  <c r="CY32" i="10"/>
  <c r="CC32" i="10"/>
  <c r="BI32" i="10"/>
  <c r="CW32" i="10"/>
  <c r="CA32" i="10"/>
  <c r="BE32" i="10"/>
  <c r="CS32" i="10"/>
  <c r="BY32" i="10"/>
  <c r="BC32" i="10"/>
  <c r="CY39" i="10"/>
  <c r="CI39" i="10"/>
  <c r="BS39" i="10"/>
  <c r="BC39" i="10"/>
  <c r="I39" i="10"/>
  <c r="CW39" i="10"/>
  <c r="CG39" i="10"/>
  <c r="BQ39" i="10"/>
  <c r="BA39" i="10"/>
  <c r="CU39" i="10"/>
  <c r="CE39" i="10"/>
  <c r="BO39" i="10"/>
  <c r="AY39" i="10"/>
  <c r="CS39" i="10"/>
  <c r="CC39" i="10"/>
  <c r="BM39" i="10"/>
  <c r="AW39" i="10"/>
  <c r="CQ39" i="10"/>
  <c r="CA39" i="10"/>
  <c r="BK39" i="10"/>
  <c r="AU39" i="10"/>
  <c r="CO39" i="10"/>
  <c r="BY39" i="10"/>
  <c r="BI39" i="10"/>
  <c r="AS39" i="10"/>
  <c r="CM39" i="10"/>
  <c r="BW39" i="10"/>
  <c r="BG39" i="10"/>
  <c r="CK39" i="10"/>
  <c r="BU39" i="10"/>
  <c r="BE39" i="10"/>
  <c r="CK10" i="10"/>
  <c r="BU10" i="10"/>
  <c r="BE10" i="10"/>
  <c r="CY10" i="10"/>
  <c r="CI10" i="10"/>
  <c r="AI10" i="10" s="1"/>
  <c r="BS10" i="10"/>
  <c r="BC10" i="10"/>
  <c r="I10" i="10"/>
  <c r="CW10" i="10"/>
  <c r="CG10" i="10"/>
  <c r="BQ10" i="10"/>
  <c r="BA10" i="10"/>
  <c r="CU10" i="10"/>
  <c r="CE10" i="10"/>
  <c r="BO10" i="10"/>
  <c r="AY10" i="10"/>
  <c r="CS10" i="10"/>
  <c r="CC10" i="10"/>
  <c r="BM10" i="10"/>
  <c r="AW10" i="10"/>
  <c r="CA10" i="10"/>
  <c r="AU10" i="10"/>
  <c r="CQ10" i="10"/>
  <c r="BK10" i="10"/>
  <c r="CO10" i="10"/>
  <c r="BY10" i="10"/>
  <c r="BI10" i="10"/>
  <c r="AS10" i="10"/>
  <c r="CM10" i="10"/>
  <c r="BW10" i="10"/>
  <c r="BG10" i="10"/>
  <c r="CM15" i="10"/>
  <c r="BW15" i="10"/>
  <c r="BG15" i="10"/>
  <c r="CK15" i="10"/>
  <c r="BU15" i="10"/>
  <c r="BE15" i="10"/>
  <c r="CY15" i="10"/>
  <c r="CI15" i="10"/>
  <c r="AI15" i="10" s="1"/>
  <c r="BS15" i="10"/>
  <c r="BC15" i="10"/>
  <c r="I15" i="10"/>
  <c r="CW15" i="10"/>
  <c r="CG15" i="10"/>
  <c r="BQ15" i="10"/>
  <c r="BA15" i="10"/>
  <c r="CU15" i="10"/>
  <c r="CE15" i="10"/>
  <c r="BO15" i="10"/>
  <c r="AY15" i="10"/>
  <c r="CC15" i="10"/>
  <c r="AW15" i="10"/>
  <c r="CS15" i="10"/>
  <c r="BM15" i="10"/>
  <c r="CQ15" i="10"/>
  <c r="CA15" i="10"/>
  <c r="BK15" i="10"/>
  <c r="AU15" i="10"/>
  <c r="CO15" i="10"/>
  <c r="BY15" i="10"/>
  <c r="BI15" i="10"/>
  <c r="AS15" i="10"/>
  <c r="CS22" i="10"/>
  <c r="CC22" i="10"/>
  <c r="BM22" i="10"/>
  <c r="AW22" i="10"/>
  <c r="CQ22" i="10"/>
  <c r="CA22" i="10"/>
  <c r="BK22" i="10"/>
  <c r="AU22" i="10"/>
  <c r="CO22" i="10"/>
  <c r="BY22" i="10"/>
  <c r="BI22" i="10"/>
  <c r="AS22" i="10"/>
  <c r="CM22" i="10"/>
  <c r="BW22" i="10"/>
  <c r="BG22" i="10"/>
  <c r="CK22" i="10"/>
  <c r="BU22" i="10"/>
  <c r="BE22" i="10"/>
  <c r="BS22" i="10"/>
  <c r="CY22" i="10"/>
  <c r="CI22" i="10"/>
  <c r="AI22" i="10" s="1"/>
  <c r="BC22" i="10"/>
  <c r="I22" i="10"/>
  <c r="CW22" i="10"/>
  <c r="CG22" i="10"/>
  <c r="BQ22" i="10"/>
  <c r="BA22" i="10"/>
  <c r="CU22" i="10"/>
  <c r="CE22" i="10"/>
  <c r="BO22" i="10"/>
  <c r="AY22" i="10"/>
  <c r="CO217" i="10"/>
  <c r="BY217" i="10"/>
  <c r="BI217" i="10"/>
  <c r="AS217" i="10"/>
  <c r="CY217" i="10"/>
  <c r="CI217" i="10"/>
  <c r="AI217" i="10" s="1"/>
  <c r="BS217" i="10"/>
  <c r="BC217" i="10"/>
  <c r="I217" i="10"/>
  <c r="CW217" i="10"/>
  <c r="CG217" i="10"/>
  <c r="BQ217" i="10"/>
  <c r="BA217" i="10"/>
  <c r="CQ217" i="10"/>
  <c r="AM217" i="10" s="1"/>
  <c r="CA217" i="10"/>
  <c r="BK217" i="10"/>
  <c r="AU217" i="10"/>
  <c r="CM217" i="10"/>
  <c r="BG217" i="10"/>
  <c r="CK217" i="10"/>
  <c r="BE217" i="10"/>
  <c r="CE217" i="10"/>
  <c r="AY217" i="10"/>
  <c r="CC217" i="10"/>
  <c r="AW217" i="10"/>
  <c r="BW217" i="10"/>
  <c r="BU217" i="10"/>
  <c r="CU217" i="10"/>
  <c r="BO217" i="10"/>
  <c r="CS217" i="10"/>
  <c r="BM217" i="10"/>
  <c r="CY178" i="10"/>
  <c r="CI178" i="10"/>
  <c r="AI178" i="10" s="1"/>
  <c r="CQ178" i="10"/>
  <c r="CO178" i="10"/>
  <c r="BW178" i="10"/>
  <c r="BG178" i="10"/>
  <c r="CK178" i="10"/>
  <c r="BS178" i="10"/>
  <c r="BC178" i="10"/>
  <c r="I178" i="10"/>
  <c r="CG178" i="10"/>
  <c r="BQ178" i="10"/>
  <c r="BA178" i="10"/>
  <c r="CE178" i="10"/>
  <c r="BO178" i="10"/>
  <c r="AY178" i="10"/>
  <c r="CW178" i="10"/>
  <c r="CC178" i="10"/>
  <c r="BM178" i="10"/>
  <c r="AW178" i="10"/>
  <c r="CU178" i="10"/>
  <c r="CA178" i="10"/>
  <c r="BK178" i="10"/>
  <c r="AU178" i="10"/>
  <c r="CS178" i="10"/>
  <c r="CM178" i="10"/>
  <c r="BY178" i="10"/>
  <c r="BU178" i="10"/>
  <c r="BI178" i="10"/>
  <c r="BE178" i="10"/>
  <c r="AS178" i="10"/>
  <c r="CO106" i="10"/>
  <c r="BY106" i="10"/>
  <c r="BI106" i="10"/>
  <c r="AS106" i="10"/>
  <c r="CM106" i="10"/>
  <c r="BW106" i="10"/>
  <c r="BG106" i="10"/>
  <c r="CK106" i="10"/>
  <c r="BU106" i="10"/>
  <c r="BE106" i="10"/>
  <c r="CY106" i="10"/>
  <c r="CI106" i="10"/>
  <c r="AI106" i="10" s="1"/>
  <c r="BS106" i="10"/>
  <c r="BC106" i="10"/>
  <c r="I106" i="10"/>
  <c r="CW106" i="10"/>
  <c r="CG106" i="10"/>
  <c r="BQ106" i="10"/>
  <c r="BA106" i="10"/>
  <c r="CU106" i="10"/>
  <c r="CE106" i="10"/>
  <c r="BO106" i="10"/>
  <c r="AY106" i="10"/>
  <c r="CS106" i="10"/>
  <c r="CC106" i="10"/>
  <c r="BM106" i="10"/>
  <c r="AW106" i="10"/>
  <c r="CQ106" i="10"/>
  <c r="CA106" i="10"/>
  <c r="BK106" i="10"/>
  <c r="AU106" i="10"/>
  <c r="CM81" i="10"/>
  <c r="BW81" i="10"/>
  <c r="BG81" i="10"/>
  <c r="CU81" i="10"/>
  <c r="CE81" i="10"/>
  <c r="BO81" i="10"/>
  <c r="AY81" i="10"/>
  <c r="CI81" i="10"/>
  <c r="AI81" i="10" s="1"/>
  <c r="BM81" i="10"/>
  <c r="AS81" i="10"/>
  <c r="I81" i="10"/>
  <c r="CG81" i="10"/>
  <c r="BK81" i="10"/>
  <c r="CY81" i="10"/>
  <c r="CC81" i="10"/>
  <c r="BI81" i="10"/>
  <c r="CW81" i="10"/>
  <c r="CA81" i="10"/>
  <c r="BE81" i="10"/>
  <c r="CS81" i="10"/>
  <c r="BY81" i="10"/>
  <c r="BC81" i="10"/>
  <c r="CQ81" i="10"/>
  <c r="BU81" i="10"/>
  <c r="BA81" i="10"/>
  <c r="CO81" i="10"/>
  <c r="BS81" i="10"/>
  <c r="AW81" i="10"/>
  <c r="CK81" i="10"/>
  <c r="BQ81" i="10"/>
  <c r="AU81" i="10"/>
  <c r="CY163" i="10"/>
  <c r="CI163" i="10"/>
  <c r="AI163" i="10" s="1"/>
  <c r="BS163" i="10"/>
  <c r="BC163" i="10"/>
  <c r="I163" i="10"/>
  <c r="CQ163" i="10"/>
  <c r="CA163" i="10"/>
  <c r="BK163" i="10"/>
  <c r="AU163" i="10"/>
  <c r="CW163" i="10"/>
  <c r="CC163" i="10"/>
  <c r="BG163" i="10"/>
  <c r="CM163" i="10"/>
  <c r="BQ163" i="10"/>
  <c r="AW163" i="10"/>
  <c r="CU163" i="10"/>
  <c r="BU163" i="10"/>
  <c r="CS163" i="10"/>
  <c r="BO163" i="10"/>
  <c r="CO163" i="10"/>
  <c r="BM163" i="10"/>
  <c r="CK163" i="10"/>
  <c r="BI163" i="10"/>
  <c r="CG163" i="10"/>
  <c r="BE163" i="10"/>
  <c r="CE163" i="10"/>
  <c r="BA163" i="10"/>
  <c r="BY163" i="10"/>
  <c r="AY163" i="10"/>
  <c r="BW163" i="10"/>
  <c r="AS163" i="10"/>
  <c r="CW120" i="10"/>
  <c r="CG120" i="10"/>
  <c r="BQ120" i="10"/>
  <c r="BA120" i="10"/>
  <c r="CU120" i="10"/>
  <c r="CE120" i="10"/>
  <c r="BO120" i="10"/>
  <c r="AY120" i="10"/>
  <c r="CS120" i="10"/>
  <c r="CC120" i="10"/>
  <c r="BM120" i="10"/>
  <c r="AW120" i="10"/>
  <c r="CQ120" i="10"/>
  <c r="CA120" i="10"/>
  <c r="BK120" i="10"/>
  <c r="AU120" i="10"/>
  <c r="CO120" i="10"/>
  <c r="BY120" i="10"/>
  <c r="BI120" i="10"/>
  <c r="AS120" i="10"/>
  <c r="CM120" i="10"/>
  <c r="BW120" i="10"/>
  <c r="BG120" i="10"/>
  <c r="CK120" i="10"/>
  <c r="BU120" i="10"/>
  <c r="BE120" i="10"/>
  <c r="CY120" i="10"/>
  <c r="CI120" i="10"/>
  <c r="AI120" i="10" s="1"/>
  <c r="BS120" i="10"/>
  <c r="BC120" i="10"/>
  <c r="I120" i="10"/>
  <c r="CQ152" i="10"/>
  <c r="CA152" i="10"/>
  <c r="BK152" i="10"/>
  <c r="AU152" i="10"/>
  <c r="CO152" i="10"/>
  <c r="BY152" i="10"/>
  <c r="BI152" i="10"/>
  <c r="AS152" i="10"/>
  <c r="CM152" i="10"/>
  <c r="BW152" i="10"/>
  <c r="BG152" i="10"/>
  <c r="CK152" i="10"/>
  <c r="BU152" i="10"/>
  <c r="BE152" i="10"/>
  <c r="CY152" i="10"/>
  <c r="CI152" i="10"/>
  <c r="AI152" i="10" s="1"/>
  <c r="BS152" i="10"/>
  <c r="BC152" i="10"/>
  <c r="I152" i="10"/>
  <c r="CW152" i="10"/>
  <c r="CG152" i="10"/>
  <c r="BQ152" i="10"/>
  <c r="BA152" i="10"/>
  <c r="CU152" i="10"/>
  <c r="CE152" i="10"/>
  <c r="BO152" i="10"/>
  <c r="AY152" i="10"/>
  <c r="CS152" i="10"/>
  <c r="CC152" i="10"/>
  <c r="BM152" i="10"/>
  <c r="AW152" i="10"/>
  <c r="CK122" i="10"/>
  <c r="BU122" i="10"/>
  <c r="BE122" i="10"/>
  <c r="CY122" i="10"/>
  <c r="CI122" i="10"/>
  <c r="AI122" i="10" s="1"/>
  <c r="BS122" i="10"/>
  <c r="BC122" i="10"/>
  <c r="I122" i="10"/>
  <c r="CW122" i="10"/>
  <c r="CG122" i="10"/>
  <c r="BQ122" i="10"/>
  <c r="BA122" i="10"/>
  <c r="CU122" i="10"/>
  <c r="CE122" i="10"/>
  <c r="BO122" i="10"/>
  <c r="AY122" i="10"/>
  <c r="CS122" i="10"/>
  <c r="CC122" i="10"/>
  <c r="BM122" i="10"/>
  <c r="AW122" i="10"/>
  <c r="CQ122" i="10"/>
  <c r="CA122" i="10"/>
  <c r="BK122" i="10"/>
  <c r="AU122" i="10"/>
  <c r="CO122" i="10"/>
  <c r="BY122" i="10"/>
  <c r="BI122" i="10"/>
  <c r="AS122" i="10"/>
  <c r="CM122" i="10"/>
  <c r="BW122" i="10"/>
  <c r="BG122" i="10"/>
  <c r="CK70" i="10"/>
  <c r="BU70" i="10"/>
  <c r="BE70" i="10"/>
  <c r="CY70" i="10"/>
  <c r="CI70" i="10"/>
  <c r="AI70" i="10" s="1"/>
  <c r="BS70" i="10"/>
  <c r="BC70" i="10"/>
  <c r="I70" i="10"/>
  <c r="CW70" i="10"/>
  <c r="CG70" i="10"/>
  <c r="BQ70" i="10"/>
  <c r="BA70" i="10"/>
  <c r="CU70" i="10"/>
  <c r="CE70" i="10"/>
  <c r="BO70" i="10"/>
  <c r="AY70" i="10"/>
  <c r="CS70" i="10"/>
  <c r="CC70" i="10"/>
  <c r="BM70" i="10"/>
  <c r="AW70" i="10"/>
  <c r="CQ70" i="10"/>
  <c r="CA70" i="10"/>
  <c r="BK70" i="10"/>
  <c r="AU70" i="10"/>
  <c r="CO70" i="10"/>
  <c r="BY70" i="10"/>
  <c r="BI70" i="10"/>
  <c r="AS70" i="10"/>
  <c r="CM70" i="10"/>
  <c r="BW70" i="10"/>
  <c r="BG70" i="10"/>
  <c r="CQ75" i="10"/>
  <c r="AM75" i="10" s="1"/>
  <c r="CA75" i="10"/>
  <c r="BK75" i="10"/>
  <c r="AU75" i="10"/>
  <c r="CO75" i="10"/>
  <c r="BY75" i="10"/>
  <c r="BI75" i="10"/>
  <c r="AS75" i="10"/>
  <c r="CM75" i="10"/>
  <c r="BW75" i="10"/>
  <c r="BG75" i="10"/>
  <c r="CK75" i="10"/>
  <c r="BU75" i="10"/>
  <c r="BE75" i="10"/>
  <c r="CY75" i="10"/>
  <c r="CI75" i="10"/>
  <c r="AI75" i="10" s="1"/>
  <c r="BS75" i="10"/>
  <c r="BC75" i="10"/>
  <c r="I75" i="10"/>
  <c r="CW75" i="10"/>
  <c r="CG75" i="10"/>
  <c r="BQ75" i="10"/>
  <c r="BA75" i="10"/>
  <c r="CU75" i="10"/>
  <c r="CE75" i="10"/>
  <c r="BO75" i="10"/>
  <c r="AY75" i="10"/>
  <c r="CS75" i="10"/>
  <c r="CC75" i="10"/>
  <c r="BM75" i="10"/>
  <c r="AW75" i="10"/>
  <c r="CO37" i="10"/>
  <c r="BY37" i="10"/>
  <c r="BI37" i="10"/>
  <c r="AS37" i="10"/>
  <c r="CW37" i="10"/>
  <c r="CG37" i="10"/>
  <c r="BQ37" i="10"/>
  <c r="BA37" i="10"/>
  <c r="CI37" i="10"/>
  <c r="AI37" i="10" s="1"/>
  <c r="BM37" i="10"/>
  <c r="I37" i="10"/>
  <c r="CE37" i="10"/>
  <c r="BK37" i="10"/>
  <c r="CY37" i="10"/>
  <c r="CC37" i="10"/>
  <c r="BG37" i="10"/>
  <c r="CU37" i="10"/>
  <c r="CA37" i="10"/>
  <c r="BE37" i="10"/>
  <c r="CS37" i="10"/>
  <c r="BW37" i="10"/>
  <c r="BC37" i="10"/>
  <c r="CQ37" i="10"/>
  <c r="BU37" i="10"/>
  <c r="AY37" i="10"/>
  <c r="CM37" i="10"/>
  <c r="BS37" i="10"/>
  <c r="AW37" i="10"/>
  <c r="CK37" i="10"/>
  <c r="BO37" i="10"/>
  <c r="AU37" i="10"/>
  <c r="CW24" i="10"/>
  <c r="CG24" i="10"/>
  <c r="BQ24" i="10"/>
  <c r="BA24" i="10"/>
  <c r="CU24" i="10"/>
  <c r="CE24" i="10"/>
  <c r="BO24" i="10"/>
  <c r="AY24" i="10"/>
  <c r="CS24" i="10"/>
  <c r="CC24" i="10"/>
  <c r="BM24" i="10"/>
  <c r="AW24" i="10"/>
  <c r="CQ24" i="10"/>
  <c r="CA24" i="10"/>
  <c r="BK24" i="10"/>
  <c r="AU24" i="10"/>
  <c r="CO24" i="10"/>
  <c r="BY24" i="10"/>
  <c r="BI24" i="10"/>
  <c r="AS24" i="10"/>
  <c r="CM24" i="10"/>
  <c r="BW24" i="10"/>
  <c r="BG24" i="10"/>
  <c r="CK24" i="10"/>
  <c r="BU24" i="10"/>
  <c r="BE24" i="10"/>
  <c r="CY24" i="10"/>
  <c r="CI24" i="10"/>
  <c r="AI24" i="10" s="1"/>
  <c r="BS24" i="10"/>
  <c r="BC24" i="10"/>
  <c r="I24" i="10"/>
  <c r="CY21" i="10"/>
  <c r="CI21" i="10"/>
  <c r="AI21" i="10" s="1"/>
  <c r="BS21" i="10"/>
  <c r="BC21" i="10"/>
  <c r="I21" i="10"/>
  <c r="CW21" i="10"/>
  <c r="CG21" i="10"/>
  <c r="BQ21" i="10"/>
  <c r="BA21" i="10"/>
  <c r="CU21" i="10"/>
  <c r="CE21" i="10"/>
  <c r="BO21" i="10"/>
  <c r="AY21" i="10"/>
  <c r="CS21" i="10"/>
  <c r="CC21" i="10"/>
  <c r="BM21" i="10"/>
  <c r="AW21" i="10"/>
  <c r="CQ21" i="10"/>
  <c r="CA21" i="10"/>
  <c r="BK21" i="10"/>
  <c r="AU21" i="10"/>
  <c r="BI21" i="10"/>
  <c r="CO21" i="10"/>
  <c r="BY21" i="10"/>
  <c r="AS21" i="10"/>
  <c r="CM21" i="10"/>
  <c r="BW21" i="10"/>
  <c r="BG21" i="10"/>
  <c r="CK21" i="10"/>
  <c r="BU21" i="10"/>
  <c r="BE21" i="10"/>
  <c r="CM7" i="10"/>
  <c r="BW7" i="10"/>
  <c r="BG7" i="10"/>
  <c r="CK7" i="10"/>
  <c r="BU7" i="10"/>
  <c r="BE7" i="10"/>
  <c r="CY7" i="10"/>
  <c r="CI7" i="10"/>
  <c r="BS7" i="10"/>
  <c r="BC7" i="10"/>
  <c r="I7" i="10"/>
  <c r="CW7" i="10"/>
  <c r="CG7" i="10"/>
  <c r="BQ7" i="10"/>
  <c r="BA7" i="10"/>
  <c r="CU7" i="10"/>
  <c r="CE7" i="10"/>
  <c r="BO7" i="10"/>
  <c r="AY7" i="10"/>
  <c r="CS7" i="10"/>
  <c r="BM7" i="10"/>
  <c r="CC7" i="10"/>
  <c r="AW7" i="10"/>
  <c r="CQ7" i="10"/>
  <c r="CA7" i="10"/>
  <c r="BK7" i="10"/>
  <c r="AU7" i="10"/>
  <c r="CO7" i="10"/>
  <c r="BY7" i="10"/>
  <c r="BI7" i="10"/>
  <c r="AS7" i="10"/>
  <c r="CQ25" i="10"/>
  <c r="CA25" i="10"/>
  <c r="BK25" i="10"/>
  <c r="AU25" i="10"/>
  <c r="CO25" i="10"/>
  <c r="BY25" i="10"/>
  <c r="BI25" i="10"/>
  <c r="AS25" i="10"/>
  <c r="CM25" i="10"/>
  <c r="BW25" i="10"/>
  <c r="BG25" i="10"/>
  <c r="CK25" i="10"/>
  <c r="BU25" i="10"/>
  <c r="BE25" i="10"/>
  <c r="CY25" i="10"/>
  <c r="CI25" i="10"/>
  <c r="AI25" i="10" s="1"/>
  <c r="BS25" i="10"/>
  <c r="BC25" i="10"/>
  <c r="I25" i="10"/>
  <c r="CW25" i="10"/>
  <c r="CG25" i="10"/>
  <c r="BQ25" i="10"/>
  <c r="BA25" i="10"/>
  <c r="CU25" i="10"/>
  <c r="CE25" i="10"/>
  <c r="BO25" i="10"/>
  <c r="AY25" i="10"/>
  <c r="CS25" i="10"/>
  <c r="CC25" i="10"/>
  <c r="BM25" i="10"/>
  <c r="AW25" i="10"/>
  <c r="CS14" i="10"/>
  <c r="CC14" i="10"/>
  <c r="BM14" i="10"/>
  <c r="AW14" i="10"/>
  <c r="CQ14" i="10"/>
  <c r="CA14" i="10"/>
  <c r="BK14" i="10"/>
  <c r="AU14" i="10"/>
  <c r="CO14" i="10"/>
  <c r="BY14" i="10"/>
  <c r="BI14" i="10"/>
  <c r="AS14" i="10"/>
  <c r="CM14" i="10"/>
  <c r="BW14" i="10"/>
  <c r="BG14" i="10"/>
  <c r="CK14" i="10"/>
  <c r="BU14" i="10"/>
  <c r="BE14" i="10"/>
  <c r="CI14" i="10"/>
  <c r="AI14" i="10" s="1"/>
  <c r="BS14" i="10"/>
  <c r="I14" i="10"/>
  <c r="CY14" i="10"/>
  <c r="BC14" i="10"/>
  <c r="CW14" i="10"/>
  <c r="CG14" i="10"/>
  <c r="BQ14" i="10"/>
  <c r="BA14" i="10"/>
  <c r="CU14" i="10"/>
  <c r="CE14" i="10"/>
  <c r="BO14" i="10"/>
  <c r="AY14" i="10"/>
  <c r="CU19" i="10"/>
  <c r="CE19" i="10"/>
  <c r="BO19" i="10"/>
  <c r="AY19" i="10"/>
  <c r="CS19" i="10"/>
  <c r="CC19" i="10"/>
  <c r="BM19" i="10"/>
  <c r="AW19" i="10"/>
  <c r="CQ19" i="10"/>
  <c r="CA19" i="10"/>
  <c r="BK19" i="10"/>
  <c r="AU19" i="10"/>
  <c r="CO19" i="10"/>
  <c r="BY19" i="10"/>
  <c r="BI19" i="10"/>
  <c r="AS19" i="10"/>
  <c r="CM19" i="10"/>
  <c r="BW19" i="10"/>
  <c r="BG19" i="10"/>
  <c r="CK19" i="10"/>
  <c r="BE19" i="10"/>
  <c r="BU19" i="10"/>
  <c r="CY19" i="10"/>
  <c r="CI19" i="10"/>
  <c r="AI19" i="10" s="1"/>
  <c r="BS19" i="10"/>
  <c r="BC19" i="10"/>
  <c r="I19" i="10"/>
  <c r="CW19" i="10"/>
  <c r="CG19" i="10"/>
  <c r="BQ19" i="10"/>
  <c r="BA19" i="10"/>
  <c r="CM212" i="10"/>
  <c r="BW212" i="10"/>
  <c r="BG212" i="10"/>
  <c r="CW212" i="10"/>
  <c r="CG212" i="10"/>
  <c r="BQ212" i="10"/>
  <c r="BA212" i="10"/>
  <c r="CU212" i="10"/>
  <c r="CE212" i="10"/>
  <c r="BO212" i="10"/>
  <c r="AY212" i="10"/>
  <c r="CO212" i="10"/>
  <c r="BY212" i="10"/>
  <c r="BI212" i="10"/>
  <c r="AS212" i="10"/>
  <c r="CK212" i="10"/>
  <c r="BE212" i="10"/>
  <c r="CI212" i="10"/>
  <c r="BC212" i="10"/>
  <c r="I212" i="10"/>
  <c r="CC212" i="10"/>
  <c r="AW212" i="10"/>
  <c r="CA212" i="10"/>
  <c r="AU212" i="10"/>
  <c r="BU212" i="10"/>
  <c r="CY212" i="10"/>
  <c r="BS212" i="10"/>
  <c r="CS212" i="10"/>
  <c r="BM212" i="10"/>
  <c r="CQ212" i="10"/>
  <c r="BK212" i="10"/>
  <c r="CS179" i="10"/>
  <c r="CC179" i="10"/>
  <c r="BM179" i="10"/>
  <c r="AW179" i="10"/>
  <c r="CK179" i="10"/>
  <c r="BU179" i="10"/>
  <c r="BE179" i="10"/>
  <c r="CM179" i="10"/>
  <c r="BQ179" i="10"/>
  <c r="AU179" i="10"/>
  <c r="CG179" i="10"/>
  <c r="BK179" i="10"/>
  <c r="I179" i="10"/>
  <c r="CY179" i="10"/>
  <c r="CE179" i="10"/>
  <c r="BI179" i="10"/>
  <c r="CW179" i="10"/>
  <c r="CA179" i="10"/>
  <c r="BG179" i="10"/>
  <c r="CU179" i="10"/>
  <c r="BY179" i="10"/>
  <c r="BC179" i="10"/>
  <c r="CQ179" i="10"/>
  <c r="BW179" i="10"/>
  <c r="BA179" i="10"/>
  <c r="CI179" i="10"/>
  <c r="AI179" i="10" s="1"/>
  <c r="BS179" i="10"/>
  <c r="BO179" i="10"/>
  <c r="AY179" i="10"/>
  <c r="AS179" i="10"/>
  <c r="CO179" i="10"/>
  <c r="CM109" i="10"/>
  <c r="BW109" i="10"/>
  <c r="BG109" i="10"/>
  <c r="CK109" i="10"/>
  <c r="BU109" i="10"/>
  <c r="BE109" i="10"/>
  <c r="CY109" i="10"/>
  <c r="CI109" i="10"/>
  <c r="AI109" i="10" s="1"/>
  <c r="BS109" i="10"/>
  <c r="BC109" i="10"/>
  <c r="I109" i="10"/>
  <c r="CW109" i="10"/>
  <c r="CG109" i="10"/>
  <c r="BQ109" i="10"/>
  <c r="BA109" i="10"/>
  <c r="CU109" i="10"/>
  <c r="CE109" i="10"/>
  <c r="BO109" i="10"/>
  <c r="AY109" i="10"/>
  <c r="CS109" i="10"/>
  <c r="CC109" i="10"/>
  <c r="BM109" i="10"/>
  <c r="AW109" i="10"/>
  <c r="CQ109" i="10"/>
  <c r="CA109" i="10"/>
  <c r="BK109" i="10"/>
  <c r="AU109" i="10"/>
  <c r="CO109" i="10"/>
  <c r="BY109" i="10"/>
  <c r="BI109" i="10"/>
  <c r="AS109" i="10"/>
  <c r="CM98" i="10"/>
  <c r="BW98" i="10"/>
  <c r="BG98" i="10"/>
  <c r="CU98" i="10"/>
  <c r="CE98" i="10"/>
  <c r="BO98" i="10"/>
  <c r="AY98" i="10"/>
  <c r="CI98" i="10"/>
  <c r="AI98" i="10" s="1"/>
  <c r="BM98" i="10"/>
  <c r="AS98" i="10"/>
  <c r="CS98" i="10"/>
  <c r="BY98" i="10"/>
  <c r="BC98" i="10"/>
  <c r="CW98" i="10"/>
  <c r="BS98" i="10"/>
  <c r="CQ98" i="10"/>
  <c r="BQ98" i="10"/>
  <c r="CO98" i="10"/>
  <c r="BK98" i="10"/>
  <c r="CK98" i="10"/>
  <c r="AJ98" i="10" s="1"/>
  <c r="BI98" i="10"/>
  <c r="CG98" i="10"/>
  <c r="BE98" i="10"/>
  <c r="CC98" i="10"/>
  <c r="BA98" i="10"/>
  <c r="I98" i="10"/>
  <c r="CA98" i="10"/>
  <c r="AW98" i="10"/>
  <c r="CY98" i="10"/>
  <c r="BU98" i="10"/>
  <c r="AU98" i="10"/>
  <c r="CY77" i="10"/>
  <c r="CI77" i="10"/>
  <c r="BS77" i="10"/>
  <c r="BC77" i="10"/>
  <c r="I77" i="10"/>
  <c r="CW77" i="10"/>
  <c r="CG77" i="10"/>
  <c r="BQ77" i="10"/>
  <c r="BA77" i="10"/>
  <c r="CU77" i="10"/>
  <c r="CE77" i="10"/>
  <c r="BO77" i="10"/>
  <c r="AY77" i="10"/>
  <c r="CS77" i="10"/>
  <c r="CC77" i="10"/>
  <c r="BM77" i="10"/>
  <c r="AW77" i="10"/>
  <c r="CQ77" i="10"/>
  <c r="CA77" i="10"/>
  <c r="BK77" i="10"/>
  <c r="AU77" i="10"/>
  <c r="CO77" i="10"/>
  <c r="BY77" i="10"/>
  <c r="BI77" i="10"/>
  <c r="AS77" i="10"/>
  <c r="CM77" i="10"/>
  <c r="BW77" i="10"/>
  <c r="BG77" i="10"/>
  <c r="CK77" i="10"/>
  <c r="BU77" i="10"/>
  <c r="BE77" i="10"/>
  <c r="CS88" i="10"/>
  <c r="CC88" i="10"/>
  <c r="BM88" i="10"/>
  <c r="AW88" i="10"/>
  <c r="CK88" i="10"/>
  <c r="BU88" i="10"/>
  <c r="BE88" i="10"/>
  <c r="CQ88" i="10"/>
  <c r="BW88" i="10"/>
  <c r="BA88" i="10"/>
  <c r="CO88" i="10"/>
  <c r="BS88" i="10"/>
  <c r="AY88" i="10"/>
  <c r="CM88" i="10"/>
  <c r="BQ88" i="10"/>
  <c r="AU88" i="10"/>
  <c r="CI88" i="10"/>
  <c r="AI88" i="10" s="1"/>
  <c r="BO88" i="10"/>
  <c r="AS88" i="10"/>
  <c r="CG88" i="10"/>
  <c r="BK88" i="10"/>
  <c r="I88" i="10"/>
  <c r="CY88" i="10"/>
  <c r="CE88" i="10"/>
  <c r="BI88" i="10"/>
  <c r="CW88" i="10"/>
  <c r="CA88" i="10"/>
  <c r="BG88" i="10"/>
  <c r="CU88" i="10"/>
  <c r="BY88" i="10"/>
  <c r="BC88" i="10"/>
  <c r="CO147" i="10"/>
  <c r="BY147" i="10"/>
  <c r="BI147" i="10"/>
  <c r="AS147" i="10"/>
  <c r="CM147" i="10"/>
  <c r="BW147" i="10"/>
  <c r="CK147" i="10"/>
  <c r="BU147" i="10"/>
  <c r="BE147" i="10"/>
  <c r="CY147" i="10"/>
  <c r="CI147" i="10"/>
  <c r="AI147" i="10" s="1"/>
  <c r="BS147" i="10"/>
  <c r="BC147" i="10"/>
  <c r="I147" i="10"/>
  <c r="CW147" i="10"/>
  <c r="CG147" i="10"/>
  <c r="BQ147" i="10"/>
  <c r="BA147" i="10"/>
  <c r="CU147" i="10"/>
  <c r="CE147" i="10"/>
  <c r="CS147" i="10"/>
  <c r="CC147" i="10"/>
  <c r="BM147" i="10"/>
  <c r="AW147" i="10"/>
  <c r="CQ147" i="10"/>
  <c r="CA147" i="10"/>
  <c r="BK147" i="10"/>
  <c r="AU147" i="10"/>
  <c r="BO147" i="10"/>
  <c r="BG147" i="10"/>
  <c r="AY147" i="10"/>
  <c r="CK67" i="10"/>
  <c r="BU67" i="10"/>
  <c r="BE67" i="10"/>
  <c r="CY67" i="10"/>
  <c r="CI67" i="10"/>
  <c r="BS67" i="10"/>
  <c r="BC67" i="10"/>
  <c r="I67" i="10"/>
  <c r="CW67" i="10"/>
  <c r="CG67" i="10"/>
  <c r="BQ67" i="10"/>
  <c r="BA67" i="10"/>
  <c r="CU67" i="10"/>
  <c r="CE67" i="10"/>
  <c r="BO67" i="10"/>
  <c r="AY67" i="10"/>
  <c r="CS67" i="10"/>
  <c r="CC67" i="10"/>
  <c r="BM67" i="10"/>
  <c r="AW67" i="10"/>
  <c r="CQ67" i="10"/>
  <c r="CA67" i="10"/>
  <c r="BK67" i="10"/>
  <c r="AU67" i="10"/>
  <c r="CO67" i="10"/>
  <c r="BY67" i="10"/>
  <c r="BI67" i="10"/>
  <c r="AS67" i="10"/>
  <c r="CM67" i="10"/>
  <c r="BW67" i="10"/>
  <c r="BG67" i="10"/>
  <c r="CW33" i="10"/>
  <c r="CG33" i="10"/>
  <c r="BQ33" i="10"/>
  <c r="BA33" i="10"/>
  <c r="CO33" i="10"/>
  <c r="BY33" i="10"/>
  <c r="BI33" i="10"/>
  <c r="AS33" i="10"/>
  <c r="CQ33" i="10"/>
  <c r="BU33" i="10"/>
  <c r="AY33" i="10"/>
  <c r="CM33" i="10"/>
  <c r="BS33" i="10"/>
  <c r="AW33" i="10"/>
  <c r="CK33" i="10"/>
  <c r="BO33" i="10"/>
  <c r="AU33" i="10"/>
  <c r="CI33" i="10"/>
  <c r="AI33" i="10" s="1"/>
  <c r="BM33" i="10"/>
  <c r="I33" i="10"/>
  <c r="CE33" i="10"/>
  <c r="BK33" i="10"/>
  <c r="CY33" i="10"/>
  <c r="CC33" i="10"/>
  <c r="BG33" i="10"/>
  <c r="CU33" i="10"/>
  <c r="CA33" i="10"/>
  <c r="BE33" i="10"/>
  <c r="CS33" i="10"/>
  <c r="BW33" i="10"/>
  <c r="BC33" i="10"/>
  <c r="AI134" i="10"/>
  <c r="AJ134" i="10" s="1"/>
  <c r="AK134" i="10" s="1"/>
  <c r="AL134" i="10" s="1"/>
  <c r="AM134" i="10" s="1"/>
  <c r="AN134" i="10" s="1"/>
  <c r="AO134" i="10" s="1"/>
  <c r="AP134" i="10" s="1"/>
  <c r="AQ134" i="10" s="1"/>
  <c r="CI127" i="10"/>
  <c r="CW16" i="10"/>
  <c r="CG16" i="10"/>
  <c r="BQ16" i="10"/>
  <c r="BA16" i="10"/>
  <c r="CU16" i="10"/>
  <c r="CE16" i="10"/>
  <c r="BO16" i="10"/>
  <c r="AY16" i="10"/>
  <c r="CS16" i="10"/>
  <c r="CC16" i="10"/>
  <c r="BM16" i="10"/>
  <c r="AW16" i="10"/>
  <c r="CQ16" i="10"/>
  <c r="CA16" i="10"/>
  <c r="BK16" i="10"/>
  <c r="AU16" i="10"/>
  <c r="CO16" i="10"/>
  <c r="BY16" i="10"/>
  <c r="BI16" i="10"/>
  <c r="AS16" i="10"/>
  <c r="CM16" i="10"/>
  <c r="BG16" i="10"/>
  <c r="BW16" i="10"/>
  <c r="CK16" i="10"/>
  <c r="BU16" i="10"/>
  <c r="BE16" i="10"/>
  <c r="CY16" i="10"/>
  <c r="CI16" i="10"/>
  <c r="AI16" i="10" s="1"/>
  <c r="BS16" i="10"/>
  <c r="BC16" i="10"/>
  <c r="I16" i="10"/>
  <c r="CY13" i="10"/>
  <c r="CI13" i="10"/>
  <c r="AI13" i="10" s="1"/>
  <c r="BS13" i="10"/>
  <c r="BC13" i="10"/>
  <c r="I13" i="10"/>
  <c r="CW13" i="10"/>
  <c r="CG13" i="10"/>
  <c r="BQ13" i="10"/>
  <c r="BA13" i="10"/>
  <c r="CU13" i="10"/>
  <c r="CE13" i="10"/>
  <c r="BO13" i="10"/>
  <c r="AY13" i="10"/>
  <c r="CS13" i="10"/>
  <c r="CC13" i="10"/>
  <c r="BM13" i="10"/>
  <c r="AW13" i="10"/>
  <c r="CQ13" i="10"/>
  <c r="CA13" i="10"/>
  <c r="BK13" i="10"/>
  <c r="AU13" i="10"/>
  <c r="BY13" i="10"/>
  <c r="AS13" i="10"/>
  <c r="CO13" i="10"/>
  <c r="BI13" i="10"/>
  <c r="CM13" i="10"/>
  <c r="BW13" i="10"/>
  <c r="BG13" i="10"/>
  <c r="CK13" i="10"/>
  <c r="BU13" i="10"/>
  <c r="BE13" i="10"/>
  <c r="BK273" i="10"/>
  <c r="CQ17" i="10"/>
  <c r="CA17" i="10"/>
  <c r="BK17" i="10"/>
  <c r="AU17" i="10"/>
  <c r="CO17" i="10"/>
  <c r="BY17" i="10"/>
  <c r="BI17" i="10"/>
  <c r="AS17" i="10"/>
  <c r="CM17" i="10"/>
  <c r="BW17" i="10"/>
  <c r="BG17" i="10"/>
  <c r="CK17" i="10"/>
  <c r="BU17" i="10"/>
  <c r="BE17" i="10"/>
  <c r="CY17" i="10"/>
  <c r="CI17" i="10"/>
  <c r="AI17" i="10" s="1"/>
  <c r="BS17" i="10"/>
  <c r="BC17" i="10"/>
  <c r="I17" i="10"/>
  <c r="CW17" i="10"/>
  <c r="BQ17" i="10"/>
  <c r="CG17" i="10"/>
  <c r="BA17" i="10"/>
  <c r="CU17" i="10"/>
  <c r="CE17" i="10"/>
  <c r="BO17" i="10"/>
  <c r="AY17" i="10"/>
  <c r="CS17" i="10"/>
  <c r="CC17" i="10"/>
  <c r="BM17" i="10"/>
  <c r="AW17" i="10"/>
  <c r="CU11" i="10"/>
  <c r="CE11" i="10"/>
  <c r="BO11" i="10"/>
  <c r="AY11" i="10"/>
  <c r="CS11" i="10"/>
  <c r="CC11" i="10"/>
  <c r="BM11" i="10"/>
  <c r="AW11" i="10"/>
  <c r="CQ11" i="10"/>
  <c r="CA11" i="10"/>
  <c r="BK11" i="10"/>
  <c r="AU11" i="10"/>
  <c r="CO11" i="10"/>
  <c r="BY11" i="10"/>
  <c r="BI11" i="10"/>
  <c r="AS11" i="10"/>
  <c r="CM11" i="10"/>
  <c r="BW11" i="10"/>
  <c r="BG11" i="10"/>
  <c r="BU11" i="10"/>
  <c r="BE11" i="10"/>
  <c r="CK11" i="10"/>
  <c r="CY11" i="10"/>
  <c r="CI11" i="10"/>
  <c r="AI11" i="10" s="1"/>
  <c r="BS11" i="10"/>
  <c r="BC11" i="10"/>
  <c r="I11" i="10"/>
  <c r="CW11" i="10"/>
  <c r="CG11" i="10"/>
  <c r="BQ11" i="10"/>
  <c r="BA11" i="10"/>
  <c r="CY290" i="10"/>
  <c r="CI290" i="10"/>
  <c r="AI290" i="10" s="1"/>
  <c r="BS290" i="10"/>
  <c r="BC290" i="10"/>
  <c r="I290" i="10"/>
  <c r="CW290" i="10"/>
  <c r="CG290" i="10"/>
  <c r="BQ290" i="10"/>
  <c r="BA290" i="10"/>
  <c r="CU290" i="10"/>
  <c r="CE290" i="10"/>
  <c r="BO290" i="10"/>
  <c r="AY290" i="10"/>
  <c r="CK290" i="10"/>
  <c r="BI290" i="10"/>
  <c r="CS290" i="10"/>
  <c r="BW290" i="10"/>
  <c r="AU290" i="10"/>
  <c r="BU290" i="10"/>
  <c r="CO290" i="10"/>
  <c r="BG290" i="10"/>
  <c r="BE290" i="10"/>
  <c r="CA290" i="10"/>
  <c r="BY290" i="10"/>
  <c r="BM290" i="10"/>
  <c r="AS290" i="10"/>
  <c r="CQ290" i="10"/>
  <c r="CM290" i="10"/>
  <c r="CC290" i="10"/>
  <c r="AW290" i="10"/>
  <c r="BK290" i="10"/>
  <c r="CY176" i="10"/>
  <c r="CI176" i="10"/>
  <c r="AI176" i="10" s="1"/>
  <c r="BS176" i="10"/>
  <c r="BC176" i="10"/>
  <c r="I176" i="10"/>
  <c r="CU176" i="10"/>
  <c r="CS176" i="10"/>
  <c r="CC176" i="10"/>
  <c r="CQ176" i="10"/>
  <c r="CA176" i="10"/>
  <c r="BK176" i="10"/>
  <c r="AU176" i="10"/>
  <c r="CO176" i="10"/>
  <c r="BY176" i="10"/>
  <c r="BI176" i="10"/>
  <c r="AS176" i="10"/>
  <c r="CM176" i="10"/>
  <c r="BW176" i="10"/>
  <c r="BG176" i="10"/>
  <c r="CK176" i="10"/>
  <c r="BA176" i="10"/>
  <c r="CG176" i="10"/>
  <c r="AY176" i="10"/>
  <c r="CE176" i="10"/>
  <c r="AW176" i="10"/>
  <c r="BU176" i="10"/>
  <c r="BQ176" i="10"/>
  <c r="BO176" i="10"/>
  <c r="BM176" i="10"/>
  <c r="CW176" i="10"/>
  <c r="BE176" i="10"/>
  <c r="CQ214" i="10"/>
  <c r="CA214" i="10"/>
  <c r="BK214" i="10"/>
  <c r="AU214" i="10"/>
  <c r="CK214" i="10"/>
  <c r="BU214" i="10"/>
  <c r="BE214" i="10"/>
  <c r="CY214" i="10"/>
  <c r="CI214" i="10"/>
  <c r="AI214" i="10" s="1"/>
  <c r="BS214" i="10"/>
  <c r="BC214" i="10"/>
  <c r="I214" i="10"/>
  <c r="CS214" i="10"/>
  <c r="CC214" i="10"/>
  <c r="BM214" i="10"/>
  <c r="AW214" i="10"/>
  <c r="BW214" i="10"/>
  <c r="CW214" i="10"/>
  <c r="BQ214" i="10"/>
  <c r="CU214" i="10"/>
  <c r="BO214" i="10"/>
  <c r="CO214" i="10"/>
  <c r="BI214" i="10"/>
  <c r="CM214" i="10"/>
  <c r="BG214" i="10"/>
  <c r="CG214" i="10"/>
  <c r="BA214" i="10"/>
  <c r="CE214" i="10"/>
  <c r="AY214" i="10"/>
  <c r="BY214" i="10"/>
  <c r="AS214" i="10"/>
  <c r="CM220" i="10"/>
  <c r="BW220" i="10"/>
  <c r="BG220" i="10"/>
  <c r="CW220" i="10"/>
  <c r="CG220" i="10"/>
  <c r="BQ220" i="10"/>
  <c r="BA220" i="10"/>
  <c r="CU220" i="10"/>
  <c r="CE220" i="10"/>
  <c r="BO220" i="10"/>
  <c r="AY220" i="10"/>
  <c r="CO220" i="10"/>
  <c r="BY220" i="10"/>
  <c r="BI220" i="10"/>
  <c r="AS220" i="10"/>
  <c r="BU220" i="10"/>
  <c r="CY220" i="10"/>
  <c r="BS220" i="10"/>
  <c r="CS220" i="10"/>
  <c r="BM220" i="10"/>
  <c r="CQ220" i="10"/>
  <c r="BK220" i="10"/>
  <c r="CK220" i="10"/>
  <c r="BE220" i="10"/>
  <c r="CI220" i="10"/>
  <c r="AI220" i="10" s="1"/>
  <c r="BC220" i="10"/>
  <c r="I220" i="10"/>
  <c r="CC220" i="10"/>
  <c r="AW220" i="10"/>
  <c r="CA220" i="10"/>
  <c r="AU220" i="10"/>
  <c r="CW181" i="10"/>
  <c r="CG181" i="10"/>
  <c r="BQ181" i="10"/>
  <c r="BA181" i="10"/>
  <c r="CO181" i="10"/>
  <c r="AL181" i="10" s="1"/>
  <c r="BY181" i="10"/>
  <c r="BI181" i="10"/>
  <c r="AS181" i="10"/>
  <c r="CI181" i="10"/>
  <c r="AI181" i="10" s="1"/>
  <c r="BM181" i="10"/>
  <c r="I181" i="10"/>
  <c r="CY181" i="10"/>
  <c r="CC181" i="10"/>
  <c r="BG181" i="10"/>
  <c r="CU181" i="10"/>
  <c r="CA181" i="10"/>
  <c r="BE181" i="10"/>
  <c r="CS181" i="10"/>
  <c r="BW181" i="10"/>
  <c r="BC181" i="10"/>
  <c r="CQ181" i="10"/>
  <c r="BU181" i="10"/>
  <c r="AY181" i="10"/>
  <c r="CM181" i="10"/>
  <c r="BS181" i="10"/>
  <c r="AW181" i="10"/>
  <c r="BO181" i="10"/>
  <c r="BK181" i="10"/>
  <c r="AU181" i="10"/>
  <c r="CK181" i="10"/>
  <c r="CE181" i="10"/>
  <c r="CY107" i="10"/>
  <c r="CI107" i="10"/>
  <c r="AI107" i="10" s="1"/>
  <c r="BS107" i="10"/>
  <c r="BC107" i="10"/>
  <c r="I107" i="10"/>
  <c r="CW107" i="10"/>
  <c r="CG107" i="10"/>
  <c r="BQ107" i="10"/>
  <c r="BA107" i="10"/>
  <c r="CU107" i="10"/>
  <c r="CE107" i="10"/>
  <c r="BO107" i="10"/>
  <c r="AY107" i="10"/>
  <c r="CS107" i="10"/>
  <c r="CC107" i="10"/>
  <c r="BM107" i="10"/>
  <c r="AW107" i="10"/>
  <c r="CQ107" i="10"/>
  <c r="CA107" i="10"/>
  <c r="BK107" i="10"/>
  <c r="AU107" i="10"/>
  <c r="CO107" i="10"/>
  <c r="BY107" i="10"/>
  <c r="BI107" i="10"/>
  <c r="AS107" i="10"/>
  <c r="CM107" i="10"/>
  <c r="BW107" i="10"/>
  <c r="BG107" i="10"/>
  <c r="CK107" i="10"/>
  <c r="BU107" i="10"/>
  <c r="BE107" i="10"/>
  <c r="CQ97" i="10"/>
  <c r="CA97" i="10"/>
  <c r="BK97" i="10"/>
  <c r="AU97" i="10"/>
  <c r="CY97" i="10"/>
  <c r="CI97" i="10"/>
  <c r="AI97" i="10" s="1"/>
  <c r="BS97" i="10"/>
  <c r="BC97" i="10"/>
  <c r="I97" i="10"/>
  <c r="CG97" i="10"/>
  <c r="BM97" i="10"/>
  <c r="CS97" i="10"/>
  <c r="BW97" i="10"/>
  <c r="BA97" i="10"/>
  <c r="CU97" i="10"/>
  <c r="BQ97" i="10"/>
  <c r="CO97" i="10"/>
  <c r="BO97" i="10"/>
  <c r="CM97" i="10"/>
  <c r="BI97" i="10"/>
  <c r="CK97" i="10"/>
  <c r="BG97" i="10"/>
  <c r="CE97" i="10"/>
  <c r="BE97" i="10"/>
  <c r="CC97" i="10"/>
  <c r="AY97" i="10"/>
  <c r="BY97" i="10"/>
  <c r="AW97" i="10"/>
  <c r="CW97" i="10"/>
  <c r="BU97" i="10"/>
  <c r="AS97" i="10"/>
  <c r="CY87" i="10"/>
  <c r="CI87" i="10"/>
  <c r="AI87" i="10" s="1"/>
  <c r="BS87" i="10"/>
  <c r="BC87" i="10"/>
  <c r="I87" i="10"/>
  <c r="CQ87" i="10"/>
  <c r="CA87" i="10"/>
  <c r="BK87" i="10"/>
  <c r="AU87" i="10"/>
  <c r="CU87" i="10"/>
  <c r="BY87" i="10"/>
  <c r="BE87" i="10"/>
  <c r="CS87" i="10"/>
  <c r="BW87" i="10"/>
  <c r="BA87" i="10"/>
  <c r="CO87" i="10"/>
  <c r="BU87" i="10"/>
  <c r="AY87" i="10"/>
  <c r="CM87" i="10"/>
  <c r="BQ87" i="10"/>
  <c r="AW87" i="10"/>
  <c r="CK87" i="10"/>
  <c r="BO87" i="10"/>
  <c r="AS87" i="10"/>
  <c r="CG87" i="10"/>
  <c r="BM87" i="10"/>
  <c r="CE87" i="10"/>
  <c r="BI87" i="10"/>
  <c r="CW87" i="10"/>
  <c r="CC87" i="10"/>
  <c r="BG87" i="10"/>
  <c r="CM150" i="10"/>
  <c r="BW150" i="10"/>
  <c r="BG150" i="10"/>
  <c r="CK150" i="10"/>
  <c r="BU150" i="10"/>
  <c r="BE150" i="10"/>
  <c r="CY150" i="10"/>
  <c r="CI150" i="10"/>
  <c r="AI150" i="10" s="1"/>
  <c r="BS150" i="10"/>
  <c r="BC150" i="10"/>
  <c r="I150" i="10"/>
  <c r="CW150" i="10"/>
  <c r="CG150" i="10"/>
  <c r="BQ150" i="10"/>
  <c r="BA150" i="10"/>
  <c r="CU150" i="10"/>
  <c r="CE150" i="10"/>
  <c r="BO150" i="10"/>
  <c r="AY150" i="10"/>
  <c r="CS150" i="10"/>
  <c r="CC150" i="10"/>
  <c r="BM150" i="10"/>
  <c r="AW150" i="10"/>
  <c r="CQ150" i="10"/>
  <c r="CA150" i="10"/>
  <c r="BK150" i="10"/>
  <c r="AU150" i="10"/>
  <c r="CO150" i="10"/>
  <c r="BY150" i="10"/>
  <c r="BI150" i="10"/>
  <c r="AS150" i="10"/>
  <c r="CW8" i="10"/>
  <c r="CG8" i="10"/>
  <c r="BQ8" i="10"/>
  <c r="BA8" i="10"/>
  <c r="CU8" i="10"/>
  <c r="CE8" i="10"/>
  <c r="BO8" i="10"/>
  <c r="AY8" i="10"/>
  <c r="CS8" i="10"/>
  <c r="CC8" i="10"/>
  <c r="BM8" i="10"/>
  <c r="AW8" i="10"/>
  <c r="CQ8" i="10"/>
  <c r="CA8" i="10"/>
  <c r="BK8" i="10"/>
  <c r="AU8" i="10"/>
  <c r="CO8" i="10"/>
  <c r="BY8" i="10"/>
  <c r="BI8" i="10"/>
  <c r="AS8" i="10"/>
  <c r="CM8" i="10"/>
  <c r="BW8" i="10"/>
  <c r="BG8" i="10"/>
  <c r="CK8" i="10"/>
  <c r="BU8" i="10"/>
  <c r="BE8" i="10"/>
  <c r="CY8" i="10"/>
  <c r="CI8" i="10"/>
  <c r="AI8" i="10" s="1"/>
  <c r="BS8" i="10"/>
  <c r="BC8" i="10"/>
  <c r="I8" i="10"/>
  <c r="CO41" i="10"/>
  <c r="BY41" i="10"/>
  <c r="BI41" i="10"/>
  <c r="AS41" i="10"/>
  <c r="CM41" i="10"/>
  <c r="BW41" i="10"/>
  <c r="BG41" i="10"/>
  <c r="CK41" i="10"/>
  <c r="BU41" i="10"/>
  <c r="BE41" i="10"/>
  <c r="CY41" i="10"/>
  <c r="CI41" i="10"/>
  <c r="AI41" i="10" s="1"/>
  <c r="BS41" i="10"/>
  <c r="BC41" i="10"/>
  <c r="I41" i="10"/>
  <c r="CW41" i="10"/>
  <c r="CG41" i="10"/>
  <c r="BQ41" i="10"/>
  <c r="BA41" i="10"/>
  <c r="CU41" i="10"/>
  <c r="CE41" i="10"/>
  <c r="BO41" i="10"/>
  <c r="AY41" i="10"/>
  <c r="CS41" i="10"/>
  <c r="CC41" i="10"/>
  <c r="BM41" i="10"/>
  <c r="AW41" i="10"/>
  <c r="CQ41" i="10"/>
  <c r="CA41" i="10"/>
  <c r="BK41" i="10"/>
  <c r="AU41" i="10"/>
  <c r="CQ9" i="10"/>
  <c r="CA9" i="10"/>
  <c r="BK9" i="10"/>
  <c r="AU9" i="10"/>
  <c r="CO9" i="10"/>
  <c r="BY9" i="10"/>
  <c r="BI9" i="10"/>
  <c r="AS9" i="10"/>
  <c r="CM9" i="10"/>
  <c r="BW9" i="10"/>
  <c r="BG9" i="10"/>
  <c r="CK9" i="10"/>
  <c r="BU9" i="10"/>
  <c r="BE9" i="10"/>
  <c r="CY9" i="10"/>
  <c r="CI9" i="10"/>
  <c r="AI9" i="10" s="1"/>
  <c r="BS9" i="10"/>
  <c r="BC9" i="10"/>
  <c r="I9" i="10"/>
  <c r="CW9" i="10"/>
  <c r="BQ9" i="10"/>
  <c r="CG9" i="10"/>
  <c r="BA9" i="10"/>
  <c r="CU9" i="10"/>
  <c r="CE9" i="10"/>
  <c r="BO9" i="10"/>
  <c r="AY9" i="10"/>
  <c r="CS9" i="10"/>
  <c r="CC9" i="10"/>
  <c r="BM9" i="10"/>
  <c r="AW9" i="10"/>
  <c r="G21" i="9"/>
  <c r="G20" i="9"/>
  <c r="G19" i="9"/>
  <c r="G18" i="9"/>
  <c r="G17" i="9"/>
  <c r="G16" i="9"/>
  <c r="G15" i="9"/>
  <c r="G14" i="9"/>
  <c r="G13" i="9"/>
  <c r="G12" i="9"/>
  <c r="G11" i="9"/>
  <c r="G10" i="9"/>
  <c r="G9" i="9"/>
  <c r="G8" i="9"/>
  <c r="G7" i="9"/>
  <c r="K6" i="9"/>
  <c r="J6" i="9"/>
  <c r="I6" i="9"/>
  <c r="H6" i="9"/>
  <c r="F6" i="9"/>
  <c r="AJ258" i="5"/>
  <c r="AK258" i="5" s="1"/>
  <c r="AL258" i="5" s="1"/>
  <c r="AM258" i="5" s="1"/>
  <c r="AN258" i="5" s="1"/>
  <c r="AO258" i="5" s="1"/>
  <c r="AP258" i="5" s="1"/>
  <c r="AQ258" i="5" s="1"/>
  <c r="AJ257" i="5"/>
  <c r="AK257" i="5" s="1"/>
  <c r="AL257" i="5" s="1"/>
  <c r="AM257" i="5" s="1"/>
  <c r="AN257" i="5" s="1"/>
  <c r="AO257" i="5" s="1"/>
  <c r="AP257" i="5" s="1"/>
  <c r="AQ257" i="5" s="1"/>
  <c r="AM227" i="5"/>
  <c r="AM223" i="5"/>
  <c r="AK220" i="5"/>
  <c r="AK216" i="5"/>
  <c r="AL213" i="5"/>
  <c r="AL183" i="5"/>
  <c r="AO182" i="5"/>
  <c r="AM182" i="5"/>
  <c r="AL177" i="5"/>
  <c r="AL126" i="5"/>
  <c r="AJ125" i="5"/>
  <c r="AJ121" i="5"/>
  <c r="AK121" i="5" s="1"/>
  <c r="AL121" i="5" s="1"/>
  <c r="AM121" i="5" s="1"/>
  <c r="AN121" i="5" s="1"/>
  <c r="AO121" i="5" s="1"/>
  <c r="AP121" i="5" s="1"/>
  <c r="AQ121" i="5" s="1"/>
  <c r="AL72" i="5"/>
  <c r="AJ72" i="5"/>
  <c r="AK72" i="5" s="1"/>
  <c r="AL65" i="5"/>
  <c r="AM48" i="5"/>
  <c r="AM47" i="5"/>
  <c r="AM44" i="5"/>
  <c r="AM39" i="5"/>
  <c r="AN28" i="5"/>
  <c r="AJ273" i="5"/>
  <c r="AK281" i="5"/>
  <c r="AL281" i="5" s="1"/>
  <c r="AM281" i="5" s="1"/>
  <c r="AN281" i="5" s="1"/>
  <c r="AO281" i="5" s="1"/>
  <c r="AP281" i="5" s="1"/>
  <c r="AQ281" i="5" s="1"/>
  <c r="AJ281" i="5"/>
  <c r="AK280" i="5"/>
  <c r="AL280" i="5" s="1"/>
  <c r="AM280" i="5" s="1"/>
  <c r="AN280" i="5" s="1"/>
  <c r="AO280" i="5" s="1"/>
  <c r="AP280" i="5" s="1"/>
  <c r="AQ280" i="5" s="1"/>
  <c r="AJ280" i="5"/>
  <c r="AK279" i="5"/>
  <c r="AL279" i="5" s="1"/>
  <c r="AM279" i="5" s="1"/>
  <c r="AN279" i="5" s="1"/>
  <c r="AO279" i="5" s="1"/>
  <c r="AP279" i="5" s="1"/>
  <c r="AQ279" i="5" s="1"/>
  <c r="AJ279" i="5"/>
  <c r="AK278" i="5"/>
  <c r="AL278" i="5" s="1"/>
  <c r="AM278" i="5" s="1"/>
  <c r="AN278" i="5" s="1"/>
  <c r="AO278" i="5" s="1"/>
  <c r="AP278" i="5" s="1"/>
  <c r="AQ278" i="5" s="1"/>
  <c r="AJ278" i="5"/>
  <c r="AK277" i="5"/>
  <c r="AL277" i="5" s="1"/>
  <c r="AM277" i="5" s="1"/>
  <c r="AN277" i="5" s="1"/>
  <c r="AO277" i="5" s="1"/>
  <c r="AP277" i="5" s="1"/>
  <c r="AQ277" i="5" s="1"/>
  <c r="AJ277" i="5"/>
  <c r="AK276" i="5"/>
  <c r="AL276" i="5" s="1"/>
  <c r="AM276" i="5" s="1"/>
  <c r="AN276" i="5" s="1"/>
  <c r="AO276" i="5" s="1"/>
  <c r="AP276" i="5" s="1"/>
  <c r="AQ276" i="5" s="1"/>
  <c r="AJ276" i="5"/>
  <c r="AK275" i="5"/>
  <c r="AL275" i="5" s="1"/>
  <c r="AM275" i="5" s="1"/>
  <c r="AN275" i="5" s="1"/>
  <c r="AO275" i="5" s="1"/>
  <c r="AP275" i="5" s="1"/>
  <c r="AQ275" i="5" s="1"/>
  <c r="AJ275" i="5"/>
  <c r="AK274" i="5"/>
  <c r="AL274" i="5" s="1"/>
  <c r="AM274" i="5" s="1"/>
  <c r="AN274" i="5" s="1"/>
  <c r="AO274" i="5" s="1"/>
  <c r="AP274" i="5" s="1"/>
  <c r="AQ274" i="5" s="1"/>
  <c r="AJ274" i="5"/>
  <c r="AK273" i="5"/>
  <c r="AL273" i="5" s="1"/>
  <c r="AM273" i="5" s="1"/>
  <c r="AN273" i="5" s="1"/>
  <c r="AO273" i="5" s="1"/>
  <c r="AP273" i="5" s="1"/>
  <c r="AQ273" i="5" s="1"/>
  <c r="AJ271" i="5"/>
  <c r="AK271" i="5" s="1"/>
  <c r="AL271" i="5" s="1"/>
  <c r="AM271" i="5" s="1"/>
  <c r="AN271" i="5" s="1"/>
  <c r="AO271" i="5" s="1"/>
  <c r="AP271" i="5" s="1"/>
  <c r="AQ271" i="5" s="1"/>
  <c r="AJ270" i="5"/>
  <c r="AK270" i="5" s="1"/>
  <c r="AL270" i="5" s="1"/>
  <c r="AM270" i="5" s="1"/>
  <c r="AN270" i="5" s="1"/>
  <c r="AO270" i="5" s="1"/>
  <c r="AP270" i="5" s="1"/>
  <c r="AQ270" i="5" s="1"/>
  <c r="AJ269" i="5"/>
  <c r="AK269" i="5" s="1"/>
  <c r="AL269" i="5" s="1"/>
  <c r="AM269" i="5" s="1"/>
  <c r="AN269" i="5" s="1"/>
  <c r="AO269" i="5" s="1"/>
  <c r="AP269" i="5" s="1"/>
  <c r="AQ269" i="5" s="1"/>
  <c r="AJ268" i="5"/>
  <c r="AK268" i="5" s="1"/>
  <c r="AL268" i="5" s="1"/>
  <c r="AM268" i="5" s="1"/>
  <c r="AN268" i="5" s="1"/>
  <c r="AO268" i="5" s="1"/>
  <c r="AP268" i="5" s="1"/>
  <c r="AQ268" i="5" s="1"/>
  <c r="AJ267" i="5"/>
  <c r="AK267" i="5" s="1"/>
  <c r="AL267" i="5" s="1"/>
  <c r="AM267" i="5" s="1"/>
  <c r="AN267" i="5" s="1"/>
  <c r="AO267" i="5" s="1"/>
  <c r="AP267" i="5" s="1"/>
  <c r="AQ267" i="5" s="1"/>
  <c r="AJ266" i="5"/>
  <c r="AK266" i="5" s="1"/>
  <c r="AL266" i="5" s="1"/>
  <c r="AM266" i="5" s="1"/>
  <c r="AN266" i="5" s="1"/>
  <c r="AO266" i="5" s="1"/>
  <c r="AP266" i="5" s="1"/>
  <c r="AQ266" i="5" s="1"/>
  <c r="AJ265" i="5"/>
  <c r="AK265" i="5" s="1"/>
  <c r="AL265" i="5" s="1"/>
  <c r="AM265" i="5" s="1"/>
  <c r="AN265" i="5" s="1"/>
  <c r="AO265" i="5" s="1"/>
  <c r="AP265" i="5" s="1"/>
  <c r="AQ265" i="5" s="1"/>
  <c r="AJ264" i="5"/>
  <c r="AK264" i="5" s="1"/>
  <c r="AL264" i="5" s="1"/>
  <c r="AM264" i="5" s="1"/>
  <c r="AN264" i="5" s="1"/>
  <c r="AO264" i="5" s="1"/>
  <c r="AP264" i="5" s="1"/>
  <c r="AQ264" i="5" s="1"/>
  <c r="AJ263" i="5"/>
  <c r="AK263" i="5" s="1"/>
  <c r="AL263" i="5" s="1"/>
  <c r="AM263" i="5" s="1"/>
  <c r="AN263" i="5" s="1"/>
  <c r="AO263" i="5" s="1"/>
  <c r="AP263" i="5" s="1"/>
  <c r="AQ263" i="5" s="1"/>
  <c r="AJ262" i="5"/>
  <c r="AK262" i="5" s="1"/>
  <c r="AL262" i="5" s="1"/>
  <c r="AM262" i="5" s="1"/>
  <c r="AN262" i="5" s="1"/>
  <c r="AO262" i="5" s="1"/>
  <c r="AP262" i="5" s="1"/>
  <c r="AQ262" i="5" s="1"/>
  <c r="AJ261" i="5"/>
  <c r="AK261" i="5" s="1"/>
  <c r="AL261" i="5" s="1"/>
  <c r="AM261" i="5" s="1"/>
  <c r="AN261" i="5" s="1"/>
  <c r="AO261" i="5" s="1"/>
  <c r="AP261" i="5" s="1"/>
  <c r="AQ261" i="5" s="1"/>
  <c r="AJ260" i="5"/>
  <c r="AK260" i="5" s="1"/>
  <c r="AL260" i="5" s="1"/>
  <c r="AM260" i="5" s="1"/>
  <c r="AN260" i="5" s="1"/>
  <c r="AO260" i="5" s="1"/>
  <c r="AP260" i="5" s="1"/>
  <c r="AQ260" i="5" s="1"/>
  <c r="AJ256" i="5"/>
  <c r="AK256" i="5" s="1"/>
  <c r="AL256" i="5" s="1"/>
  <c r="AM256" i="5" s="1"/>
  <c r="AN256" i="5" s="1"/>
  <c r="AO256" i="5" s="1"/>
  <c r="AP256" i="5" s="1"/>
  <c r="AQ256" i="5" s="1"/>
  <c r="AJ254" i="5"/>
  <c r="AK254" i="5" s="1"/>
  <c r="AL254" i="5" s="1"/>
  <c r="AM254" i="5" s="1"/>
  <c r="AN254" i="5" s="1"/>
  <c r="AO254" i="5" s="1"/>
  <c r="AP254" i="5" s="1"/>
  <c r="AQ254" i="5" s="1"/>
  <c r="AJ253" i="5"/>
  <c r="AK253" i="5" s="1"/>
  <c r="AL253" i="5" s="1"/>
  <c r="AM253" i="5" s="1"/>
  <c r="AN253" i="5" s="1"/>
  <c r="AO253" i="5" s="1"/>
  <c r="AP253" i="5" s="1"/>
  <c r="AQ253" i="5" s="1"/>
  <c r="AK251" i="5"/>
  <c r="AL251" i="5" s="1"/>
  <c r="AM251" i="5" s="1"/>
  <c r="AN251" i="5" s="1"/>
  <c r="AO251" i="5" s="1"/>
  <c r="AP251" i="5" s="1"/>
  <c r="AQ251" i="5" s="1"/>
  <c r="AJ251" i="5"/>
  <c r="AK250" i="5"/>
  <c r="AL250" i="5" s="1"/>
  <c r="AM250" i="5" s="1"/>
  <c r="AN250" i="5" s="1"/>
  <c r="AO250" i="5" s="1"/>
  <c r="AP250" i="5" s="1"/>
  <c r="AQ250" i="5" s="1"/>
  <c r="AJ250" i="5"/>
  <c r="AK249" i="5"/>
  <c r="AL249" i="5" s="1"/>
  <c r="AM249" i="5" s="1"/>
  <c r="AN249" i="5" s="1"/>
  <c r="AO249" i="5" s="1"/>
  <c r="AP249" i="5" s="1"/>
  <c r="AQ249" i="5" s="1"/>
  <c r="AJ249" i="5"/>
  <c r="AK248" i="5"/>
  <c r="AL248" i="5" s="1"/>
  <c r="AM248" i="5" s="1"/>
  <c r="AN248" i="5" s="1"/>
  <c r="AO248" i="5" s="1"/>
  <c r="AP248" i="5" s="1"/>
  <c r="AQ248" i="5" s="1"/>
  <c r="AJ248" i="5"/>
  <c r="AK247" i="5"/>
  <c r="AL247" i="5" s="1"/>
  <c r="AM247" i="5" s="1"/>
  <c r="AN247" i="5" s="1"/>
  <c r="AO247" i="5" s="1"/>
  <c r="AP247" i="5" s="1"/>
  <c r="AQ247" i="5" s="1"/>
  <c r="AJ247" i="5"/>
  <c r="AK246" i="5"/>
  <c r="AL246" i="5" s="1"/>
  <c r="AM246" i="5" s="1"/>
  <c r="AN246" i="5" s="1"/>
  <c r="AO246" i="5" s="1"/>
  <c r="AP246" i="5" s="1"/>
  <c r="AQ246" i="5" s="1"/>
  <c r="AJ246" i="5"/>
  <c r="AK245" i="5"/>
  <c r="AL245" i="5" s="1"/>
  <c r="AM245" i="5" s="1"/>
  <c r="AN245" i="5" s="1"/>
  <c r="AO245" i="5" s="1"/>
  <c r="AP245" i="5" s="1"/>
  <c r="AQ245" i="5" s="1"/>
  <c r="AJ245" i="5"/>
  <c r="AK244" i="5"/>
  <c r="AL244" i="5" s="1"/>
  <c r="AM244" i="5" s="1"/>
  <c r="AN244" i="5" s="1"/>
  <c r="AO244" i="5" s="1"/>
  <c r="AP244" i="5" s="1"/>
  <c r="AQ244" i="5" s="1"/>
  <c r="AJ244" i="5"/>
  <c r="AJ242" i="5"/>
  <c r="AK242" i="5" s="1"/>
  <c r="AL242" i="5" s="1"/>
  <c r="AM242" i="5" s="1"/>
  <c r="AN242" i="5" s="1"/>
  <c r="AO242" i="5" s="1"/>
  <c r="AP242" i="5" s="1"/>
  <c r="AQ242" i="5" s="1"/>
  <c r="AJ241" i="5"/>
  <c r="AK241" i="5" s="1"/>
  <c r="AL241" i="5" s="1"/>
  <c r="AM241" i="5" s="1"/>
  <c r="AN241" i="5" s="1"/>
  <c r="AO241" i="5" s="1"/>
  <c r="AP241" i="5" s="1"/>
  <c r="AQ241" i="5" s="1"/>
  <c r="AJ240" i="5"/>
  <c r="AK240" i="5" s="1"/>
  <c r="AL240" i="5" s="1"/>
  <c r="AM240" i="5" s="1"/>
  <c r="AN240" i="5" s="1"/>
  <c r="AO240" i="5" s="1"/>
  <c r="AP240" i="5" s="1"/>
  <c r="AQ240" i="5" s="1"/>
  <c r="AJ239" i="5"/>
  <c r="AK239" i="5" s="1"/>
  <c r="AL239" i="5" s="1"/>
  <c r="AM239" i="5" s="1"/>
  <c r="AN239" i="5" s="1"/>
  <c r="AO239" i="5" s="1"/>
  <c r="AP239" i="5" s="1"/>
  <c r="AQ239" i="5" s="1"/>
  <c r="AJ238" i="5"/>
  <c r="AK238" i="5" s="1"/>
  <c r="AL238" i="5" s="1"/>
  <c r="AM238" i="5" s="1"/>
  <c r="AN238" i="5" s="1"/>
  <c r="AO238" i="5" s="1"/>
  <c r="AP238" i="5" s="1"/>
  <c r="AQ238" i="5" s="1"/>
  <c r="AJ237" i="5"/>
  <c r="AK237" i="5" s="1"/>
  <c r="AL237" i="5" s="1"/>
  <c r="AM237" i="5" s="1"/>
  <c r="AN237" i="5" s="1"/>
  <c r="AO237" i="5" s="1"/>
  <c r="AP237" i="5" s="1"/>
  <c r="AQ237" i="5" s="1"/>
  <c r="AJ236" i="5"/>
  <c r="AK236" i="5" s="1"/>
  <c r="AL236" i="5" s="1"/>
  <c r="AM236" i="5" s="1"/>
  <c r="AN236" i="5" s="1"/>
  <c r="AO236" i="5" s="1"/>
  <c r="AP236" i="5" s="1"/>
  <c r="AQ236" i="5" s="1"/>
  <c r="AJ235" i="5"/>
  <c r="AK235" i="5" s="1"/>
  <c r="AL235" i="5" s="1"/>
  <c r="AM235" i="5" s="1"/>
  <c r="AN235" i="5" s="1"/>
  <c r="AO235" i="5" s="1"/>
  <c r="AP235" i="5" s="1"/>
  <c r="AQ235" i="5" s="1"/>
  <c r="AK233" i="5"/>
  <c r="AL233" i="5" s="1"/>
  <c r="AM233" i="5" s="1"/>
  <c r="AN233" i="5" s="1"/>
  <c r="AO233" i="5" s="1"/>
  <c r="AP233" i="5" s="1"/>
  <c r="AQ233" i="5" s="1"/>
  <c r="AJ233" i="5"/>
  <c r="AK232" i="5"/>
  <c r="AL232" i="5" s="1"/>
  <c r="AM232" i="5" s="1"/>
  <c r="AN232" i="5" s="1"/>
  <c r="AO232" i="5" s="1"/>
  <c r="AP232" i="5" s="1"/>
  <c r="AQ232" i="5" s="1"/>
  <c r="AJ232" i="5"/>
  <c r="AK231" i="5"/>
  <c r="AL231" i="5" s="1"/>
  <c r="AM231" i="5" s="1"/>
  <c r="AN231" i="5" s="1"/>
  <c r="AO231" i="5" s="1"/>
  <c r="AP231" i="5" s="1"/>
  <c r="AQ231" i="5" s="1"/>
  <c r="AJ231" i="5"/>
  <c r="AK230" i="5"/>
  <c r="AL230" i="5" s="1"/>
  <c r="AM230" i="5" s="1"/>
  <c r="AN230" i="5" s="1"/>
  <c r="AO230" i="5" s="1"/>
  <c r="AP230" i="5" s="1"/>
  <c r="AQ230" i="5" s="1"/>
  <c r="AJ230" i="5"/>
  <c r="AK229" i="5"/>
  <c r="AL229" i="5" s="1"/>
  <c r="AM229" i="5" s="1"/>
  <c r="AN229" i="5" s="1"/>
  <c r="AO229" i="5" s="1"/>
  <c r="AP229" i="5" s="1"/>
  <c r="AQ229" i="5" s="1"/>
  <c r="AJ229" i="5"/>
  <c r="AK228" i="5"/>
  <c r="AL228" i="5" s="1"/>
  <c r="AM228" i="5" s="1"/>
  <c r="AN228" i="5" s="1"/>
  <c r="AO228" i="5" s="1"/>
  <c r="AP228" i="5" s="1"/>
  <c r="AQ228" i="5" s="1"/>
  <c r="AJ228" i="5"/>
  <c r="AK227" i="5"/>
  <c r="AL227" i="5" s="1"/>
  <c r="AN227" i="5" s="1"/>
  <c r="AO227" i="5" s="1"/>
  <c r="AP227" i="5" s="1"/>
  <c r="AQ227" i="5" s="1"/>
  <c r="AJ227" i="5"/>
  <c r="AK226" i="5"/>
  <c r="AL226" i="5" s="1"/>
  <c r="AM226" i="5" s="1"/>
  <c r="AN226" i="5" s="1"/>
  <c r="AO226" i="5" s="1"/>
  <c r="AP226" i="5" s="1"/>
  <c r="AQ226" i="5" s="1"/>
  <c r="AJ226" i="5"/>
  <c r="AK225" i="5"/>
  <c r="AL225" i="5" s="1"/>
  <c r="AM225" i="5" s="1"/>
  <c r="AN225" i="5" s="1"/>
  <c r="AO225" i="5" s="1"/>
  <c r="AP225" i="5" s="1"/>
  <c r="AQ225" i="5" s="1"/>
  <c r="AJ225" i="5"/>
  <c r="AK224" i="5"/>
  <c r="AL224" i="5" s="1"/>
  <c r="AM224" i="5" s="1"/>
  <c r="AN224" i="5" s="1"/>
  <c r="AO224" i="5" s="1"/>
  <c r="AP224" i="5" s="1"/>
  <c r="AQ224" i="5" s="1"/>
  <c r="AJ224" i="5"/>
  <c r="AK223" i="5"/>
  <c r="AL223" i="5" s="1"/>
  <c r="AJ223" i="5"/>
  <c r="AK222" i="5"/>
  <c r="AL222" i="5" s="1"/>
  <c r="AM222" i="5" s="1"/>
  <c r="AN222" i="5" s="1"/>
  <c r="AO222" i="5" s="1"/>
  <c r="AP222" i="5" s="1"/>
  <c r="AQ222" i="5" s="1"/>
  <c r="AJ222" i="5"/>
  <c r="AJ220" i="5"/>
  <c r="AJ219" i="5"/>
  <c r="AK219" i="5" s="1"/>
  <c r="AL219" i="5" s="1"/>
  <c r="AM219" i="5" s="1"/>
  <c r="AN219" i="5" s="1"/>
  <c r="AO219" i="5" s="1"/>
  <c r="AP219" i="5" s="1"/>
  <c r="AQ219" i="5" s="1"/>
  <c r="AJ218" i="5"/>
  <c r="AK218" i="5" s="1"/>
  <c r="AL218" i="5" s="1"/>
  <c r="AM218" i="5" s="1"/>
  <c r="AN218" i="5" s="1"/>
  <c r="AO218" i="5" s="1"/>
  <c r="AP218" i="5" s="1"/>
  <c r="AQ218" i="5" s="1"/>
  <c r="AJ217" i="5"/>
  <c r="AK217" i="5" s="1"/>
  <c r="AL217" i="5" s="1"/>
  <c r="AM217" i="5" s="1"/>
  <c r="AN217" i="5" s="1"/>
  <c r="AO217" i="5" s="1"/>
  <c r="AP217" i="5" s="1"/>
  <c r="AQ217" i="5" s="1"/>
  <c r="AJ216" i="5"/>
  <c r="AJ215" i="5"/>
  <c r="AK215" i="5" s="1"/>
  <c r="AL215" i="5" s="1"/>
  <c r="AM215" i="5" s="1"/>
  <c r="AN215" i="5" s="1"/>
  <c r="AO215" i="5" s="1"/>
  <c r="AP215" i="5" s="1"/>
  <c r="AQ215" i="5" s="1"/>
  <c r="AK213" i="5"/>
  <c r="AM213" i="5" s="1"/>
  <c r="AN213" i="5" s="1"/>
  <c r="AO213" i="5" s="1"/>
  <c r="AP213" i="5" s="1"/>
  <c r="AQ213" i="5" s="1"/>
  <c r="AJ213" i="5"/>
  <c r="AK212" i="5"/>
  <c r="AL212" i="5" s="1"/>
  <c r="AM212" i="5" s="1"/>
  <c r="AN212" i="5" s="1"/>
  <c r="AO212" i="5" s="1"/>
  <c r="AP212" i="5" s="1"/>
  <c r="AQ212" i="5" s="1"/>
  <c r="AJ212" i="5"/>
  <c r="AK211" i="5"/>
  <c r="AL211" i="5" s="1"/>
  <c r="AM211" i="5" s="1"/>
  <c r="AN211" i="5" s="1"/>
  <c r="AO211" i="5" s="1"/>
  <c r="AP211" i="5" s="1"/>
  <c r="AQ211" i="5" s="1"/>
  <c r="AJ211" i="5"/>
  <c r="AK210" i="5"/>
  <c r="AL210" i="5" s="1"/>
  <c r="AM210" i="5" s="1"/>
  <c r="AN210" i="5" s="1"/>
  <c r="AO210" i="5" s="1"/>
  <c r="AP210" i="5" s="1"/>
  <c r="AQ210" i="5" s="1"/>
  <c r="AJ210" i="5"/>
  <c r="AK209" i="5"/>
  <c r="AL209" i="5" s="1"/>
  <c r="AM209" i="5" s="1"/>
  <c r="AN209" i="5" s="1"/>
  <c r="AO209" i="5" s="1"/>
  <c r="AP209" i="5" s="1"/>
  <c r="AQ209" i="5" s="1"/>
  <c r="AJ209" i="5"/>
  <c r="AK208" i="5"/>
  <c r="AL208" i="5" s="1"/>
  <c r="AM208" i="5" s="1"/>
  <c r="AN208" i="5" s="1"/>
  <c r="AO208" i="5" s="1"/>
  <c r="AP208" i="5" s="1"/>
  <c r="AQ208" i="5" s="1"/>
  <c r="AJ208" i="5"/>
  <c r="AK207" i="5"/>
  <c r="AL207" i="5" s="1"/>
  <c r="AM207" i="5" s="1"/>
  <c r="AN207" i="5" s="1"/>
  <c r="AO207" i="5" s="1"/>
  <c r="AP207" i="5" s="1"/>
  <c r="AQ207" i="5" s="1"/>
  <c r="AJ207" i="5"/>
  <c r="AK206" i="5"/>
  <c r="AL206" i="5" s="1"/>
  <c r="AM206" i="5" s="1"/>
  <c r="AN206" i="5" s="1"/>
  <c r="AO206" i="5" s="1"/>
  <c r="AP206" i="5" s="1"/>
  <c r="AQ206" i="5" s="1"/>
  <c r="AJ206" i="5"/>
  <c r="AK205" i="5"/>
  <c r="AL205" i="5" s="1"/>
  <c r="AM205" i="5" s="1"/>
  <c r="AN205" i="5" s="1"/>
  <c r="AO205" i="5" s="1"/>
  <c r="AP205" i="5" s="1"/>
  <c r="AQ205" i="5" s="1"/>
  <c r="AJ205" i="5"/>
  <c r="AK204" i="5"/>
  <c r="AL204" i="5" s="1"/>
  <c r="AM204" i="5" s="1"/>
  <c r="AN204" i="5" s="1"/>
  <c r="AO204" i="5" s="1"/>
  <c r="AP204" i="5" s="1"/>
  <c r="AQ204" i="5" s="1"/>
  <c r="AJ204" i="5"/>
  <c r="AK202" i="5"/>
  <c r="AL202" i="5" s="1"/>
  <c r="AM202" i="5" s="1"/>
  <c r="AN202" i="5" s="1"/>
  <c r="AO202" i="5" s="1"/>
  <c r="AP202" i="5" s="1"/>
  <c r="AQ202" i="5" s="1"/>
  <c r="AJ202" i="5"/>
  <c r="AK201" i="5"/>
  <c r="AL201" i="5" s="1"/>
  <c r="AM201" i="5" s="1"/>
  <c r="AN201" i="5" s="1"/>
  <c r="AO201" i="5" s="1"/>
  <c r="AP201" i="5" s="1"/>
  <c r="AQ201" i="5" s="1"/>
  <c r="AJ201" i="5"/>
  <c r="AK200" i="5"/>
  <c r="AL200" i="5" s="1"/>
  <c r="AM200" i="5" s="1"/>
  <c r="AN200" i="5" s="1"/>
  <c r="AO200" i="5" s="1"/>
  <c r="AP200" i="5" s="1"/>
  <c r="AQ200" i="5" s="1"/>
  <c r="AJ200" i="5"/>
  <c r="AK199" i="5"/>
  <c r="AL199" i="5" s="1"/>
  <c r="AM199" i="5" s="1"/>
  <c r="AN199" i="5" s="1"/>
  <c r="AO199" i="5" s="1"/>
  <c r="AP199" i="5" s="1"/>
  <c r="AQ199" i="5" s="1"/>
  <c r="AJ199" i="5"/>
  <c r="AK198" i="5"/>
  <c r="AL198" i="5" s="1"/>
  <c r="AM198" i="5" s="1"/>
  <c r="AN198" i="5" s="1"/>
  <c r="AO198" i="5" s="1"/>
  <c r="AP198" i="5" s="1"/>
  <c r="AQ198" i="5" s="1"/>
  <c r="AJ198" i="5"/>
  <c r="AK197" i="5"/>
  <c r="AL197" i="5" s="1"/>
  <c r="AM197" i="5" s="1"/>
  <c r="AN197" i="5" s="1"/>
  <c r="AO197" i="5" s="1"/>
  <c r="AP197" i="5" s="1"/>
  <c r="AQ197" i="5" s="1"/>
  <c r="AJ197" i="5"/>
  <c r="AK196" i="5"/>
  <c r="AL196" i="5" s="1"/>
  <c r="AM196" i="5" s="1"/>
  <c r="AN196" i="5" s="1"/>
  <c r="AO196" i="5" s="1"/>
  <c r="AP196" i="5" s="1"/>
  <c r="AQ196" i="5" s="1"/>
  <c r="AJ196" i="5"/>
  <c r="AK195" i="5"/>
  <c r="AL195" i="5" s="1"/>
  <c r="AM195" i="5" s="1"/>
  <c r="AN195" i="5" s="1"/>
  <c r="AO195" i="5" s="1"/>
  <c r="AP195" i="5" s="1"/>
  <c r="AQ195" i="5" s="1"/>
  <c r="AJ195" i="5"/>
  <c r="AJ193" i="5"/>
  <c r="AK193" i="5" s="1"/>
  <c r="AL193" i="5" s="1"/>
  <c r="AM193" i="5" s="1"/>
  <c r="AN193" i="5" s="1"/>
  <c r="AO193" i="5" s="1"/>
  <c r="AP193" i="5" s="1"/>
  <c r="AQ193" i="5" s="1"/>
  <c r="AJ192" i="5"/>
  <c r="AK192" i="5" s="1"/>
  <c r="AL192" i="5" s="1"/>
  <c r="AM192" i="5" s="1"/>
  <c r="AN192" i="5" s="1"/>
  <c r="AO192" i="5" s="1"/>
  <c r="AP192" i="5" s="1"/>
  <c r="AQ192" i="5" s="1"/>
  <c r="AJ191" i="5"/>
  <c r="AK191" i="5" s="1"/>
  <c r="AL191" i="5" s="1"/>
  <c r="AM191" i="5" s="1"/>
  <c r="AN191" i="5" s="1"/>
  <c r="AO191" i="5" s="1"/>
  <c r="AP191" i="5" s="1"/>
  <c r="AQ191" i="5" s="1"/>
  <c r="AJ190" i="5"/>
  <c r="AK190" i="5" s="1"/>
  <c r="AL190" i="5" s="1"/>
  <c r="AM190" i="5" s="1"/>
  <c r="AN190" i="5" s="1"/>
  <c r="AO190" i="5" s="1"/>
  <c r="AP190" i="5" s="1"/>
  <c r="AQ190" i="5" s="1"/>
  <c r="AJ189" i="5"/>
  <c r="AK189" i="5" s="1"/>
  <c r="AL189" i="5" s="1"/>
  <c r="AM189" i="5" s="1"/>
  <c r="AN189" i="5" s="1"/>
  <c r="AO189" i="5" s="1"/>
  <c r="AP189" i="5" s="1"/>
  <c r="AQ189" i="5" s="1"/>
  <c r="AJ188" i="5"/>
  <c r="AK188" i="5" s="1"/>
  <c r="AL188" i="5" s="1"/>
  <c r="AM188" i="5" s="1"/>
  <c r="AN188" i="5" s="1"/>
  <c r="AO188" i="5" s="1"/>
  <c r="AP188" i="5" s="1"/>
  <c r="AQ188" i="5" s="1"/>
  <c r="AJ187" i="5"/>
  <c r="AK187" i="5" s="1"/>
  <c r="AL187" i="5" s="1"/>
  <c r="AM187" i="5" s="1"/>
  <c r="AN187" i="5" s="1"/>
  <c r="AO187" i="5" s="1"/>
  <c r="AP187" i="5" s="1"/>
  <c r="AQ187" i="5" s="1"/>
  <c r="AJ186" i="5"/>
  <c r="AK186" i="5" s="1"/>
  <c r="AL186" i="5" s="1"/>
  <c r="AM186" i="5" s="1"/>
  <c r="AN186" i="5" s="1"/>
  <c r="AO186" i="5" s="1"/>
  <c r="AP186" i="5" s="1"/>
  <c r="AQ186" i="5" s="1"/>
  <c r="AJ184" i="5"/>
  <c r="AK184" i="5" s="1"/>
  <c r="AL184" i="5" s="1"/>
  <c r="AM184" i="5" s="1"/>
  <c r="AN184" i="5" s="1"/>
  <c r="AO184" i="5" s="1"/>
  <c r="AP184" i="5" s="1"/>
  <c r="AQ184" i="5" s="1"/>
  <c r="AJ183" i="5"/>
  <c r="AK183" i="5" s="1"/>
  <c r="AJ182" i="5"/>
  <c r="AK182" i="5" s="1"/>
  <c r="AL182" i="5" s="1"/>
  <c r="AJ181" i="5"/>
  <c r="AK181" i="5" s="1"/>
  <c r="AL181" i="5" s="1"/>
  <c r="AM181" i="5" s="1"/>
  <c r="AN181" i="5" s="1"/>
  <c r="AO181" i="5" s="1"/>
  <c r="AP181" i="5" s="1"/>
  <c r="AQ181" i="5" s="1"/>
  <c r="AJ180" i="5"/>
  <c r="AK180" i="5" s="1"/>
  <c r="AL180" i="5" s="1"/>
  <c r="AM180" i="5" s="1"/>
  <c r="AN180" i="5" s="1"/>
  <c r="AO180" i="5" s="1"/>
  <c r="AP180" i="5" s="1"/>
  <c r="AQ180" i="5" s="1"/>
  <c r="AJ179" i="5"/>
  <c r="AK179" i="5" s="1"/>
  <c r="AL179" i="5" s="1"/>
  <c r="AM179" i="5" s="1"/>
  <c r="AN179" i="5" s="1"/>
  <c r="AO179" i="5" s="1"/>
  <c r="AP179" i="5" s="1"/>
  <c r="AQ179" i="5" s="1"/>
  <c r="AJ178" i="5"/>
  <c r="AK178" i="5" s="1"/>
  <c r="AL178" i="5" s="1"/>
  <c r="AM178" i="5" s="1"/>
  <c r="AN178" i="5" s="1"/>
  <c r="AO178" i="5" s="1"/>
  <c r="AP178" i="5" s="1"/>
  <c r="AQ178" i="5" s="1"/>
  <c r="AJ177" i="5"/>
  <c r="AK177" i="5" s="1"/>
  <c r="AM177" i="5" s="1"/>
  <c r="AN177" i="5" s="1"/>
  <c r="AO177" i="5" s="1"/>
  <c r="AP177" i="5" s="1"/>
  <c r="AQ177" i="5" s="1"/>
  <c r="AJ176" i="5"/>
  <c r="AK176" i="5" s="1"/>
  <c r="AL176" i="5" s="1"/>
  <c r="AM176" i="5" s="1"/>
  <c r="AN176" i="5" s="1"/>
  <c r="AO176" i="5" s="1"/>
  <c r="AP176" i="5" s="1"/>
  <c r="AQ176" i="5" s="1"/>
  <c r="AJ175" i="5"/>
  <c r="AK175" i="5" s="1"/>
  <c r="AL175" i="5" s="1"/>
  <c r="AM175" i="5" s="1"/>
  <c r="AN175" i="5" s="1"/>
  <c r="AO175" i="5" s="1"/>
  <c r="AP175" i="5" s="1"/>
  <c r="AQ175" i="5" s="1"/>
  <c r="AJ174" i="5"/>
  <c r="AK174" i="5" s="1"/>
  <c r="AL174" i="5" s="1"/>
  <c r="AM174" i="5" s="1"/>
  <c r="AN174" i="5" s="1"/>
  <c r="AO174" i="5" s="1"/>
  <c r="AP174" i="5" s="1"/>
  <c r="AQ174" i="5" s="1"/>
  <c r="AJ173" i="5"/>
  <c r="AK173" i="5" s="1"/>
  <c r="AL173" i="5" s="1"/>
  <c r="AM173" i="5" s="1"/>
  <c r="AN173" i="5" s="1"/>
  <c r="AO173" i="5" s="1"/>
  <c r="AP173" i="5" s="1"/>
  <c r="AQ173" i="5" s="1"/>
  <c r="AJ172" i="5"/>
  <c r="AK172" i="5" s="1"/>
  <c r="AL172" i="5" s="1"/>
  <c r="AM172" i="5" s="1"/>
  <c r="AN172" i="5" s="1"/>
  <c r="AO172" i="5" s="1"/>
  <c r="AP172" i="5" s="1"/>
  <c r="AQ172" i="5" s="1"/>
  <c r="AJ171" i="5"/>
  <c r="AK171" i="5" s="1"/>
  <c r="AL171" i="5" s="1"/>
  <c r="AM171" i="5" s="1"/>
  <c r="AN171" i="5" s="1"/>
  <c r="AO171" i="5" s="1"/>
  <c r="AP171" i="5" s="1"/>
  <c r="AQ171" i="5" s="1"/>
  <c r="AJ170" i="5"/>
  <c r="AK170" i="5" s="1"/>
  <c r="AL170" i="5" s="1"/>
  <c r="AM170" i="5" s="1"/>
  <c r="AN170" i="5" s="1"/>
  <c r="AO170" i="5" s="1"/>
  <c r="AP170" i="5" s="1"/>
  <c r="AQ170" i="5" s="1"/>
  <c r="AJ168" i="5"/>
  <c r="AK168" i="5" s="1"/>
  <c r="AL168" i="5" s="1"/>
  <c r="AM168" i="5" s="1"/>
  <c r="AN168" i="5" s="1"/>
  <c r="AO168" i="5" s="1"/>
  <c r="AP168" i="5" s="1"/>
  <c r="AQ168" i="5" s="1"/>
  <c r="AJ167" i="5"/>
  <c r="AK167" i="5" s="1"/>
  <c r="AL167" i="5" s="1"/>
  <c r="AM167" i="5" s="1"/>
  <c r="AN167" i="5" s="1"/>
  <c r="AO167" i="5" s="1"/>
  <c r="AP167" i="5" s="1"/>
  <c r="AQ167" i="5" s="1"/>
  <c r="AJ166" i="5"/>
  <c r="AK166" i="5" s="1"/>
  <c r="AL166" i="5" s="1"/>
  <c r="AM166" i="5" s="1"/>
  <c r="AN166" i="5" s="1"/>
  <c r="AO166" i="5" s="1"/>
  <c r="AP166" i="5" s="1"/>
  <c r="AQ166" i="5" s="1"/>
  <c r="AJ165" i="5"/>
  <c r="AK165" i="5" s="1"/>
  <c r="AL165" i="5" s="1"/>
  <c r="AM165" i="5" s="1"/>
  <c r="AN165" i="5" s="1"/>
  <c r="AO165" i="5" s="1"/>
  <c r="AP165" i="5" s="1"/>
  <c r="AQ165" i="5" s="1"/>
  <c r="AJ164" i="5"/>
  <c r="AK164" i="5" s="1"/>
  <c r="AL164" i="5" s="1"/>
  <c r="AM164" i="5" s="1"/>
  <c r="AN164" i="5" s="1"/>
  <c r="AO164" i="5" s="1"/>
  <c r="AP164" i="5" s="1"/>
  <c r="AQ164" i="5" s="1"/>
  <c r="AJ163" i="5"/>
  <c r="AK163" i="5" s="1"/>
  <c r="AL163" i="5" s="1"/>
  <c r="AM163" i="5" s="1"/>
  <c r="AN163" i="5" s="1"/>
  <c r="AO163" i="5" s="1"/>
  <c r="AP163" i="5" s="1"/>
  <c r="AQ163" i="5" s="1"/>
  <c r="AJ162" i="5"/>
  <c r="AK162" i="5" s="1"/>
  <c r="AL162" i="5" s="1"/>
  <c r="AM162" i="5" s="1"/>
  <c r="AN162" i="5" s="1"/>
  <c r="AO162" i="5" s="1"/>
  <c r="AP162" i="5" s="1"/>
  <c r="AQ162" i="5" s="1"/>
  <c r="AJ161" i="5"/>
  <c r="AK161" i="5" s="1"/>
  <c r="AL161" i="5" s="1"/>
  <c r="AM161" i="5" s="1"/>
  <c r="AN161" i="5" s="1"/>
  <c r="AO161" i="5" s="1"/>
  <c r="AP161" i="5" s="1"/>
  <c r="AQ161" i="5" s="1"/>
  <c r="AJ160" i="5"/>
  <c r="AK160" i="5" s="1"/>
  <c r="AL160" i="5" s="1"/>
  <c r="AM160" i="5" s="1"/>
  <c r="AN160" i="5" s="1"/>
  <c r="AO160" i="5" s="1"/>
  <c r="AP160" i="5" s="1"/>
  <c r="AQ160" i="5" s="1"/>
  <c r="AJ159" i="5"/>
  <c r="AK159" i="5" s="1"/>
  <c r="AL159" i="5" s="1"/>
  <c r="AM159" i="5" s="1"/>
  <c r="AN159" i="5" s="1"/>
  <c r="AO159" i="5" s="1"/>
  <c r="AP159" i="5" s="1"/>
  <c r="AQ159" i="5" s="1"/>
  <c r="AJ158" i="5"/>
  <c r="AK158" i="5" s="1"/>
  <c r="AL158" i="5" s="1"/>
  <c r="AM158" i="5" s="1"/>
  <c r="AN158" i="5" s="1"/>
  <c r="AO158" i="5" s="1"/>
  <c r="AP158" i="5" s="1"/>
  <c r="AQ158" i="5" s="1"/>
  <c r="AJ157" i="5"/>
  <c r="AK157" i="5" s="1"/>
  <c r="AL157" i="5" s="1"/>
  <c r="AM157" i="5" s="1"/>
  <c r="AN157" i="5" s="1"/>
  <c r="AO157" i="5" s="1"/>
  <c r="AP157" i="5" s="1"/>
  <c r="AQ157" i="5" s="1"/>
  <c r="AJ130" i="5"/>
  <c r="AK130" i="5" s="1"/>
  <c r="AL130" i="5" s="1"/>
  <c r="AM130" i="5" s="1"/>
  <c r="AN130" i="5" s="1"/>
  <c r="AO130" i="5" s="1"/>
  <c r="AP130" i="5" s="1"/>
  <c r="AQ130" i="5" s="1"/>
  <c r="AJ129" i="5"/>
  <c r="AK129" i="5" s="1"/>
  <c r="AL129" i="5" s="1"/>
  <c r="AM129" i="5" s="1"/>
  <c r="AN129" i="5" s="1"/>
  <c r="AO129" i="5" s="1"/>
  <c r="AP129" i="5" s="1"/>
  <c r="AQ129" i="5" s="1"/>
  <c r="AJ128" i="5"/>
  <c r="AK128" i="5" s="1"/>
  <c r="AL128" i="5" s="1"/>
  <c r="AM128" i="5" s="1"/>
  <c r="AN128" i="5" s="1"/>
  <c r="AO128" i="5" s="1"/>
  <c r="AP128" i="5" s="1"/>
  <c r="AQ128" i="5" s="1"/>
  <c r="AJ127" i="5"/>
  <c r="AK127" i="5" s="1"/>
  <c r="AL127" i="5" s="1"/>
  <c r="AM127" i="5" s="1"/>
  <c r="AN127" i="5" s="1"/>
  <c r="AO127" i="5" s="1"/>
  <c r="AP127" i="5" s="1"/>
  <c r="AQ127" i="5" s="1"/>
  <c r="AJ126" i="5"/>
  <c r="AK126" i="5" s="1"/>
  <c r="AK125" i="5"/>
  <c r="AL125" i="5" s="1"/>
  <c r="AM125" i="5" s="1"/>
  <c r="AN125" i="5" s="1"/>
  <c r="AO125" i="5" s="1"/>
  <c r="AP125" i="5" s="1"/>
  <c r="AQ125" i="5" s="1"/>
  <c r="AK124" i="5"/>
  <c r="AL124" i="5" s="1"/>
  <c r="AM124" i="5" s="1"/>
  <c r="AN124" i="5" s="1"/>
  <c r="AO124" i="5" s="1"/>
  <c r="AP124" i="5" s="1"/>
  <c r="AQ124" i="5" s="1"/>
  <c r="AK123" i="5"/>
  <c r="AL123" i="5" s="1"/>
  <c r="AM123" i="5" s="1"/>
  <c r="AN123" i="5" s="1"/>
  <c r="AO123" i="5" s="1"/>
  <c r="AP123" i="5" s="1"/>
  <c r="AQ123" i="5" s="1"/>
  <c r="AK120" i="5"/>
  <c r="AL120" i="5" s="1"/>
  <c r="AM120" i="5" s="1"/>
  <c r="AN120" i="5" s="1"/>
  <c r="AO120" i="5" s="1"/>
  <c r="AP120" i="5" s="1"/>
  <c r="AQ120" i="5" s="1"/>
  <c r="AJ120" i="5"/>
  <c r="AK119" i="5"/>
  <c r="AL119" i="5" s="1"/>
  <c r="AM119" i="5" s="1"/>
  <c r="AN119" i="5" s="1"/>
  <c r="AO119" i="5" s="1"/>
  <c r="AP119" i="5" s="1"/>
  <c r="AQ119" i="5" s="1"/>
  <c r="AJ119" i="5"/>
  <c r="AK118" i="5"/>
  <c r="AL118" i="5" s="1"/>
  <c r="AM118" i="5" s="1"/>
  <c r="AN118" i="5" s="1"/>
  <c r="AO118" i="5" s="1"/>
  <c r="AP118" i="5" s="1"/>
  <c r="AQ118" i="5" s="1"/>
  <c r="AJ118" i="5"/>
  <c r="AK117" i="5"/>
  <c r="AL117" i="5" s="1"/>
  <c r="AM117" i="5" s="1"/>
  <c r="AN117" i="5" s="1"/>
  <c r="AO117" i="5" s="1"/>
  <c r="AP117" i="5" s="1"/>
  <c r="AQ117" i="5" s="1"/>
  <c r="AJ117" i="5"/>
  <c r="AK116" i="5"/>
  <c r="AL116" i="5" s="1"/>
  <c r="AM116" i="5" s="1"/>
  <c r="AN116" i="5" s="1"/>
  <c r="AO116" i="5" s="1"/>
  <c r="AP116" i="5" s="1"/>
  <c r="AQ116" i="5" s="1"/>
  <c r="AJ116" i="5"/>
  <c r="AK115" i="5"/>
  <c r="AL115" i="5" s="1"/>
  <c r="AM115" i="5" s="1"/>
  <c r="AN115" i="5" s="1"/>
  <c r="AO115" i="5" s="1"/>
  <c r="AP115" i="5" s="1"/>
  <c r="AQ115" i="5" s="1"/>
  <c r="AJ115" i="5"/>
  <c r="AK114" i="5"/>
  <c r="AL114" i="5" s="1"/>
  <c r="AM114" i="5" s="1"/>
  <c r="AN114" i="5" s="1"/>
  <c r="AO114" i="5" s="1"/>
  <c r="AP114" i="5" s="1"/>
  <c r="AQ114" i="5" s="1"/>
  <c r="AJ114" i="5"/>
  <c r="AK113" i="5"/>
  <c r="AL113" i="5" s="1"/>
  <c r="AM113" i="5" s="1"/>
  <c r="AN113" i="5" s="1"/>
  <c r="AO113" i="5" s="1"/>
  <c r="AP113" i="5" s="1"/>
  <c r="AQ113" i="5" s="1"/>
  <c r="AJ113" i="5"/>
  <c r="AJ111" i="5"/>
  <c r="AK111" i="5" s="1"/>
  <c r="AL111" i="5" s="1"/>
  <c r="AM111" i="5" s="1"/>
  <c r="AN111" i="5" s="1"/>
  <c r="AO111" i="5" s="1"/>
  <c r="AP111" i="5" s="1"/>
  <c r="AQ111" i="5" s="1"/>
  <c r="AJ110" i="5"/>
  <c r="AK110" i="5" s="1"/>
  <c r="AL110" i="5" s="1"/>
  <c r="AM110" i="5" s="1"/>
  <c r="AN110" i="5" s="1"/>
  <c r="AO110" i="5" s="1"/>
  <c r="AP110" i="5" s="1"/>
  <c r="AQ110" i="5" s="1"/>
  <c r="AJ109" i="5"/>
  <c r="AK109" i="5" s="1"/>
  <c r="AL109" i="5" s="1"/>
  <c r="AM109" i="5" s="1"/>
  <c r="AN109" i="5" s="1"/>
  <c r="AO109" i="5" s="1"/>
  <c r="AP109" i="5" s="1"/>
  <c r="AQ109" i="5" s="1"/>
  <c r="AJ108" i="5"/>
  <c r="AK108" i="5" s="1"/>
  <c r="AL108" i="5" s="1"/>
  <c r="AM108" i="5" s="1"/>
  <c r="AN108" i="5" s="1"/>
  <c r="AO108" i="5" s="1"/>
  <c r="AP108" i="5" s="1"/>
  <c r="AQ108" i="5" s="1"/>
  <c r="AJ107" i="5"/>
  <c r="AK107" i="5" s="1"/>
  <c r="AL107" i="5" s="1"/>
  <c r="AM107" i="5" s="1"/>
  <c r="AN107" i="5" s="1"/>
  <c r="AO107" i="5" s="1"/>
  <c r="AP107" i="5" s="1"/>
  <c r="AQ107" i="5" s="1"/>
  <c r="AJ106" i="5"/>
  <c r="AK106" i="5" s="1"/>
  <c r="AL106" i="5" s="1"/>
  <c r="AM106" i="5" s="1"/>
  <c r="AN106" i="5" s="1"/>
  <c r="AO106" i="5" s="1"/>
  <c r="AP106" i="5" s="1"/>
  <c r="AQ106" i="5" s="1"/>
  <c r="AJ105" i="5"/>
  <c r="AK105" i="5" s="1"/>
  <c r="AL105" i="5" s="1"/>
  <c r="AM105" i="5" s="1"/>
  <c r="AN105" i="5" s="1"/>
  <c r="AO105" i="5" s="1"/>
  <c r="AP105" i="5" s="1"/>
  <c r="AQ105" i="5" s="1"/>
  <c r="AJ104" i="5"/>
  <c r="AK104" i="5" s="1"/>
  <c r="AL104" i="5" s="1"/>
  <c r="AM104" i="5" s="1"/>
  <c r="AN104" i="5" s="1"/>
  <c r="AO104" i="5" s="1"/>
  <c r="AP104" i="5" s="1"/>
  <c r="AQ104" i="5" s="1"/>
  <c r="AJ103" i="5"/>
  <c r="AK103" i="5" s="1"/>
  <c r="AL103" i="5" s="1"/>
  <c r="AM103" i="5" s="1"/>
  <c r="AN103" i="5" s="1"/>
  <c r="AO103" i="5" s="1"/>
  <c r="AP103" i="5" s="1"/>
  <c r="AQ103" i="5" s="1"/>
  <c r="AJ102" i="5"/>
  <c r="AK102" i="5" s="1"/>
  <c r="AL102" i="5" s="1"/>
  <c r="AM102" i="5" s="1"/>
  <c r="AN102" i="5" s="1"/>
  <c r="AO102" i="5" s="1"/>
  <c r="AP102" i="5" s="1"/>
  <c r="AQ102" i="5" s="1"/>
  <c r="AJ101" i="5"/>
  <c r="AK101" i="5" s="1"/>
  <c r="AL101" i="5" s="1"/>
  <c r="AM101" i="5" s="1"/>
  <c r="AN101" i="5" s="1"/>
  <c r="AO101" i="5" s="1"/>
  <c r="AP101" i="5" s="1"/>
  <c r="AQ101" i="5" s="1"/>
  <c r="AJ100" i="5"/>
  <c r="AK100" i="5" s="1"/>
  <c r="AL100" i="5" s="1"/>
  <c r="AM100" i="5" s="1"/>
  <c r="AN100" i="5" s="1"/>
  <c r="AO100" i="5" s="1"/>
  <c r="AP100" i="5" s="1"/>
  <c r="AQ100" i="5" s="1"/>
  <c r="AK98" i="5"/>
  <c r="AL98" i="5" s="1"/>
  <c r="AM98" i="5" s="1"/>
  <c r="AN98" i="5" s="1"/>
  <c r="AO98" i="5" s="1"/>
  <c r="AP98" i="5" s="1"/>
  <c r="AQ98" i="5" s="1"/>
  <c r="AJ98" i="5"/>
  <c r="AK97" i="5"/>
  <c r="AL97" i="5" s="1"/>
  <c r="AM97" i="5" s="1"/>
  <c r="AN97" i="5" s="1"/>
  <c r="AO97" i="5" s="1"/>
  <c r="AP97" i="5" s="1"/>
  <c r="AQ97" i="5" s="1"/>
  <c r="AJ97" i="5"/>
  <c r="AK96" i="5"/>
  <c r="AL96" i="5" s="1"/>
  <c r="AM96" i="5" s="1"/>
  <c r="AN96" i="5" s="1"/>
  <c r="AO96" i="5" s="1"/>
  <c r="AP96" i="5" s="1"/>
  <c r="AQ96" i="5" s="1"/>
  <c r="AJ96" i="5"/>
  <c r="AK95" i="5"/>
  <c r="AL95" i="5" s="1"/>
  <c r="AM95" i="5" s="1"/>
  <c r="AN95" i="5" s="1"/>
  <c r="AO95" i="5" s="1"/>
  <c r="AP95" i="5" s="1"/>
  <c r="AQ95" i="5" s="1"/>
  <c r="AJ95" i="5"/>
  <c r="AK94" i="5"/>
  <c r="AL94" i="5" s="1"/>
  <c r="AM94" i="5" s="1"/>
  <c r="AN94" i="5" s="1"/>
  <c r="AO94" i="5" s="1"/>
  <c r="AP94" i="5" s="1"/>
  <c r="AQ94" i="5" s="1"/>
  <c r="AJ94" i="5"/>
  <c r="AK93" i="5"/>
  <c r="AL93" i="5" s="1"/>
  <c r="AM93" i="5" s="1"/>
  <c r="AN93" i="5" s="1"/>
  <c r="AO93" i="5" s="1"/>
  <c r="AP93" i="5" s="1"/>
  <c r="AQ93" i="5" s="1"/>
  <c r="AJ93" i="5"/>
  <c r="AK92" i="5"/>
  <c r="AL92" i="5" s="1"/>
  <c r="AM92" i="5" s="1"/>
  <c r="AN92" i="5" s="1"/>
  <c r="AO92" i="5" s="1"/>
  <c r="AP92" i="5" s="1"/>
  <c r="AQ92" i="5" s="1"/>
  <c r="AJ92" i="5"/>
  <c r="AK91" i="5"/>
  <c r="AL91" i="5" s="1"/>
  <c r="AM91" i="5" s="1"/>
  <c r="AN91" i="5" s="1"/>
  <c r="AO91" i="5" s="1"/>
  <c r="AP91" i="5" s="1"/>
  <c r="AQ91" i="5" s="1"/>
  <c r="AJ91" i="5"/>
  <c r="AK90" i="5"/>
  <c r="AL90" i="5" s="1"/>
  <c r="AM90" i="5" s="1"/>
  <c r="AN90" i="5" s="1"/>
  <c r="AO90" i="5" s="1"/>
  <c r="AP90" i="5" s="1"/>
  <c r="AQ90" i="5" s="1"/>
  <c r="AJ90" i="5"/>
  <c r="AK89" i="5"/>
  <c r="AL89" i="5" s="1"/>
  <c r="AM89" i="5" s="1"/>
  <c r="AN89" i="5" s="1"/>
  <c r="AO89" i="5" s="1"/>
  <c r="AP89" i="5" s="1"/>
  <c r="AQ89" i="5" s="1"/>
  <c r="AJ89" i="5"/>
  <c r="AK88" i="5"/>
  <c r="AL88" i="5" s="1"/>
  <c r="AM88" i="5" s="1"/>
  <c r="AN88" i="5" s="1"/>
  <c r="AO88" i="5" s="1"/>
  <c r="AP88" i="5" s="1"/>
  <c r="AQ88" i="5" s="1"/>
  <c r="AJ88" i="5"/>
  <c r="AK87" i="5"/>
  <c r="AL87" i="5" s="1"/>
  <c r="AM87" i="5" s="1"/>
  <c r="AN87" i="5" s="1"/>
  <c r="AO87" i="5" s="1"/>
  <c r="AP87" i="5" s="1"/>
  <c r="AQ87" i="5" s="1"/>
  <c r="AJ87" i="5"/>
  <c r="AK86" i="5"/>
  <c r="AL86" i="5" s="1"/>
  <c r="AM86" i="5" s="1"/>
  <c r="AN86" i="5" s="1"/>
  <c r="AO86" i="5" s="1"/>
  <c r="AP86" i="5" s="1"/>
  <c r="AQ86" i="5" s="1"/>
  <c r="AJ86" i="5"/>
  <c r="AK85" i="5"/>
  <c r="AL85" i="5" s="1"/>
  <c r="AM85" i="5" s="1"/>
  <c r="AN85" i="5" s="1"/>
  <c r="AO85" i="5" s="1"/>
  <c r="AP85" i="5" s="1"/>
  <c r="AQ85" i="5" s="1"/>
  <c r="AJ85" i="5"/>
  <c r="AK84" i="5"/>
  <c r="AL84" i="5" s="1"/>
  <c r="AM84" i="5" s="1"/>
  <c r="AN84" i="5" s="1"/>
  <c r="AO84" i="5" s="1"/>
  <c r="AP84" i="5" s="1"/>
  <c r="AQ84" i="5" s="1"/>
  <c r="AJ84" i="5"/>
  <c r="AK83" i="5"/>
  <c r="AL83" i="5" s="1"/>
  <c r="AM83" i="5" s="1"/>
  <c r="AN83" i="5" s="1"/>
  <c r="AO83" i="5" s="1"/>
  <c r="AP83" i="5" s="1"/>
  <c r="AQ83" i="5" s="1"/>
  <c r="AJ83" i="5"/>
  <c r="AK81" i="5"/>
  <c r="AL81" i="5" s="1"/>
  <c r="AM81" i="5" s="1"/>
  <c r="AN81" i="5" s="1"/>
  <c r="AO81" i="5" s="1"/>
  <c r="AP81" i="5" s="1"/>
  <c r="AQ81" i="5" s="1"/>
  <c r="AJ81" i="5"/>
  <c r="AK80" i="5"/>
  <c r="AL80" i="5" s="1"/>
  <c r="AM80" i="5" s="1"/>
  <c r="AN80" i="5" s="1"/>
  <c r="AO80" i="5" s="1"/>
  <c r="AP80" i="5" s="1"/>
  <c r="AQ80" i="5" s="1"/>
  <c r="AJ80" i="5"/>
  <c r="AK79" i="5"/>
  <c r="AL79" i="5" s="1"/>
  <c r="AM79" i="5" s="1"/>
  <c r="AN79" i="5" s="1"/>
  <c r="AO79" i="5" s="1"/>
  <c r="AP79" i="5" s="1"/>
  <c r="AQ79" i="5" s="1"/>
  <c r="AJ79" i="5"/>
  <c r="AK78" i="5"/>
  <c r="AL78" i="5" s="1"/>
  <c r="AM78" i="5" s="1"/>
  <c r="AN78" i="5" s="1"/>
  <c r="AO78" i="5" s="1"/>
  <c r="AP78" i="5" s="1"/>
  <c r="AQ78" i="5" s="1"/>
  <c r="AJ78" i="5"/>
  <c r="AK77" i="5"/>
  <c r="AL77" i="5" s="1"/>
  <c r="AM77" i="5" s="1"/>
  <c r="AN77" i="5" s="1"/>
  <c r="AO77" i="5" s="1"/>
  <c r="AP77" i="5" s="1"/>
  <c r="AQ77" i="5" s="1"/>
  <c r="AJ77" i="5"/>
  <c r="AK76" i="5"/>
  <c r="AL76" i="5" s="1"/>
  <c r="AM76" i="5" s="1"/>
  <c r="AN76" i="5" s="1"/>
  <c r="AO76" i="5" s="1"/>
  <c r="AP76" i="5" s="1"/>
  <c r="AQ76" i="5" s="1"/>
  <c r="AJ76" i="5"/>
  <c r="AK75" i="5"/>
  <c r="AL75" i="5" s="1"/>
  <c r="AM75" i="5" s="1"/>
  <c r="AN75" i="5" s="1"/>
  <c r="AO75" i="5" s="1"/>
  <c r="AP75" i="5" s="1"/>
  <c r="AQ75" i="5" s="1"/>
  <c r="AJ75" i="5"/>
  <c r="AK74" i="5"/>
  <c r="AL74" i="5" s="1"/>
  <c r="AM74" i="5" s="1"/>
  <c r="AN74" i="5" s="1"/>
  <c r="AO74" i="5" s="1"/>
  <c r="AP74" i="5" s="1"/>
  <c r="AQ74" i="5" s="1"/>
  <c r="AJ74" i="5"/>
  <c r="AK73" i="5"/>
  <c r="AL73" i="5" s="1"/>
  <c r="AM73" i="5" s="1"/>
  <c r="AN73" i="5" s="1"/>
  <c r="AO73" i="5" s="1"/>
  <c r="AP73" i="5" s="1"/>
  <c r="AQ73" i="5" s="1"/>
  <c r="AJ73" i="5"/>
  <c r="AJ70" i="5"/>
  <c r="AK70" i="5" s="1"/>
  <c r="AL70" i="5" s="1"/>
  <c r="AM70" i="5" s="1"/>
  <c r="AN70" i="5" s="1"/>
  <c r="AO70" i="5" s="1"/>
  <c r="AP70" i="5" s="1"/>
  <c r="AQ70" i="5" s="1"/>
  <c r="AJ69" i="5"/>
  <c r="AK69" i="5" s="1"/>
  <c r="AL69" i="5" s="1"/>
  <c r="AM69" i="5" s="1"/>
  <c r="AN69" i="5" s="1"/>
  <c r="AO69" i="5" s="1"/>
  <c r="AP69" i="5" s="1"/>
  <c r="AQ69" i="5" s="1"/>
  <c r="AJ68" i="5"/>
  <c r="AK68" i="5" s="1"/>
  <c r="AL68" i="5" s="1"/>
  <c r="AM68" i="5" s="1"/>
  <c r="AN68" i="5" s="1"/>
  <c r="AO68" i="5" s="1"/>
  <c r="AP68" i="5" s="1"/>
  <c r="AQ68" i="5" s="1"/>
  <c r="AJ67" i="5"/>
  <c r="AK67" i="5" s="1"/>
  <c r="AL67" i="5" s="1"/>
  <c r="AM67" i="5" s="1"/>
  <c r="AN67" i="5" s="1"/>
  <c r="AO67" i="5" s="1"/>
  <c r="AP67" i="5" s="1"/>
  <c r="AQ67" i="5" s="1"/>
  <c r="AJ66" i="5"/>
  <c r="AK66" i="5" s="1"/>
  <c r="AL66" i="5" s="1"/>
  <c r="AM66" i="5" s="1"/>
  <c r="AN66" i="5" s="1"/>
  <c r="AO66" i="5" s="1"/>
  <c r="AP66" i="5" s="1"/>
  <c r="AQ66" i="5" s="1"/>
  <c r="AJ65" i="5"/>
  <c r="AK65" i="5" s="1"/>
  <c r="AJ64" i="5"/>
  <c r="AK64" i="5" s="1"/>
  <c r="AL64" i="5" s="1"/>
  <c r="AM64" i="5" s="1"/>
  <c r="AN64" i="5" s="1"/>
  <c r="AO64" i="5" s="1"/>
  <c r="AP64" i="5" s="1"/>
  <c r="AQ64" i="5" s="1"/>
  <c r="AJ63" i="5"/>
  <c r="AK63" i="5" s="1"/>
  <c r="AL63" i="5" s="1"/>
  <c r="AM63" i="5" s="1"/>
  <c r="AN63" i="5" s="1"/>
  <c r="AO63" i="5" s="1"/>
  <c r="AP63" i="5" s="1"/>
  <c r="AQ63" i="5" s="1"/>
  <c r="AJ62" i="5"/>
  <c r="AK62" i="5" s="1"/>
  <c r="AL62" i="5" s="1"/>
  <c r="AM62" i="5" s="1"/>
  <c r="AN62" i="5" s="1"/>
  <c r="AO62" i="5" s="1"/>
  <c r="AP62" i="5" s="1"/>
  <c r="AQ62" i="5" s="1"/>
  <c r="AJ61" i="5"/>
  <c r="AK61" i="5" s="1"/>
  <c r="AL61" i="5" s="1"/>
  <c r="AM61" i="5" s="1"/>
  <c r="AN61" i="5" s="1"/>
  <c r="AO61" i="5" s="1"/>
  <c r="AP61" i="5" s="1"/>
  <c r="AQ61" i="5" s="1"/>
  <c r="AK59" i="5"/>
  <c r="AL59" i="5" s="1"/>
  <c r="AM59" i="5" s="1"/>
  <c r="AN59" i="5" s="1"/>
  <c r="AO59" i="5" s="1"/>
  <c r="AP59" i="5" s="1"/>
  <c r="AQ59" i="5" s="1"/>
  <c r="AJ59" i="5"/>
  <c r="AK58" i="5"/>
  <c r="AL58" i="5" s="1"/>
  <c r="AM58" i="5" s="1"/>
  <c r="AN58" i="5" s="1"/>
  <c r="AO58" i="5" s="1"/>
  <c r="AP58" i="5" s="1"/>
  <c r="AQ58" i="5" s="1"/>
  <c r="AJ58" i="5"/>
  <c r="AK57" i="5"/>
  <c r="AL57" i="5" s="1"/>
  <c r="AM57" i="5" s="1"/>
  <c r="AN57" i="5" s="1"/>
  <c r="AO57" i="5" s="1"/>
  <c r="AP57" i="5" s="1"/>
  <c r="AQ57" i="5" s="1"/>
  <c r="AJ57" i="5"/>
  <c r="AK56" i="5"/>
  <c r="AL56" i="5" s="1"/>
  <c r="AM56" i="5" s="1"/>
  <c r="AN56" i="5" s="1"/>
  <c r="AO56" i="5" s="1"/>
  <c r="AP56" i="5" s="1"/>
  <c r="AQ56" i="5" s="1"/>
  <c r="AJ56" i="5"/>
  <c r="AK55" i="5"/>
  <c r="AL55" i="5" s="1"/>
  <c r="AM55" i="5" s="1"/>
  <c r="AN55" i="5" s="1"/>
  <c r="AO55" i="5" s="1"/>
  <c r="AP55" i="5" s="1"/>
  <c r="AQ55" i="5" s="1"/>
  <c r="AJ55" i="5"/>
  <c r="AK54" i="5"/>
  <c r="AL54" i="5" s="1"/>
  <c r="AM54" i="5" s="1"/>
  <c r="AN54" i="5" s="1"/>
  <c r="AO54" i="5" s="1"/>
  <c r="AP54" i="5" s="1"/>
  <c r="AQ54" i="5" s="1"/>
  <c r="AJ54" i="5"/>
  <c r="AK53" i="5"/>
  <c r="AL53" i="5" s="1"/>
  <c r="AM53" i="5" s="1"/>
  <c r="AN53" i="5" s="1"/>
  <c r="AO53" i="5" s="1"/>
  <c r="AP53" i="5" s="1"/>
  <c r="AQ53" i="5" s="1"/>
  <c r="AJ53" i="5"/>
  <c r="AK52" i="5"/>
  <c r="AL52" i="5" s="1"/>
  <c r="AM52" i="5" s="1"/>
  <c r="AN52" i="5" s="1"/>
  <c r="AO52" i="5" s="1"/>
  <c r="AP52" i="5" s="1"/>
  <c r="AQ52" i="5" s="1"/>
  <c r="AJ52" i="5"/>
  <c r="AK51" i="5"/>
  <c r="AL51" i="5" s="1"/>
  <c r="AM51" i="5" s="1"/>
  <c r="AN51" i="5" s="1"/>
  <c r="AO51" i="5" s="1"/>
  <c r="AP51" i="5" s="1"/>
  <c r="AQ51" i="5" s="1"/>
  <c r="AJ51" i="5"/>
  <c r="AK50" i="5"/>
  <c r="AL50" i="5" s="1"/>
  <c r="AM50" i="5" s="1"/>
  <c r="AN50" i="5" s="1"/>
  <c r="AO50" i="5" s="1"/>
  <c r="AP50" i="5" s="1"/>
  <c r="AQ50" i="5" s="1"/>
  <c r="AJ50" i="5"/>
  <c r="AJ48" i="5"/>
  <c r="AK48" i="5" s="1"/>
  <c r="AL48" i="5" s="1"/>
  <c r="AN48" i="5" s="1"/>
  <c r="AO48" i="5" s="1"/>
  <c r="AP48" i="5" s="1"/>
  <c r="AQ48" i="5" s="1"/>
  <c r="AJ47" i="5"/>
  <c r="AK47" i="5" s="1"/>
  <c r="AL47" i="5" s="1"/>
  <c r="AN47" i="5" s="1"/>
  <c r="AO47" i="5" s="1"/>
  <c r="AP47" i="5" s="1"/>
  <c r="AQ47" i="5" s="1"/>
  <c r="AJ46" i="5"/>
  <c r="AK46" i="5" s="1"/>
  <c r="AL46" i="5" s="1"/>
  <c r="AM46" i="5" s="1"/>
  <c r="AN46" i="5" s="1"/>
  <c r="AO46" i="5" s="1"/>
  <c r="AP46" i="5" s="1"/>
  <c r="AQ46" i="5" s="1"/>
  <c r="AJ45" i="5"/>
  <c r="AK45" i="5" s="1"/>
  <c r="AL45" i="5" s="1"/>
  <c r="AM45" i="5" s="1"/>
  <c r="AN45" i="5" s="1"/>
  <c r="AO45" i="5" s="1"/>
  <c r="AP45" i="5" s="1"/>
  <c r="AQ45" i="5" s="1"/>
  <c r="AJ44" i="5"/>
  <c r="AK44" i="5" s="1"/>
  <c r="AL44" i="5" s="1"/>
  <c r="AJ43" i="5"/>
  <c r="AK43" i="5" s="1"/>
  <c r="AL43" i="5" s="1"/>
  <c r="AM43" i="5" s="1"/>
  <c r="AN43" i="5" s="1"/>
  <c r="AO43" i="5" s="1"/>
  <c r="AP43" i="5" s="1"/>
  <c r="AQ43" i="5" s="1"/>
  <c r="AJ42" i="5"/>
  <c r="AK42" i="5" s="1"/>
  <c r="AL42" i="5" s="1"/>
  <c r="AM42" i="5" s="1"/>
  <c r="AN42" i="5" s="1"/>
  <c r="AO42" i="5" s="1"/>
  <c r="AP42" i="5" s="1"/>
  <c r="AQ42" i="5" s="1"/>
  <c r="AJ41" i="5"/>
  <c r="AK41" i="5" s="1"/>
  <c r="AL41" i="5" s="1"/>
  <c r="AM41" i="5" s="1"/>
  <c r="AN41" i="5" s="1"/>
  <c r="AO41" i="5" s="1"/>
  <c r="AP41" i="5" s="1"/>
  <c r="AQ41" i="5" s="1"/>
  <c r="AJ40" i="5"/>
  <c r="AK40" i="5" s="1"/>
  <c r="AL40" i="5" s="1"/>
  <c r="AM40" i="5" s="1"/>
  <c r="AN40" i="5" s="1"/>
  <c r="AO40" i="5" s="1"/>
  <c r="AP40" i="5" s="1"/>
  <c r="AQ40" i="5" s="1"/>
  <c r="AJ39" i="5"/>
  <c r="AK39" i="5" s="1"/>
  <c r="AL39" i="5" s="1"/>
  <c r="AN39" i="5" s="1"/>
  <c r="AO39" i="5" s="1"/>
  <c r="AP39" i="5" s="1"/>
  <c r="AQ39" i="5" s="1"/>
  <c r="AJ37" i="5"/>
  <c r="AK37" i="5" s="1"/>
  <c r="AL37" i="5" s="1"/>
  <c r="AM37" i="5" s="1"/>
  <c r="AN37" i="5" s="1"/>
  <c r="AO37" i="5" s="1"/>
  <c r="AP37" i="5" s="1"/>
  <c r="AQ37" i="5" s="1"/>
  <c r="AJ36" i="5"/>
  <c r="AK36" i="5" s="1"/>
  <c r="AL36" i="5" s="1"/>
  <c r="AM36" i="5" s="1"/>
  <c r="AN36" i="5" s="1"/>
  <c r="AO36" i="5" s="1"/>
  <c r="AP36" i="5" s="1"/>
  <c r="AQ36" i="5" s="1"/>
  <c r="AJ35" i="5"/>
  <c r="AK35" i="5" s="1"/>
  <c r="AL35" i="5" s="1"/>
  <c r="AM35" i="5" s="1"/>
  <c r="AN35" i="5" s="1"/>
  <c r="AO35" i="5" s="1"/>
  <c r="AP35" i="5" s="1"/>
  <c r="AQ35" i="5" s="1"/>
  <c r="AJ34" i="5"/>
  <c r="AK34" i="5" s="1"/>
  <c r="AL34" i="5" s="1"/>
  <c r="AM34" i="5" s="1"/>
  <c r="AN34" i="5" s="1"/>
  <c r="AO34" i="5" s="1"/>
  <c r="AP34" i="5" s="1"/>
  <c r="AQ34" i="5" s="1"/>
  <c r="AJ33" i="5"/>
  <c r="AK33" i="5" s="1"/>
  <c r="AL33" i="5" s="1"/>
  <c r="AM33" i="5" s="1"/>
  <c r="AN33" i="5" s="1"/>
  <c r="AO33" i="5" s="1"/>
  <c r="AP33" i="5" s="1"/>
  <c r="AQ33" i="5" s="1"/>
  <c r="AJ32" i="5"/>
  <c r="AK32" i="5" s="1"/>
  <c r="AL32" i="5" s="1"/>
  <c r="AM32" i="5" s="1"/>
  <c r="AN32" i="5" s="1"/>
  <c r="AO32" i="5" s="1"/>
  <c r="AP32" i="5" s="1"/>
  <c r="AQ32" i="5" s="1"/>
  <c r="AJ31" i="5"/>
  <c r="AK31" i="5" s="1"/>
  <c r="AL31" i="5" s="1"/>
  <c r="AM31" i="5" s="1"/>
  <c r="AN31" i="5" s="1"/>
  <c r="AO31" i="5" s="1"/>
  <c r="AP31" i="5" s="1"/>
  <c r="AQ31" i="5" s="1"/>
  <c r="AJ30" i="5"/>
  <c r="AK30" i="5" s="1"/>
  <c r="AL30" i="5" s="1"/>
  <c r="AM30" i="5" s="1"/>
  <c r="AN30" i="5" s="1"/>
  <c r="AO30" i="5" s="1"/>
  <c r="AP30" i="5" s="1"/>
  <c r="AQ30" i="5" s="1"/>
  <c r="AJ29" i="5"/>
  <c r="AK29" i="5" s="1"/>
  <c r="AL29" i="5" s="1"/>
  <c r="AM29" i="5" s="1"/>
  <c r="AN29" i="5" s="1"/>
  <c r="AO29" i="5" s="1"/>
  <c r="AP29" i="5" s="1"/>
  <c r="AQ29" i="5" s="1"/>
  <c r="AJ28" i="5"/>
  <c r="AK28" i="5" s="1"/>
  <c r="AL28" i="5" s="1"/>
  <c r="AM28" i="5" s="1"/>
  <c r="AJ26" i="5"/>
  <c r="AK26" i="5" s="1"/>
  <c r="AL26" i="5" s="1"/>
  <c r="AM26" i="5" s="1"/>
  <c r="AN26" i="5" s="1"/>
  <c r="AO26" i="5" s="1"/>
  <c r="AP26" i="5" s="1"/>
  <c r="AQ26" i="5" s="1"/>
  <c r="AJ25" i="5"/>
  <c r="AK25" i="5" s="1"/>
  <c r="AL25" i="5" s="1"/>
  <c r="AM25" i="5" s="1"/>
  <c r="AN25" i="5" s="1"/>
  <c r="AO25" i="5" s="1"/>
  <c r="AP25" i="5" s="1"/>
  <c r="AQ25" i="5" s="1"/>
  <c r="AJ24" i="5"/>
  <c r="AK24" i="5" s="1"/>
  <c r="AL24" i="5" s="1"/>
  <c r="AM24" i="5" s="1"/>
  <c r="AN24" i="5" s="1"/>
  <c r="AO24" i="5" s="1"/>
  <c r="AP24" i="5" s="1"/>
  <c r="AQ24" i="5" s="1"/>
  <c r="AJ23" i="5"/>
  <c r="AK23" i="5" s="1"/>
  <c r="AL23" i="5" s="1"/>
  <c r="AM23" i="5" s="1"/>
  <c r="AN23" i="5" s="1"/>
  <c r="AO23" i="5" s="1"/>
  <c r="AP23" i="5" s="1"/>
  <c r="AQ23" i="5" s="1"/>
  <c r="AJ22" i="5"/>
  <c r="AK22" i="5" s="1"/>
  <c r="AL22" i="5" s="1"/>
  <c r="AM22" i="5" s="1"/>
  <c r="AN22" i="5" s="1"/>
  <c r="AO22" i="5" s="1"/>
  <c r="AP22" i="5" s="1"/>
  <c r="AQ22" i="5" s="1"/>
  <c r="AJ21" i="5"/>
  <c r="AK21" i="5" s="1"/>
  <c r="AL21" i="5" s="1"/>
  <c r="AM21" i="5" s="1"/>
  <c r="AN21" i="5" s="1"/>
  <c r="AO21" i="5" s="1"/>
  <c r="AP21" i="5" s="1"/>
  <c r="AQ21" i="5" s="1"/>
  <c r="AJ20" i="5"/>
  <c r="AK20" i="5" s="1"/>
  <c r="AL20" i="5" s="1"/>
  <c r="AM20" i="5" s="1"/>
  <c r="AN20" i="5" s="1"/>
  <c r="AO20" i="5" s="1"/>
  <c r="AP20" i="5" s="1"/>
  <c r="AQ20" i="5" s="1"/>
  <c r="AJ19" i="5"/>
  <c r="AK19" i="5" s="1"/>
  <c r="AL19" i="5" s="1"/>
  <c r="AM19" i="5" s="1"/>
  <c r="AN19" i="5" s="1"/>
  <c r="AO19" i="5" s="1"/>
  <c r="AP19" i="5" s="1"/>
  <c r="AQ19" i="5" s="1"/>
  <c r="AJ18" i="5"/>
  <c r="AK18" i="5" s="1"/>
  <c r="AL18" i="5" s="1"/>
  <c r="AM18" i="5" s="1"/>
  <c r="AN18" i="5" s="1"/>
  <c r="AO18" i="5" s="1"/>
  <c r="AP18" i="5" s="1"/>
  <c r="AQ18" i="5" s="1"/>
  <c r="AJ17" i="5"/>
  <c r="AK17" i="5" s="1"/>
  <c r="AL17" i="5" s="1"/>
  <c r="AM17" i="5" s="1"/>
  <c r="AN17" i="5" s="1"/>
  <c r="AO17" i="5" s="1"/>
  <c r="AP17" i="5" s="1"/>
  <c r="AQ17" i="5" s="1"/>
  <c r="AJ16" i="5"/>
  <c r="AK16" i="5" s="1"/>
  <c r="AL16" i="5" s="1"/>
  <c r="AM16" i="5" s="1"/>
  <c r="AN16" i="5" s="1"/>
  <c r="AO16" i="5" s="1"/>
  <c r="AP16" i="5" s="1"/>
  <c r="AQ16" i="5" s="1"/>
  <c r="AJ15" i="5"/>
  <c r="AK15" i="5" s="1"/>
  <c r="AL15" i="5" s="1"/>
  <c r="AM15" i="5" s="1"/>
  <c r="AN15" i="5" s="1"/>
  <c r="AO15" i="5" s="1"/>
  <c r="AP15" i="5" s="1"/>
  <c r="AQ15" i="5" s="1"/>
  <c r="AJ14" i="5"/>
  <c r="AK14" i="5" s="1"/>
  <c r="AL14" i="5" s="1"/>
  <c r="AM14" i="5" s="1"/>
  <c r="AN14" i="5" s="1"/>
  <c r="AO14" i="5" s="1"/>
  <c r="AP14" i="5" s="1"/>
  <c r="AQ14" i="5" s="1"/>
  <c r="AJ13" i="5"/>
  <c r="AK13" i="5" s="1"/>
  <c r="AL13" i="5" s="1"/>
  <c r="AM13" i="5" s="1"/>
  <c r="AN13" i="5" s="1"/>
  <c r="AO13" i="5" s="1"/>
  <c r="AP13" i="5" s="1"/>
  <c r="AQ13" i="5" s="1"/>
  <c r="AJ12" i="5"/>
  <c r="AK12" i="5" s="1"/>
  <c r="AL12" i="5" s="1"/>
  <c r="AM12" i="5" s="1"/>
  <c r="AN12" i="5" s="1"/>
  <c r="AO12" i="5" s="1"/>
  <c r="AP12" i="5" s="1"/>
  <c r="AQ12" i="5" s="1"/>
  <c r="AJ11" i="5"/>
  <c r="AK11" i="5" s="1"/>
  <c r="AL11" i="5" s="1"/>
  <c r="AM11" i="5" s="1"/>
  <c r="AN11" i="5" s="1"/>
  <c r="AO11" i="5" s="1"/>
  <c r="AP11" i="5" s="1"/>
  <c r="AQ11" i="5" s="1"/>
  <c r="AJ10" i="5"/>
  <c r="AK10" i="5" s="1"/>
  <c r="AL10" i="5" s="1"/>
  <c r="AM10" i="5" s="1"/>
  <c r="AN10" i="5" s="1"/>
  <c r="AO10" i="5" s="1"/>
  <c r="AP10" i="5" s="1"/>
  <c r="AQ10" i="5" s="1"/>
  <c r="AJ9" i="5"/>
  <c r="AK9" i="5" s="1"/>
  <c r="AL9" i="5" s="1"/>
  <c r="AM9" i="5" s="1"/>
  <c r="AN9" i="5" s="1"/>
  <c r="AO9" i="5" s="1"/>
  <c r="AP9" i="5" s="1"/>
  <c r="AQ9" i="5" s="1"/>
  <c r="AJ8" i="5"/>
  <c r="AK8" i="5" s="1"/>
  <c r="AL8" i="5" s="1"/>
  <c r="AM8" i="5" s="1"/>
  <c r="AN8" i="5" s="1"/>
  <c r="AO8" i="5" s="1"/>
  <c r="AP8" i="5" s="1"/>
  <c r="AQ8" i="5" s="1"/>
  <c r="AJ7" i="5"/>
  <c r="AI281" i="5"/>
  <c r="AI280" i="5"/>
  <c r="AI279" i="5"/>
  <c r="AI278" i="5"/>
  <c r="AI277" i="5"/>
  <c r="AI276" i="5"/>
  <c r="AI275" i="5"/>
  <c r="AI274" i="5"/>
  <c r="AI273" i="5"/>
  <c r="AI271" i="5"/>
  <c r="AI270" i="5"/>
  <c r="AI269" i="5"/>
  <c r="AI268" i="5"/>
  <c r="AI267" i="5"/>
  <c r="AI266" i="5"/>
  <c r="AI265" i="5"/>
  <c r="AI264" i="5"/>
  <c r="AI263" i="5"/>
  <c r="AI262" i="5"/>
  <c r="AI261" i="5"/>
  <c r="AI260" i="5"/>
  <c r="AI253" i="5"/>
  <c r="AI258" i="5"/>
  <c r="AI257" i="5"/>
  <c r="AI256" i="5"/>
  <c r="AI254" i="5"/>
  <c r="AI251" i="5"/>
  <c r="AI250" i="5"/>
  <c r="AI249" i="5"/>
  <c r="AI248" i="5"/>
  <c r="AI247" i="5"/>
  <c r="AI246" i="5"/>
  <c r="AI245" i="5"/>
  <c r="AI244" i="5"/>
  <c r="AI242" i="5"/>
  <c r="AI241" i="5"/>
  <c r="AI240" i="5"/>
  <c r="AI239" i="5"/>
  <c r="AI238" i="5"/>
  <c r="AI237" i="5"/>
  <c r="AI236" i="5"/>
  <c r="AI235" i="5"/>
  <c r="AI233" i="5"/>
  <c r="AI232" i="5"/>
  <c r="AI231" i="5"/>
  <c r="AI230" i="5"/>
  <c r="AI229" i="5"/>
  <c r="AI228" i="5"/>
  <c r="AI227" i="5"/>
  <c r="AI226" i="5"/>
  <c r="AI225" i="5"/>
  <c r="AI224" i="5"/>
  <c r="AI223" i="5"/>
  <c r="AI222" i="5"/>
  <c r="AI220" i="5"/>
  <c r="AI219" i="5"/>
  <c r="AI218" i="5"/>
  <c r="AI217" i="5"/>
  <c r="AI216" i="5"/>
  <c r="AI215" i="5"/>
  <c r="AI213" i="5"/>
  <c r="AI212" i="5"/>
  <c r="AI211" i="5"/>
  <c r="AI210" i="5"/>
  <c r="AI209" i="5"/>
  <c r="AI208" i="5"/>
  <c r="AI207" i="5"/>
  <c r="AI206" i="5"/>
  <c r="AI205" i="5"/>
  <c r="AI204" i="5"/>
  <c r="AI202" i="5"/>
  <c r="AI201" i="5"/>
  <c r="AI200" i="5"/>
  <c r="AI199" i="5"/>
  <c r="AI198" i="5"/>
  <c r="AI197" i="5"/>
  <c r="AI196" i="5"/>
  <c r="AI195" i="5"/>
  <c r="AI193" i="5"/>
  <c r="AI192" i="5"/>
  <c r="AI191" i="5"/>
  <c r="AI190" i="5"/>
  <c r="AI189" i="5"/>
  <c r="AI188" i="5"/>
  <c r="AI187" i="5"/>
  <c r="AI186" i="5"/>
  <c r="AI184" i="5"/>
  <c r="AI183" i="5"/>
  <c r="AI182" i="5"/>
  <c r="AI181" i="5"/>
  <c r="AI180" i="5"/>
  <c r="AI179" i="5"/>
  <c r="AI178" i="5"/>
  <c r="AI177" i="5"/>
  <c r="AI176" i="5"/>
  <c r="AI175" i="5"/>
  <c r="AI174" i="5"/>
  <c r="AI173" i="5"/>
  <c r="AI172" i="5"/>
  <c r="AI171" i="5"/>
  <c r="AI170" i="5"/>
  <c r="AI168" i="5"/>
  <c r="AI167" i="5"/>
  <c r="AI166" i="5"/>
  <c r="AI165" i="5"/>
  <c r="AI164" i="5"/>
  <c r="AI163" i="5"/>
  <c r="AI162" i="5"/>
  <c r="AI161" i="5"/>
  <c r="AI160" i="5"/>
  <c r="AI159" i="5"/>
  <c r="AI158" i="5"/>
  <c r="AI157" i="5"/>
  <c r="AI130" i="5"/>
  <c r="AI129" i="5"/>
  <c r="AI128" i="5"/>
  <c r="AI127" i="5"/>
  <c r="AI126" i="5"/>
  <c r="AI125" i="5"/>
  <c r="AI124" i="5"/>
  <c r="AI121" i="5"/>
  <c r="AI120" i="5"/>
  <c r="AI119" i="5"/>
  <c r="AI118" i="5"/>
  <c r="AI117" i="5"/>
  <c r="AI116" i="5"/>
  <c r="AI115" i="5"/>
  <c r="AI114" i="5"/>
  <c r="AI113" i="5"/>
  <c r="AI111" i="5"/>
  <c r="AI110" i="5"/>
  <c r="AI109" i="5"/>
  <c r="AI108" i="5"/>
  <c r="AI107" i="5"/>
  <c r="AI106" i="5"/>
  <c r="AI105" i="5"/>
  <c r="AI104" i="5"/>
  <c r="AI103" i="5"/>
  <c r="AI102" i="5"/>
  <c r="AI101" i="5"/>
  <c r="AI100" i="5"/>
  <c r="AI98" i="5"/>
  <c r="AI97" i="5"/>
  <c r="AI96" i="5"/>
  <c r="AI95" i="5"/>
  <c r="AI94" i="5"/>
  <c r="AI93" i="5"/>
  <c r="AI92" i="5"/>
  <c r="AI91" i="5"/>
  <c r="AI90" i="5"/>
  <c r="AI89" i="5"/>
  <c r="AI88" i="5"/>
  <c r="AI87" i="5"/>
  <c r="AI86" i="5"/>
  <c r="AI85" i="5"/>
  <c r="AI84" i="5"/>
  <c r="AI83" i="5"/>
  <c r="AI81" i="5"/>
  <c r="AI80" i="5"/>
  <c r="AI79" i="5"/>
  <c r="AI78" i="5"/>
  <c r="AI77" i="5"/>
  <c r="AI76" i="5"/>
  <c r="AI75" i="5"/>
  <c r="AI74" i="5"/>
  <c r="AI73" i="5"/>
  <c r="AI72" i="5"/>
  <c r="AI70" i="5"/>
  <c r="AI69" i="5"/>
  <c r="AI68" i="5"/>
  <c r="AI67" i="5"/>
  <c r="AI66" i="5"/>
  <c r="AI65" i="5"/>
  <c r="AI64" i="5"/>
  <c r="AI63" i="5"/>
  <c r="AI62" i="5"/>
  <c r="AI61" i="5"/>
  <c r="AI59" i="5"/>
  <c r="AI58" i="5"/>
  <c r="AI57" i="5"/>
  <c r="AI56" i="5"/>
  <c r="AI55" i="5"/>
  <c r="AI54" i="5"/>
  <c r="AI53" i="5"/>
  <c r="AI52" i="5"/>
  <c r="AI51" i="5"/>
  <c r="AI50" i="5"/>
  <c r="AI39" i="5"/>
  <c r="AI48" i="5"/>
  <c r="AI47" i="5"/>
  <c r="AI46" i="5"/>
  <c r="AI45" i="5"/>
  <c r="AI44" i="5"/>
  <c r="AI43" i="5"/>
  <c r="AI42" i="5"/>
  <c r="AI41" i="5"/>
  <c r="AI40" i="5"/>
  <c r="AI28" i="5"/>
  <c r="AI37" i="5"/>
  <c r="AI36" i="5"/>
  <c r="AI35" i="5"/>
  <c r="AI34" i="5"/>
  <c r="AI33" i="5"/>
  <c r="AI32" i="5"/>
  <c r="AI31" i="5"/>
  <c r="AI30" i="5"/>
  <c r="AI29" i="5"/>
  <c r="AI26" i="5"/>
  <c r="AI25" i="5"/>
  <c r="AI24" i="5"/>
  <c r="AI23" i="5"/>
  <c r="AI22" i="5"/>
  <c r="AI21" i="5"/>
  <c r="AI20" i="5"/>
  <c r="AI19" i="5"/>
  <c r="AI18" i="5"/>
  <c r="AI17" i="5"/>
  <c r="AI16" i="5"/>
  <c r="AI15" i="5"/>
  <c r="AI14" i="5"/>
  <c r="AI13" i="5"/>
  <c r="AI11" i="5"/>
  <c r="AI10" i="5"/>
  <c r="AI8" i="5"/>
  <c r="AI7" i="5"/>
  <c r="AI9" i="5"/>
  <c r="AJ260" i="10" l="1"/>
  <c r="AJ247" i="10"/>
  <c r="AJ245" i="10"/>
  <c r="AK245" i="10" s="1"/>
  <c r="AL245" i="10" s="1"/>
  <c r="AM245" i="10" s="1"/>
  <c r="AN245" i="10" s="1"/>
  <c r="AO245" i="10" s="1"/>
  <c r="AP245" i="10" s="1"/>
  <c r="AQ245" i="10" s="1"/>
  <c r="AL266" i="10"/>
  <c r="AM266" i="10" s="1"/>
  <c r="AN266" i="10" s="1"/>
  <c r="AO266" i="10" s="1"/>
  <c r="AP266" i="10" s="1"/>
  <c r="AL264" i="10"/>
  <c r="AJ196" i="10"/>
  <c r="AK196" i="10" s="1"/>
  <c r="AL196" i="10" s="1"/>
  <c r="AM196" i="10" s="1"/>
  <c r="AN196" i="10" s="1"/>
  <c r="AO196" i="10" s="1"/>
  <c r="AP196" i="10" s="1"/>
  <c r="AQ196" i="10" s="1"/>
  <c r="AJ235" i="10"/>
  <c r="AK235" i="10" s="1"/>
  <c r="CY258" i="10"/>
  <c r="BO258" i="10"/>
  <c r="BG258" i="10"/>
  <c r="CA258" i="10"/>
  <c r="AL243" i="10"/>
  <c r="AM243" i="10" s="1"/>
  <c r="AN243" i="10" s="1"/>
  <c r="AO243" i="10" s="1"/>
  <c r="AP243" i="10" s="1"/>
  <c r="AQ243" i="10" s="1"/>
  <c r="CE258" i="10"/>
  <c r="CC258" i="10"/>
  <c r="AQ266" i="10"/>
  <c r="AM264" i="10"/>
  <c r="AN264" i="10" s="1"/>
  <c r="AO264" i="10" s="1"/>
  <c r="AP264" i="10" s="1"/>
  <c r="AQ264" i="10" s="1"/>
  <c r="BA258" i="10"/>
  <c r="BW258" i="10"/>
  <c r="AJ265" i="10"/>
  <c r="AK265" i="10" s="1"/>
  <c r="AL265" i="10" s="1"/>
  <c r="AM265" i="10" s="1"/>
  <c r="AN265" i="10" s="1"/>
  <c r="AO265" i="10" s="1"/>
  <c r="AP265" i="10" s="1"/>
  <c r="AQ265" i="10" s="1"/>
  <c r="CS258" i="10"/>
  <c r="CM258" i="10"/>
  <c r="AJ270" i="10"/>
  <c r="AK270" i="10" s="1"/>
  <c r="AL270" i="10" s="1"/>
  <c r="AM270" i="10" s="1"/>
  <c r="AN270" i="10" s="1"/>
  <c r="AO270" i="10" s="1"/>
  <c r="AP270" i="10" s="1"/>
  <c r="AQ270" i="10" s="1"/>
  <c r="AW258" i="10"/>
  <c r="AS258" i="10"/>
  <c r="CG258" i="10"/>
  <c r="CO258" i="10"/>
  <c r="AK260" i="10"/>
  <c r="AL260" i="10" s="1"/>
  <c r="AM260" i="10" s="1"/>
  <c r="AN260" i="10" s="1"/>
  <c r="AO260" i="10" s="1"/>
  <c r="AP260" i="10" s="1"/>
  <c r="AQ260" i="10" s="1"/>
  <c r="BC258" i="10"/>
  <c r="BI258" i="10"/>
  <c r="BM258" i="10"/>
  <c r="CW258" i="10"/>
  <c r="CQ258" i="10"/>
  <c r="AK263" i="10"/>
  <c r="AL263" i="10" s="1"/>
  <c r="AM263" i="10" s="1"/>
  <c r="AN263" i="10" s="1"/>
  <c r="AO263" i="10" s="1"/>
  <c r="AP263" i="10" s="1"/>
  <c r="AQ263" i="10" s="1"/>
  <c r="BS258" i="10"/>
  <c r="BY258" i="10"/>
  <c r="AL267" i="10"/>
  <c r="AM267" i="10" s="1"/>
  <c r="AN267" i="10" s="1"/>
  <c r="AO267" i="10" s="1"/>
  <c r="AP267" i="10" s="1"/>
  <c r="AQ267" i="10" s="1"/>
  <c r="BQ258" i="10"/>
  <c r="AJ269" i="10"/>
  <c r="AK269" i="10" s="1"/>
  <c r="AL269" i="10" s="1"/>
  <c r="AM269" i="10" s="1"/>
  <c r="AN269" i="10" s="1"/>
  <c r="AO269" i="10" s="1"/>
  <c r="AP269" i="10" s="1"/>
  <c r="AQ269" i="10" s="1"/>
  <c r="I258" i="10"/>
  <c r="AJ262" i="10"/>
  <c r="AK262" i="10" s="1"/>
  <c r="AL262" i="10" s="1"/>
  <c r="AM262" i="10" s="1"/>
  <c r="AN262" i="10" s="1"/>
  <c r="AO262" i="10" s="1"/>
  <c r="AP262" i="10" s="1"/>
  <c r="AQ262" i="10" s="1"/>
  <c r="BE258" i="10"/>
  <c r="AU258" i="10"/>
  <c r="CI258" i="10"/>
  <c r="AI259" i="10"/>
  <c r="AJ259" i="10" s="1"/>
  <c r="AK259" i="10" s="1"/>
  <c r="AL259" i="10" s="1"/>
  <c r="AM259" i="10" s="1"/>
  <c r="AN259" i="10" s="1"/>
  <c r="AO259" i="10" s="1"/>
  <c r="AP259" i="10" s="1"/>
  <c r="AQ259" i="10" s="1"/>
  <c r="AY258" i="10"/>
  <c r="BU258" i="10"/>
  <c r="BK258" i="10"/>
  <c r="AJ198" i="10"/>
  <c r="AK198" i="10" s="1"/>
  <c r="AJ226" i="10"/>
  <c r="AM239" i="10"/>
  <c r="AN239" i="10" s="1"/>
  <c r="AO239" i="10" s="1"/>
  <c r="AP239" i="10" s="1"/>
  <c r="AQ239" i="10" s="1"/>
  <c r="CW237" i="10"/>
  <c r="AL234" i="10"/>
  <c r="AM234" i="10" s="1"/>
  <c r="AN234" i="10" s="1"/>
  <c r="AO234" i="10" s="1"/>
  <c r="AP234" i="10" s="1"/>
  <c r="AQ234" i="10" s="1"/>
  <c r="AK199" i="10"/>
  <c r="AL199" i="10" s="1"/>
  <c r="AM199" i="10" s="1"/>
  <c r="AN199" i="10" s="1"/>
  <c r="AO199" i="10" s="1"/>
  <c r="AP199" i="10" s="1"/>
  <c r="AQ199" i="10" s="1"/>
  <c r="AJ252" i="10"/>
  <c r="AK252" i="10" s="1"/>
  <c r="AL252" i="10" s="1"/>
  <c r="AM252" i="10" s="1"/>
  <c r="AN252" i="10" s="1"/>
  <c r="AO252" i="10" s="1"/>
  <c r="AP252" i="10" s="1"/>
  <c r="AQ252" i="10" s="1"/>
  <c r="AJ251" i="10"/>
  <c r="AK251" i="10" s="1"/>
  <c r="AL251" i="10" s="1"/>
  <c r="AM251" i="10" s="1"/>
  <c r="AN251" i="10" s="1"/>
  <c r="AO251" i="10" s="1"/>
  <c r="AP251" i="10" s="1"/>
  <c r="AQ251" i="10" s="1"/>
  <c r="AJ246" i="10"/>
  <c r="AK246" i="10" s="1"/>
  <c r="AL246" i="10" s="1"/>
  <c r="AM246" i="10" s="1"/>
  <c r="AN246" i="10" s="1"/>
  <c r="AO246" i="10" s="1"/>
  <c r="AP246" i="10" s="1"/>
  <c r="AQ246" i="10" s="1"/>
  <c r="AJ249" i="10"/>
  <c r="AK249" i="10" s="1"/>
  <c r="AL249" i="10" s="1"/>
  <c r="AM249" i="10" s="1"/>
  <c r="AN249" i="10" s="1"/>
  <c r="AO249" i="10" s="1"/>
  <c r="AP249" i="10" s="1"/>
  <c r="AQ249" i="10" s="1"/>
  <c r="AJ236" i="10"/>
  <c r="AK236" i="10" s="1"/>
  <c r="AL236" i="10" s="1"/>
  <c r="AM236" i="10" s="1"/>
  <c r="AN236" i="10" s="1"/>
  <c r="AO236" i="10" s="1"/>
  <c r="AP236" i="10" s="1"/>
  <c r="AQ236" i="10" s="1"/>
  <c r="AJ229" i="10"/>
  <c r="AK229" i="10" s="1"/>
  <c r="AL229" i="10" s="1"/>
  <c r="AM229" i="10" s="1"/>
  <c r="AN229" i="10" s="1"/>
  <c r="AO229" i="10" s="1"/>
  <c r="AP229" i="10" s="1"/>
  <c r="AQ229" i="10" s="1"/>
  <c r="AU237" i="10"/>
  <c r="BA237" i="10"/>
  <c r="CK237" i="10"/>
  <c r="CG237" i="10"/>
  <c r="AK226" i="10"/>
  <c r="AL226" i="10" s="1"/>
  <c r="AM226" i="10" s="1"/>
  <c r="AN226" i="10" s="1"/>
  <c r="AO226" i="10" s="1"/>
  <c r="AP226" i="10" s="1"/>
  <c r="AQ226" i="10" s="1"/>
  <c r="BK237" i="10"/>
  <c r="BW237" i="10"/>
  <c r="BQ237" i="10"/>
  <c r="CO237" i="10"/>
  <c r="BU237" i="10"/>
  <c r="AS237" i="10"/>
  <c r="CA237" i="10"/>
  <c r="CQ237" i="10"/>
  <c r="I237" i="10"/>
  <c r="BE237" i="10"/>
  <c r="BI237" i="10"/>
  <c r="AJ242" i="10"/>
  <c r="AK242" i="10" s="1"/>
  <c r="AL242" i="10" s="1"/>
  <c r="AM242" i="10" s="1"/>
  <c r="AN242" i="10" s="1"/>
  <c r="AO242" i="10" s="1"/>
  <c r="AP242" i="10" s="1"/>
  <c r="AQ242" i="10" s="1"/>
  <c r="CM237" i="10"/>
  <c r="AI244" i="10"/>
  <c r="AJ244" i="10" s="1"/>
  <c r="AK244" i="10" s="1"/>
  <c r="AL244" i="10" s="1"/>
  <c r="AM244" i="10" s="1"/>
  <c r="AN244" i="10" s="1"/>
  <c r="AO244" i="10" s="1"/>
  <c r="AP244" i="10" s="1"/>
  <c r="AQ244" i="10" s="1"/>
  <c r="CI237" i="10"/>
  <c r="AJ238" i="10"/>
  <c r="AK238" i="10" s="1"/>
  <c r="AL238" i="10" s="1"/>
  <c r="AM238" i="10" s="1"/>
  <c r="AN238" i="10" s="1"/>
  <c r="AO238" i="10" s="1"/>
  <c r="AP238" i="10" s="1"/>
  <c r="AQ238" i="10" s="1"/>
  <c r="BY237" i="10"/>
  <c r="AY237" i="10"/>
  <c r="BC237" i="10"/>
  <c r="AJ240" i="10"/>
  <c r="AK240" i="10" s="1"/>
  <c r="AL240" i="10" s="1"/>
  <c r="AM240" i="10" s="1"/>
  <c r="AN240" i="10" s="1"/>
  <c r="AO240" i="10" s="1"/>
  <c r="AP240" i="10" s="1"/>
  <c r="AQ240" i="10" s="1"/>
  <c r="CC237" i="10"/>
  <c r="CY237" i="10"/>
  <c r="AJ227" i="10"/>
  <c r="AK227" i="10" s="1"/>
  <c r="AL227" i="10" s="1"/>
  <c r="AM227" i="10" s="1"/>
  <c r="AN227" i="10" s="1"/>
  <c r="AO227" i="10" s="1"/>
  <c r="AP227" i="10" s="1"/>
  <c r="AQ227" i="10" s="1"/>
  <c r="AJ248" i="10"/>
  <c r="AK248" i="10" s="1"/>
  <c r="AL248" i="10" s="1"/>
  <c r="AM248" i="10" s="1"/>
  <c r="AN248" i="10" s="1"/>
  <c r="AO248" i="10" s="1"/>
  <c r="AP248" i="10" s="1"/>
  <c r="AQ248" i="10" s="1"/>
  <c r="AK247" i="10"/>
  <c r="AL247" i="10" s="1"/>
  <c r="AM247" i="10" s="1"/>
  <c r="AN247" i="10" s="1"/>
  <c r="AO247" i="10" s="1"/>
  <c r="AP247" i="10" s="1"/>
  <c r="AQ247" i="10" s="1"/>
  <c r="BG237" i="10"/>
  <c r="BO237" i="10"/>
  <c r="BS237" i="10"/>
  <c r="CS237" i="10"/>
  <c r="BM237" i="10"/>
  <c r="AJ200" i="10"/>
  <c r="AK200" i="10" s="1"/>
  <c r="AL200" i="10" s="1"/>
  <c r="AM200" i="10" s="1"/>
  <c r="AN200" i="10" s="1"/>
  <c r="AO200" i="10" s="1"/>
  <c r="AP200" i="10" s="1"/>
  <c r="AQ200" i="10" s="1"/>
  <c r="AJ230" i="10"/>
  <c r="AK230" i="10" s="1"/>
  <c r="AW237" i="10"/>
  <c r="AJ241" i="10"/>
  <c r="AK241" i="10" s="1"/>
  <c r="AL241" i="10" s="1"/>
  <c r="AM241" i="10" s="1"/>
  <c r="AN241" i="10" s="1"/>
  <c r="AO241" i="10" s="1"/>
  <c r="AP241" i="10" s="1"/>
  <c r="AQ241" i="10" s="1"/>
  <c r="CE237" i="10"/>
  <c r="BE224" i="10"/>
  <c r="BK224" i="10"/>
  <c r="AJ231" i="10"/>
  <c r="AK231" i="10" s="1"/>
  <c r="AL231" i="10" s="1"/>
  <c r="AM231" i="10" s="1"/>
  <c r="AN231" i="10" s="1"/>
  <c r="AO231" i="10" s="1"/>
  <c r="AP231" i="10" s="1"/>
  <c r="AQ231" i="10" s="1"/>
  <c r="I224" i="10"/>
  <c r="AW224" i="10"/>
  <c r="BA224" i="10"/>
  <c r="AL198" i="10"/>
  <c r="AM198" i="10" s="1"/>
  <c r="AN198" i="10" s="1"/>
  <c r="AO198" i="10" s="1"/>
  <c r="AP198" i="10" s="1"/>
  <c r="AQ198" i="10" s="1"/>
  <c r="BM224" i="10"/>
  <c r="BQ224" i="10"/>
  <c r="BU224" i="10"/>
  <c r="CA224" i="10"/>
  <c r="AJ201" i="10"/>
  <c r="AK201" i="10" s="1"/>
  <c r="AL201" i="10" s="1"/>
  <c r="AM201" i="10" s="1"/>
  <c r="AN201" i="10" s="1"/>
  <c r="AO201" i="10" s="1"/>
  <c r="AP201" i="10" s="1"/>
  <c r="AQ201" i="10" s="1"/>
  <c r="AI225" i="10"/>
  <c r="AJ225" i="10" s="1"/>
  <c r="AK225" i="10" s="1"/>
  <c r="AL225" i="10" s="1"/>
  <c r="AM225" i="10" s="1"/>
  <c r="AN225" i="10" s="1"/>
  <c r="AO225" i="10" s="1"/>
  <c r="AP225" i="10" s="1"/>
  <c r="AQ225" i="10" s="1"/>
  <c r="CI224" i="10"/>
  <c r="AS224" i="10"/>
  <c r="AJ228" i="10"/>
  <c r="AK228" i="10" s="1"/>
  <c r="AL228" i="10" s="1"/>
  <c r="AM228" i="10" s="1"/>
  <c r="AN228" i="10" s="1"/>
  <c r="AO228" i="10" s="1"/>
  <c r="AP228" i="10" s="1"/>
  <c r="AQ228" i="10" s="1"/>
  <c r="CC224" i="10"/>
  <c r="CY224" i="10"/>
  <c r="AJ186" i="10"/>
  <c r="AK186" i="10" s="1"/>
  <c r="AL186" i="10" s="1"/>
  <c r="AM186" i="10" s="1"/>
  <c r="AN186" i="10" s="1"/>
  <c r="AO186" i="10" s="1"/>
  <c r="AP186" i="10" s="1"/>
  <c r="AQ186" i="10" s="1"/>
  <c r="BI224" i="10"/>
  <c r="CS224" i="10"/>
  <c r="CK224" i="10"/>
  <c r="AY224" i="10"/>
  <c r="BC224" i="10"/>
  <c r="BY224" i="10"/>
  <c r="AJ197" i="10"/>
  <c r="AK197" i="10" s="1"/>
  <c r="AL197" i="10" s="1"/>
  <c r="AM197" i="10" s="1"/>
  <c r="AN197" i="10" s="1"/>
  <c r="AO197" i="10" s="1"/>
  <c r="AP197" i="10" s="1"/>
  <c r="AQ197" i="10" s="1"/>
  <c r="CE224" i="10"/>
  <c r="CM224" i="10"/>
  <c r="BO224" i="10"/>
  <c r="BS224" i="10"/>
  <c r="BG224" i="10"/>
  <c r="CO224" i="10"/>
  <c r="AJ232" i="10"/>
  <c r="AK232" i="10" s="1"/>
  <c r="AL232" i="10" s="1"/>
  <c r="AM232" i="10" s="1"/>
  <c r="AN232" i="10" s="1"/>
  <c r="AO232" i="10" s="1"/>
  <c r="AP232" i="10" s="1"/>
  <c r="AQ232" i="10" s="1"/>
  <c r="BW224" i="10"/>
  <c r="AJ233" i="10"/>
  <c r="AK233" i="10" s="1"/>
  <c r="AL233" i="10" s="1"/>
  <c r="AM233" i="10" s="1"/>
  <c r="AN233" i="10" s="1"/>
  <c r="AO233" i="10" s="1"/>
  <c r="AP233" i="10" s="1"/>
  <c r="AQ233" i="10" s="1"/>
  <c r="CG224" i="10"/>
  <c r="CQ224" i="10"/>
  <c r="AL235" i="10"/>
  <c r="AM235" i="10" s="1"/>
  <c r="AN235" i="10" s="1"/>
  <c r="AO235" i="10" s="1"/>
  <c r="AP235" i="10" s="1"/>
  <c r="AQ235" i="10" s="1"/>
  <c r="AU224" i="10"/>
  <c r="CW224" i="10"/>
  <c r="AL230" i="10"/>
  <c r="AM230" i="10" s="1"/>
  <c r="AN230" i="10" s="1"/>
  <c r="AO230" i="10" s="1"/>
  <c r="AP230" i="10" s="1"/>
  <c r="AQ230" i="10" s="1"/>
  <c r="AJ189" i="10"/>
  <c r="AK189" i="10" s="1"/>
  <c r="AL189" i="10" s="1"/>
  <c r="AM189" i="10" s="1"/>
  <c r="AN189" i="10" s="1"/>
  <c r="AO189" i="10" s="1"/>
  <c r="AP189" i="10" s="1"/>
  <c r="AQ189" i="10" s="1"/>
  <c r="AJ187" i="10"/>
  <c r="AK187" i="10" s="1"/>
  <c r="AL187" i="10" s="1"/>
  <c r="AM187" i="10" s="1"/>
  <c r="AN187" i="10" s="1"/>
  <c r="AO187" i="10" s="1"/>
  <c r="AP187" i="10" s="1"/>
  <c r="AQ187" i="10" s="1"/>
  <c r="AJ203" i="10"/>
  <c r="AK203" i="10" s="1"/>
  <c r="AL203" i="10" s="1"/>
  <c r="AM203" i="10" s="1"/>
  <c r="AN203" i="10" s="1"/>
  <c r="AO203" i="10" s="1"/>
  <c r="AP203" i="10" s="1"/>
  <c r="AQ203" i="10" s="1"/>
  <c r="AJ257" i="10"/>
  <c r="AK257" i="10" s="1"/>
  <c r="AL257" i="10" s="1"/>
  <c r="AM257" i="10" s="1"/>
  <c r="AN257" i="10" s="1"/>
  <c r="AO257" i="10" s="1"/>
  <c r="AP257" i="10" s="1"/>
  <c r="AQ257" i="10" s="1"/>
  <c r="AJ209" i="10"/>
  <c r="AK209" i="10" s="1"/>
  <c r="AL209" i="10" s="1"/>
  <c r="AM209" i="10" s="1"/>
  <c r="AN209" i="10" s="1"/>
  <c r="AO209" i="10" s="1"/>
  <c r="AP209" i="10" s="1"/>
  <c r="AQ209" i="10" s="1"/>
  <c r="AJ256" i="10"/>
  <c r="AK256" i="10" s="1"/>
  <c r="AL256" i="10" s="1"/>
  <c r="AM256" i="10" s="1"/>
  <c r="AN256" i="10" s="1"/>
  <c r="AO256" i="10" s="1"/>
  <c r="AP256" i="10" s="1"/>
  <c r="AQ256" i="10" s="1"/>
  <c r="AJ255" i="10"/>
  <c r="AK255" i="10" s="1"/>
  <c r="AL255" i="10" s="1"/>
  <c r="AM255" i="10" s="1"/>
  <c r="AN255" i="10" s="1"/>
  <c r="AO255" i="10" s="1"/>
  <c r="AP255" i="10" s="1"/>
  <c r="AQ255" i="10" s="1"/>
  <c r="BU253" i="10"/>
  <c r="CS253" i="10"/>
  <c r="CK253" i="10"/>
  <c r="BO253" i="10"/>
  <c r="AJ104" i="10"/>
  <c r="AK104" i="10" s="1"/>
  <c r="AL104" i="10" s="1"/>
  <c r="AM104" i="10" s="1"/>
  <c r="AN104" i="10" s="1"/>
  <c r="AO104" i="10" s="1"/>
  <c r="AP104" i="10" s="1"/>
  <c r="AQ104" i="10" s="1"/>
  <c r="AJ210" i="10"/>
  <c r="AK210" i="10" s="1"/>
  <c r="AL210" i="10" s="1"/>
  <c r="AM210" i="10" s="1"/>
  <c r="AN210" i="10" s="1"/>
  <c r="AO210" i="10" s="1"/>
  <c r="AP210" i="10" s="1"/>
  <c r="AQ210" i="10" s="1"/>
  <c r="AJ207" i="10"/>
  <c r="AK207" i="10" s="1"/>
  <c r="AL207" i="10" s="1"/>
  <c r="AM207" i="10" s="1"/>
  <c r="AN207" i="10" s="1"/>
  <c r="AO207" i="10" s="1"/>
  <c r="AP207" i="10" s="1"/>
  <c r="AQ207" i="10" s="1"/>
  <c r="AJ208" i="10"/>
  <c r="AK208" i="10" s="1"/>
  <c r="AL208" i="10" s="1"/>
  <c r="AM208" i="10" s="1"/>
  <c r="AN208" i="10" s="1"/>
  <c r="AO208" i="10" s="1"/>
  <c r="AP208" i="10" s="1"/>
  <c r="AQ208" i="10" s="1"/>
  <c r="CA253" i="10"/>
  <c r="AU253" i="10"/>
  <c r="CE253" i="10"/>
  <c r="CQ253" i="10"/>
  <c r="BA253" i="10"/>
  <c r="BG253" i="10"/>
  <c r="CM253" i="10"/>
  <c r="BQ253" i="10"/>
  <c r="BW253" i="10"/>
  <c r="CG253" i="10"/>
  <c r="CO253" i="10"/>
  <c r="BC253" i="10"/>
  <c r="AS253" i="10"/>
  <c r="CW253" i="10"/>
  <c r="AW253" i="10"/>
  <c r="BS253" i="10"/>
  <c r="BI253" i="10"/>
  <c r="I253" i="10"/>
  <c r="BM253" i="10"/>
  <c r="BK253" i="10"/>
  <c r="BY253" i="10"/>
  <c r="AI254" i="10"/>
  <c r="AJ254" i="10" s="1"/>
  <c r="AK254" i="10" s="1"/>
  <c r="AL254" i="10" s="1"/>
  <c r="AM254" i="10" s="1"/>
  <c r="AN254" i="10" s="1"/>
  <c r="AO254" i="10" s="1"/>
  <c r="AP254" i="10" s="1"/>
  <c r="AQ254" i="10" s="1"/>
  <c r="CI253" i="10"/>
  <c r="AY253" i="10"/>
  <c r="BE253" i="10"/>
  <c r="CC253" i="10"/>
  <c r="CY253" i="10"/>
  <c r="AJ185" i="10"/>
  <c r="AK185" i="10" s="1"/>
  <c r="AL185" i="10" s="1"/>
  <c r="AM185" i="10" s="1"/>
  <c r="AN185" i="10" s="1"/>
  <c r="AO185" i="10" s="1"/>
  <c r="AP185" i="10" s="1"/>
  <c r="AQ185" i="10" s="1"/>
  <c r="AJ194" i="10"/>
  <c r="AK194" i="10" s="1"/>
  <c r="AL194" i="10" s="1"/>
  <c r="AM194" i="10" s="1"/>
  <c r="AN194" i="10" s="1"/>
  <c r="AO194" i="10" s="1"/>
  <c r="AP194" i="10" s="1"/>
  <c r="AQ194" i="10" s="1"/>
  <c r="AJ288" i="10"/>
  <c r="AK288" i="10" s="1"/>
  <c r="AL288" i="10" s="1"/>
  <c r="AM288" i="10" s="1"/>
  <c r="AN288" i="10" s="1"/>
  <c r="AO288" i="10" s="1"/>
  <c r="AP288" i="10" s="1"/>
  <c r="AQ288" i="10" s="1"/>
  <c r="AK289" i="10"/>
  <c r="AL289" i="10" s="1"/>
  <c r="AM289" i="10" s="1"/>
  <c r="AN289" i="10" s="1"/>
  <c r="AO289" i="10" s="1"/>
  <c r="AP289" i="10" s="1"/>
  <c r="AQ289" i="10" s="1"/>
  <c r="AJ190" i="10"/>
  <c r="AK190" i="10" s="1"/>
  <c r="AL190" i="10" s="1"/>
  <c r="AM190" i="10" s="1"/>
  <c r="AN190" i="10" s="1"/>
  <c r="AO190" i="10" s="1"/>
  <c r="AP190" i="10" s="1"/>
  <c r="AQ190" i="10" s="1"/>
  <c r="AJ204" i="10"/>
  <c r="AK204" i="10" s="1"/>
  <c r="AL204" i="10" s="1"/>
  <c r="AM204" i="10" s="1"/>
  <c r="AN204" i="10" s="1"/>
  <c r="AO204" i="10" s="1"/>
  <c r="AP204" i="10" s="1"/>
  <c r="AQ204" i="10" s="1"/>
  <c r="CW195" i="10"/>
  <c r="BU195" i="10"/>
  <c r="I195" i="10"/>
  <c r="BO195" i="10"/>
  <c r="BG195" i="10"/>
  <c r="CC195" i="10"/>
  <c r="AI202" i="10"/>
  <c r="AJ202" i="10" s="1"/>
  <c r="AK202" i="10" s="1"/>
  <c r="AL202" i="10" s="1"/>
  <c r="AM202" i="10" s="1"/>
  <c r="AN202" i="10" s="1"/>
  <c r="AO202" i="10" s="1"/>
  <c r="AP202" i="10" s="1"/>
  <c r="AQ202" i="10" s="1"/>
  <c r="CI195" i="10"/>
  <c r="AJ205" i="10"/>
  <c r="AK205" i="10" s="1"/>
  <c r="AL205" i="10" s="1"/>
  <c r="AM205" i="10" s="1"/>
  <c r="AN205" i="10" s="1"/>
  <c r="AO205" i="10" s="1"/>
  <c r="AP205" i="10" s="1"/>
  <c r="AQ205" i="10" s="1"/>
  <c r="BA195" i="10"/>
  <c r="BW195" i="10"/>
  <c r="BY182" i="10"/>
  <c r="CS195" i="10"/>
  <c r="CY195" i="10"/>
  <c r="BQ195" i="10"/>
  <c r="AU195" i="10"/>
  <c r="I271" i="10"/>
  <c r="CQ195" i="10"/>
  <c r="CK195" i="10"/>
  <c r="BK195" i="10"/>
  <c r="CA195" i="10"/>
  <c r="CE195" i="10"/>
  <c r="CM195" i="10"/>
  <c r="AJ193" i="10"/>
  <c r="AK193" i="10" s="1"/>
  <c r="AL193" i="10" s="1"/>
  <c r="AM193" i="10" s="1"/>
  <c r="AN193" i="10" s="1"/>
  <c r="AO193" i="10" s="1"/>
  <c r="AP193" i="10" s="1"/>
  <c r="AQ193" i="10" s="1"/>
  <c r="BC195" i="10"/>
  <c r="AS195" i="10"/>
  <c r="AY195" i="10"/>
  <c r="CO195" i="10"/>
  <c r="AW195" i="10"/>
  <c r="BS195" i="10"/>
  <c r="BI195" i="10"/>
  <c r="AJ192" i="10"/>
  <c r="AK192" i="10" s="1"/>
  <c r="AL192" i="10" s="1"/>
  <c r="AM192" i="10" s="1"/>
  <c r="AN192" i="10" s="1"/>
  <c r="AO192" i="10" s="1"/>
  <c r="AP192" i="10" s="1"/>
  <c r="AQ192" i="10" s="1"/>
  <c r="AJ184" i="10"/>
  <c r="AK184" i="10" s="1"/>
  <c r="AL184" i="10" s="1"/>
  <c r="AM184" i="10" s="1"/>
  <c r="AN184" i="10" s="1"/>
  <c r="AO184" i="10" s="1"/>
  <c r="AP184" i="10" s="1"/>
  <c r="AQ184" i="10" s="1"/>
  <c r="AJ206" i="10"/>
  <c r="AK206" i="10" s="1"/>
  <c r="AL206" i="10" s="1"/>
  <c r="AM206" i="10" s="1"/>
  <c r="AN206" i="10" s="1"/>
  <c r="AO206" i="10" s="1"/>
  <c r="AP206" i="10" s="1"/>
  <c r="AQ206" i="10" s="1"/>
  <c r="CG195" i="10"/>
  <c r="BM195" i="10"/>
  <c r="BE195" i="10"/>
  <c r="BY195" i="10"/>
  <c r="CE182" i="10"/>
  <c r="AU182" i="10"/>
  <c r="CO182" i="10"/>
  <c r="AY182" i="10"/>
  <c r="BE182" i="10"/>
  <c r="CG182" i="10"/>
  <c r="BO182" i="10"/>
  <c r="BU182" i="10"/>
  <c r="CW182" i="10"/>
  <c r="BA182" i="10"/>
  <c r="BK182" i="10"/>
  <c r="CM182" i="10"/>
  <c r="BM182" i="10"/>
  <c r="AJ117" i="10"/>
  <c r="AK117" i="10" s="1"/>
  <c r="AL117" i="10" s="1"/>
  <c r="AM117" i="10" s="1"/>
  <c r="AN117" i="10" s="1"/>
  <c r="AO117" i="10" s="1"/>
  <c r="AP117" i="10" s="1"/>
  <c r="AQ117" i="10" s="1"/>
  <c r="CQ182" i="10"/>
  <c r="AJ183" i="10"/>
  <c r="AK183" i="10" s="1"/>
  <c r="AL183" i="10" s="1"/>
  <c r="AM183" i="10" s="1"/>
  <c r="AN183" i="10" s="1"/>
  <c r="AO183" i="10" s="1"/>
  <c r="AP183" i="10" s="1"/>
  <c r="AQ183" i="10" s="1"/>
  <c r="CI182" i="10"/>
  <c r="CA182" i="10"/>
  <c r="BW182" i="10"/>
  <c r="I182" i="10"/>
  <c r="BQ182" i="10"/>
  <c r="CC182" i="10"/>
  <c r="CY182" i="10"/>
  <c r="BC182" i="10"/>
  <c r="AS182" i="10"/>
  <c r="BG182" i="10"/>
  <c r="AJ191" i="10"/>
  <c r="AK191" i="10" s="1"/>
  <c r="AL191" i="10" s="1"/>
  <c r="AM191" i="10" s="1"/>
  <c r="AN191" i="10" s="1"/>
  <c r="AO191" i="10" s="1"/>
  <c r="AP191" i="10" s="1"/>
  <c r="AQ191" i="10" s="1"/>
  <c r="CS182" i="10"/>
  <c r="CK182" i="10"/>
  <c r="AW182" i="10"/>
  <c r="BS182" i="10"/>
  <c r="BI182" i="10"/>
  <c r="AJ71" i="10"/>
  <c r="AK71" i="10" s="1"/>
  <c r="AL71" i="10" s="1"/>
  <c r="AJ223" i="10"/>
  <c r="AK223" i="10" s="1"/>
  <c r="AL223" i="10" s="1"/>
  <c r="AM223" i="10" s="1"/>
  <c r="AN223" i="10" s="1"/>
  <c r="AO223" i="10" s="1"/>
  <c r="AP223" i="10" s="1"/>
  <c r="AQ223" i="10" s="1"/>
  <c r="CO116" i="10"/>
  <c r="AJ95" i="10"/>
  <c r="AK95" i="10" s="1"/>
  <c r="AL95" i="10" s="1"/>
  <c r="AM95" i="10" s="1"/>
  <c r="AN95" i="10" s="1"/>
  <c r="AO95" i="10" s="1"/>
  <c r="AP95" i="10" s="1"/>
  <c r="AQ95" i="10" s="1"/>
  <c r="AJ103" i="10"/>
  <c r="AK103" i="10" s="1"/>
  <c r="AL103" i="10" s="1"/>
  <c r="AM103" i="10" s="1"/>
  <c r="AN103" i="10" s="1"/>
  <c r="AO103" i="10" s="1"/>
  <c r="AP103" i="10" s="1"/>
  <c r="AQ103" i="10" s="1"/>
  <c r="AJ160" i="10"/>
  <c r="AK160" i="10" s="1"/>
  <c r="AL160" i="10" s="1"/>
  <c r="AM160" i="10" s="1"/>
  <c r="AN160" i="10" s="1"/>
  <c r="AO160" i="10" s="1"/>
  <c r="AP160" i="10" s="1"/>
  <c r="AQ160" i="10" s="1"/>
  <c r="AJ178" i="10"/>
  <c r="AK178" i="10" s="1"/>
  <c r="AL178" i="10" s="1"/>
  <c r="AM178" i="10" s="1"/>
  <c r="AN178" i="10" s="1"/>
  <c r="AO178" i="10" s="1"/>
  <c r="AP178" i="10" s="1"/>
  <c r="AQ178" i="10" s="1"/>
  <c r="BG65" i="10"/>
  <c r="BK65" i="10"/>
  <c r="BG116" i="10"/>
  <c r="BO116" i="10"/>
  <c r="CG271" i="10"/>
  <c r="AJ221" i="10"/>
  <c r="AK221" i="10" s="1"/>
  <c r="AL221" i="10" s="1"/>
  <c r="AM221" i="10" s="1"/>
  <c r="AN221" i="10" s="1"/>
  <c r="AO221" i="10" s="1"/>
  <c r="AP221" i="10" s="1"/>
  <c r="AQ221" i="10" s="1"/>
  <c r="AJ122" i="10"/>
  <c r="AK122" i="10" s="1"/>
  <c r="AL122" i="10" s="1"/>
  <c r="AM122" i="10" s="1"/>
  <c r="AN122" i="10" s="1"/>
  <c r="AO122" i="10" s="1"/>
  <c r="AP122" i="10" s="1"/>
  <c r="AQ122" i="10" s="1"/>
  <c r="BQ116" i="10"/>
  <c r="CG116" i="10"/>
  <c r="AJ121" i="10"/>
  <c r="AK121" i="10" s="1"/>
  <c r="AL121" i="10" s="1"/>
  <c r="AM121" i="10" s="1"/>
  <c r="AN121" i="10" s="1"/>
  <c r="AO121" i="10" s="1"/>
  <c r="AP121" i="10" s="1"/>
  <c r="AQ121" i="10" s="1"/>
  <c r="BE271" i="10"/>
  <c r="BY116" i="10"/>
  <c r="BO65" i="10"/>
  <c r="CC271" i="10"/>
  <c r="AJ173" i="10"/>
  <c r="AK173" i="10" s="1"/>
  <c r="AL173" i="10" s="1"/>
  <c r="AM173" i="10" s="1"/>
  <c r="AN173" i="10" s="1"/>
  <c r="AO173" i="10" s="1"/>
  <c r="AP173" i="10" s="1"/>
  <c r="AQ173" i="10" s="1"/>
  <c r="AJ283" i="10"/>
  <c r="AK283" i="10" s="1"/>
  <c r="AL283" i="10" s="1"/>
  <c r="AM283" i="10" s="1"/>
  <c r="AN283" i="10" s="1"/>
  <c r="AO283" i="10" s="1"/>
  <c r="AP283" i="10" s="1"/>
  <c r="AQ283" i="10" s="1"/>
  <c r="AJ151" i="10"/>
  <c r="AK151" i="10" s="1"/>
  <c r="AL151" i="10" s="1"/>
  <c r="AM151" i="10" s="1"/>
  <c r="AN151" i="10" s="1"/>
  <c r="AO151" i="10" s="1"/>
  <c r="AP151" i="10" s="1"/>
  <c r="AQ151" i="10" s="1"/>
  <c r="AJ105" i="10"/>
  <c r="AK105" i="10" s="1"/>
  <c r="AL105" i="10" s="1"/>
  <c r="AM105" i="10" s="1"/>
  <c r="AN105" i="10" s="1"/>
  <c r="AO105" i="10" s="1"/>
  <c r="AP105" i="10" s="1"/>
  <c r="AQ105" i="10" s="1"/>
  <c r="BY65" i="10"/>
  <c r="CC65" i="10"/>
  <c r="CS211" i="10"/>
  <c r="CO211" i="10"/>
  <c r="CW211" i="10"/>
  <c r="CS116" i="10"/>
  <c r="CW116" i="10"/>
  <c r="CM271" i="10"/>
  <c r="BY271" i="10"/>
  <c r="BM271" i="10"/>
  <c r="BK271" i="10"/>
  <c r="AJ25" i="10"/>
  <c r="AK25" i="10" s="1"/>
  <c r="AL25" i="10" s="1"/>
  <c r="AM25" i="10" s="1"/>
  <c r="AN25" i="10" s="1"/>
  <c r="AO25" i="10" s="1"/>
  <c r="AP25" i="10" s="1"/>
  <c r="AQ25" i="10" s="1"/>
  <c r="AU65" i="10"/>
  <c r="AY65" i="10"/>
  <c r="I65" i="10"/>
  <c r="AJ154" i="10"/>
  <c r="AK154" i="10" s="1"/>
  <c r="AL154" i="10" s="1"/>
  <c r="AM154" i="10" s="1"/>
  <c r="AN154" i="10" s="1"/>
  <c r="AO154" i="10" s="1"/>
  <c r="AP154" i="10" s="1"/>
  <c r="AQ154" i="10" s="1"/>
  <c r="BU271" i="10"/>
  <c r="CW271" i="10"/>
  <c r="CS271" i="10"/>
  <c r="AJ216" i="10"/>
  <c r="AK216" i="10" s="1"/>
  <c r="AL216" i="10" s="1"/>
  <c r="AM216" i="10" s="1"/>
  <c r="AN216" i="10" s="1"/>
  <c r="AO216" i="10" s="1"/>
  <c r="AP216" i="10" s="1"/>
  <c r="AQ216" i="10" s="1"/>
  <c r="BI271" i="10"/>
  <c r="CK116" i="10"/>
  <c r="AJ15" i="10"/>
  <c r="AK15" i="10" s="1"/>
  <c r="AL15" i="10" s="1"/>
  <c r="AM15" i="10" s="1"/>
  <c r="AN15" i="10" s="1"/>
  <c r="AO15" i="10" s="1"/>
  <c r="AP15" i="10" s="1"/>
  <c r="AQ15" i="10" s="1"/>
  <c r="AJ26" i="10"/>
  <c r="AK26" i="10" s="1"/>
  <c r="AL26" i="10" s="1"/>
  <c r="AM26" i="10" s="1"/>
  <c r="AN26" i="10" s="1"/>
  <c r="AO26" i="10" s="1"/>
  <c r="AP26" i="10" s="1"/>
  <c r="AQ26" i="10" s="1"/>
  <c r="CK271" i="10"/>
  <c r="BQ271" i="10"/>
  <c r="AJ34" i="10"/>
  <c r="AK34" i="10" s="1"/>
  <c r="AL34" i="10" s="1"/>
  <c r="AM34" i="10" s="1"/>
  <c r="AN34" i="10" s="1"/>
  <c r="AO34" i="10" s="1"/>
  <c r="AP34" i="10" s="1"/>
  <c r="AQ34" i="10" s="1"/>
  <c r="AJ153" i="10"/>
  <c r="AK153" i="10" s="1"/>
  <c r="AL153" i="10" s="1"/>
  <c r="AM153" i="10" s="1"/>
  <c r="AN153" i="10" s="1"/>
  <c r="AO153" i="10" s="1"/>
  <c r="AP153" i="10" s="1"/>
  <c r="AQ153" i="10" s="1"/>
  <c r="AJ144" i="10"/>
  <c r="AK144" i="10" s="1"/>
  <c r="AL144" i="10" s="1"/>
  <c r="AM144" i="10" s="1"/>
  <c r="AN144" i="10" s="1"/>
  <c r="AO144" i="10" s="1"/>
  <c r="AP144" i="10" s="1"/>
  <c r="AQ144" i="10" s="1"/>
  <c r="AJ110" i="10"/>
  <c r="AK110" i="10" s="1"/>
  <c r="AL110" i="10" s="1"/>
  <c r="AM110" i="10" s="1"/>
  <c r="AN110" i="10" s="1"/>
  <c r="AO110" i="10" s="1"/>
  <c r="AP110" i="10" s="1"/>
  <c r="AQ110" i="10" s="1"/>
  <c r="AW281" i="10"/>
  <c r="BC116" i="10"/>
  <c r="BW116" i="10"/>
  <c r="CA116" i="10"/>
  <c r="CE116" i="10"/>
  <c r="AJ81" i="10"/>
  <c r="AK81" i="10" s="1"/>
  <c r="AL81" i="10" s="1"/>
  <c r="AM81" i="10" s="1"/>
  <c r="AN81" i="10" s="1"/>
  <c r="AO81" i="10" s="1"/>
  <c r="AP81" i="10" s="1"/>
  <c r="AQ81" i="10" s="1"/>
  <c r="AK158" i="10"/>
  <c r="AL158" i="10" s="1"/>
  <c r="AM158" i="10" s="1"/>
  <c r="AN158" i="10" s="1"/>
  <c r="AO158" i="10" s="1"/>
  <c r="AP158" i="10" s="1"/>
  <c r="AQ158" i="10" s="1"/>
  <c r="AS65" i="10"/>
  <c r="AW65" i="10"/>
  <c r="BA65" i="10"/>
  <c r="CY65" i="10"/>
  <c r="AJ175" i="10"/>
  <c r="AK175" i="10" s="1"/>
  <c r="AL175" i="10" s="1"/>
  <c r="AM175" i="10" s="1"/>
  <c r="AN175" i="10" s="1"/>
  <c r="AO175" i="10" s="1"/>
  <c r="AP175" i="10" s="1"/>
  <c r="AQ175" i="10" s="1"/>
  <c r="BG271" i="10"/>
  <c r="AJ292" i="10"/>
  <c r="AK292" i="10" s="1"/>
  <c r="AL292" i="10" s="1"/>
  <c r="AM292" i="10" s="1"/>
  <c r="AN292" i="10" s="1"/>
  <c r="AO292" i="10" s="1"/>
  <c r="AP292" i="10" s="1"/>
  <c r="AQ292" i="10" s="1"/>
  <c r="BW281" i="10"/>
  <c r="AJ80" i="10"/>
  <c r="AK80" i="10" s="1"/>
  <c r="AL80" i="10" s="1"/>
  <c r="AM80" i="10" s="1"/>
  <c r="AN80" i="10" s="1"/>
  <c r="AO80" i="10" s="1"/>
  <c r="AP80" i="10" s="1"/>
  <c r="AQ80" i="10" s="1"/>
  <c r="AJ83" i="10"/>
  <c r="AK83" i="10" s="1"/>
  <c r="AL83" i="10" s="1"/>
  <c r="AM83" i="10" s="1"/>
  <c r="AN83" i="10" s="1"/>
  <c r="AO83" i="10" s="1"/>
  <c r="AP83" i="10" s="1"/>
  <c r="AQ83" i="10" s="1"/>
  <c r="AJ108" i="10"/>
  <c r="AK108" i="10" s="1"/>
  <c r="AL108" i="10" s="1"/>
  <c r="AM108" i="10" s="1"/>
  <c r="AN108" i="10" s="1"/>
  <c r="AO108" i="10" s="1"/>
  <c r="AP108" i="10" s="1"/>
  <c r="AQ108" i="10" s="1"/>
  <c r="BA271" i="10"/>
  <c r="CY271" i="10"/>
  <c r="AJ86" i="10"/>
  <c r="AK86" i="10" s="1"/>
  <c r="AL86" i="10" s="1"/>
  <c r="AM86" i="10" s="1"/>
  <c r="AN86" i="10" s="1"/>
  <c r="AO86" i="10" s="1"/>
  <c r="AP86" i="10" s="1"/>
  <c r="AQ86" i="10" s="1"/>
  <c r="AJ287" i="10"/>
  <c r="AK287" i="10" s="1"/>
  <c r="AL287" i="10" s="1"/>
  <c r="AM287" i="10" s="1"/>
  <c r="AN287" i="10" s="1"/>
  <c r="AO287" i="10" s="1"/>
  <c r="AP287" i="10" s="1"/>
  <c r="AQ287" i="10" s="1"/>
  <c r="AJ87" i="10"/>
  <c r="AK87" i="10" s="1"/>
  <c r="AL87" i="10" s="1"/>
  <c r="AM87" i="10" s="1"/>
  <c r="AN87" i="10" s="1"/>
  <c r="AO87" i="10" s="1"/>
  <c r="AP87" i="10" s="1"/>
  <c r="AQ87" i="10" s="1"/>
  <c r="BS116" i="10"/>
  <c r="CM116" i="10"/>
  <c r="CO271" i="10"/>
  <c r="CY116" i="10"/>
  <c r="AJ180" i="10"/>
  <c r="AK180" i="10" s="1"/>
  <c r="AL180" i="10" s="1"/>
  <c r="AM180" i="10" s="1"/>
  <c r="AN180" i="10" s="1"/>
  <c r="AO180" i="10" s="1"/>
  <c r="AP180" i="10" s="1"/>
  <c r="AQ180" i="10" s="1"/>
  <c r="BC271" i="10"/>
  <c r="CE271" i="10"/>
  <c r="AJ100" i="10"/>
  <c r="AK100" i="10" s="1"/>
  <c r="AL100" i="10" s="1"/>
  <c r="AM100" i="10" s="1"/>
  <c r="AN100" i="10" s="1"/>
  <c r="AO100" i="10" s="1"/>
  <c r="AP100" i="10" s="1"/>
  <c r="AQ100" i="10" s="1"/>
  <c r="AJ220" i="10"/>
  <c r="AK220" i="10" s="1"/>
  <c r="AL220" i="10" s="1"/>
  <c r="AM220" i="10" s="1"/>
  <c r="AN220" i="10" s="1"/>
  <c r="AO220" i="10" s="1"/>
  <c r="AP220" i="10" s="1"/>
  <c r="AQ220" i="10" s="1"/>
  <c r="AJ16" i="10"/>
  <c r="AK16" i="10" s="1"/>
  <c r="AL16" i="10" s="1"/>
  <c r="AM16" i="10" s="1"/>
  <c r="AN16" i="10" s="1"/>
  <c r="AO16" i="10" s="1"/>
  <c r="AP16" i="10" s="1"/>
  <c r="AQ16" i="10" s="1"/>
  <c r="AJ174" i="10"/>
  <c r="AK174" i="10" s="1"/>
  <c r="AL174" i="10" s="1"/>
  <c r="AM174" i="10" s="1"/>
  <c r="AN174" i="10" s="1"/>
  <c r="AO174" i="10" s="1"/>
  <c r="AP174" i="10" s="1"/>
  <c r="AQ174" i="10" s="1"/>
  <c r="AJ181" i="10"/>
  <c r="AK181" i="10" s="1"/>
  <c r="CM281" i="10"/>
  <c r="AJ8" i="10"/>
  <c r="AK8" i="10" s="1"/>
  <c r="AL8" i="10" s="1"/>
  <c r="AM8" i="10" s="1"/>
  <c r="AN8" i="10" s="1"/>
  <c r="AO8" i="10" s="1"/>
  <c r="AP8" i="10" s="1"/>
  <c r="AQ8" i="10" s="1"/>
  <c r="AJ150" i="10"/>
  <c r="AK150" i="10" s="1"/>
  <c r="AL150" i="10" s="1"/>
  <c r="AM150" i="10" s="1"/>
  <c r="AN150" i="10" s="1"/>
  <c r="AO150" i="10" s="1"/>
  <c r="AP150" i="10" s="1"/>
  <c r="AQ150" i="10" s="1"/>
  <c r="AJ107" i="10"/>
  <c r="AK107" i="10" s="1"/>
  <c r="AL107" i="10" s="1"/>
  <c r="AM107" i="10" s="1"/>
  <c r="AN107" i="10" s="1"/>
  <c r="AO107" i="10" s="1"/>
  <c r="AP107" i="10" s="1"/>
  <c r="AQ107" i="10" s="1"/>
  <c r="BC65" i="10"/>
  <c r="BY76" i="10"/>
  <c r="CC76" i="10"/>
  <c r="BS211" i="10"/>
  <c r="CQ116" i="10"/>
  <c r="AJ93" i="10"/>
  <c r="AK93" i="10" s="1"/>
  <c r="AL93" i="10" s="1"/>
  <c r="AM93" i="10" s="1"/>
  <c r="AN93" i="10" s="1"/>
  <c r="AO93" i="10" s="1"/>
  <c r="AP93" i="10" s="1"/>
  <c r="AQ93" i="10" s="1"/>
  <c r="AK157" i="10"/>
  <c r="AL157" i="10" s="1"/>
  <c r="AM157" i="10" s="1"/>
  <c r="AN157" i="10" s="1"/>
  <c r="AO157" i="10" s="1"/>
  <c r="AP157" i="10" s="1"/>
  <c r="AQ157" i="10" s="1"/>
  <c r="AS116" i="10"/>
  <c r="AW116" i="10"/>
  <c r="BA116" i="10"/>
  <c r="AJ111" i="10"/>
  <c r="AK111" i="10" s="1"/>
  <c r="AL111" i="10" s="1"/>
  <c r="AM111" i="10" s="1"/>
  <c r="AN111" i="10" s="1"/>
  <c r="AO111" i="10" s="1"/>
  <c r="AP111" i="10" s="1"/>
  <c r="AQ111" i="10" s="1"/>
  <c r="CQ271" i="10"/>
  <c r="AY271" i="10"/>
  <c r="AU271" i="10"/>
  <c r="CA271" i="10"/>
  <c r="BG281" i="10"/>
  <c r="AK98" i="10"/>
  <c r="AL98" i="10" s="1"/>
  <c r="AM98" i="10" s="1"/>
  <c r="AN98" i="10" s="1"/>
  <c r="AO98" i="10" s="1"/>
  <c r="AP98" i="10" s="1"/>
  <c r="AQ98" i="10" s="1"/>
  <c r="AJ14" i="10"/>
  <c r="AK14" i="10" s="1"/>
  <c r="AL14" i="10" s="1"/>
  <c r="AM14" i="10" s="1"/>
  <c r="AN14" i="10" s="1"/>
  <c r="AO14" i="10" s="1"/>
  <c r="AP14" i="10" s="1"/>
  <c r="AQ14" i="10" s="1"/>
  <c r="BI116" i="10"/>
  <c r="BM116" i="10"/>
  <c r="AJ163" i="10"/>
  <c r="AK163" i="10" s="1"/>
  <c r="AL163" i="10" s="1"/>
  <c r="AM163" i="10" s="1"/>
  <c r="AN163" i="10" s="1"/>
  <c r="AO163" i="10" s="1"/>
  <c r="AP163" i="10" s="1"/>
  <c r="AQ163" i="10" s="1"/>
  <c r="AJ106" i="10"/>
  <c r="AK106" i="10" s="1"/>
  <c r="AL106" i="10" s="1"/>
  <c r="AM106" i="10" s="1"/>
  <c r="AN106" i="10" s="1"/>
  <c r="AO106" i="10" s="1"/>
  <c r="AP106" i="10" s="1"/>
  <c r="AQ106" i="10" s="1"/>
  <c r="AJ84" i="10"/>
  <c r="AK84" i="10" s="1"/>
  <c r="AL84" i="10" s="1"/>
  <c r="AM84" i="10" s="1"/>
  <c r="AN84" i="10" s="1"/>
  <c r="AO84" i="10" s="1"/>
  <c r="AP84" i="10" s="1"/>
  <c r="AQ84" i="10" s="1"/>
  <c r="AS271" i="10"/>
  <c r="AM159" i="10"/>
  <c r="AN159" i="10" s="1"/>
  <c r="AO159" i="10" s="1"/>
  <c r="AP159" i="10" s="1"/>
  <c r="AQ159" i="10" s="1"/>
  <c r="CA65" i="10"/>
  <c r="BO281" i="10"/>
  <c r="CM65" i="10"/>
  <c r="CQ65" i="10"/>
  <c r="BK76" i="10"/>
  <c r="CC116" i="10"/>
  <c r="BO271" i="10"/>
  <c r="AN71" i="10"/>
  <c r="AO71" i="10" s="1"/>
  <c r="AP71" i="10" s="1"/>
  <c r="AQ71" i="10" s="1"/>
  <c r="AJ92" i="10"/>
  <c r="AK92" i="10" s="1"/>
  <c r="AL92" i="10" s="1"/>
  <c r="AM92" i="10" s="1"/>
  <c r="AN92" i="10" s="1"/>
  <c r="AO92" i="10" s="1"/>
  <c r="AP92" i="10" s="1"/>
  <c r="AQ92" i="10" s="1"/>
  <c r="AJ32" i="10"/>
  <c r="AK32" i="10" s="1"/>
  <c r="AL32" i="10" s="1"/>
  <c r="AM32" i="10" s="1"/>
  <c r="AN32" i="10" s="1"/>
  <c r="AO32" i="10" s="1"/>
  <c r="AP32" i="10" s="1"/>
  <c r="AQ32" i="10" s="1"/>
  <c r="BS271" i="10"/>
  <c r="BY281" i="10"/>
  <c r="CG281" i="10"/>
  <c r="AJ94" i="10"/>
  <c r="AK94" i="10" s="1"/>
  <c r="AL94" i="10" s="1"/>
  <c r="AM94" i="10" s="1"/>
  <c r="AN94" i="10" s="1"/>
  <c r="AO94" i="10" s="1"/>
  <c r="AP94" i="10" s="1"/>
  <c r="AQ94" i="10" s="1"/>
  <c r="CE65" i="10"/>
  <c r="CG65" i="10"/>
  <c r="BU65" i="10"/>
  <c r="AJ109" i="10"/>
  <c r="AK109" i="10" s="1"/>
  <c r="AL109" i="10" s="1"/>
  <c r="AM109" i="10" s="1"/>
  <c r="AN109" i="10" s="1"/>
  <c r="AO109" i="10" s="1"/>
  <c r="AP109" i="10" s="1"/>
  <c r="AQ109" i="10" s="1"/>
  <c r="AU116" i="10"/>
  <c r="AY116" i="10"/>
  <c r="BE281" i="10"/>
  <c r="CS281" i="10"/>
  <c r="AJ145" i="10"/>
  <c r="AK145" i="10" s="1"/>
  <c r="AL145" i="10" s="1"/>
  <c r="AM145" i="10" s="1"/>
  <c r="AN145" i="10" s="1"/>
  <c r="AO145" i="10" s="1"/>
  <c r="AP145" i="10" s="1"/>
  <c r="AQ145" i="10" s="1"/>
  <c r="BW65" i="10"/>
  <c r="BS65" i="10"/>
  <c r="CO65" i="10"/>
  <c r="CS65" i="10"/>
  <c r="CW65" i="10"/>
  <c r="CK65" i="10"/>
  <c r="AJ19" i="10"/>
  <c r="AK19" i="10" s="1"/>
  <c r="AL19" i="10" s="1"/>
  <c r="AM19" i="10" s="1"/>
  <c r="AN19" i="10" s="1"/>
  <c r="AO19" i="10" s="1"/>
  <c r="AP19" i="10" s="1"/>
  <c r="AQ19" i="10" s="1"/>
  <c r="I116" i="10"/>
  <c r="BK116" i="10"/>
  <c r="AJ222" i="10"/>
  <c r="AK222" i="10" s="1"/>
  <c r="AL222" i="10" s="1"/>
  <c r="AM222" i="10" s="1"/>
  <c r="AN222" i="10" s="1"/>
  <c r="AO222" i="10" s="1"/>
  <c r="AP222" i="10" s="1"/>
  <c r="AQ222" i="10" s="1"/>
  <c r="CI271" i="10"/>
  <c r="BW271" i="10"/>
  <c r="AW271" i="10"/>
  <c r="AJ41" i="10"/>
  <c r="AK41" i="10" s="1"/>
  <c r="AL41" i="10" s="1"/>
  <c r="AM41" i="10" s="1"/>
  <c r="AN41" i="10" s="1"/>
  <c r="AO41" i="10" s="1"/>
  <c r="AP41" i="10" s="1"/>
  <c r="AQ41" i="10" s="1"/>
  <c r="BU76" i="10"/>
  <c r="CO76" i="10"/>
  <c r="CS76" i="10"/>
  <c r="CW76" i="10"/>
  <c r="CY211" i="10"/>
  <c r="AI212" i="10"/>
  <c r="AJ212" i="10" s="1"/>
  <c r="AK212" i="10" s="1"/>
  <c r="AL212" i="10" s="1"/>
  <c r="AM212" i="10" s="1"/>
  <c r="AN212" i="10" s="1"/>
  <c r="AO212" i="10" s="1"/>
  <c r="AP212" i="10" s="1"/>
  <c r="AQ212" i="10" s="1"/>
  <c r="CI211" i="10"/>
  <c r="BO211" i="10"/>
  <c r="BW211" i="10"/>
  <c r="AU6" i="10"/>
  <c r="AY6" i="10"/>
  <c r="I6" i="10"/>
  <c r="BG6" i="10"/>
  <c r="AJ21" i="10"/>
  <c r="AK21" i="10" s="1"/>
  <c r="AL21" i="10" s="1"/>
  <c r="AM21" i="10" s="1"/>
  <c r="AN21" i="10" s="1"/>
  <c r="AO21" i="10" s="1"/>
  <c r="AP21" i="10" s="1"/>
  <c r="AQ21" i="10" s="1"/>
  <c r="AJ152" i="10"/>
  <c r="AK152" i="10" s="1"/>
  <c r="AL152" i="10" s="1"/>
  <c r="AM152" i="10" s="1"/>
  <c r="AN152" i="10" s="1"/>
  <c r="AO152" i="10" s="1"/>
  <c r="AP152" i="10" s="1"/>
  <c r="AQ152" i="10" s="1"/>
  <c r="BE38" i="10"/>
  <c r="BY38" i="10"/>
  <c r="CC38" i="10"/>
  <c r="CG38" i="10"/>
  <c r="AJ36" i="10"/>
  <c r="AK36" i="10" s="1"/>
  <c r="AL36" i="10" s="1"/>
  <c r="AM36" i="10" s="1"/>
  <c r="AN36" i="10" s="1"/>
  <c r="AO36" i="10" s="1"/>
  <c r="AP36" i="10" s="1"/>
  <c r="AQ36" i="10" s="1"/>
  <c r="AJ79" i="10"/>
  <c r="AK79" i="10" s="1"/>
  <c r="AL79" i="10" s="1"/>
  <c r="AM79" i="10" s="1"/>
  <c r="AN79" i="10" s="1"/>
  <c r="AO79" i="10" s="1"/>
  <c r="AP79" i="10" s="1"/>
  <c r="AQ79" i="10" s="1"/>
  <c r="AU89" i="10"/>
  <c r="CQ89" i="10"/>
  <c r="CC89" i="10"/>
  <c r="BA89" i="10"/>
  <c r="AJ42" i="10"/>
  <c r="AK42" i="10" s="1"/>
  <c r="AL42" i="10" s="1"/>
  <c r="AM42" i="10" s="1"/>
  <c r="AN42" i="10" s="1"/>
  <c r="AO42" i="10" s="1"/>
  <c r="AP42" i="10" s="1"/>
  <c r="AQ42" i="10" s="1"/>
  <c r="AW171" i="10"/>
  <c r="AY171" i="10"/>
  <c r="I171" i="10"/>
  <c r="CQ171" i="10"/>
  <c r="I27" i="10"/>
  <c r="CM27" i="10"/>
  <c r="BY27" i="10"/>
  <c r="CS27" i="10"/>
  <c r="AJ148" i="10"/>
  <c r="AK148" i="10" s="1"/>
  <c r="AL148" i="10" s="1"/>
  <c r="AM148" i="10" s="1"/>
  <c r="AN148" i="10" s="1"/>
  <c r="AO148" i="10" s="1"/>
  <c r="AP148" i="10" s="1"/>
  <c r="AQ148" i="10" s="1"/>
  <c r="AJ146" i="10"/>
  <c r="AK146" i="10" s="1"/>
  <c r="AL146" i="10" s="1"/>
  <c r="AM146" i="10" s="1"/>
  <c r="AN146" i="10" s="1"/>
  <c r="AO146" i="10" s="1"/>
  <c r="AP146" i="10" s="1"/>
  <c r="AQ146" i="10" s="1"/>
  <c r="CY99" i="10"/>
  <c r="CK99" i="10"/>
  <c r="CS99" i="10"/>
  <c r="CW99" i="10"/>
  <c r="AJ280" i="10"/>
  <c r="AK280" i="10" s="1"/>
  <c r="AL280" i="10" s="1"/>
  <c r="AM280" i="10" s="1"/>
  <c r="AN280" i="10" s="1"/>
  <c r="AO280" i="10" s="1"/>
  <c r="AP280" i="10" s="1"/>
  <c r="AQ280" i="10" s="1"/>
  <c r="BK281" i="10"/>
  <c r="CO281" i="10"/>
  <c r="AU155" i="10"/>
  <c r="BK155" i="10"/>
  <c r="CY155" i="10"/>
  <c r="BM155" i="10"/>
  <c r="BA138" i="10"/>
  <c r="CW138" i="10"/>
  <c r="BO138" i="10"/>
  <c r="AW138" i="10"/>
  <c r="AJ278" i="10"/>
  <c r="AK278" i="10" s="1"/>
  <c r="AL278" i="10" s="1"/>
  <c r="AM278" i="10" s="1"/>
  <c r="AN278" i="10" s="1"/>
  <c r="AO278" i="10" s="1"/>
  <c r="AP278" i="10" s="1"/>
  <c r="AQ278" i="10" s="1"/>
  <c r="AJ13" i="10"/>
  <c r="AK13" i="10" s="1"/>
  <c r="AL13" i="10" s="1"/>
  <c r="AM13" i="10" s="1"/>
  <c r="AN13" i="10" s="1"/>
  <c r="AO13" i="10" s="1"/>
  <c r="AP13" i="10" s="1"/>
  <c r="AQ13" i="10" s="1"/>
  <c r="CI65" i="10"/>
  <c r="AI67" i="10"/>
  <c r="AJ67" i="10" s="1"/>
  <c r="AK67" i="10" s="1"/>
  <c r="AL67" i="10" s="1"/>
  <c r="AM67" i="10" s="1"/>
  <c r="AN67" i="10" s="1"/>
  <c r="AO67" i="10" s="1"/>
  <c r="AP67" i="10" s="1"/>
  <c r="AQ67" i="10" s="1"/>
  <c r="CK76" i="10"/>
  <c r="AU76" i="10"/>
  <c r="AY76" i="10"/>
  <c r="I76" i="10"/>
  <c r="AJ179" i="10"/>
  <c r="AK179" i="10" s="1"/>
  <c r="AL179" i="10" s="1"/>
  <c r="AM179" i="10" s="1"/>
  <c r="AN179" i="10" s="1"/>
  <c r="AO179" i="10" s="1"/>
  <c r="AP179" i="10" s="1"/>
  <c r="AQ179" i="10" s="1"/>
  <c r="BU211" i="10"/>
  <c r="BE211" i="10"/>
  <c r="CE211" i="10"/>
  <c r="CM211" i="10"/>
  <c r="BK6" i="10"/>
  <c r="BO6" i="10"/>
  <c r="BC6" i="10"/>
  <c r="BW6" i="10"/>
  <c r="AN75" i="10"/>
  <c r="AO75" i="10" s="1"/>
  <c r="AP75" i="10" s="1"/>
  <c r="AQ75" i="10" s="1"/>
  <c r="BU38" i="10"/>
  <c r="CO38" i="10"/>
  <c r="AN39" i="10"/>
  <c r="AO39" i="10" s="1"/>
  <c r="AP39" i="10" s="1"/>
  <c r="AQ39" i="10" s="1"/>
  <c r="CS38" i="10"/>
  <c r="CW38" i="10"/>
  <c r="BO89" i="10"/>
  <c r="BC89" i="10"/>
  <c r="CY89" i="10"/>
  <c r="BQ89" i="10"/>
  <c r="AJ23" i="10"/>
  <c r="AK23" i="10" s="1"/>
  <c r="AL23" i="10" s="1"/>
  <c r="AM23" i="10" s="1"/>
  <c r="AN23" i="10" s="1"/>
  <c r="AO23" i="10" s="1"/>
  <c r="AP23" i="10" s="1"/>
  <c r="AQ23" i="10" s="1"/>
  <c r="CC171" i="10"/>
  <c r="BO171" i="10"/>
  <c r="BC171" i="10"/>
  <c r="BK27" i="10"/>
  <c r="AY27" i="10"/>
  <c r="AJ125" i="10"/>
  <c r="AK125" i="10" s="1"/>
  <c r="AL125" i="10" s="1"/>
  <c r="AM125" i="10" s="1"/>
  <c r="AN125" i="10" s="1"/>
  <c r="AO125" i="10" s="1"/>
  <c r="AP125" i="10" s="1"/>
  <c r="AQ125" i="10" s="1"/>
  <c r="BC99" i="10"/>
  <c r="BM99" i="10"/>
  <c r="AY99" i="10"/>
  <c r="AU99" i="10"/>
  <c r="BI281" i="10"/>
  <c r="CY281" i="10"/>
  <c r="BA281" i="10"/>
  <c r="BY155" i="10"/>
  <c r="CM155" i="10"/>
  <c r="AY155" i="10"/>
  <c r="CC155" i="10"/>
  <c r="AJ82" i="10"/>
  <c r="AK82" i="10" s="1"/>
  <c r="AL82" i="10" s="1"/>
  <c r="AM82" i="10" s="1"/>
  <c r="AN82" i="10" s="1"/>
  <c r="AO82" i="10" s="1"/>
  <c r="AP82" i="10" s="1"/>
  <c r="AQ82" i="10" s="1"/>
  <c r="AJ20" i="10"/>
  <c r="AK20" i="10" s="1"/>
  <c r="AL20" i="10" s="1"/>
  <c r="AM20" i="10" s="1"/>
  <c r="AN20" i="10" s="1"/>
  <c r="AO20" i="10" s="1"/>
  <c r="AP20" i="10" s="1"/>
  <c r="AQ20" i="10" s="1"/>
  <c r="BW138" i="10"/>
  <c r="BI138" i="10"/>
  <c r="AI141" i="10"/>
  <c r="AJ141" i="10" s="1"/>
  <c r="AK141" i="10" s="1"/>
  <c r="AL141" i="10" s="1"/>
  <c r="AM141" i="10" s="1"/>
  <c r="AN141" i="10" s="1"/>
  <c r="AO141" i="10" s="1"/>
  <c r="AP141" i="10" s="1"/>
  <c r="AQ141" i="10" s="1"/>
  <c r="CI138" i="10"/>
  <c r="BM138" i="10"/>
  <c r="AJ102" i="10"/>
  <c r="AK102" i="10" s="1"/>
  <c r="AL102" i="10" s="1"/>
  <c r="AM102" i="10" s="1"/>
  <c r="AN102" i="10" s="1"/>
  <c r="AO102" i="10" s="1"/>
  <c r="AP102" i="10" s="1"/>
  <c r="AQ102" i="10" s="1"/>
  <c r="AJ147" i="10"/>
  <c r="AK147" i="10" s="1"/>
  <c r="AL147" i="10" s="1"/>
  <c r="AM147" i="10" s="1"/>
  <c r="AN147" i="10" s="1"/>
  <c r="AO147" i="10" s="1"/>
  <c r="AP147" i="10" s="1"/>
  <c r="AQ147" i="10" s="1"/>
  <c r="BG76" i="10"/>
  <c r="BO76" i="10"/>
  <c r="BC76" i="10"/>
  <c r="AU211" i="10"/>
  <c r="CK211" i="10"/>
  <c r="CA6" i="10"/>
  <c r="CE6" i="10"/>
  <c r="BS6" i="10"/>
  <c r="CM6" i="10"/>
  <c r="AJ37" i="10"/>
  <c r="AK37" i="10" s="1"/>
  <c r="AL37" i="10" s="1"/>
  <c r="AM37" i="10" s="1"/>
  <c r="AN37" i="10" s="1"/>
  <c r="AO37" i="10" s="1"/>
  <c r="AP37" i="10" s="1"/>
  <c r="AQ37" i="10" s="1"/>
  <c r="AJ75" i="10"/>
  <c r="AK75" i="10" s="1"/>
  <c r="AL75" i="10" s="1"/>
  <c r="CK38" i="10"/>
  <c r="AU38" i="10"/>
  <c r="AY38" i="10"/>
  <c r="I38" i="10"/>
  <c r="CK89" i="10"/>
  <c r="BW89" i="10"/>
  <c r="BK89" i="10"/>
  <c r="CG89" i="10"/>
  <c r="AJ43" i="10"/>
  <c r="AK43" i="10" s="1"/>
  <c r="AL43" i="10" s="1"/>
  <c r="AM43" i="10" s="1"/>
  <c r="AN43" i="10" s="1"/>
  <c r="AO43" i="10" s="1"/>
  <c r="AP43" i="10" s="1"/>
  <c r="AQ43" i="10" s="1"/>
  <c r="AJ78" i="10"/>
  <c r="AK78" i="10" s="1"/>
  <c r="AL78" i="10" s="1"/>
  <c r="AM78" i="10" s="1"/>
  <c r="AN78" i="10" s="1"/>
  <c r="AO78" i="10" s="1"/>
  <c r="AP78" i="10" s="1"/>
  <c r="AQ78" i="10" s="1"/>
  <c r="BM171" i="10"/>
  <c r="BE171" i="10"/>
  <c r="CE171" i="10"/>
  <c r="BS171" i="10"/>
  <c r="AJ68" i="10"/>
  <c r="AK68" i="10" s="1"/>
  <c r="AL68" i="10" s="1"/>
  <c r="AM68" i="10" s="1"/>
  <c r="AN68" i="10" s="1"/>
  <c r="AO68" i="10" s="1"/>
  <c r="AP68" i="10" s="1"/>
  <c r="AQ68" i="10" s="1"/>
  <c r="BG27" i="10"/>
  <c r="CG27" i="10"/>
  <c r="BS27" i="10"/>
  <c r="BE27" i="10"/>
  <c r="BY99" i="10"/>
  <c r="BO99" i="10"/>
  <c r="BK99" i="10"/>
  <c r="AL57" i="10"/>
  <c r="AM57" i="10" s="1"/>
  <c r="AN57" i="10" s="1"/>
  <c r="AO57" i="10" s="1"/>
  <c r="AP57" i="10" s="1"/>
  <c r="AQ57" i="10" s="1"/>
  <c r="CO49" i="10"/>
  <c r="AS281" i="10"/>
  <c r="BM281" i="10"/>
  <c r="BQ281" i="10"/>
  <c r="BA155" i="10"/>
  <c r="BO155" i="10"/>
  <c r="BS155" i="10"/>
  <c r="CS155" i="10"/>
  <c r="AJ218" i="10"/>
  <c r="AK218" i="10" s="1"/>
  <c r="AL218" i="10" s="1"/>
  <c r="AM218" i="10" s="1"/>
  <c r="AN218" i="10" s="1"/>
  <c r="AO218" i="10" s="1"/>
  <c r="AP218" i="10" s="1"/>
  <c r="AQ218" i="10" s="1"/>
  <c r="CQ138" i="10"/>
  <c r="CE138" i="10"/>
  <c r="AU138" i="10"/>
  <c r="CC138" i="10"/>
  <c r="AM181" i="10"/>
  <c r="AN181" i="10" s="1"/>
  <c r="AO181" i="10" s="1"/>
  <c r="AP181" i="10" s="1"/>
  <c r="AQ181" i="10" s="1"/>
  <c r="AJ176" i="10"/>
  <c r="AK176" i="10" s="1"/>
  <c r="AL176" i="10" s="1"/>
  <c r="AM176" i="10" s="1"/>
  <c r="AN176" i="10" s="1"/>
  <c r="AO176" i="10" s="1"/>
  <c r="AP176" i="10" s="1"/>
  <c r="AQ176" i="10" s="1"/>
  <c r="AJ290" i="10"/>
  <c r="AK290" i="10" s="1"/>
  <c r="AL290" i="10" s="1"/>
  <c r="AM290" i="10" s="1"/>
  <c r="AN290" i="10" s="1"/>
  <c r="AO290" i="10" s="1"/>
  <c r="AP290" i="10" s="1"/>
  <c r="AQ290" i="10" s="1"/>
  <c r="AJ17" i="10"/>
  <c r="AK17" i="10" s="1"/>
  <c r="AL17" i="10" s="1"/>
  <c r="AM17" i="10" s="1"/>
  <c r="AN17" i="10" s="1"/>
  <c r="AO17" i="10" s="1"/>
  <c r="AP17" i="10" s="1"/>
  <c r="AQ17" i="10" s="1"/>
  <c r="AJ33" i="10"/>
  <c r="AK33" i="10" s="1"/>
  <c r="AL33" i="10" s="1"/>
  <c r="AM33" i="10" s="1"/>
  <c r="AN33" i="10" s="1"/>
  <c r="AO33" i="10" s="1"/>
  <c r="AP33" i="10" s="1"/>
  <c r="AQ33" i="10" s="1"/>
  <c r="BI65" i="10"/>
  <c r="BM65" i="10"/>
  <c r="BQ65" i="10"/>
  <c r="BE65" i="10"/>
  <c r="BW76" i="10"/>
  <c r="CA76" i="10"/>
  <c r="CE76" i="10"/>
  <c r="BS76" i="10"/>
  <c r="BK211" i="10"/>
  <c r="CA211" i="10"/>
  <c r="AS211" i="10"/>
  <c r="BA211" i="10"/>
  <c r="CQ6" i="10"/>
  <c r="CU6" i="10"/>
  <c r="AI7" i="10"/>
  <c r="AJ7" i="10" s="1"/>
  <c r="AK7" i="10" s="1"/>
  <c r="AL7" i="10" s="1"/>
  <c r="AM7" i="10" s="1"/>
  <c r="AN7" i="10" s="1"/>
  <c r="AO7" i="10" s="1"/>
  <c r="AP7" i="10" s="1"/>
  <c r="AQ7" i="10" s="1"/>
  <c r="CI6" i="10"/>
  <c r="CI116" i="10"/>
  <c r="AJ120" i="10"/>
  <c r="AK120" i="10" s="1"/>
  <c r="AL120" i="10" s="1"/>
  <c r="AM120" i="10" s="1"/>
  <c r="AN120" i="10" s="1"/>
  <c r="AO120" i="10" s="1"/>
  <c r="AP120" i="10" s="1"/>
  <c r="AQ120" i="10" s="1"/>
  <c r="AN217" i="10"/>
  <c r="AO217" i="10" s="1"/>
  <c r="AP217" i="10" s="1"/>
  <c r="AQ217" i="10" s="1"/>
  <c r="AJ217" i="10"/>
  <c r="AK217" i="10" s="1"/>
  <c r="AL217" i="10" s="1"/>
  <c r="AJ10" i="10"/>
  <c r="AK10" i="10" s="1"/>
  <c r="AL10" i="10" s="1"/>
  <c r="AM10" i="10" s="1"/>
  <c r="AN10" i="10" s="1"/>
  <c r="AO10" i="10" s="1"/>
  <c r="AP10" i="10" s="1"/>
  <c r="AQ10" i="10" s="1"/>
  <c r="BG38" i="10"/>
  <c r="BK38" i="10"/>
  <c r="BO38" i="10"/>
  <c r="BC38" i="10"/>
  <c r="AJ149" i="10"/>
  <c r="AK149" i="10" s="1"/>
  <c r="AL149" i="10" s="1"/>
  <c r="AM149" i="10" s="1"/>
  <c r="AN149" i="10" s="1"/>
  <c r="AO149" i="10" s="1"/>
  <c r="AP149" i="10" s="1"/>
  <c r="AQ149" i="10" s="1"/>
  <c r="AW89" i="10"/>
  <c r="CS89" i="10"/>
  <c r="CE89" i="10"/>
  <c r="CW89" i="10"/>
  <c r="AJ18" i="10"/>
  <c r="AK18" i="10" s="1"/>
  <c r="AL18" i="10" s="1"/>
  <c r="AM18" i="10" s="1"/>
  <c r="AN18" i="10" s="1"/>
  <c r="AO18" i="10" s="1"/>
  <c r="AP18" i="10" s="1"/>
  <c r="AQ18" i="10" s="1"/>
  <c r="CS171" i="10"/>
  <c r="CK171" i="10"/>
  <c r="AI172" i="10"/>
  <c r="AJ172" i="10" s="1"/>
  <c r="AK172" i="10" s="1"/>
  <c r="AL172" i="10" s="1"/>
  <c r="AM172" i="10" s="1"/>
  <c r="AN172" i="10" s="1"/>
  <c r="AO172" i="10" s="1"/>
  <c r="AP172" i="10" s="1"/>
  <c r="AQ172" i="10" s="1"/>
  <c r="CI171" i="10"/>
  <c r="CA27" i="10"/>
  <c r="AS27" i="10"/>
  <c r="CO27" i="10"/>
  <c r="BU27" i="10"/>
  <c r="BE99" i="10"/>
  <c r="BS99" i="10"/>
  <c r="CE99" i="10"/>
  <c r="CA99" i="10"/>
  <c r="AJ177" i="10"/>
  <c r="AK177" i="10" s="1"/>
  <c r="AL177" i="10" s="1"/>
  <c r="AM177" i="10" s="1"/>
  <c r="AN177" i="10" s="1"/>
  <c r="AO177" i="10" s="1"/>
  <c r="AP177" i="10" s="1"/>
  <c r="AQ177" i="10" s="1"/>
  <c r="AI285" i="10"/>
  <c r="AJ285" i="10" s="1"/>
  <c r="AK285" i="10" s="1"/>
  <c r="AL285" i="10" s="1"/>
  <c r="AM285" i="10" s="1"/>
  <c r="AN285" i="10" s="1"/>
  <c r="AO285" i="10" s="1"/>
  <c r="AP285" i="10" s="1"/>
  <c r="AQ285" i="10" s="1"/>
  <c r="CI281" i="10"/>
  <c r="CC281" i="10"/>
  <c r="AJ12" i="10"/>
  <c r="AK12" i="10" s="1"/>
  <c r="AL12" i="10" s="1"/>
  <c r="AM12" i="10" s="1"/>
  <c r="AN12" i="10" s="1"/>
  <c r="AO12" i="10" s="1"/>
  <c r="AP12" i="10" s="1"/>
  <c r="AQ12" i="10" s="1"/>
  <c r="CA155" i="10"/>
  <c r="CQ155" i="10"/>
  <c r="CO155" i="10"/>
  <c r="AJ159" i="10"/>
  <c r="AK159" i="10" s="1"/>
  <c r="BC138" i="10"/>
  <c r="CY138" i="10"/>
  <c r="BQ138" i="10"/>
  <c r="CS138" i="10"/>
  <c r="AJ293" i="10"/>
  <c r="AK293" i="10" s="1"/>
  <c r="AL293" i="10" s="1"/>
  <c r="AM293" i="10" s="1"/>
  <c r="AN293" i="10" s="1"/>
  <c r="AO293" i="10" s="1"/>
  <c r="AP293" i="10" s="1"/>
  <c r="AQ293" i="10" s="1"/>
  <c r="AJ97" i="10"/>
  <c r="AK97" i="10" s="1"/>
  <c r="AL97" i="10" s="1"/>
  <c r="AM97" i="10" s="1"/>
  <c r="AN97" i="10" s="1"/>
  <c r="AO97" i="10" s="1"/>
  <c r="AP97" i="10" s="1"/>
  <c r="AQ97" i="10" s="1"/>
  <c r="AJ11" i="10"/>
  <c r="AK11" i="10" s="1"/>
  <c r="AL11" i="10" s="1"/>
  <c r="AM11" i="10" s="1"/>
  <c r="AN11" i="10" s="1"/>
  <c r="AO11" i="10" s="1"/>
  <c r="AP11" i="10" s="1"/>
  <c r="AQ11" i="10" s="1"/>
  <c r="CM76" i="10"/>
  <c r="CQ76" i="10"/>
  <c r="CI76" i="10"/>
  <c r="AI77" i="10"/>
  <c r="AJ77" i="10" s="1"/>
  <c r="AK77" i="10" s="1"/>
  <c r="AL77" i="10" s="1"/>
  <c r="AM77" i="10" s="1"/>
  <c r="AN77" i="10" s="1"/>
  <c r="AO77" i="10" s="1"/>
  <c r="AP77" i="10" s="1"/>
  <c r="AQ77" i="10" s="1"/>
  <c r="CQ211" i="10"/>
  <c r="AW211" i="10"/>
  <c r="BI211" i="10"/>
  <c r="BQ211" i="10"/>
  <c r="AS6" i="10"/>
  <c r="AW6" i="10"/>
  <c r="BA6" i="10"/>
  <c r="CY6" i="10"/>
  <c r="BW38" i="10"/>
  <c r="CA38" i="10"/>
  <c r="CE38" i="10"/>
  <c r="BS38" i="10"/>
  <c r="BS89" i="10"/>
  <c r="BE89" i="10"/>
  <c r="AS89" i="10"/>
  <c r="BU171" i="10"/>
  <c r="BG171" i="10"/>
  <c r="BA171" i="10"/>
  <c r="CY171" i="10"/>
  <c r="CW27" i="10"/>
  <c r="BO27" i="10"/>
  <c r="BA27" i="10"/>
  <c r="CK27" i="10"/>
  <c r="CC99" i="10"/>
  <c r="CO99" i="10"/>
  <c r="AI57" i="10"/>
  <c r="AJ57" i="10" s="1"/>
  <c r="AK57" i="10" s="1"/>
  <c r="CI49" i="10"/>
  <c r="AJ273" i="10"/>
  <c r="AK273" i="10" s="1"/>
  <c r="AL273" i="10" s="1"/>
  <c r="AM273" i="10" s="1"/>
  <c r="AN273" i="10" s="1"/>
  <c r="AO273" i="10" s="1"/>
  <c r="AP273" i="10" s="1"/>
  <c r="AQ273" i="10" s="1"/>
  <c r="CK281" i="10"/>
  <c r="CW281" i="10"/>
  <c r="AS155" i="10"/>
  <c r="BC155" i="10"/>
  <c r="BQ155" i="10"/>
  <c r="BE155" i="10"/>
  <c r="AJ274" i="10"/>
  <c r="AK274" i="10" s="1"/>
  <c r="AL274" i="10" s="1"/>
  <c r="AM274" i="10" s="1"/>
  <c r="AN274" i="10" s="1"/>
  <c r="AO274" i="10" s="1"/>
  <c r="AP274" i="10" s="1"/>
  <c r="AQ274" i="10" s="1"/>
  <c r="BY138" i="10"/>
  <c r="I138" i="10"/>
  <c r="CM138" i="10"/>
  <c r="BE138" i="10"/>
  <c r="AJ35" i="10"/>
  <c r="AK35" i="10" s="1"/>
  <c r="AL35" i="10" s="1"/>
  <c r="AM35" i="10" s="1"/>
  <c r="AN35" i="10" s="1"/>
  <c r="AO35" i="10" s="1"/>
  <c r="AP35" i="10" s="1"/>
  <c r="AQ35" i="10" s="1"/>
  <c r="AJ213" i="10"/>
  <c r="AK213" i="10" s="1"/>
  <c r="AL213" i="10" s="1"/>
  <c r="AJ219" i="10"/>
  <c r="AK219" i="10" s="1"/>
  <c r="AL219" i="10" s="1"/>
  <c r="AM219" i="10" s="1"/>
  <c r="AN219" i="10" s="1"/>
  <c r="AO219" i="10" s="1"/>
  <c r="AP219" i="10" s="1"/>
  <c r="AQ219" i="10" s="1"/>
  <c r="AJ9" i="10"/>
  <c r="AK9" i="10" s="1"/>
  <c r="AL9" i="10" s="1"/>
  <c r="AM9" i="10" s="1"/>
  <c r="AN9" i="10" s="1"/>
  <c r="AO9" i="10" s="1"/>
  <c r="AP9" i="10" s="1"/>
  <c r="AQ9" i="10" s="1"/>
  <c r="AJ214" i="10"/>
  <c r="AK214" i="10" s="1"/>
  <c r="AL214" i="10" s="1"/>
  <c r="AM214" i="10" s="1"/>
  <c r="AN214" i="10" s="1"/>
  <c r="AO214" i="10" s="1"/>
  <c r="AP214" i="10" s="1"/>
  <c r="AQ214" i="10" s="1"/>
  <c r="AJ88" i="10"/>
  <c r="AK88" i="10" s="1"/>
  <c r="AL88" i="10" s="1"/>
  <c r="AM88" i="10" s="1"/>
  <c r="AN88" i="10" s="1"/>
  <c r="AO88" i="10" s="1"/>
  <c r="AP88" i="10" s="1"/>
  <c r="AQ88" i="10" s="1"/>
  <c r="AS76" i="10"/>
  <c r="AW76" i="10"/>
  <c r="BA76" i="10"/>
  <c r="CY76" i="10"/>
  <c r="BM211" i="10"/>
  <c r="CC211" i="10"/>
  <c r="BY211" i="10"/>
  <c r="CG211" i="10"/>
  <c r="BI6" i="10"/>
  <c r="CC6" i="10"/>
  <c r="BQ6" i="10"/>
  <c r="BE6" i="10"/>
  <c r="AJ24" i="10"/>
  <c r="AK24" i="10" s="1"/>
  <c r="AL24" i="10" s="1"/>
  <c r="AM24" i="10" s="1"/>
  <c r="AN24" i="10" s="1"/>
  <c r="AO24" i="10" s="1"/>
  <c r="AP24" i="10" s="1"/>
  <c r="AQ24" i="10" s="1"/>
  <c r="AJ70" i="10"/>
  <c r="AK70" i="10" s="1"/>
  <c r="AL70" i="10" s="1"/>
  <c r="AM70" i="10" s="1"/>
  <c r="AN70" i="10" s="1"/>
  <c r="AO70" i="10" s="1"/>
  <c r="AP70" i="10" s="1"/>
  <c r="AQ70" i="10" s="1"/>
  <c r="BE116" i="10"/>
  <c r="AJ22" i="10"/>
  <c r="AK22" i="10" s="1"/>
  <c r="AL22" i="10" s="1"/>
  <c r="AM22" i="10" s="1"/>
  <c r="AN22" i="10" s="1"/>
  <c r="AO22" i="10" s="1"/>
  <c r="AP22" i="10" s="1"/>
  <c r="AQ22" i="10" s="1"/>
  <c r="CM38" i="10"/>
  <c r="CQ38" i="10"/>
  <c r="CI38" i="10"/>
  <c r="AI39" i="10"/>
  <c r="AJ39" i="10" s="1"/>
  <c r="AK39" i="10" s="1"/>
  <c r="AL39" i="10" s="1"/>
  <c r="AM39" i="10" s="1"/>
  <c r="I89" i="10"/>
  <c r="CM89" i="10"/>
  <c r="CA89" i="10"/>
  <c r="BI89" i="10"/>
  <c r="BW171" i="10"/>
  <c r="CM171" i="10"/>
  <c r="BQ171" i="10"/>
  <c r="AU171" i="10"/>
  <c r="BI27" i="10"/>
  <c r="AI31" i="10"/>
  <c r="AJ31" i="10" s="1"/>
  <c r="AK31" i="10" s="1"/>
  <c r="AL31" i="10" s="1"/>
  <c r="AM31" i="10" s="1"/>
  <c r="AN31" i="10" s="1"/>
  <c r="AO31" i="10" s="1"/>
  <c r="AP31" i="10" s="1"/>
  <c r="AQ31" i="10" s="1"/>
  <c r="CI27" i="10"/>
  <c r="BW27" i="10"/>
  <c r="AW27" i="10"/>
  <c r="AJ162" i="10"/>
  <c r="AK162" i="10" s="1"/>
  <c r="AL162" i="10" s="1"/>
  <c r="AM162" i="10" s="1"/>
  <c r="AN162" i="10" s="1"/>
  <c r="AO162" i="10" s="1"/>
  <c r="AP162" i="10" s="1"/>
  <c r="AQ162" i="10" s="1"/>
  <c r="BG99" i="10"/>
  <c r="I99" i="10"/>
  <c r="BA99" i="10"/>
  <c r="AU281" i="10"/>
  <c r="CA281" i="10"/>
  <c r="AY281" i="10"/>
  <c r="BW155" i="10"/>
  <c r="CG155" i="10"/>
  <c r="BU155" i="10"/>
  <c r="BK138" i="10"/>
  <c r="AY138" i="10"/>
  <c r="BU138" i="10"/>
  <c r="AN213" i="10"/>
  <c r="AO213" i="10" s="1"/>
  <c r="AP213" i="10" s="1"/>
  <c r="AQ213" i="10" s="1"/>
  <c r="BI76" i="10"/>
  <c r="BM76" i="10"/>
  <c r="BQ76" i="10"/>
  <c r="I211" i="10"/>
  <c r="BY6" i="10"/>
  <c r="BM6" i="10"/>
  <c r="CG6" i="10"/>
  <c r="BU6" i="10"/>
  <c r="BU116" i="10"/>
  <c r="AS38" i="10"/>
  <c r="AW38" i="10"/>
  <c r="BA38" i="10"/>
  <c r="CY38" i="10"/>
  <c r="BM89" i="10"/>
  <c r="AY89" i="10"/>
  <c r="BY89" i="10"/>
  <c r="AS171" i="10"/>
  <c r="BI171" i="10"/>
  <c r="CG171" i="10"/>
  <c r="BK171" i="10"/>
  <c r="CE27" i="10"/>
  <c r="AU27" i="10"/>
  <c r="CQ27" i="10"/>
  <c r="BM27" i="10"/>
  <c r="AW99" i="10"/>
  <c r="AS99" i="10"/>
  <c r="BQ99" i="10"/>
  <c r="CQ281" i="10"/>
  <c r="I281" i="10"/>
  <c r="CW155" i="10"/>
  <c r="BG155" i="10"/>
  <c r="BI155" i="10"/>
  <c r="AJ156" i="10"/>
  <c r="AK156" i="10" s="1"/>
  <c r="AL156" i="10" s="1"/>
  <c r="AM156" i="10" s="1"/>
  <c r="AN156" i="10" s="1"/>
  <c r="AO156" i="10" s="1"/>
  <c r="AP156" i="10" s="1"/>
  <c r="AQ156" i="10" s="1"/>
  <c r="CK155" i="10"/>
  <c r="BG138" i="10"/>
  <c r="CG138" i="10"/>
  <c r="BS138" i="10"/>
  <c r="CK138" i="10"/>
  <c r="BE76" i="10"/>
  <c r="CG76" i="10"/>
  <c r="BC211" i="10"/>
  <c r="AY211" i="10"/>
  <c r="BG211" i="10"/>
  <c r="CO6" i="10"/>
  <c r="CS6" i="10"/>
  <c r="CW6" i="10"/>
  <c r="CK6" i="10"/>
  <c r="BI38" i="10"/>
  <c r="BM38" i="10"/>
  <c r="BQ38" i="10"/>
  <c r="AI90" i="10"/>
  <c r="AJ90" i="10" s="1"/>
  <c r="AK90" i="10" s="1"/>
  <c r="AL90" i="10" s="1"/>
  <c r="AM90" i="10" s="1"/>
  <c r="AN90" i="10" s="1"/>
  <c r="AO90" i="10" s="1"/>
  <c r="AP90" i="10" s="1"/>
  <c r="AQ90" i="10" s="1"/>
  <c r="CI89" i="10"/>
  <c r="BU89" i="10"/>
  <c r="BG89" i="10"/>
  <c r="CO89" i="10"/>
  <c r="BY171" i="10"/>
  <c r="CO171" i="10"/>
  <c r="CW171" i="10"/>
  <c r="CA171" i="10"/>
  <c r="CY27" i="10"/>
  <c r="BQ27" i="10"/>
  <c r="BC27" i="10"/>
  <c r="CC27" i="10"/>
  <c r="BW99" i="10"/>
  <c r="BI99" i="10"/>
  <c r="BU99" i="10"/>
  <c r="CG99" i="10"/>
  <c r="BC281" i="10"/>
  <c r="BU281" i="10"/>
  <c r="BS281" i="10"/>
  <c r="CE281" i="10"/>
  <c r="I155" i="10"/>
  <c r="CI155" i="10"/>
  <c r="AI156" i="10"/>
  <c r="CE155" i="10"/>
  <c r="AW155" i="10"/>
  <c r="CA138" i="10"/>
  <c r="AS138" i="10"/>
  <c r="CO138" i="10"/>
  <c r="G6" i="9"/>
  <c r="AN223" i="5"/>
  <c r="AO223" i="5" s="1"/>
  <c r="AP223" i="5" s="1"/>
  <c r="AQ223" i="5" s="1"/>
  <c r="AL220" i="5"/>
  <c r="AM220" i="5" s="1"/>
  <c r="AN220" i="5" s="1"/>
  <c r="AO220" i="5" s="1"/>
  <c r="AP220" i="5" s="1"/>
  <c r="AQ220" i="5" s="1"/>
  <c r="AL216" i="5"/>
  <c r="AM216" i="5" s="1"/>
  <c r="AN216" i="5" s="1"/>
  <c r="AO216" i="5" s="1"/>
  <c r="AP216" i="5" s="1"/>
  <c r="AQ216" i="5" s="1"/>
  <c r="AM183" i="5"/>
  <c r="AN183" i="5" s="1"/>
  <c r="AO183" i="5" s="1"/>
  <c r="AP183" i="5" s="1"/>
  <c r="AQ183" i="5" s="1"/>
  <c r="AN182" i="5"/>
  <c r="AP182" i="5" s="1"/>
  <c r="AQ182" i="5" s="1"/>
  <c r="AM126" i="5"/>
  <c r="AN126" i="5" s="1"/>
  <c r="AO126" i="5" s="1"/>
  <c r="AP126" i="5" s="1"/>
  <c r="AQ126" i="5" s="1"/>
  <c r="AM72" i="5"/>
  <c r="AN72" i="5" s="1"/>
  <c r="AO72" i="5" s="1"/>
  <c r="AP72" i="5" s="1"/>
  <c r="AQ72" i="5" s="1"/>
  <c r="AM65" i="5"/>
  <c r="AN65" i="5" s="1"/>
  <c r="AO65" i="5" s="1"/>
  <c r="AP65" i="5" s="1"/>
  <c r="AQ65" i="5" s="1"/>
  <c r="AN44" i="5"/>
  <c r="AO44" i="5" s="1"/>
  <c r="AP44" i="5" s="1"/>
  <c r="AQ44" i="5" s="1"/>
  <c r="AO28" i="5"/>
  <c r="AP28" i="5" s="1"/>
  <c r="AQ28" i="5" s="1"/>
  <c r="BY294" i="10" l="1"/>
  <c r="CC294" i="10"/>
  <c r="BM294" i="10"/>
  <c r="BU294" i="10"/>
  <c r="BS294" i="10"/>
  <c r="CE294" i="10"/>
  <c r="BG294" i="10"/>
  <c r="CA294" i="10"/>
  <c r="BW294" i="10"/>
  <c r="BE294" i="10"/>
  <c r="BC294" i="10"/>
  <c r="AY294" i="10"/>
  <c r="BQ294" i="10"/>
  <c r="BA294" i="10"/>
  <c r="BO294" i="10"/>
  <c r="AU294" i="10"/>
  <c r="BK294" i="10"/>
  <c r="AW294" i="10"/>
  <c r="CG294" i="10"/>
  <c r="BI294" i="10"/>
  <c r="AS294" i="10"/>
  <c r="K7" i="5"/>
  <c r="K8" i="5"/>
  <c r="K9" i="5"/>
  <c r="K10" i="5"/>
  <c r="K11" i="5"/>
  <c r="K12" i="5"/>
  <c r="K13" i="5"/>
  <c r="K14" i="5"/>
  <c r="K15" i="5"/>
  <c r="K16" i="5"/>
  <c r="K17" i="5"/>
  <c r="K18" i="5"/>
  <c r="K19" i="5"/>
  <c r="K20" i="5"/>
  <c r="K21" i="5"/>
  <c r="K22" i="5"/>
  <c r="K23" i="5"/>
  <c r="K24" i="5"/>
  <c r="K25" i="5"/>
  <c r="K26" i="5"/>
  <c r="K28" i="5"/>
  <c r="K29" i="5"/>
  <c r="K30" i="5"/>
  <c r="K31" i="5"/>
  <c r="K32" i="5"/>
  <c r="K33" i="5"/>
  <c r="K34" i="5"/>
  <c r="K35" i="5"/>
  <c r="K36" i="5"/>
  <c r="K37" i="5"/>
  <c r="K39" i="5"/>
  <c r="K40" i="5"/>
  <c r="K41" i="5"/>
  <c r="K42" i="5"/>
  <c r="K43" i="5"/>
  <c r="K44" i="5"/>
  <c r="K45" i="5"/>
  <c r="K46" i="5"/>
  <c r="K47" i="5"/>
  <c r="K48" i="5"/>
  <c r="J156" i="5" l="1"/>
  <c r="J122" i="5"/>
  <c r="J6" i="5"/>
  <c r="K123" i="5" l="1"/>
  <c r="K108" i="5"/>
  <c r="K109" i="5"/>
  <c r="K110" i="5"/>
  <c r="K111" i="5"/>
  <c r="CH99" i="5" l="1"/>
  <c r="CH112" i="5" l="1"/>
  <c r="K127" i="5" l="1"/>
  <c r="CF169" i="5"/>
  <c r="CL169" i="5"/>
  <c r="CJ169" i="5"/>
  <c r="CJ221" i="5" l="1"/>
  <c r="CY220" i="5" l="1"/>
  <c r="CY219" i="5"/>
  <c r="CY218" i="5"/>
  <c r="CY217" i="5"/>
  <c r="CY216" i="5"/>
  <c r="CY215" i="5"/>
  <c r="CW220" i="5"/>
  <c r="CW219" i="5"/>
  <c r="CW218" i="5"/>
  <c r="CW217" i="5"/>
  <c r="CW216" i="5"/>
  <c r="CW215" i="5"/>
  <c r="CU220" i="5"/>
  <c r="CU219" i="5"/>
  <c r="CU218" i="5"/>
  <c r="CU217" i="5"/>
  <c r="CU216" i="5"/>
  <c r="CU215" i="5"/>
  <c r="CY114" i="5"/>
  <c r="CW114" i="5"/>
  <c r="CU114" i="5"/>
  <c r="CS195" i="5"/>
  <c r="CW258" i="5"/>
  <c r="CW257" i="5"/>
  <c r="CU258" i="5"/>
  <c r="CU257" i="5"/>
  <c r="CY254" i="5"/>
  <c r="CY253" i="5"/>
  <c r="CY258" i="5"/>
  <c r="CY257" i="5"/>
  <c r="CY256" i="5"/>
  <c r="CY280" i="5"/>
  <c r="CY278" i="5"/>
  <c r="CY277" i="5"/>
  <c r="CY276" i="5"/>
  <c r="CY269" i="5"/>
  <c r="CY262" i="5"/>
  <c r="CY260" i="5"/>
  <c r="CY191" i="5"/>
  <c r="CY190" i="5"/>
  <c r="CY188" i="5"/>
  <c r="CY187" i="5"/>
  <c r="CY186" i="5"/>
  <c r="CY184" i="5"/>
  <c r="CY183" i="5"/>
  <c r="CY182" i="5"/>
  <c r="CY181" i="5"/>
  <c r="CY180" i="5"/>
  <c r="CY179" i="5"/>
  <c r="CY176" i="5"/>
  <c r="CY175" i="5"/>
  <c r="CY174" i="5"/>
  <c r="CY173" i="5"/>
  <c r="CY172" i="5"/>
  <c r="CY171" i="5"/>
  <c r="CY170" i="5"/>
  <c r="CY87" i="5"/>
  <c r="CY84" i="5"/>
  <c r="CY83" i="5"/>
  <c r="CY74" i="5"/>
  <c r="CY73" i="5"/>
  <c r="CY72" i="5"/>
  <c r="CY70" i="5"/>
  <c r="CY69" i="5"/>
  <c r="CY68" i="5"/>
  <c r="CY66" i="5"/>
  <c r="CY65" i="5"/>
  <c r="CY64" i="5"/>
  <c r="CY63" i="5"/>
  <c r="CY62" i="5"/>
  <c r="CY61" i="5"/>
  <c r="CY57" i="5"/>
  <c r="CY56" i="5"/>
  <c r="CY52" i="5"/>
  <c r="CY51" i="5"/>
  <c r="CY46" i="5"/>
  <c r="CY45" i="5"/>
  <c r="CY42" i="5"/>
  <c r="CY39" i="5"/>
  <c r="CY37" i="5"/>
  <c r="CY36" i="5"/>
  <c r="CY35" i="5"/>
  <c r="CY34" i="5"/>
  <c r="CY29" i="5"/>
  <c r="CZ272" i="5"/>
  <c r="CZ259" i="5"/>
  <c r="CZ255" i="5"/>
  <c r="CZ252" i="5"/>
  <c r="CZ234" i="5"/>
  <c r="CZ221" i="5"/>
  <c r="CZ214" i="5"/>
  <c r="CZ203" i="5"/>
  <c r="CZ194" i="5"/>
  <c r="CZ185" i="5"/>
  <c r="CZ169" i="5"/>
  <c r="CZ156" i="5"/>
  <c r="CZ131" i="5"/>
  <c r="CZ122" i="5"/>
  <c r="CZ112" i="5"/>
  <c r="CZ99" i="5"/>
  <c r="CZ82" i="5"/>
  <c r="CZ71" i="5"/>
  <c r="CZ60" i="5"/>
  <c r="CZ49" i="5"/>
  <c r="CZ38" i="5"/>
  <c r="CZ27" i="5"/>
  <c r="CZ6" i="5"/>
  <c r="CZ282" i="5" l="1"/>
  <c r="CY214" i="5"/>
  <c r="CY252" i="5"/>
  <c r="CY255" i="5"/>
  <c r="CW280" i="5" l="1"/>
  <c r="CW278" i="5"/>
  <c r="CW277" i="5"/>
  <c r="CW276" i="5"/>
  <c r="CW269" i="5"/>
  <c r="CW262" i="5"/>
  <c r="CW260" i="5"/>
  <c r="CW191" i="5"/>
  <c r="CW190" i="5"/>
  <c r="CW188" i="5"/>
  <c r="CW187" i="5"/>
  <c r="CW186" i="5"/>
  <c r="CW184" i="5"/>
  <c r="CW183" i="5"/>
  <c r="CW182" i="5"/>
  <c r="CW181" i="5"/>
  <c r="CW180" i="5"/>
  <c r="CW179" i="5"/>
  <c r="CW176" i="5"/>
  <c r="CW175" i="5"/>
  <c r="CW174" i="5"/>
  <c r="CW173" i="5"/>
  <c r="CW172" i="5"/>
  <c r="CW171" i="5"/>
  <c r="CW170" i="5"/>
  <c r="CW87" i="5"/>
  <c r="CW84" i="5"/>
  <c r="CW83" i="5"/>
  <c r="CW74" i="5"/>
  <c r="CW73" i="5"/>
  <c r="CW72" i="5"/>
  <c r="CW70" i="5"/>
  <c r="CW69" i="5"/>
  <c r="CW68" i="5"/>
  <c r="CW66" i="5"/>
  <c r="CW65" i="5"/>
  <c r="CW64" i="5"/>
  <c r="CW63" i="5"/>
  <c r="CW62" i="5"/>
  <c r="CW61" i="5"/>
  <c r="CW57" i="5"/>
  <c r="CW56" i="5"/>
  <c r="CW52" i="5"/>
  <c r="CW51" i="5"/>
  <c r="CW46" i="5"/>
  <c r="CW45" i="5"/>
  <c r="CW42" i="5"/>
  <c r="CW39" i="5"/>
  <c r="CW37" i="5"/>
  <c r="CW36" i="5"/>
  <c r="CW35" i="5"/>
  <c r="CW34" i="5"/>
  <c r="CW29" i="5"/>
  <c r="CX221" i="5"/>
  <c r="CX272" i="5"/>
  <c r="CX259" i="5"/>
  <c r="CX255" i="5"/>
  <c r="CX252" i="5"/>
  <c r="CX234" i="5"/>
  <c r="CX214" i="5"/>
  <c r="CX203" i="5"/>
  <c r="CX194" i="5"/>
  <c r="CX185" i="5"/>
  <c r="CX169" i="5"/>
  <c r="CX156" i="5"/>
  <c r="CX131" i="5"/>
  <c r="CX122" i="5"/>
  <c r="CX112" i="5"/>
  <c r="CX99" i="5"/>
  <c r="CX82" i="5"/>
  <c r="CX71" i="5"/>
  <c r="CX60" i="5"/>
  <c r="CX49" i="5"/>
  <c r="CX38" i="5"/>
  <c r="CX27" i="5"/>
  <c r="CX6" i="5"/>
  <c r="CU280" i="5"/>
  <c r="CU278" i="5"/>
  <c r="CU277" i="5"/>
  <c r="CU276" i="5"/>
  <c r="CU269" i="5"/>
  <c r="CU262" i="5"/>
  <c r="CU260" i="5"/>
  <c r="CU191" i="5"/>
  <c r="CU190" i="5"/>
  <c r="CU188" i="5"/>
  <c r="CU187" i="5"/>
  <c r="CU186" i="5"/>
  <c r="CU184" i="5"/>
  <c r="CU183" i="5"/>
  <c r="CU182" i="5"/>
  <c r="CU181" i="5"/>
  <c r="CU180" i="5"/>
  <c r="CU179" i="5"/>
  <c r="CU176" i="5"/>
  <c r="CU175" i="5"/>
  <c r="CU174" i="5"/>
  <c r="CU173" i="5"/>
  <c r="CU172" i="5"/>
  <c r="CU171" i="5"/>
  <c r="CU170" i="5"/>
  <c r="CU87" i="5"/>
  <c r="CU84" i="5"/>
  <c r="CU83" i="5"/>
  <c r="CU74" i="5"/>
  <c r="CU73" i="5"/>
  <c r="CU72" i="5"/>
  <c r="CU70" i="5"/>
  <c r="CU69" i="5"/>
  <c r="CU68" i="5"/>
  <c r="CU66" i="5"/>
  <c r="CU65" i="5"/>
  <c r="CU64" i="5"/>
  <c r="CU63" i="5"/>
  <c r="CU62" i="5"/>
  <c r="CU61" i="5"/>
  <c r="CU57" i="5"/>
  <c r="CU56" i="5"/>
  <c r="CU52" i="5"/>
  <c r="CU51" i="5"/>
  <c r="CU46" i="5"/>
  <c r="CU45" i="5"/>
  <c r="CU42" i="5"/>
  <c r="CU39" i="5"/>
  <c r="CU37" i="5"/>
  <c r="CU36" i="5"/>
  <c r="CU35" i="5"/>
  <c r="CU34" i="5"/>
  <c r="CU29" i="5"/>
  <c r="CV272" i="5"/>
  <c r="CV259" i="5"/>
  <c r="CV255" i="5"/>
  <c r="CV252" i="5"/>
  <c r="CV234" i="5"/>
  <c r="CV214" i="5"/>
  <c r="CV203" i="5"/>
  <c r="CV194" i="5"/>
  <c r="CV185" i="5"/>
  <c r="CV169" i="5"/>
  <c r="CV156" i="5"/>
  <c r="CV131" i="5"/>
  <c r="CV122" i="5"/>
  <c r="CV112" i="5"/>
  <c r="CV99" i="5"/>
  <c r="CV82" i="5"/>
  <c r="CV71" i="5"/>
  <c r="CV60" i="5"/>
  <c r="CV49" i="5"/>
  <c r="CV38" i="5"/>
  <c r="CV27" i="5"/>
  <c r="CV6" i="5"/>
  <c r="CW214" i="5" l="1"/>
  <c r="CX282" i="5"/>
  <c r="CV282" i="5"/>
  <c r="CQ114" i="5"/>
  <c r="CS114" i="5"/>
  <c r="CS220" i="5"/>
  <c r="CS219" i="5"/>
  <c r="CS218" i="5"/>
  <c r="CS217" i="5"/>
  <c r="CS216" i="5"/>
  <c r="CS215" i="5"/>
  <c r="CQ220" i="5"/>
  <c r="CQ219" i="5"/>
  <c r="CQ218" i="5"/>
  <c r="CQ217" i="5"/>
  <c r="CQ216" i="5"/>
  <c r="CQ215" i="5"/>
  <c r="CS258" i="5"/>
  <c r="CS257" i="5"/>
  <c r="CQ258" i="5"/>
  <c r="CQ257" i="5"/>
  <c r="CS280" i="5"/>
  <c r="CS278" i="5"/>
  <c r="CS277" i="5"/>
  <c r="CS276" i="5"/>
  <c r="CS269" i="5"/>
  <c r="CS262" i="5"/>
  <c r="CS260" i="5"/>
  <c r="CS191" i="5"/>
  <c r="CS190" i="5"/>
  <c r="CS188" i="5"/>
  <c r="CS187" i="5"/>
  <c r="CS186" i="5"/>
  <c r="CS184" i="5"/>
  <c r="CS183" i="5"/>
  <c r="CS182" i="5"/>
  <c r="CS181" i="5"/>
  <c r="CS180" i="5"/>
  <c r="CS179" i="5"/>
  <c r="CS176" i="5"/>
  <c r="CS175" i="5"/>
  <c r="CS174" i="5"/>
  <c r="CS173" i="5"/>
  <c r="CS172" i="5"/>
  <c r="CS171" i="5"/>
  <c r="CS170" i="5"/>
  <c r="CS87" i="5"/>
  <c r="CS84" i="5"/>
  <c r="CS83" i="5"/>
  <c r="CS74" i="5"/>
  <c r="CS73" i="5"/>
  <c r="CS72" i="5"/>
  <c r="CS70" i="5"/>
  <c r="CS69" i="5"/>
  <c r="CS68" i="5"/>
  <c r="CS66" i="5"/>
  <c r="CS65" i="5"/>
  <c r="CS64" i="5"/>
  <c r="CS63" i="5"/>
  <c r="CS62" i="5"/>
  <c r="CS61" i="5"/>
  <c r="CS57" i="5"/>
  <c r="CS56" i="5"/>
  <c r="CS52" i="5"/>
  <c r="CS51" i="5"/>
  <c r="CS46" i="5"/>
  <c r="CS45" i="5"/>
  <c r="CS42" i="5"/>
  <c r="CS39" i="5"/>
  <c r="CS37" i="5"/>
  <c r="CS36" i="5"/>
  <c r="CS35" i="5"/>
  <c r="CS34" i="5"/>
  <c r="CS29" i="5"/>
  <c r="CQ280" i="5"/>
  <c r="CQ278" i="5"/>
  <c r="CQ277" i="5"/>
  <c r="CQ276" i="5"/>
  <c r="CQ269" i="5"/>
  <c r="CQ262" i="5"/>
  <c r="CQ260" i="5"/>
  <c r="CQ191" i="5"/>
  <c r="CQ190" i="5"/>
  <c r="CQ188" i="5"/>
  <c r="CQ187" i="5"/>
  <c r="CQ186" i="5"/>
  <c r="CQ184" i="5"/>
  <c r="CQ183" i="5"/>
  <c r="CQ182" i="5"/>
  <c r="CQ181" i="5"/>
  <c r="CQ180" i="5"/>
  <c r="CQ179" i="5"/>
  <c r="CQ176" i="5"/>
  <c r="CQ175" i="5"/>
  <c r="CQ174" i="5"/>
  <c r="CQ173" i="5"/>
  <c r="CQ172" i="5"/>
  <c r="CQ171" i="5"/>
  <c r="CQ170" i="5"/>
  <c r="CQ87" i="5"/>
  <c r="CQ84" i="5"/>
  <c r="CQ83" i="5"/>
  <c r="CQ74" i="5"/>
  <c r="CQ73" i="5"/>
  <c r="CQ72" i="5"/>
  <c r="CQ70" i="5"/>
  <c r="CQ69" i="5"/>
  <c r="CQ68" i="5"/>
  <c r="CQ66" i="5"/>
  <c r="CQ65" i="5"/>
  <c r="CQ64" i="5"/>
  <c r="CQ63" i="5"/>
  <c r="CQ62" i="5"/>
  <c r="CQ61" i="5"/>
  <c r="CQ57" i="5"/>
  <c r="CQ56" i="5"/>
  <c r="CQ52" i="5"/>
  <c r="CQ51" i="5"/>
  <c r="CQ46" i="5"/>
  <c r="CQ45" i="5"/>
  <c r="CQ42" i="5"/>
  <c r="CQ39" i="5"/>
  <c r="CQ37" i="5"/>
  <c r="CQ36" i="5"/>
  <c r="CQ35" i="5"/>
  <c r="CQ34" i="5"/>
  <c r="CQ29" i="5"/>
  <c r="CT272" i="5"/>
  <c r="CR272" i="5"/>
  <c r="CT259" i="5"/>
  <c r="CR259" i="5"/>
  <c r="CT255" i="5"/>
  <c r="CR255" i="5"/>
  <c r="CT252" i="5"/>
  <c r="CR252" i="5"/>
  <c r="CT234" i="5"/>
  <c r="CR234" i="5"/>
  <c r="CT214" i="5"/>
  <c r="CR214" i="5"/>
  <c r="CT203" i="5"/>
  <c r="CR203" i="5"/>
  <c r="CS202" i="5"/>
  <c r="CQ202" i="5"/>
  <c r="CS201" i="5"/>
  <c r="CQ201" i="5"/>
  <c r="CS200" i="5"/>
  <c r="CQ200" i="5"/>
  <c r="CS199" i="5"/>
  <c r="CQ199" i="5"/>
  <c r="CS198" i="5"/>
  <c r="CQ198" i="5"/>
  <c r="CS197" i="5"/>
  <c r="CQ197" i="5"/>
  <c r="CS196" i="5"/>
  <c r="CQ196" i="5"/>
  <c r="CQ195" i="5"/>
  <c r="CT194" i="5"/>
  <c r="CR194" i="5"/>
  <c r="CT185" i="5"/>
  <c r="CR185" i="5"/>
  <c r="CQ185" i="5"/>
  <c r="CT169" i="5"/>
  <c r="CR169" i="5"/>
  <c r="CT156" i="5"/>
  <c r="CR156" i="5"/>
  <c r="CQ156" i="5"/>
  <c r="CQ155" i="5"/>
  <c r="CQ154" i="5"/>
  <c r="CQ153" i="5"/>
  <c r="CQ152" i="5"/>
  <c r="CQ151" i="5"/>
  <c r="CQ150" i="5"/>
  <c r="CQ149" i="5"/>
  <c r="CQ148" i="5"/>
  <c r="CQ147" i="5"/>
  <c r="CQ146" i="5"/>
  <c r="CQ145" i="5"/>
  <c r="CQ144" i="5"/>
  <c r="CQ143" i="5"/>
  <c r="CQ142" i="5"/>
  <c r="CQ141" i="5"/>
  <c r="CQ140" i="5"/>
  <c r="CQ139" i="5"/>
  <c r="CQ138" i="5"/>
  <c r="CQ137" i="5"/>
  <c r="CQ136" i="5"/>
  <c r="CQ135" i="5"/>
  <c r="CQ134" i="5"/>
  <c r="CQ133" i="5"/>
  <c r="CQ132" i="5"/>
  <c r="CT131" i="5"/>
  <c r="CR131" i="5"/>
  <c r="CQ131" i="5"/>
  <c r="CT122" i="5"/>
  <c r="CR122" i="5"/>
  <c r="CT112" i="5"/>
  <c r="CR112" i="5"/>
  <c r="CT99" i="5"/>
  <c r="CR99" i="5"/>
  <c r="CT82" i="5"/>
  <c r="CR82" i="5"/>
  <c r="CT71" i="5"/>
  <c r="CR71" i="5"/>
  <c r="CT60" i="5"/>
  <c r="CR60" i="5"/>
  <c r="CT49" i="5"/>
  <c r="CR49" i="5"/>
  <c r="CT38" i="5"/>
  <c r="CR38" i="5"/>
  <c r="CT27" i="5"/>
  <c r="CR27" i="5"/>
  <c r="CT6" i="5"/>
  <c r="CR6" i="5"/>
  <c r="CO114" i="5"/>
  <c r="CM114" i="5"/>
  <c r="CO220" i="5"/>
  <c r="CO219" i="5"/>
  <c r="CO218" i="5"/>
  <c r="CO217" i="5"/>
  <c r="CO216" i="5"/>
  <c r="CO215" i="5"/>
  <c r="CM220" i="5"/>
  <c r="CM219" i="5"/>
  <c r="CM218" i="5"/>
  <c r="CM217" i="5"/>
  <c r="CM216" i="5"/>
  <c r="CM215" i="5"/>
  <c r="CO280" i="5"/>
  <c r="CO278" i="5"/>
  <c r="CO277" i="5"/>
  <c r="CO276" i="5"/>
  <c r="CO269" i="5"/>
  <c r="CO262" i="5"/>
  <c r="CO260" i="5"/>
  <c r="CO191" i="5"/>
  <c r="CO190" i="5"/>
  <c r="CO188" i="5"/>
  <c r="CO187" i="5"/>
  <c r="CO186" i="5"/>
  <c r="CO184" i="5"/>
  <c r="CO183" i="5"/>
  <c r="CO182" i="5"/>
  <c r="CO181" i="5"/>
  <c r="CO180" i="5"/>
  <c r="CO179" i="5"/>
  <c r="CO176" i="5"/>
  <c r="CO175" i="5"/>
  <c r="CO174" i="5"/>
  <c r="CO173" i="5"/>
  <c r="CO172" i="5"/>
  <c r="CO171" i="5"/>
  <c r="CO170" i="5"/>
  <c r="CO87" i="5"/>
  <c r="CO84" i="5"/>
  <c r="CO83" i="5"/>
  <c r="CO74" i="5"/>
  <c r="CO73" i="5"/>
  <c r="CO72" i="5"/>
  <c r="CO70" i="5"/>
  <c r="CO69" i="5"/>
  <c r="CO68" i="5"/>
  <c r="CO66" i="5"/>
  <c r="CO65" i="5"/>
  <c r="CO64" i="5"/>
  <c r="CO63" i="5"/>
  <c r="CO62" i="5"/>
  <c r="CO61" i="5"/>
  <c r="CO57" i="5"/>
  <c r="CO56" i="5"/>
  <c r="CO52" i="5"/>
  <c r="CO51" i="5"/>
  <c r="CO46" i="5"/>
  <c r="CO45" i="5"/>
  <c r="CO42" i="5"/>
  <c r="CO39" i="5"/>
  <c r="CO37" i="5"/>
  <c r="CO36" i="5"/>
  <c r="CO35" i="5"/>
  <c r="CO34" i="5"/>
  <c r="CO29" i="5"/>
  <c r="CM280" i="5"/>
  <c r="CM278" i="5"/>
  <c r="CM277" i="5"/>
  <c r="CM276" i="5"/>
  <c r="CM269" i="5"/>
  <c r="CM262" i="5"/>
  <c r="CM260" i="5"/>
  <c r="CM191" i="5"/>
  <c r="CM190" i="5"/>
  <c r="CM188" i="5"/>
  <c r="CM187" i="5"/>
  <c r="CM186" i="5"/>
  <c r="CM184" i="5"/>
  <c r="CM183" i="5"/>
  <c r="CM182" i="5"/>
  <c r="CM181" i="5"/>
  <c r="CM180" i="5"/>
  <c r="CM179" i="5"/>
  <c r="CM176" i="5"/>
  <c r="CM175" i="5"/>
  <c r="CM174" i="5"/>
  <c r="CM173" i="5"/>
  <c r="CM172" i="5"/>
  <c r="CM171" i="5"/>
  <c r="CM170" i="5"/>
  <c r="CM87" i="5"/>
  <c r="CM84" i="5"/>
  <c r="CM83" i="5"/>
  <c r="CM74" i="5"/>
  <c r="CM73" i="5"/>
  <c r="CM72" i="5"/>
  <c r="CM70" i="5"/>
  <c r="CM69" i="5"/>
  <c r="CM68" i="5"/>
  <c r="CM66" i="5"/>
  <c r="CM65" i="5"/>
  <c r="CM64" i="5"/>
  <c r="CM63" i="5"/>
  <c r="CM62" i="5"/>
  <c r="CM61" i="5"/>
  <c r="CM57" i="5"/>
  <c r="CM56" i="5"/>
  <c r="CM52" i="5"/>
  <c r="CM51" i="5"/>
  <c r="CM46" i="5"/>
  <c r="CM45" i="5"/>
  <c r="CM42" i="5"/>
  <c r="CM39" i="5"/>
  <c r="CM37" i="5"/>
  <c r="CM36" i="5"/>
  <c r="CM35" i="5"/>
  <c r="CM34" i="5"/>
  <c r="CM29" i="5"/>
  <c r="CP272" i="5"/>
  <c r="CN272" i="5"/>
  <c r="CP259" i="5"/>
  <c r="CN259" i="5"/>
  <c r="CP255" i="5"/>
  <c r="CN255" i="5"/>
  <c r="CP252" i="5"/>
  <c r="CN252" i="5"/>
  <c r="CP234" i="5"/>
  <c r="CN234" i="5"/>
  <c r="CP214" i="5"/>
  <c r="CN214" i="5"/>
  <c r="CP203" i="5"/>
  <c r="CN203" i="5"/>
  <c r="CO202" i="5"/>
  <c r="CM202" i="5"/>
  <c r="CO201" i="5"/>
  <c r="CM201" i="5"/>
  <c r="CO200" i="5"/>
  <c r="CM200" i="5"/>
  <c r="CO199" i="5"/>
  <c r="CM199" i="5"/>
  <c r="CO198" i="5"/>
  <c r="CM198" i="5"/>
  <c r="CO197" i="5"/>
  <c r="CM197" i="5"/>
  <c r="CO196" i="5"/>
  <c r="CM196" i="5"/>
  <c r="CO195" i="5"/>
  <c r="CM195" i="5"/>
  <c r="CP194" i="5"/>
  <c r="CN194" i="5"/>
  <c r="CP185" i="5"/>
  <c r="CN185" i="5"/>
  <c r="CM185" i="5"/>
  <c r="CP169" i="5"/>
  <c r="CN169" i="5"/>
  <c r="CP156" i="5"/>
  <c r="CN156" i="5"/>
  <c r="CM155" i="5"/>
  <c r="CM154" i="5"/>
  <c r="CM153" i="5"/>
  <c r="CM152" i="5"/>
  <c r="CM151" i="5"/>
  <c r="CM150" i="5"/>
  <c r="CM149" i="5"/>
  <c r="CM148" i="5"/>
  <c r="CM147" i="5"/>
  <c r="CM146" i="5"/>
  <c r="CM145" i="5"/>
  <c r="CM144" i="5"/>
  <c r="CM143" i="5"/>
  <c r="CM142" i="5"/>
  <c r="CM141" i="5"/>
  <c r="CM140" i="5"/>
  <c r="CM139" i="5"/>
  <c r="CM138" i="5"/>
  <c r="CM137" i="5"/>
  <c r="CM136" i="5"/>
  <c r="CM135" i="5"/>
  <c r="CM134" i="5"/>
  <c r="CM133" i="5"/>
  <c r="CM132" i="5"/>
  <c r="CP131" i="5"/>
  <c r="CN131" i="5"/>
  <c r="CP122" i="5"/>
  <c r="CN122" i="5"/>
  <c r="CP112" i="5"/>
  <c r="CN112" i="5"/>
  <c r="CP99" i="5"/>
  <c r="CN99" i="5"/>
  <c r="CP82" i="5"/>
  <c r="CN82" i="5"/>
  <c r="CP71" i="5"/>
  <c r="CN71" i="5"/>
  <c r="CP60" i="5"/>
  <c r="CN60" i="5"/>
  <c r="CP49" i="5"/>
  <c r="CN49" i="5"/>
  <c r="CP38" i="5"/>
  <c r="CN38" i="5"/>
  <c r="CP27" i="5"/>
  <c r="CN27" i="5"/>
  <c r="CP6" i="5"/>
  <c r="CN6" i="5"/>
  <c r="CK280" i="5"/>
  <c r="CK278" i="5"/>
  <c r="CK277" i="5"/>
  <c r="CK276" i="5"/>
  <c r="CK269" i="5"/>
  <c r="CK262" i="5"/>
  <c r="CK260" i="5"/>
  <c r="CK220" i="5"/>
  <c r="CK219" i="5"/>
  <c r="CK218" i="5"/>
  <c r="CK217" i="5"/>
  <c r="CK216" i="5"/>
  <c r="CK215" i="5"/>
  <c r="CK191" i="5"/>
  <c r="CK190" i="5"/>
  <c r="CK188" i="5"/>
  <c r="CK187" i="5"/>
  <c r="CK186" i="5"/>
  <c r="CK184" i="5"/>
  <c r="CK183" i="5"/>
  <c r="CK182" i="5"/>
  <c r="CK181" i="5"/>
  <c r="CK180" i="5"/>
  <c r="CK179" i="5"/>
  <c r="CK176" i="5"/>
  <c r="CK175" i="5"/>
  <c r="CK174" i="5"/>
  <c r="CK173" i="5"/>
  <c r="CK172" i="5"/>
  <c r="CK171" i="5"/>
  <c r="CK170" i="5"/>
  <c r="CK114" i="5"/>
  <c r="CK87" i="5"/>
  <c r="CK84" i="5"/>
  <c r="CK83" i="5"/>
  <c r="CK74" i="5"/>
  <c r="CK73" i="5"/>
  <c r="CK72" i="5"/>
  <c r="CK70" i="5"/>
  <c r="CK69" i="5"/>
  <c r="CK68" i="5"/>
  <c r="CK66" i="5"/>
  <c r="CK65" i="5"/>
  <c r="CK64" i="5"/>
  <c r="CK63" i="5"/>
  <c r="CK62" i="5"/>
  <c r="CK61" i="5"/>
  <c r="CK57" i="5"/>
  <c r="CK56" i="5"/>
  <c r="CK52" i="5"/>
  <c r="CK51" i="5"/>
  <c r="CK46" i="5"/>
  <c r="CK45" i="5"/>
  <c r="CK42" i="5"/>
  <c r="CK39" i="5"/>
  <c r="CK37" i="5"/>
  <c r="CK36" i="5"/>
  <c r="CK35" i="5"/>
  <c r="CK34" i="5"/>
  <c r="CK29" i="5"/>
  <c r="CI114" i="5"/>
  <c r="CI220" i="5"/>
  <c r="CI219" i="5"/>
  <c r="CI218" i="5"/>
  <c r="CI217" i="5"/>
  <c r="CI216" i="5"/>
  <c r="CI215" i="5"/>
  <c r="CI280" i="5"/>
  <c r="CI278" i="5"/>
  <c r="CI277" i="5"/>
  <c r="CI276" i="5"/>
  <c r="CI269" i="5"/>
  <c r="CI262" i="5"/>
  <c r="CI260" i="5"/>
  <c r="CI191" i="5"/>
  <c r="CI190" i="5"/>
  <c r="CI188" i="5"/>
  <c r="CI187" i="5"/>
  <c r="CI186" i="5"/>
  <c r="CI184" i="5"/>
  <c r="CI183" i="5"/>
  <c r="CI182" i="5"/>
  <c r="CI181" i="5"/>
  <c r="CI180" i="5"/>
  <c r="CI179" i="5"/>
  <c r="CI176" i="5"/>
  <c r="CI175" i="5"/>
  <c r="CI174" i="5"/>
  <c r="CI173" i="5"/>
  <c r="CI172" i="5"/>
  <c r="CI171" i="5"/>
  <c r="CI170" i="5"/>
  <c r="CI156" i="5"/>
  <c r="CI131" i="5"/>
  <c r="CI87" i="5"/>
  <c r="CI84" i="5"/>
  <c r="CI83" i="5"/>
  <c r="CI74" i="5"/>
  <c r="CI73" i="5"/>
  <c r="CI72" i="5"/>
  <c r="CI70" i="5"/>
  <c r="CI69" i="5"/>
  <c r="CI68" i="5"/>
  <c r="CI66" i="5"/>
  <c r="CI65" i="5"/>
  <c r="CI64" i="5"/>
  <c r="CI63" i="5"/>
  <c r="CI62" i="5"/>
  <c r="CI61" i="5"/>
  <c r="CI57" i="5"/>
  <c r="CI56" i="5"/>
  <c r="CI52" i="5"/>
  <c r="CI51" i="5"/>
  <c r="CI46" i="5"/>
  <c r="CI45" i="5"/>
  <c r="CI42" i="5"/>
  <c r="CI39" i="5"/>
  <c r="CI37" i="5"/>
  <c r="CI36" i="5"/>
  <c r="CI35" i="5"/>
  <c r="CI34" i="5"/>
  <c r="CI29" i="5"/>
  <c r="CL272" i="5"/>
  <c r="CJ272" i="5"/>
  <c r="CL259" i="5"/>
  <c r="CJ259" i="5"/>
  <c r="CL255" i="5"/>
  <c r="CJ255" i="5"/>
  <c r="CL252" i="5"/>
  <c r="CJ252" i="5"/>
  <c r="CL234" i="5"/>
  <c r="CJ234" i="5"/>
  <c r="CL214" i="5"/>
  <c r="CJ214" i="5"/>
  <c r="CL203" i="5"/>
  <c r="CJ203" i="5"/>
  <c r="CL194" i="5"/>
  <c r="CJ194" i="5"/>
  <c r="CL185" i="5"/>
  <c r="CL156" i="5"/>
  <c r="CJ156" i="5"/>
  <c r="CL131" i="5"/>
  <c r="CJ131" i="5"/>
  <c r="CL122" i="5"/>
  <c r="CJ122" i="5"/>
  <c r="CL112" i="5"/>
  <c r="CJ112" i="5"/>
  <c r="CL99" i="5"/>
  <c r="CJ99" i="5"/>
  <c r="CL82" i="5"/>
  <c r="CJ82" i="5"/>
  <c r="CL71" i="5"/>
  <c r="CJ71" i="5"/>
  <c r="CL60" i="5"/>
  <c r="CJ60" i="5"/>
  <c r="CL49" i="5"/>
  <c r="CJ49" i="5"/>
  <c r="CL38" i="5"/>
  <c r="CJ38" i="5"/>
  <c r="CL27" i="5"/>
  <c r="CJ27" i="5"/>
  <c r="CL6" i="5"/>
  <c r="CJ6" i="5"/>
  <c r="CC220" i="5"/>
  <c r="CC219" i="5"/>
  <c r="CC218" i="5"/>
  <c r="CC217" i="5"/>
  <c r="CC216" i="5"/>
  <c r="CC215" i="5"/>
  <c r="CE220" i="5"/>
  <c r="CE219" i="5"/>
  <c r="CE218" i="5"/>
  <c r="CE217" i="5"/>
  <c r="CE216" i="5"/>
  <c r="CE215" i="5"/>
  <c r="CG215" i="5"/>
  <c r="CC114" i="5"/>
  <c r="CC37" i="5"/>
  <c r="CC36" i="5"/>
  <c r="CC35" i="5"/>
  <c r="CC34" i="5"/>
  <c r="CC29" i="5"/>
  <c r="CC46" i="5"/>
  <c r="CC45" i="5"/>
  <c r="CC42" i="5"/>
  <c r="CC39" i="5"/>
  <c r="CC57" i="5"/>
  <c r="CC56" i="5"/>
  <c r="CC52" i="5"/>
  <c r="CC51" i="5"/>
  <c r="CC70" i="5"/>
  <c r="CC69" i="5"/>
  <c r="CC68" i="5"/>
  <c r="CC66" i="5"/>
  <c r="CC65" i="5"/>
  <c r="CC64" i="5"/>
  <c r="CC63" i="5"/>
  <c r="CC62" i="5"/>
  <c r="CC61" i="5"/>
  <c r="CC74" i="5"/>
  <c r="CC73" i="5"/>
  <c r="CC72" i="5"/>
  <c r="CC87" i="5"/>
  <c r="CC84" i="5"/>
  <c r="CC83" i="5"/>
  <c r="CC131" i="5"/>
  <c r="CC184" i="5"/>
  <c r="CC183" i="5"/>
  <c r="CC182" i="5"/>
  <c r="CC181" i="5"/>
  <c r="CC180" i="5"/>
  <c r="CC179" i="5"/>
  <c r="CC176" i="5"/>
  <c r="CC175" i="5"/>
  <c r="CC174" i="5"/>
  <c r="CC173" i="5"/>
  <c r="CC172" i="5"/>
  <c r="CC171" i="5"/>
  <c r="CC170" i="5"/>
  <c r="CC191" i="5"/>
  <c r="CC190" i="5"/>
  <c r="CC188" i="5"/>
  <c r="CC187" i="5"/>
  <c r="CC186" i="5"/>
  <c r="CC269" i="5"/>
  <c r="CC262" i="5"/>
  <c r="CC260" i="5"/>
  <c r="CC280" i="5"/>
  <c r="CC278" i="5"/>
  <c r="CC277" i="5"/>
  <c r="CC276" i="5"/>
  <c r="CE280" i="5"/>
  <c r="CE278" i="5"/>
  <c r="CE277" i="5"/>
  <c r="CE276" i="5"/>
  <c r="CE269" i="5"/>
  <c r="CE262" i="5"/>
  <c r="CE260" i="5"/>
  <c r="CE191" i="5"/>
  <c r="CE190" i="5"/>
  <c r="CE188" i="5"/>
  <c r="CE187" i="5"/>
  <c r="CE186" i="5"/>
  <c r="CE185" i="5"/>
  <c r="CE184" i="5"/>
  <c r="CE183" i="5"/>
  <c r="CE182" i="5"/>
  <c r="CE181" i="5"/>
  <c r="CE180" i="5"/>
  <c r="CE179" i="5"/>
  <c r="CE176" i="5"/>
  <c r="CE175" i="5"/>
  <c r="CE174" i="5"/>
  <c r="CE173" i="5"/>
  <c r="CE172" i="5"/>
  <c r="CE171" i="5"/>
  <c r="CE170" i="5"/>
  <c r="CE114" i="5"/>
  <c r="CG114" i="5"/>
  <c r="CE87" i="5"/>
  <c r="CE84" i="5"/>
  <c r="CE83" i="5"/>
  <c r="CE74" i="5"/>
  <c r="CE73" i="5"/>
  <c r="CE72" i="5"/>
  <c r="CE70" i="5"/>
  <c r="CE69" i="5"/>
  <c r="CE68" i="5"/>
  <c r="CE66" i="5"/>
  <c r="CE65" i="5"/>
  <c r="CE64" i="5"/>
  <c r="CE63" i="5"/>
  <c r="CE62" i="5"/>
  <c r="CE61" i="5"/>
  <c r="CE57" i="5"/>
  <c r="CE56" i="5"/>
  <c r="CE52" i="5"/>
  <c r="CE51" i="5"/>
  <c r="CE46" i="5"/>
  <c r="CE45" i="5"/>
  <c r="CE42" i="5"/>
  <c r="CE39" i="5"/>
  <c r="CE37" i="5"/>
  <c r="CE36" i="5"/>
  <c r="CE35" i="5"/>
  <c r="CE34" i="5"/>
  <c r="CE29" i="5"/>
  <c r="CG280" i="5"/>
  <c r="CG278" i="5"/>
  <c r="CG277" i="5"/>
  <c r="CG276" i="5"/>
  <c r="CG220" i="5"/>
  <c r="CG219" i="5"/>
  <c r="CG218" i="5"/>
  <c r="CG217" i="5"/>
  <c r="CG216" i="5"/>
  <c r="CG269" i="5"/>
  <c r="CG262" i="5"/>
  <c r="CG260" i="5"/>
  <c r="CG191" i="5"/>
  <c r="CG190" i="5"/>
  <c r="CG188" i="5"/>
  <c r="CG187" i="5"/>
  <c r="CG186" i="5"/>
  <c r="CG184" i="5"/>
  <c r="CG183" i="5"/>
  <c r="CG182" i="5"/>
  <c r="CG181" i="5"/>
  <c r="CG180" i="5"/>
  <c r="CG179" i="5"/>
  <c r="CG176" i="5"/>
  <c r="CG175" i="5"/>
  <c r="CG174" i="5"/>
  <c r="CG173" i="5"/>
  <c r="CG172" i="5"/>
  <c r="CG171" i="5"/>
  <c r="CG170" i="5"/>
  <c r="CG87" i="5"/>
  <c r="CG84" i="5"/>
  <c r="CG83" i="5"/>
  <c r="CG74" i="5"/>
  <c r="CG73" i="5"/>
  <c r="CG72" i="5"/>
  <c r="CG70" i="5"/>
  <c r="CG69" i="5"/>
  <c r="CG68" i="5"/>
  <c r="CG66" i="5"/>
  <c r="CG65" i="5"/>
  <c r="CG64" i="5"/>
  <c r="CG63" i="5"/>
  <c r="CG62" i="5"/>
  <c r="CG61" i="5"/>
  <c r="CG57" i="5"/>
  <c r="CG56" i="5"/>
  <c r="CG52" i="5"/>
  <c r="CG51" i="5"/>
  <c r="CG46" i="5"/>
  <c r="CG45" i="5"/>
  <c r="CG39" i="5"/>
  <c r="CG42" i="5"/>
  <c r="CG37" i="5"/>
  <c r="CG36" i="5"/>
  <c r="CG35" i="5"/>
  <c r="CG34" i="5"/>
  <c r="CG29" i="5"/>
  <c r="L49" i="5"/>
  <c r="CO194" i="5" l="1"/>
  <c r="CS194" i="5"/>
  <c r="CT282" i="5"/>
  <c r="CQ194" i="5"/>
  <c r="CR282" i="5"/>
  <c r="CS214" i="5"/>
  <c r="CQ214" i="5"/>
  <c r="CI214" i="5"/>
  <c r="CN282" i="5"/>
  <c r="CP282" i="5"/>
  <c r="CM194" i="5"/>
  <c r="CO214" i="5"/>
  <c r="CM214" i="5"/>
  <c r="CK214" i="5"/>
  <c r="CL282" i="5"/>
  <c r="CJ282" i="5"/>
  <c r="BW73" i="5"/>
  <c r="BU73" i="5"/>
  <c r="BW170" i="5"/>
  <c r="BU171" i="5"/>
  <c r="BU170" i="5"/>
  <c r="BU172" i="5"/>
  <c r="BW171" i="5"/>
  <c r="BW172" i="5"/>
  <c r="BU176" i="5"/>
  <c r="BW176" i="5"/>
  <c r="BY171" i="5"/>
  <c r="BY172" i="5"/>
  <c r="BW175" i="5"/>
  <c r="CD203" i="5" l="1"/>
  <c r="CH272" i="5"/>
  <c r="CH259" i="5"/>
  <c r="CH255" i="5"/>
  <c r="CH252" i="5"/>
  <c r="CH234" i="5"/>
  <c r="CH214" i="5"/>
  <c r="CH203" i="5"/>
  <c r="CH194" i="5"/>
  <c r="CH185" i="5"/>
  <c r="CH169" i="5"/>
  <c r="CH156" i="5"/>
  <c r="CH131" i="5"/>
  <c r="CH122" i="5"/>
  <c r="CH82" i="5"/>
  <c r="CH71" i="5"/>
  <c r="CH60" i="5"/>
  <c r="CH49" i="5"/>
  <c r="CH38" i="5"/>
  <c r="CH27" i="5"/>
  <c r="CH6" i="5"/>
  <c r="CF272" i="5"/>
  <c r="CF259" i="5"/>
  <c r="CF255" i="5"/>
  <c r="CF252" i="5"/>
  <c r="CF234" i="5"/>
  <c r="CF214" i="5"/>
  <c r="CF203" i="5"/>
  <c r="CF194" i="5"/>
  <c r="CF185" i="5"/>
  <c r="CF156" i="5"/>
  <c r="CF131" i="5"/>
  <c r="CF122" i="5"/>
  <c r="CF112" i="5"/>
  <c r="CF99" i="5"/>
  <c r="CF82" i="5"/>
  <c r="CF71" i="5"/>
  <c r="CF60" i="5"/>
  <c r="CF49" i="5"/>
  <c r="CF38" i="5"/>
  <c r="CF27" i="5"/>
  <c r="CF6" i="5"/>
  <c r="CF282" i="5" l="1"/>
  <c r="CH282" i="5"/>
  <c r="BV27" i="5" l="1"/>
  <c r="BZ27" i="5"/>
  <c r="BZ131" i="5" l="1"/>
  <c r="BT82" i="5"/>
  <c r="CD272" i="5"/>
  <c r="CD259" i="5"/>
  <c r="CD255" i="5"/>
  <c r="CD252" i="5"/>
  <c r="CD234" i="5"/>
  <c r="CD214" i="5"/>
  <c r="CD194" i="5"/>
  <c r="CD185" i="5"/>
  <c r="CD169" i="5"/>
  <c r="CD156" i="5"/>
  <c r="CD131" i="5"/>
  <c r="CD122" i="5"/>
  <c r="CD112" i="5"/>
  <c r="CD99" i="5"/>
  <c r="CD82" i="5"/>
  <c r="CD71" i="5"/>
  <c r="CD60" i="5"/>
  <c r="CD49" i="5"/>
  <c r="CD38" i="5"/>
  <c r="CD27" i="5"/>
  <c r="CD6" i="5"/>
  <c r="CD282" i="5" l="1"/>
  <c r="BV112" i="5" l="1"/>
  <c r="I12" i="4" l="1"/>
  <c r="L214" i="5" l="1"/>
  <c r="BT185" i="5"/>
  <c r="BP169" i="5"/>
  <c r="BN169" i="5"/>
  <c r="BT169" i="5"/>
  <c r="BV169" i="5"/>
  <c r="BV221" i="5"/>
  <c r="BT221" i="5"/>
  <c r="BR221" i="5"/>
  <c r="BT112" i="5"/>
  <c r="CB27" i="5"/>
  <c r="BX27" i="5"/>
  <c r="BN38" i="5" l="1"/>
  <c r="N131" i="5" l="1"/>
  <c r="L131" i="5"/>
  <c r="CM131" i="5" s="1"/>
  <c r="I17" i="4"/>
  <c r="BT27" i="5" l="1"/>
  <c r="CB255" i="5"/>
  <c r="BZ255" i="5"/>
  <c r="BX255" i="5"/>
  <c r="BV255" i="5"/>
  <c r="BR255" i="5"/>
  <c r="BT255" i="5"/>
  <c r="BP255" i="5"/>
  <c r="BL71" i="5"/>
  <c r="BJ60" i="5"/>
  <c r="BJ49" i="5"/>
  <c r="BJ38" i="5"/>
  <c r="H256" i="5" l="1"/>
  <c r="F255" i="5"/>
  <c r="CW256" i="5" l="1"/>
  <c r="CW255" i="5" s="1"/>
  <c r="CU256" i="5"/>
  <c r="CA256" i="5"/>
  <c r="CQ256" i="5"/>
  <c r="CQ255" i="5" s="1"/>
  <c r="CS256" i="5"/>
  <c r="CS255" i="5" s="1"/>
  <c r="CM256" i="5"/>
  <c r="CO256" i="5"/>
  <c r="CO257" i="5"/>
  <c r="CM257" i="5"/>
  <c r="CO258" i="5"/>
  <c r="CM258" i="5"/>
  <c r="CK256" i="5"/>
  <c r="CI256" i="5"/>
  <c r="CK257" i="5"/>
  <c r="CI257" i="5"/>
  <c r="CK258" i="5"/>
  <c r="CI258" i="5"/>
  <c r="CE256" i="5"/>
  <c r="CG256" i="5"/>
  <c r="CC256" i="5"/>
  <c r="CE257" i="5"/>
  <c r="CG257" i="5"/>
  <c r="CC257" i="5"/>
  <c r="CC258" i="5"/>
  <c r="CE258" i="5"/>
  <c r="CG258" i="5"/>
  <c r="I256" i="5"/>
  <c r="I257" i="5"/>
  <c r="I258" i="5"/>
  <c r="BN82" i="5"/>
  <c r="CG255" i="5" l="1"/>
  <c r="CE255" i="5"/>
  <c r="CO255" i="5"/>
  <c r="CM255" i="5"/>
  <c r="CI255" i="5"/>
  <c r="CK255" i="5"/>
  <c r="I255" i="5"/>
  <c r="CC255" i="5"/>
  <c r="CA258" i="5"/>
  <c r="BY258" i="5"/>
  <c r="BW258" i="5"/>
  <c r="BU258" i="5"/>
  <c r="BS258" i="5"/>
  <c r="BQ258" i="5"/>
  <c r="BO258" i="5"/>
  <c r="BM258" i="5"/>
  <c r="BK258" i="5"/>
  <c r="BI258" i="5"/>
  <c r="BG258" i="5"/>
  <c r="BE258" i="5"/>
  <c r="K258" i="5" l="1"/>
  <c r="BF27" i="5" l="1"/>
  <c r="BP221" i="5"/>
  <c r="BN99" i="5"/>
  <c r="K235" i="5" l="1"/>
  <c r="K236" i="5"/>
  <c r="K61" i="5"/>
  <c r="N49" i="5"/>
  <c r="BJ27" i="5" l="1"/>
  <c r="BL27" i="5"/>
  <c r="BR27" i="5"/>
  <c r="BP27" i="5"/>
  <c r="BN27" i="5"/>
  <c r="BL169" i="5" l="1"/>
  <c r="M194" i="5" l="1"/>
  <c r="BF203" i="5"/>
  <c r="BD112" i="5"/>
  <c r="M255" i="5" l="1"/>
  <c r="M169" i="5"/>
  <c r="J60" i="5"/>
  <c r="L203" i="5"/>
  <c r="M203" i="5"/>
  <c r="N203" i="5"/>
  <c r="BJ6" i="5"/>
  <c r="CB272" i="5"/>
  <c r="BZ272" i="5"/>
  <c r="BX272" i="5"/>
  <c r="BV272" i="5"/>
  <c r="BT272" i="5"/>
  <c r="BR272" i="5"/>
  <c r="BP272" i="5"/>
  <c r="BN272" i="5"/>
  <c r="BL272" i="5"/>
  <c r="BJ272" i="5"/>
  <c r="BH272" i="5"/>
  <c r="BF272" i="5"/>
  <c r="BD272" i="5"/>
  <c r="AV272" i="5"/>
  <c r="AX272" i="5"/>
  <c r="AZ272" i="5"/>
  <c r="BB272" i="5"/>
  <c r="BL243" i="5" l="1"/>
  <c r="CB122" i="5"/>
  <c r="BZ122" i="5"/>
  <c r="BR122" i="5"/>
  <c r="BX122" i="5"/>
  <c r="BV122" i="5"/>
  <c r="BT122" i="5"/>
  <c r="BP122" i="5"/>
  <c r="BN122" i="5"/>
  <c r="BL122" i="5"/>
  <c r="AX49" i="5"/>
  <c r="L272" i="5" l="1"/>
  <c r="AZ169" i="5" l="1"/>
  <c r="BB221" i="5" l="1"/>
  <c r="AV122" i="5"/>
  <c r="AX122" i="5"/>
  <c r="BJ122" i="5"/>
  <c r="BH122" i="5"/>
  <c r="BF122" i="5"/>
  <c r="BB122" i="5"/>
  <c r="BD122" i="5"/>
  <c r="AZ122" i="5"/>
  <c r="AZ60" i="5"/>
  <c r="K206" i="5" l="1"/>
  <c r="K205" i="5"/>
  <c r="K204" i="5"/>
  <c r="K209" i="5"/>
  <c r="CB259" i="5" l="1"/>
  <c r="BZ259" i="5"/>
  <c r="BX259" i="5"/>
  <c r="BV259" i="5"/>
  <c r="BT259" i="5"/>
  <c r="BR259" i="5"/>
  <c r="BP259" i="5"/>
  <c r="BN259" i="5"/>
  <c r="BL259" i="5"/>
  <c r="BJ259" i="5"/>
  <c r="BH259" i="5"/>
  <c r="BF259" i="5"/>
  <c r="BD259" i="5"/>
  <c r="BB259" i="5"/>
  <c r="AZ259" i="5"/>
  <c r="AX259" i="5"/>
  <c r="AV259" i="5"/>
  <c r="BN255" i="5"/>
  <c r="BL255" i="5"/>
  <c r="BJ255" i="5"/>
  <c r="BH255" i="5"/>
  <c r="BF255" i="5"/>
  <c r="BD255" i="5"/>
  <c r="BB255" i="5"/>
  <c r="AZ255" i="5"/>
  <c r="AX255" i="5"/>
  <c r="AV255" i="5"/>
  <c r="CB252" i="5"/>
  <c r="BZ252" i="5"/>
  <c r="BX252" i="5"/>
  <c r="BV252" i="5"/>
  <c r="BT252" i="5"/>
  <c r="BR252" i="5"/>
  <c r="BP252" i="5"/>
  <c r="BN252" i="5"/>
  <c r="BL252" i="5"/>
  <c r="BJ252" i="5"/>
  <c r="BH252" i="5"/>
  <c r="BF252" i="5"/>
  <c r="BD252" i="5"/>
  <c r="BB252" i="5"/>
  <c r="AZ252" i="5"/>
  <c r="AX252" i="5"/>
  <c r="AV252" i="5"/>
  <c r="AT259" i="5"/>
  <c r="CB234" i="5"/>
  <c r="BZ234" i="5"/>
  <c r="BX234" i="5"/>
  <c r="BV234" i="5"/>
  <c r="BT234" i="5"/>
  <c r="BR234" i="5"/>
  <c r="BP234" i="5"/>
  <c r="BN234" i="5"/>
  <c r="BL234" i="5"/>
  <c r="BJ234" i="5"/>
  <c r="BH234" i="5"/>
  <c r="BF234" i="5"/>
  <c r="BD234" i="5"/>
  <c r="BB234" i="5"/>
  <c r="AZ234" i="5"/>
  <c r="AX234" i="5"/>
  <c r="AV234" i="5"/>
  <c r="CB214" i="5"/>
  <c r="BZ214" i="5"/>
  <c r="BX214" i="5"/>
  <c r="BV214" i="5"/>
  <c r="BT214" i="5"/>
  <c r="BR214" i="5"/>
  <c r="BP214" i="5"/>
  <c r="BN214" i="5"/>
  <c r="BL214" i="5"/>
  <c r="BJ214" i="5"/>
  <c r="BH214" i="5"/>
  <c r="BF214" i="5"/>
  <c r="BD214" i="5"/>
  <c r="BB214" i="5"/>
  <c r="AZ214" i="5"/>
  <c r="AX214" i="5"/>
  <c r="AV214" i="5"/>
  <c r="CB203" i="5"/>
  <c r="BZ203" i="5"/>
  <c r="BX203" i="5"/>
  <c r="BV203" i="5"/>
  <c r="BT203" i="5"/>
  <c r="BR203" i="5"/>
  <c r="BP203" i="5"/>
  <c r="BN203" i="5"/>
  <c r="BL203" i="5"/>
  <c r="BJ203" i="5"/>
  <c r="BH203" i="5"/>
  <c r="BD203" i="5"/>
  <c r="BB203" i="5"/>
  <c r="AZ203" i="5"/>
  <c r="AX203" i="5"/>
  <c r="AV203" i="5"/>
  <c r="CB194" i="5"/>
  <c r="BZ194" i="5"/>
  <c r="BX194" i="5"/>
  <c r="BV194" i="5"/>
  <c r="BT194" i="5"/>
  <c r="BR194" i="5"/>
  <c r="BP194" i="5"/>
  <c r="BN194" i="5"/>
  <c r="BL194" i="5"/>
  <c r="BJ194" i="5"/>
  <c r="BH194" i="5"/>
  <c r="BF194" i="5"/>
  <c r="BD194" i="5"/>
  <c r="BB194" i="5"/>
  <c r="AZ194" i="5"/>
  <c r="AX194" i="5"/>
  <c r="AV194" i="5"/>
  <c r="CB185" i="5"/>
  <c r="BZ185" i="5"/>
  <c r="BX185" i="5"/>
  <c r="BV185" i="5"/>
  <c r="BR185" i="5"/>
  <c r="BP185" i="5"/>
  <c r="BN185" i="5"/>
  <c r="BL185" i="5"/>
  <c r="BJ185" i="5"/>
  <c r="BH185" i="5"/>
  <c r="BF185" i="5"/>
  <c r="BD185" i="5"/>
  <c r="BB185" i="5"/>
  <c r="AZ185" i="5"/>
  <c r="AX185" i="5"/>
  <c r="AV185" i="5"/>
  <c r="CB169" i="5"/>
  <c r="BZ169" i="5"/>
  <c r="BX169" i="5"/>
  <c r="BR169" i="5"/>
  <c r="BJ169" i="5"/>
  <c r="BF169" i="5"/>
  <c r="BH169" i="5"/>
  <c r="BD169" i="5"/>
  <c r="BB169" i="5"/>
  <c r="AX169" i="5"/>
  <c r="AV169" i="5"/>
  <c r="AT169" i="5"/>
  <c r="CB156" i="5"/>
  <c r="BZ156" i="5"/>
  <c r="BX156" i="5"/>
  <c r="BV156" i="5"/>
  <c r="BT156" i="5"/>
  <c r="BR156" i="5"/>
  <c r="BP156" i="5"/>
  <c r="BN156" i="5"/>
  <c r="BL156" i="5"/>
  <c r="BJ156" i="5"/>
  <c r="BH156" i="5"/>
  <c r="BF156" i="5"/>
  <c r="BD156" i="5"/>
  <c r="BB156" i="5"/>
  <c r="AZ156" i="5"/>
  <c r="AX156" i="5"/>
  <c r="AV156" i="5"/>
  <c r="CB131" i="5"/>
  <c r="BX131" i="5"/>
  <c r="BV131" i="5"/>
  <c r="BT131" i="5"/>
  <c r="BR131" i="5"/>
  <c r="BP131" i="5"/>
  <c r="BN131" i="5"/>
  <c r="BL131" i="5"/>
  <c r="BJ131" i="5"/>
  <c r="BH131" i="5"/>
  <c r="BF131" i="5"/>
  <c r="BD131" i="5"/>
  <c r="BB131" i="5"/>
  <c r="AZ131" i="5"/>
  <c r="AX131" i="5"/>
  <c r="AV131" i="5"/>
  <c r="AT131" i="5"/>
  <c r="AT112" i="5"/>
  <c r="AV112" i="5"/>
  <c r="AX112" i="5"/>
  <c r="AZ112" i="5"/>
  <c r="BB112" i="5"/>
  <c r="BF112" i="5"/>
  <c r="BH112" i="5"/>
  <c r="BJ112" i="5"/>
  <c r="BL112" i="5"/>
  <c r="BN112" i="5"/>
  <c r="BP112" i="5"/>
  <c r="BR112" i="5"/>
  <c r="BX112" i="5"/>
  <c r="BZ112" i="5"/>
  <c r="CB112" i="5"/>
  <c r="AT99" i="5"/>
  <c r="AV99" i="5"/>
  <c r="AX99" i="5"/>
  <c r="AZ99" i="5"/>
  <c r="BB99" i="5"/>
  <c r="BD99" i="5"/>
  <c r="BF99" i="5"/>
  <c r="BH99" i="5"/>
  <c r="BJ99" i="5"/>
  <c r="BL99" i="5"/>
  <c r="BP99" i="5"/>
  <c r="BR99" i="5"/>
  <c r="BT99" i="5"/>
  <c r="BV99" i="5"/>
  <c r="BX99" i="5"/>
  <c r="BZ99" i="5"/>
  <c r="CB99" i="5"/>
  <c r="CB82" i="5"/>
  <c r="BZ82" i="5"/>
  <c r="BX82" i="5"/>
  <c r="BV82" i="5"/>
  <c r="BR82" i="5"/>
  <c r="BP82" i="5"/>
  <c r="BL82" i="5"/>
  <c r="BJ82" i="5"/>
  <c r="BH82" i="5"/>
  <c r="BF82" i="5"/>
  <c r="BD82" i="5"/>
  <c r="BB82" i="5"/>
  <c r="AZ82" i="5"/>
  <c r="AX82" i="5"/>
  <c r="AV82" i="5"/>
  <c r="CB71" i="5"/>
  <c r="BZ71" i="5"/>
  <c r="BX71" i="5"/>
  <c r="BV71" i="5"/>
  <c r="BT71" i="5"/>
  <c r="BR71" i="5"/>
  <c r="BP71" i="5"/>
  <c r="BN71" i="5"/>
  <c r="BJ71" i="5"/>
  <c r="BH71" i="5"/>
  <c r="BD71" i="5"/>
  <c r="BB71" i="5"/>
  <c r="AZ71" i="5"/>
  <c r="AX71" i="5"/>
  <c r="AV71" i="5"/>
  <c r="CB60" i="5"/>
  <c r="BZ60" i="5"/>
  <c r="BX60" i="5"/>
  <c r="BV60" i="5"/>
  <c r="BT60" i="5"/>
  <c r="BR60" i="5"/>
  <c r="BP60" i="5"/>
  <c r="BN60" i="5"/>
  <c r="BL60" i="5"/>
  <c r="BH60" i="5"/>
  <c r="BF60" i="5"/>
  <c r="BD60" i="5"/>
  <c r="BB60" i="5"/>
  <c r="AX60" i="5"/>
  <c r="AV60" i="5"/>
  <c r="CB49" i="5"/>
  <c r="BZ49" i="5"/>
  <c r="BX49" i="5"/>
  <c r="BV49" i="5"/>
  <c r="BT49" i="5"/>
  <c r="BR49" i="5"/>
  <c r="BP49" i="5"/>
  <c r="BN49" i="5"/>
  <c r="BL49" i="5"/>
  <c r="BH49" i="5"/>
  <c r="BF49" i="5"/>
  <c r="BD49" i="5"/>
  <c r="BB49" i="5"/>
  <c r="AZ49" i="5"/>
  <c r="AV49" i="5"/>
  <c r="AT49" i="5"/>
  <c r="J27" i="5"/>
  <c r="CB38" i="5"/>
  <c r="BZ38" i="5"/>
  <c r="BX38" i="5"/>
  <c r="BV38" i="5"/>
  <c r="BT38" i="5"/>
  <c r="BR38" i="5"/>
  <c r="BP38" i="5"/>
  <c r="BL38" i="5"/>
  <c r="BH38" i="5"/>
  <c r="BF38" i="5"/>
  <c r="BD38" i="5"/>
  <c r="BB38" i="5"/>
  <c r="AT38" i="5"/>
  <c r="CB6" i="5"/>
  <c r="BZ6" i="5"/>
  <c r="BX6" i="5"/>
  <c r="BV6" i="5"/>
  <c r="BT6" i="5"/>
  <c r="BR6" i="5"/>
  <c r="BP6" i="5"/>
  <c r="BN6" i="5"/>
  <c r="BL6" i="5"/>
  <c r="BH6" i="5"/>
  <c r="BF6" i="5"/>
  <c r="BD6" i="5"/>
  <c r="BB6" i="5"/>
  <c r="AZ6" i="5"/>
  <c r="AX6" i="5"/>
  <c r="AV6" i="5"/>
  <c r="AT6" i="5"/>
  <c r="BV282" i="5" l="1"/>
  <c r="BF282" i="5"/>
  <c r="BB282" i="5"/>
  <c r="BR282" i="5"/>
  <c r="BD282" i="5"/>
  <c r="BT282" i="5"/>
  <c r="BJ282" i="5"/>
  <c r="BZ282" i="5"/>
  <c r="BL282" i="5"/>
  <c r="CB282" i="5"/>
  <c r="BN282" i="5"/>
  <c r="BX282" i="5"/>
  <c r="BP282" i="5"/>
  <c r="F169" i="5" l="1"/>
  <c r="K251" i="5"/>
  <c r="G251" i="5"/>
  <c r="K250" i="5"/>
  <c r="G250" i="5"/>
  <c r="K249" i="5"/>
  <c r="G249" i="5"/>
  <c r="K248" i="5"/>
  <c r="G248" i="5"/>
  <c r="K247" i="5"/>
  <c r="G247" i="5"/>
  <c r="K246" i="5"/>
  <c r="G246" i="5"/>
  <c r="K245" i="5"/>
  <c r="G245" i="5"/>
  <c r="K244" i="5"/>
  <c r="G244" i="5"/>
  <c r="F243" i="5"/>
  <c r="H245" i="5" s="1"/>
  <c r="AT243" i="5"/>
  <c r="N243" i="5"/>
  <c r="M243" i="5"/>
  <c r="L243" i="5"/>
  <c r="J243" i="5"/>
  <c r="G127" i="5"/>
  <c r="G128" i="5"/>
  <c r="G129" i="5"/>
  <c r="G130" i="5"/>
  <c r="F122" i="5"/>
  <c r="H123" i="5" s="1"/>
  <c r="G260" i="5"/>
  <c r="F259" i="5"/>
  <c r="H268" i="5" s="1"/>
  <c r="G270" i="5"/>
  <c r="G264" i="5"/>
  <c r="G262" i="5"/>
  <c r="K271" i="5"/>
  <c r="G271" i="5"/>
  <c r="K270" i="5"/>
  <c r="K269" i="5"/>
  <c r="G269" i="5"/>
  <c r="K268" i="5"/>
  <c r="G268" i="5"/>
  <c r="K267" i="5"/>
  <c r="G267" i="5"/>
  <c r="K266" i="5"/>
  <c r="K265" i="5"/>
  <c r="G265" i="5"/>
  <c r="K264" i="5"/>
  <c r="K263" i="5"/>
  <c r="G263" i="5"/>
  <c r="K262" i="5"/>
  <c r="K261" i="5"/>
  <c r="G261" i="5"/>
  <c r="K260" i="5"/>
  <c r="N259" i="5"/>
  <c r="M259" i="5"/>
  <c r="L259" i="5"/>
  <c r="J259" i="5"/>
  <c r="CW268" i="5" l="1"/>
  <c r="CY268" i="5"/>
  <c r="CW245" i="5"/>
  <c r="CY245" i="5"/>
  <c r="CW123" i="5"/>
  <c r="CY123" i="5"/>
  <c r="CU123" i="5"/>
  <c r="CU245" i="5"/>
  <c r="CU268" i="5"/>
  <c r="CQ245" i="5"/>
  <c r="CS245" i="5"/>
  <c r="CQ268" i="5"/>
  <c r="CS268" i="5"/>
  <c r="CQ123" i="5"/>
  <c r="CS123" i="5"/>
  <c r="CM268" i="5"/>
  <c r="CO268" i="5"/>
  <c r="CM245" i="5"/>
  <c r="CO245" i="5"/>
  <c r="CO123" i="5"/>
  <c r="CM123" i="5"/>
  <c r="CI123" i="5"/>
  <c r="CK123" i="5"/>
  <c r="CI245" i="5"/>
  <c r="CK245" i="5"/>
  <c r="CK268" i="5"/>
  <c r="CI268" i="5"/>
  <c r="CE268" i="5"/>
  <c r="CG268" i="5"/>
  <c r="CC268" i="5"/>
  <c r="CC123" i="5"/>
  <c r="CE123" i="5"/>
  <c r="CG123" i="5"/>
  <c r="CC245" i="5"/>
  <c r="CG245" i="5"/>
  <c r="CE245" i="5"/>
  <c r="I268" i="5"/>
  <c r="BO245" i="5"/>
  <c r="H249" i="5"/>
  <c r="BW245" i="5"/>
  <c r="BA245" i="5"/>
  <c r="BC245" i="5"/>
  <c r="BI245" i="5"/>
  <c r="BG245" i="5"/>
  <c r="BQ245" i="5"/>
  <c r="BS245" i="5"/>
  <c r="AS245" i="5"/>
  <c r="BE245" i="5"/>
  <c r="BU245" i="5"/>
  <c r="BY245" i="5"/>
  <c r="K243" i="5"/>
  <c r="AU245" i="5"/>
  <c r="BK245" i="5"/>
  <c r="CA245" i="5"/>
  <c r="AW245" i="5"/>
  <c r="BM245" i="5"/>
  <c r="AY245" i="5"/>
  <c r="G243" i="5"/>
  <c r="H244" i="5"/>
  <c r="H251" i="5"/>
  <c r="H250" i="5"/>
  <c r="H248" i="5"/>
  <c r="H247" i="5"/>
  <c r="H246" i="5"/>
  <c r="H124" i="5"/>
  <c r="H129" i="5"/>
  <c r="H130" i="5"/>
  <c r="H128" i="5"/>
  <c r="H127" i="5"/>
  <c r="H126" i="5"/>
  <c r="AU268" i="5"/>
  <c r="H125" i="5"/>
  <c r="CA268" i="5"/>
  <c r="AS268" i="5"/>
  <c r="BC268" i="5"/>
  <c r="BY268" i="5"/>
  <c r="BG268" i="5"/>
  <c r="BI268" i="5"/>
  <c r="BK268" i="5"/>
  <c r="BS268" i="5"/>
  <c r="BW268" i="5"/>
  <c r="AW268" i="5"/>
  <c r="BM268" i="5"/>
  <c r="AY268" i="5"/>
  <c r="BQ268" i="5"/>
  <c r="BA268" i="5"/>
  <c r="BO268" i="5"/>
  <c r="BE268" i="5"/>
  <c r="BU268" i="5"/>
  <c r="K259" i="5"/>
  <c r="H267" i="5"/>
  <c r="H266" i="5"/>
  <c r="H265" i="5"/>
  <c r="H264" i="5"/>
  <c r="H271" i="5"/>
  <c r="H263" i="5"/>
  <c r="H270" i="5"/>
  <c r="H261" i="5"/>
  <c r="G266" i="5"/>
  <c r="G259" i="5" s="1"/>
  <c r="G257" i="5"/>
  <c r="G256" i="5"/>
  <c r="K257" i="5"/>
  <c r="K256" i="5"/>
  <c r="BE257" i="5"/>
  <c r="AT255" i="5"/>
  <c r="N255" i="5"/>
  <c r="L255" i="5"/>
  <c r="J255" i="5"/>
  <c r="G254" i="5"/>
  <c r="G253" i="5"/>
  <c r="F252" i="5"/>
  <c r="H253" i="5" s="1"/>
  <c r="G223" i="5"/>
  <c r="G224" i="5"/>
  <c r="G225" i="5"/>
  <c r="G226" i="5"/>
  <c r="G227" i="5"/>
  <c r="G228" i="5"/>
  <c r="G229" i="5"/>
  <c r="G230" i="5"/>
  <c r="G231" i="5"/>
  <c r="G232" i="5"/>
  <c r="G233" i="5"/>
  <c r="G222" i="5"/>
  <c r="CW267" i="5" l="1"/>
  <c r="CY267" i="5"/>
  <c r="CW266" i="5"/>
  <c r="CY266" i="5"/>
  <c r="CW128" i="5"/>
  <c r="CY128" i="5"/>
  <c r="CW251" i="5"/>
  <c r="CY251" i="5"/>
  <c r="CW261" i="5"/>
  <c r="CY261" i="5"/>
  <c r="CW129" i="5"/>
  <c r="CY129" i="5"/>
  <c r="CW270" i="5"/>
  <c r="CK270" i="5"/>
  <c r="CY270" i="5"/>
  <c r="CW124" i="5"/>
  <c r="CY124" i="5"/>
  <c r="CW244" i="5"/>
  <c r="CY244" i="5"/>
  <c r="CW263" i="5"/>
  <c r="CY263" i="5"/>
  <c r="CW125" i="5"/>
  <c r="CY125" i="5"/>
  <c r="CW246" i="5"/>
  <c r="CY246" i="5"/>
  <c r="CW253" i="5"/>
  <c r="CU253" i="5"/>
  <c r="CW271" i="5"/>
  <c r="CY271" i="5"/>
  <c r="CW247" i="5"/>
  <c r="CY247" i="5"/>
  <c r="CW249" i="5"/>
  <c r="CY249" i="5"/>
  <c r="CW130" i="5"/>
  <c r="CY130" i="5"/>
  <c r="CW264" i="5"/>
  <c r="CY264" i="5"/>
  <c r="CW126" i="5"/>
  <c r="CY126" i="5"/>
  <c r="CW248" i="5"/>
  <c r="CY248" i="5"/>
  <c r="CW265" i="5"/>
  <c r="CY265" i="5"/>
  <c r="CW127" i="5"/>
  <c r="CY127" i="5"/>
  <c r="CW250" i="5"/>
  <c r="CY250" i="5"/>
  <c r="CU129" i="5"/>
  <c r="CU270" i="5"/>
  <c r="CU263" i="5"/>
  <c r="CU125" i="5"/>
  <c r="CU246" i="5"/>
  <c r="CU271" i="5"/>
  <c r="CU247" i="5"/>
  <c r="CU249" i="5"/>
  <c r="CU267" i="5"/>
  <c r="CU130" i="5"/>
  <c r="CU261" i="5"/>
  <c r="CU126" i="5"/>
  <c r="CU244" i="5"/>
  <c r="CU124" i="5"/>
  <c r="CU264" i="5"/>
  <c r="CU248" i="5"/>
  <c r="CU265" i="5"/>
  <c r="CU127" i="5"/>
  <c r="CU250" i="5"/>
  <c r="CU266" i="5"/>
  <c r="CU128" i="5"/>
  <c r="CU251" i="5"/>
  <c r="CQ264" i="5"/>
  <c r="CS264" i="5"/>
  <c r="CS126" i="5"/>
  <c r="CQ126" i="5"/>
  <c r="CQ248" i="5"/>
  <c r="CS248" i="5"/>
  <c r="CQ265" i="5"/>
  <c r="CS265" i="5"/>
  <c r="CQ127" i="5"/>
  <c r="CS127" i="5"/>
  <c r="CQ250" i="5"/>
  <c r="CS250" i="5"/>
  <c r="CQ128" i="5"/>
  <c r="CS128" i="5"/>
  <c r="CQ261" i="5"/>
  <c r="CS261" i="5"/>
  <c r="CQ129" i="5"/>
  <c r="CS129" i="5"/>
  <c r="CS253" i="5"/>
  <c r="CQ253" i="5"/>
  <c r="CQ249" i="5"/>
  <c r="CS249" i="5"/>
  <c r="CQ266" i="5"/>
  <c r="CS266" i="5"/>
  <c r="CQ267" i="5"/>
  <c r="CS267" i="5"/>
  <c r="CQ130" i="5"/>
  <c r="CS130" i="5"/>
  <c r="CS270" i="5"/>
  <c r="CQ270" i="5"/>
  <c r="CQ124" i="5"/>
  <c r="CS124" i="5"/>
  <c r="CS271" i="5"/>
  <c r="CQ271" i="5"/>
  <c r="CQ247" i="5"/>
  <c r="CS247" i="5"/>
  <c r="CQ251" i="5"/>
  <c r="CS251" i="5"/>
  <c r="CQ244" i="5"/>
  <c r="CS244" i="5"/>
  <c r="CS263" i="5"/>
  <c r="CQ263" i="5"/>
  <c r="CQ125" i="5"/>
  <c r="CS125" i="5"/>
  <c r="CS246" i="5"/>
  <c r="CQ246" i="5"/>
  <c r="CM124" i="5"/>
  <c r="CO124" i="5"/>
  <c r="CM125" i="5"/>
  <c r="CO125" i="5"/>
  <c r="CM246" i="5"/>
  <c r="CO246" i="5"/>
  <c r="CM253" i="5"/>
  <c r="CO253" i="5"/>
  <c r="CM271" i="5"/>
  <c r="CO271" i="5"/>
  <c r="CM247" i="5"/>
  <c r="CO247" i="5"/>
  <c r="CM249" i="5"/>
  <c r="CO249" i="5"/>
  <c r="CM261" i="5"/>
  <c r="CO261" i="5"/>
  <c r="CM270" i="5"/>
  <c r="CO270" i="5"/>
  <c r="CM264" i="5"/>
  <c r="CO264" i="5"/>
  <c r="CM248" i="5"/>
  <c r="CO248" i="5"/>
  <c r="CM265" i="5"/>
  <c r="CO265" i="5"/>
  <c r="CO250" i="5"/>
  <c r="CM250" i="5"/>
  <c r="CM128" i="5"/>
  <c r="CO128" i="5"/>
  <c r="CO251" i="5"/>
  <c r="CM251" i="5"/>
  <c r="CM129" i="5"/>
  <c r="CO129" i="5"/>
  <c r="CM263" i="5"/>
  <c r="CO263" i="5"/>
  <c r="CM126" i="5"/>
  <c r="CO126" i="5"/>
  <c r="CM127" i="5"/>
  <c r="CO127" i="5"/>
  <c r="CO266" i="5"/>
  <c r="CM266" i="5"/>
  <c r="CO267" i="5"/>
  <c r="CM267" i="5"/>
  <c r="CO130" i="5"/>
  <c r="CM130" i="5"/>
  <c r="CM244" i="5"/>
  <c r="CO244" i="5"/>
  <c r="CK261" i="5"/>
  <c r="CI261" i="5"/>
  <c r="CK129" i="5"/>
  <c r="CI129" i="5"/>
  <c r="CK266" i="5"/>
  <c r="CI266" i="5"/>
  <c r="CK267" i="5"/>
  <c r="CI267" i="5"/>
  <c r="CI244" i="5"/>
  <c r="CK244" i="5"/>
  <c r="CI270" i="5"/>
  <c r="CI124" i="5"/>
  <c r="CK124" i="5"/>
  <c r="CI128" i="5"/>
  <c r="CK128" i="5"/>
  <c r="CK130" i="5"/>
  <c r="CI130" i="5"/>
  <c r="CK263" i="5"/>
  <c r="CI263" i="5"/>
  <c r="CI125" i="5"/>
  <c r="CK125" i="5"/>
  <c r="CI246" i="5"/>
  <c r="CK246" i="5"/>
  <c r="CK251" i="5"/>
  <c r="CI251" i="5"/>
  <c r="CI253" i="5"/>
  <c r="CK253" i="5"/>
  <c r="CI271" i="5"/>
  <c r="CK271" i="5"/>
  <c r="CK247" i="5"/>
  <c r="CI247" i="5"/>
  <c r="CK249" i="5"/>
  <c r="CI249" i="5"/>
  <c r="CK264" i="5"/>
  <c r="CI264" i="5"/>
  <c r="CI126" i="5"/>
  <c r="CK126" i="5"/>
  <c r="CK248" i="5"/>
  <c r="CI248" i="5"/>
  <c r="CK265" i="5"/>
  <c r="CI265" i="5"/>
  <c r="CI127" i="5"/>
  <c r="CK127" i="5"/>
  <c r="CK250" i="5"/>
  <c r="CI250" i="5"/>
  <c r="CG126" i="5"/>
  <c r="CC126" i="5"/>
  <c r="CE126" i="5"/>
  <c r="CC253" i="5"/>
  <c r="CE253" i="5"/>
  <c r="CG253" i="5"/>
  <c r="CG271" i="5"/>
  <c r="CC271" i="5"/>
  <c r="CE271" i="5"/>
  <c r="CG247" i="5"/>
  <c r="CE247" i="5"/>
  <c r="CC247" i="5"/>
  <c r="CG249" i="5"/>
  <c r="CE249" i="5"/>
  <c r="CC249" i="5"/>
  <c r="CG128" i="5"/>
  <c r="CC128" i="5"/>
  <c r="CE128" i="5"/>
  <c r="CG248" i="5"/>
  <c r="CE248" i="5"/>
  <c r="CC248" i="5"/>
  <c r="CG265" i="5"/>
  <c r="CC265" i="5"/>
  <c r="CE265" i="5"/>
  <c r="CE267" i="5"/>
  <c r="CG267" i="5"/>
  <c r="CC267" i="5"/>
  <c r="CC130" i="5"/>
  <c r="CE130" i="5"/>
  <c r="CG130" i="5"/>
  <c r="CE244" i="5"/>
  <c r="CC244" i="5"/>
  <c r="CG244" i="5"/>
  <c r="CG264" i="5"/>
  <c r="CC264" i="5"/>
  <c r="CE264" i="5"/>
  <c r="CG127" i="5"/>
  <c r="CC127" i="5"/>
  <c r="CE127" i="5"/>
  <c r="CE251" i="5"/>
  <c r="CC251" i="5"/>
  <c r="CG251" i="5"/>
  <c r="CG261" i="5"/>
  <c r="CC261" i="5"/>
  <c r="CE261" i="5"/>
  <c r="CG129" i="5"/>
  <c r="CC129" i="5"/>
  <c r="CE129" i="5"/>
  <c r="CE250" i="5"/>
  <c r="CC250" i="5"/>
  <c r="CG250" i="5"/>
  <c r="CC266" i="5"/>
  <c r="CE266" i="5"/>
  <c r="CG266" i="5"/>
  <c r="CG270" i="5"/>
  <c r="CC270" i="5"/>
  <c r="CE270" i="5"/>
  <c r="CC124" i="5"/>
  <c r="CE124" i="5"/>
  <c r="CG124" i="5"/>
  <c r="CG263" i="5"/>
  <c r="CC263" i="5"/>
  <c r="CE263" i="5"/>
  <c r="CE125" i="5"/>
  <c r="CG125" i="5"/>
  <c r="CC125" i="5"/>
  <c r="CC246" i="5"/>
  <c r="CG246" i="5"/>
  <c r="CE246" i="5"/>
  <c r="CA249" i="5"/>
  <c r="I127" i="5"/>
  <c r="I128" i="5"/>
  <c r="I130" i="5"/>
  <c r="I129" i="5"/>
  <c r="BC129" i="5"/>
  <c r="BU249" i="5"/>
  <c r="AU249" i="5"/>
  <c r="BA249" i="5"/>
  <c r="BS249" i="5"/>
  <c r="BW249" i="5"/>
  <c r="BO249" i="5"/>
  <c r="AY249" i="5"/>
  <c r="BM249" i="5"/>
  <c r="BK249" i="5"/>
  <c r="BE249" i="5"/>
  <c r="BQ249" i="5"/>
  <c r="AW249" i="5"/>
  <c r="BG249" i="5"/>
  <c r="BY249" i="5"/>
  <c r="BI249" i="5"/>
  <c r="AS249" i="5"/>
  <c r="BC249" i="5"/>
  <c r="AY246" i="5"/>
  <c r="CA246" i="5"/>
  <c r="BY246" i="5"/>
  <c r="BW246" i="5"/>
  <c r="BU246" i="5"/>
  <c r="BS246" i="5"/>
  <c r="BQ246" i="5"/>
  <c r="BO246" i="5"/>
  <c r="BM246" i="5"/>
  <c r="BK246" i="5"/>
  <c r="BI246" i="5"/>
  <c r="BG246" i="5"/>
  <c r="BE246" i="5"/>
  <c r="BC246" i="5"/>
  <c r="BA246" i="5"/>
  <c r="AW246" i="5"/>
  <c r="AU246" i="5"/>
  <c r="AS246" i="5"/>
  <c r="CA248" i="5"/>
  <c r="BY248" i="5"/>
  <c r="BW248" i="5"/>
  <c r="BU248" i="5"/>
  <c r="BS248" i="5"/>
  <c r="BQ248" i="5"/>
  <c r="BO248" i="5"/>
  <c r="BM248" i="5"/>
  <c r="BK248" i="5"/>
  <c r="BI248" i="5"/>
  <c r="BG248" i="5"/>
  <c r="BE248" i="5"/>
  <c r="BC248" i="5"/>
  <c r="BA248" i="5"/>
  <c r="AY248" i="5"/>
  <c r="AW248" i="5"/>
  <c r="AU248" i="5"/>
  <c r="AS248" i="5"/>
  <c r="CA250" i="5"/>
  <c r="BY250" i="5"/>
  <c r="BW250" i="5"/>
  <c r="BU250" i="5"/>
  <c r="BS250" i="5"/>
  <c r="BQ250" i="5"/>
  <c r="BO250" i="5"/>
  <c r="BM250" i="5"/>
  <c r="BK250" i="5"/>
  <c r="BI250" i="5"/>
  <c r="BG250" i="5"/>
  <c r="BE250" i="5"/>
  <c r="BC250" i="5"/>
  <c r="BA250" i="5"/>
  <c r="AY250" i="5"/>
  <c r="AW250" i="5"/>
  <c r="AU250" i="5"/>
  <c r="AS250" i="5"/>
  <c r="CA251" i="5"/>
  <c r="BY251" i="5"/>
  <c r="BW251" i="5"/>
  <c r="BU251" i="5"/>
  <c r="BS251" i="5"/>
  <c r="BQ251" i="5"/>
  <c r="BO251" i="5"/>
  <c r="BM251" i="5"/>
  <c r="BK251" i="5"/>
  <c r="BI251" i="5"/>
  <c r="BG251" i="5"/>
  <c r="BE251" i="5"/>
  <c r="BC251" i="5"/>
  <c r="BA251" i="5"/>
  <c r="AY251" i="5"/>
  <c r="AW251" i="5"/>
  <c r="AU251" i="5"/>
  <c r="AS251" i="5"/>
  <c r="BS244" i="5"/>
  <c r="BM244" i="5"/>
  <c r="BI244" i="5"/>
  <c r="BC244" i="5"/>
  <c r="BA244" i="5"/>
  <c r="AU244" i="5"/>
  <c r="CA244" i="5"/>
  <c r="BW244" i="5"/>
  <c r="BU244" i="5"/>
  <c r="BQ244" i="5"/>
  <c r="BK244" i="5"/>
  <c r="BE244" i="5"/>
  <c r="AY244" i="5"/>
  <c r="AS244" i="5"/>
  <c r="BY244" i="5"/>
  <c r="BO244" i="5"/>
  <c r="BG244" i="5"/>
  <c r="AW244" i="5"/>
  <c r="CA247" i="5"/>
  <c r="BW247" i="5"/>
  <c r="BS247" i="5"/>
  <c r="BM247" i="5"/>
  <c r="BI247" i="5"/>
  <c r="BE247" i="5"/>
  <c r="BA247" i="5"/>
  <c r="AW247" i="5"/>
  <c r="AS247" i="5"/>
  <c r="BY247" i="5"/>
  <c r="BU247" i="5"/>
  <c r="BQ247" i="5"/>
  <c r="BO247" i="5"/>
  <c r="BK247" i="5"/>
  <c r="BG247" i="5"/>
  <c r="BC247" i="5"/>
  <c r="AY247" i="5"/>
  <c r="AU247" i="5"/>
  <c r="I267" i="5"/>
  <c r="BY267" i="5"/>
  <c r="BU267" i="5"/>
  <c r="BO267" i="5"/>
  <c r="BM267" i="5"/>
  <c r="BI267" i="5"/>
  <c r="BE267" i="5"/>
  <c r="BA267" i="5"/>
  <c r="AW267" i="5"/>
  <c r="AS267" i="5"/>
  <c r="CA267" i="5"/>
  <c r="BW267" i="5"/>
  <c r="BS267" i="5"/>
  <c r="BQ267" i="5"/>
  <c r="BK267" i="5"/>
  <c r="BG267" i="5"/>
  <c r="BC267" i="5"/>
  <c r="AY267" i="5"/>
  <c r="AU267" i="5"/>
  <c r="I264" i="5"/>
  <c r="BY264" i="5"/>
  <c r="BU264" i="5"/>
  <c r="BO264" i="5"/>
  <c r="BM264" i="5"/>
  <c r="BI264" i="5"/>
  <c r="BE264" i="5"/>
  <c r="BA264" i="5"/>
  <c r="AS264" i="5"/>
  <c r="AW264" i="5"/>
  <c r="CA264" i="5"/>
  <c r="BW264" i="5"/>
  <c r="BS264" i="5"/>
  <c r="BQ264" i="5"/>
  <c r="BK264" i="5"/>
  <c r="BG264" i="5"/>
  <c r="BC264" i="5"/>
  <c r="AY264" i="5"/>
  <c r="AU264" i="5"/>
  <c r="I270" i="5"/>
  <c r="CA270" i="5"/>
  <c r="BW270" i="5"/>
  <c r="BS270" i="5"/>
  <c r="BQ270" i="5"/>
  <c r="BK270" i="5"/>
  <c r="BG270" i="5"/>
  <c r="BC270" i="5"/>
  <c r="AY270" i="5"/>
  <c r="AU270" i="5"/>
  <c r="BY270" i="5"/>
  <c r="BU270" i="5"/>
  <c r="BO270" i="5"/>
  <c r="BM270" i="5"/>
  <c r="BI270" i="5"/>
  <c r="BE270" i="5"/>
  <c r="BA270" i="5"/>
  <c r="AW270" i="5"/>
  <c r="AS270" i="5"/>
  <c r="I260" i="5"/>
  <c r="CA260" i="5"/>
  <c r="BW260" i="5"/>
  <c r="BS260" i="5"/>
  <c r="BK260" i="5"/>
  <c r="BG260" i="5"/>
  <c r="BC260" i="5"/>
  <c r="AY260" i="5"/>
  <c r="AU260" i="5"/>
  <c r="BQ260" i="5"/>
  <c r="BY260" i="5"/>
  <c r="BU260" i="5"/>
  <c r="BO260" i="5"/>
  <c r="BM260" i="5"/>
  <c r="BI260" i="5"/>
  <c r="BE260" i="5"/>
  <c r="BA260" i="5"/>
  <c r="AW260" i="5"/>
  <c r="AS260" i="5"/>
  <c r="I263" i="5"/>
  <c r="CA263" i="5"/>
  <c r="BW263" i="5"/>
  <c r="BS263" i="5"/>
  <c r="BQ263" i="5"/>
  <c r="BK263" i="5"/>
  <c r="BG263" i="5"/>
  <c r="BC263" i="5"/>
  <c r="AY263" i="5"/>
  <c r="AU263" i="5"/>
  <c r="BY263" i="5"/>
  <c r="BU263" i="5"/>
  <c r="BO263" i="5"/>
  <c r="BM263" i="5"/>
  <c r="BI263" i="5"/>
  <c r="BE263" i="5"/>
  <c r="BA263" i="5"/>
  <c r="AW263" i="5"/>
  <c r="AS263" i="5"/>
  <c r="I261" i="5"/>
  <c r="CA261" i="5"/>
  <c r="BW261" i="5"/>
  <c r="BS261" i="5"/>
  <c r="BQ261" i="5"/>
  <c r="BK261" i="5"/>
  <c r="BG261" i="5"/>
  <c r="BC261" i="5"/>
  <c r="AY261" i="5"/>
  <c r="AU261" i="5"/>
  <c r="BY261" i="5"/>
  <c r="BU261" i="5"/>
  <c r="BO261" i="5"/>
  <c r="BM261" i="5"/>
  <c r="BI261" i="5"/>
  <c r="BE261" i="5"/>
  <c r="BA261" i="5"/>
  <c r="AW261" i="5"/>
  <c r="AS261" i="5"/>
  <c r="I265" i="5"/>
  <c r="BY265" i="5"/>
  <c r="BU265" i="5"/>
  <c r="BO265" i="5"/>
  <c r="BM265" i="5"/>
  <c r="BI265" i="5"/>
  <c r="BE265" i="5"/>
  <c r="BA265" i="5"/>
  <c r="AW265" i="5"/>
  <c r="AS265" i="5"/>
  <c r="CA265" i="5"/>
  <c r="BW265" i="5"/>
  <c r="BS265" i="5"/>
  <c r="BQ265" i="5"/>
  <c r="BK265" i="5"/>
  <c r="BG265" i="5"/>
  <c r="BC265" i="5"/>
  <c r="AY265" i="5"/>
  <c r="AU265" i="5"/>
  <c r="I262" i="5"/>
  <c r="CA262" i="5"/>
  <c r="BW262" i="5"/>
  <c r="BS262" i="5"/>
  <c r="BQ262" i="5"/>
  <c r="BK262" i="5"/>
  <c r="BG262" i="5"/>
  <c r="BC262" i="5"/>
  <c r="AY262" i="5"/>
  <c r="AU262" i="5"/>
  <c r="BY262" i="5"/>
  <c r="BU262" i="5"/>
  <c r="BO262" i="5"/>
  <c r="BM262" i="5"/>
  <c r="BI262" i="5"/>
  <c r="BE262" i="5"/>
  <c r="BA262" i="5"/>
  <c r="AW262" i="5"/>
  <c r="AS262" i="5"/>
  <c r="I271" i="5"/>
  <c r="CA271" i="5"/>
  <c r="BW271" i="5"/>
  <c r="BS271" i="5"/>
  <c r="BQ271" i="5"/>
  <c r="BK271" i="5"/>
  <c r="BG271" i="5"/>
  <c r="BC271" i="5"/>
  <c r="AY271" i="5"/>
  <c r="AU271" i="5"/>
  <c r="BY271" i="5"/>
  <c r="BU271" i="5"/>
  <c r="BO271" i="5"/>
  <c r="BM271" i="5"/>
  <c r="BI271" i="5"/>
  <c r="BE271" i="5"/>
  <c r="BA271" i="5"/>
  <c r="AW271" i="5"/>
  <c r="AS271" i="5"/>
  <c r="I269" i="5"/>
  <c r="CA269" i="5"/>
  <c r="BW269" i="5"/>
  <c r="BS269" i="5"/>
  <c r="BQ269" i="5"/>
  <c r="BK269" i="5"/>
  <c r="BG269" i="5"/>
  <c r="BC269" i="5"/>
  <c r="AY269" i="5"/>
  <c r="AU269" i="5"/>
  <c r="BY269" i="5"/>
  <c r="BU269" i="5"/>
  <c r="BO269" i="5"/>
  <c r="BM269" i="5"/>
  <c r="BI269" i="5"/>
  <c r="BE269" i="5"/>
  <c r="BA269" i="5"/>
  <c r="AW269" i="5"/>
  <c r="AS269" i="5"/>
  <c r="I266" i="5"/>
  <c r="BY266" i="5"/>
  <c r="BU266" i="5"/>
  <c r="BO266" i="5"/>
  <c r="BM266" i="5"/>
  <c r="BI266" i="5"/>
  <c r="BE266" i="5"/>
  <c r="BA266" i="5"/>
  <c r="AW266" i="5"/>
  <c r="CA266" i="5"/>
  <c r="BW266" i="5"/>
  <c r="BS266" i="5"/>
  <c r="BQ266" i="5"/>
  <c r="BK266" i="5"/>
  <c r="BG266" i="5"/>
  <c r="BC266" i="5"/>
  <c r="AY266" i="5"/>
  <c r="AU266" i="5"/>
  <c r="AS266" i="5"/>
  <c r="G252" i="5"/>
  <c r="CA257" i="5"/>
  <c r="BY257" i="5"/>
  <c r="BI257" i="5"/>
  <c r="BK257" i="5"/>
  <c r="BW257" i="5"/>
  <c r="BG257" i="5"/>
  <c r="BS257" i="5"/>
  <c r="BQ257" i="5"/>
  <c r="BO257" i="5"/>
  <c r="BU257" i="5"/>
  <c r="BM257" i="5"/>
  <c r="BC257" i="5"/>
  <c r="BA257" i="5"/>
  <c r="AY257" i="5"/>
  <c r="AW257" i="5"/>
  <c r="AS257" i="5"/>
  <c r="AU257" i="5"/>
  <c r="H254" i="5"/>
  <c r="K255" i="5"/>
  <c r="G255" i="5"/>
  <c r="I253" i="5"/>
  <c r="CY243" i="5" l="1"/>
  <c r="CW122" i="5"/>
  <c r="CY122" i="5"/>
  <c r="CY259" i="5"/>
  <c r="CU254" i="5"/>
  <c r="CW254" i="5"/>
  <c r="CW252" i="5" s="1"/>
  <c r="CW243" i="5"/>
  <c r="CW259" i="5"/>
  <c r="CQ243" i="5"/>
  <c r="CQ254" i="5"/>
  <c r="CQ252" i="5" s="1"/>
  <c r="CS254" i="5"/>
  <c r="CS252" i="5" s="1"/>
  <c r="CQ122" i="5"/>
  <c r="CI122" i="5"/>
  <c r="CM122" i="5"/>
  <c r="CO122" i="5"/>
  <c r="CS243" i="5"/>
  <c r="CS122" i="5"/>
  <c r="CS259" i="5"/>
  <c r="CQ259" i="5"/>
  <c r="CI243" i="5"/>
  <c r="CO259" i="5"/>
  <c r="CM243" i="5"/>
  <c r="CO254" i="5"/>
  <c r="CO252" i="5" s="1"/>
  <c r="CM254" i="5"/>
  <c r="CM252" i="5" s="1"/>
  <c r="CM259" i="5"/>
  <c r="CK243" i="5"/>
  <c r="CO243" i="5"/>
  <c r="CK122" i="5"/>
  <c r="CI254" i="5"/>
  <c r="CK254" i="5"/>
  <c r="CK252" i="5" s="1"/>
  <c r="CK259" i="5"/>
  <c r="CI259" i="5"/>
  <c r="CE254" i="5"/>
  <c r="CE252" i="5" s="1"/>
  <c r="CG254" i="5"/>
  <c r="CG252" i="5" s="1"/>
  <c r="CC254" i="5"/>
  <c r="CC252" i="5" s="1"/>
  <c r="CG259" i="5"/>
  <c r="CG122" i="5"/>
  <c r="CG243" i="5"/>
  <c r="CC122" i="5"/>
  <c r="CC259" i="5"/>
  <c r="CE122" i="5"/>
  <c r="CE243" i="5"/>
  <c r="CC243" i="5"/>
  <c r="CE259" i="5"/>
  <c r="I254" i="5"/>
  <c r="I252" i="5" s="1"/>
  <c r="I259" i="5"/>
  <c r="BQ256" i="5"/>
  <c r="CA255" i="5"/>
  <c r="BY256" i="5"/>
  <c r="BI256" i="5"/>
  <c r="BW256" i="5"/>
  <c r="BG256" i="5"/>
  <c r="BO256" i="5"/>
  <c r="BO255" i="5" s="1"/>
  <c r="BM256" i="5"/>
  <c r="BM255" i="5" s="1"/>
  <c r="BK256" i="5"/>
  <c r="BU256" i="5"/>
  <c r="BE256" i="5"/>
  <c r="BS256" i="5"/>
  <c r="AY256" i="5"/>
  <c r="AY255" i="5" s="1"/>
  <c r="BA256" i="5"/>
  <c r="AW256" i="5"/>
  <c r="AU256" i="5"/>
  <c r="AS256" i="5"/>
  <c r="BC256" i="5"/>
  <c r="CI252" i="5" l="1"/>
  <c r="BY255" i="5"/>
  <c r="BW255" i="5"/>
  <c r="BU255" i="5"/>
  <c r="BS255" i="5"/>
  <c r="BQ255" i="5"/>
  <c r="BI255" i="5"/>
  <c r="BK255" i="5"/>
  <c r="BG255" i="5"/>
  <c r="BE255" i="5"/>
  <c r="BA255" i="5"/>
  <c r="BC255" i="5"/>
  <c r="AW255" i="5"/>
  <c r="AU255" i="5"/>
  <c r="AS255" i="5"/>
  <c r="G216" i="5" l="1"/>
  <c r="G217" i="5"/>
  <c r="G218" i="5"/>
  <c r="G219" i="5"/>
  <c r="G220" i="5"/>
  <c r="G215" i="5"/>
  <c r="F214" i="5"/>
  <c r="K220" i="5"/>
  <c r="K219" i="5"/>
  <c r="K217" i="5"/>
  <c r="AT214" i="5"/>
  <c r="N214" i="5"/>
  <c r="M214" i="5"/>
  <c r="J214" i="5"/>
  <c r="G205" i="5"/>
  <c r="G206" i="5"/>
  <c r="G207" i="5"/>
  <c r="G208" i="5"/>
  <c r="G209" i="5"/>
  <c r="G210" i="5"/>
  <c r="G211" i="5"/>
  <c r="G212" i="5"/>
  <c r="G213" i="5"/>
  <c r="G204" i="5"/>
  <c r="F203" i="5"/>
  <c r="H209" i="5" s="1"/>
  <c r="G29" i="5"/>
  <c r="G30" i="5"/>
  <c r="G31" i="5"/>
  <c r="G32" i="5"/>
  <c r="G33" i="5"/>
  <c r="G34" i="5"/>
  <c r="G35" i="5"/>
  <c r="G36" i="5"/>
  <c r="G37" i="5"/>
  <c r="G28" i="5"/>
  <c r="G40" i="5"/>
  <c r="G41" i="5"/>
  <c r="G42" i="5"/>
  <c r="G43" i="5"/>
  <c r="G44" i="5"/>
  <c r="G45" i="5"/>
  <c r="G46" i="5"/>
  <c r="G47" i="5"/>
  <c r="G48" i="5"/>
  <c r="G39" i="5"/>
  <c r="G51" i="5"/>
  <c r="G52" i="5"/>
  <c r="G53" i="5"/>
  <c r="G54" i="5"/>
  <c r="G55" i="5"/>
  <c r="G56" i="5"/>
  <c r="G57" i="5"/>
  <c r="G58" i="5"/>
  <c r="G59" i="5"/>
  <c r="G50" i="5"/>
  <c r="G62" i="5"/>
  <c r="G63" i="5"/>
  <c r="G64" i="5"/>
  <c r="G65" i="5"/>
  <c r="G66" i="5"/>
  <c r="G67" i="5"/>
  <c r="G68" i="5"/>
  <c r="G69" i="5"/>
  <c r="G70" i="5"/>
  <c r="G61" i="5"/>
  <c r="G123" i="5"/>
  <c r="G124" i="5"/>
  <c r="G125" i="5"/>
  <c r="G126" i="5"/>
  <c r="K184" i="5"/>
  <c r="K179" i="5"/>
  <c r="K174" i="5"/>
  <c r="G171" i="5"/>
  <c r="G172" i="5"/>
  <c r="G173" i="5"/>
  <c r="G174" i="5"/>
  <c r="G175" i="5"/>
  <c r="G176" i="5"/>
  <c r="G177" i="5"/>
  <c r="G178" i="5"/>
  <c r="G179" i="5"/>
  <c r="G180" i="5"/>
  <c r="G181" i="5"/>
  <c r="G182" i="5"/>
  <c r="G183" i="5"/>
  <c r="G184" i="5"/>
  <c r="G170" i="5"/>
  <c r="G158" i="5"/>
  <c r="G159" i="5"/>
  <c r="G160" i="5"/>
  <c r="G161" i="5"/>
  <c r="G162" i="5"/>
  <c r="G163" i="5"/>
  <c r="G164" i="5"/>
  <c r="G165" i="5"/>
  <c r="G166" i="5"/>
  <c r="G167" i="5"/>
  <c r="G168" i="5"/>
  <c r="G157" i="5"/>
  <c r="K183" i="5"/>
  <c r="K182" i="5"/>
  <c r="K181" i="5"/>
  <c r="K180" i="5"/>
  <c r="K178" i="5"/>
  <c r="K177" i="5"/>
  <c r="K176" i="5"/>
  <c r="K175" i="5"/>
  <c r="K173" i="5"/>
  <c r="K172" i="5"/>
  <c r="K171" i="5"/>
  <c r="K170" i="5"/>
  <c r="H178" i="5"/>
  <c r="N169" i="5"/>
  <c r="L169" i="5"/>
  <c r="J169" i="5"/>
  <c r="F185" i="5"/>
  <c r="J185" i="5"/>
  <c r="L185" i="5"/>
  <c r="CI185" i="5" s="1"/>
  <c r="M185" i="5"/>
  <c r="N185" i="5"/>
  <c r="AT185" i="5"/>
  <c r="G186" i="5"/>
  <c r="K186" i="5"/>
  <c r="G187" i="5"/>
  <c r="K187" i="5"/>
  <c r="G188" i="5"/>
  <c r="K188" i="5"/>
  <c r="G189" i="5"/>
  <c r="K189" i="5"/>
  <c r="G190" i="5"/>
  <c r="K190" i="5"/>
  <c r="G191" i="5"/>
  <c r="K191" i="5"/>
  <c r="G192" i="5"/>
  <c r="K192" i="5"/>
  <c r="G193" i="5"/>
  <c r="K193" i="5"/>
  <c r="CA130" i="5"/>
  <c r="CA129" i="5"/>
  <c r="CA128" i="5"/>
  <c r="CA127" i="5"/>
  <c r="BY130" i="5"/>
  <c r="BY129" i="5"/>
  <c r="BY128" i="5"/>
  <c r="BY127" i="5"/>
  <c r="BW130" i="5"/>
  <c r="BW129" i="5"/>
  <c r="BW128" i="5"/>
  <c r="BW127" i="5"/>
  <c r="BU130" i="5"/>
  <c r="BU129" i="5"/>
  <c r="BU128" i="5"/>
  <c r="BU127" i="5"/>
  <c r="BS130" i="5"/>
  <c r="BS129" i="5"/>
  <c r="BS128" i="5"/>
  <c r="BS127" i="5"/>
  <c r="BQ130" i="5"/>
  <c r="BQ129" i="5"/>
  <c r="BQ128" i="5"/>
  <c r="BQ127" i="5"/>
  <c r="BO130" i="5"/>
  <c r="BO129" i="5"/>
  <c r="BO128" i="5"/>
  <c r="BO127" i="5"/>
  <c r="BM130" i="5"/>
  <c r="BM129" i="5"/>
  <c r="BM128" i="5"/>
  <c r="BM127" i="5"/>
  <c r="BK130" i="5"/>
  <c r="BK129" i="5"/>
  <c r="BK128" i="5"/>
  <c r="BK127" i="5"/>
  <c r="BI130" i="5"/>
  <c r="BI129" i="5"/>
  <c r="BI128" i="5"/>
  <c r="BI127" i="5"/>
  <c r="BG130" i="5"/>
  <c r="BG129" i="5"/>
  <c r="BG128" i="5"/>
  <c r="BG127" i="5"/>
  <c r="BE130" i="5"/>
  <c r="BE129" i="5"/>
  <c r="BE128" i="5"/>
  <c r="BE127" i="5"/>
  <c r="BC130" i="5"/>
  <c r="BC128" i="5"/>
  <c r="BC127" i="5"/>
  <c r="BA130" i="5"/>
  <c r="BA129" i="5"/>
  <c r="BA128" i="5"/>
  <c r="BA127" i="5"/>
  <c r="AY130" i="5"/>
  <c r="AY129" i="5"/>
  <c r="AY128" i="5"/>
  <c r="AY127" i="5"/>
  <c r="AW130" i="5"/>
  <c r="AW129" i="5"/>
  <c r="AW128" i="5"/>
  <c r="AW127" i="5"/>
  <c r="AU130" i="5"/>
  <c r="AU129" i="5"/>
  <c r="AU128" i="5"/>
  <c r="AU127" i="5"/>
  <c r="AS130" i="5"/>
  <c r="AS129" i="5"/>
  <c r="AS128" i="5"/>
  <c r="AS127" i="5"/>
  <c r="F156" i="5"/>
  <c r="H159" i="5" s="1"/>
  <c r="K168" i="5"/>
  <c r="K167" i="5"/>
  <c r="K166" i="5"/>
  <c r="K165" i="5"/>
  <c r="K164" i="5"/>
  <c r="K163" i="5"/>
  <c r="K162" i="5"/>
  <c r="K161" i="5"/>
  <c r="K160" i="5"/>
  <c r="K159" i="5"/>
  <c r="K158" i="5"/>
  <c r="K157" i="5"/>
  <c r="AT156" i="5"/>
  <c r="N156" i="5"/>
  <c r="M156" i="5"/>
  <c r="L156" i="5"/>
  <c r="CM156" i="5" s="1"/>
  <c r="G114" i="5"/>
  <c r="G115" i="5"/>
  <c r="G116" i="5"/>
  <c r="G117" i="5"/>
  <c r="G118" i="5"/>
  <c r="G119" i="5"/>
  <c r="G120" i="5"/>
  <c r="G121" i="5"/>
  <c r="G113" i="5"/>
  <c r="F99" i="5"/>
  <c r="H100" i="5" s="1"/>
  <c r="K120" i="5"/>
  <c r="K119" i="5"/>
  <c r="K118" i="5"/>
  <c r="K117" i="5"/>
  <c r="K116" i="5"/>
  <c r="K115" i="5"/>
  <c r="K114" i="5"/>
  <c r="K113" i="5"/>
  <c r="F112" i="5"/>
  <c r="N112" i="5"/>
  <c r="M112" i="5"/>
  <c r="L112" i="5"/>
  <c r="J112" i="5"/>
  <c r="K276" i="5"/>
  <c r="K275" i="5"/>
  <c r="K274" i="5"/>
  <c r="K273" i="5"/>
  <c r="N272" i="5"/>
  <c r="K242" i="5"/>
  <c r="K241" i="5"/>
  <c r="K240" i="5"/>
  <c r="K239" i="5"/>
  <c r="N234" i="5"/>
  <c r="K84" i="5"/>
  <c r="K83" i="5"/>
  <c r="G101" i="5"/>
  <c r="G102" i="5"/>
  <c r="G103" i="5"/>
  <c r="G104" i="5"/>
  <c r="G105" i="5"/>
  <c r="G106" i="5"/>
  <c r="G107" i="5"/>
  <c r="G108" i="5"/>
  <c r="G109" i="5"/>
  <c r="G110" i="5"/>
  <c r="G111" i="5"/>
  <c r="G100" i="5"/>
  <c r="K107" i="5"/>
  <c r="K106" i="5"/>
  <c r="K105" i="5"/>
  <c r="K104" i="5"/>
  <c r="K103" i="5"/>
  <c r="K102" i="5"/>
  <c r="K101" i="5"/>
  <c r="K100" i="5"/>
  <c r="N99" i="5"/>
  <c r="M99" i="5"/>
  <c r="L99" i="5"/>
  <c r="J99" i="5"/>
  <c r="F6" i="5"/>
  <c r="H8" i="5" s="1"/>
  <c r="CY8" i="5" s="1"/>
  <c r="H71" i="4"/>
  <c r="E72" i="4" s="1"/>
  <c r="I15" i="4"/>
  <c r="CW100" i="5" l="1"/>
  <c r="CY100" i="5"/>
  <c r="CW178" i="5"/>
  <c r="CY178" i="5"/>
  <c r="CW159" i="5"/>
  <c r="CY159" i="5"/>
  <c r="CW209" i="5"/>
  <c r="CY209" i="5"/>
  <c r="CU8" i="5"/>
  <c r="CW8" i="5"/>
  <c r="CU159" i="5"/>
  <c r="CU209" i="5"/>
  <c r="CU178" i="5"/>
  <c r="CU100" i="5"/>
  <c r="CS100" i="5"/>
  <c r="CQ100" i="5"/>
  <c r="CQ8" i="5"/>
  <c r="CS8" i="5"/>
  <c r="CQ178" i="5"/>
  <c r="CS178" i="5"/>
  <c r="CS159" i="5"/>
  <c r="CQ159" i="5"/>
  <c r="CQ209" i="5"/>
  <c r="CS209" i="5"/>
  <c r="CM178" i="5"/>
  <c r="CO178" i="5"/>
  <c r="CM100" i="5"/>
  <c r="CO100" i="5"/>
  <c r="CO8" i="5"/>
  <c r="CM8" i="5"/>
  <c r="CM159" i="5"/>
  <c r="CO159" i="5"/>
  <c r="CO209" i="5"/>
  <c r="CM209" i="5"/>
  <c r="CI209" i="5"/>
  <c r="CK209" i="5"/>
  <c r="CK178" i="5"/>
  <c r="CI178" i="5"/>
  <c r="CK8" i="5"/>
  <c r="CI8" i="5"/>
  <c r="CI159" i="5"/>
  <c r="CK159" i="5"/>
  <c r="CI100" i="5"/>
  <c r="CK100" i="5"/>
  <c r="CG178" i="5"/>
  <c r="CC178" i="5"/>
  <c r="CE178" i="5"/>
  <c r="CC100" i="5"/>
  <c r="CE100" i="5"/>
  <c r="CG100" i="5"/>
  <c r="CC8" i="5"/>
  <c r="CE8" i="5"/>
  <c r="CG8" i="5"/>
  <c r="CE159" i="5"/>
  <c r="CC159" i="5"/>
  <c r="CG159" i="5"/>
  <c r="CC209" i="5"/>
  <c r="CE209" i="5"/>
  <c r="CG209" i="5"/>
  <c r="BU178" i="5"/>
  <c r="BW178" i="5"/>
  <c r="I178" i="5"/>
  <c r="I114" i="5"/>
  <c r="AS100" i="5"/>
  <c r="I159" i="5"/>
  <c r="F72" i="4"/>
  <c r="G72" i="4"/>
  <c r="H189" i="5"/>
  <c r="H192" i="5"/>
  <c r="H193" i="5"/>
  <c r="H13" i="5"/>
  <c r="H21" i="5"/>
  <c r="H14" i="5"/>
  <c r="H22" i="5"/>
  <c r="H15" i="5"/>
  <c r="H23" i="5"/>
  <c r="H16" i="5"/>
  <c r="H24" i="5"/>
  <c r="H9" i="5"/>
  <c r="H17" i="5"/>
  <c r="H25" i="5"/>
  <c r="H10" i="5"/>
  <c r="H18" i="5"/>
  <c r="H26" i="5"/>
  <c r="H11" i="5"/>
  <c r="CM11" i="5" s="1"/>
  <c r="H19" i="5"/>
  <c r="H7" i="5"/>
  <c r="CY7" i="5" s="1"/>
  <c r="H12" i="5"/>
  <c r="H20" i="5"/>
  <c r="I218" i="5"/>
  <c r="BY218" i="5"/>
  <c r="BQ218" i="5"/>
  <c r="BI218" i="5"/>
  <c r="BA218" i="5"/>
  <c r="CA218" i="5"/>
  <c r="BS218" i="5"/>
  <c r="BK218" i="5"/>
  <c r="BC218" i="5"/>
  <c r="AU218" i="5"/>
  <c r="BU218" i="5"/>
  <c r="BM218" i="5"/>
  <c r="AW218" i="5"/>
  <c r="BE218" i="5"/>
  <c r="AS218" i="5"/>
  <c r="BW218" i="5"/>
  <c r="BO218" i="5"/>
  <c r="BG218" i="5"/>
  <c r="AY218" i="5"/>
  <c r="K214" i="5"/>
  <c r="G214" i="5"/>
  <c r="I209" i="5"/>
  <c r="H207" i="5"/>
  <c r="CE207" i="5" s="1"/>
  <c r="H208" i="5"/>
  <c r="H204" i="5"/>
  <c r="H206" i="5"/>
  <c r="CE206" i="5" s="1"/>
  <c r="H213" i="5"/>
  <c r="H205" i="5"/>
  <c r="H212" i="5"/>
  <c r="H211" i="5"/>
  <c r="H166" i="5"/>
  <c r="H165" i="5"/>
  <c r="H158" i="5"/>
  <c r="H157" i="5"/>
  <c r="H164" i="5"/>
  <c r="H163" i="5"/>
  <c r="H162" i="5"/>
  <c r="H161" i="5"/>
  <c r="H177" i="5"/>
  <c r="H168" i="5"/>
  <c r="H160" i="5"/>
  <c r="H167" i="5"/>
  <c r="AS178" i="5"/>
  <c r="AY178" i="5"/>
  <c r="BO178" i="5"/>
  <c r="BA178" i="5"/>
  <c r="BQ178" i="5"/>
  <c r="AW178" i="5"/>
  <c r="BM178" i="5"/>
  <c r="AU178" i="5"/>
  <c r="CA178" i="5"/>
  <c r="BI178" i="5"/>
  <c r="BY178" i="5"/>
  <c r="BK178" i="5"/>
  <c r="BG178" i="5"/>
  <c r="BE178" i="5"/>
  <c r="BC178" i="5"/>
  <c r="BS178" i="5"/>
  <c r="K169" i="5"/>
  <c r="G169" i="5"/>
  <c r="G185" i="5"/>
  <c r="K185" i="5"/>
  <c r="AU159" i="5"/>
  <c r="G156" i="5"/>
  <c r="H101" i="5"/>
  <c r="K156" i="5"/>
  <c r="BA114" i="5"/>
  <c r="BM114" i="5"/>
  <c r="BC114" i="5"/>
  <c r="BK114" i="5"/>
  <c r="BO114" i="5"/>
  <c r="K112" i="5"/>
  <c r="AU114" i="5"/>
  <c r="BQ114" i="5"/>
  <c r="AW114" i="5"/>
  <c r="BS114" i="5"/>
  <c r="AY114" i="5"/>
  <c r="CA114" i="5"/>
  <c r="BE114" i="5"/>
  <c r="BU114" i="5"/>
  <c r="BG114" i="5"/>
  <c r="BW114" i="5"/>
  <c r="AS114" i="5"/>
  <c r="BI114" i="5"/>
  <c r="BY114" i="5"/>
  <c r="H120" i="5"/>
  <c r="H121" i="5"/>
  <c r="H118" i="5"/>
  <c r="H119" i="5"/>
  <c r="H117" i="5"/>
  <c r="H116" i="5"/>
  <c r="H115" i="5"/>
  <c r="H113" i="5"/>
  <c r="H108" i="5"/>
  <c r="I100" i="5"/>
  <c r="CA100" i="5"/>
  <c r="BK100" i="5"/>
  <c r="AU100" i="5"/>
  <c r="BA100" i="5"/>
  <c r="BW100" i="5"/>
  <c r="BG100" i="5"/>
  <c r="BM100" i="5"/>
  <c r="AW100" i="5"/>
  <c r="BS100" i="5"/>
  <c r="BO100" i="5"/>
  <c r="BC100" i="5"/>
  <c r="BY100" i="5"/>
  <c r="BI100" i="5"/>
  <c r="AY100" i="5"/>
  <c r="G112" i="5"/>
  <c r="H107" i="5"/>
  <c r="H106" i="5"/>
  <c r="H105" i="5"/>
  <c r="H104" i="5"/>
  <c r="H111" i="5"/>
  <c r="H103" i="5"/>
  <c r="H110" i="5"/>
  <c r="H102" i="5"/>
  <c r="H109" i="5"/>
  <c r="G99" i="5"/>
  <c r="K99" i="5"/>
  <c r="K128" i="5"/>
  <c r="K129" i="5"/>
  <c r="K130" i="5"/>
  <c r="CW110" i="5" l="1"/>
  <c r="CY110" i="5"/>
  <c r="CY113" i="5"/>
  <c r="CU113" i="5"/>
  <c r="CW113" i="5"/>
  <c r="CW211" i="5"/>
  <c r="CY211" i="5"/>
  <c r="CW13" i="5"/>
  <c r="BW13" i="5"/>
  <c r="CY13" i="5"/>
  <c r="CW26" i="5"/>
  <c r="CY26" i="5"/>
  <c r="CW23" i="5"/>
  <c r="CY23" i="5"/>
  <c r="CW189" i="5"/>
  <c r="CY189" i="5"/>
  <c r="CW105" i="5"/>
  <c r="CY105" i="5"/>
  <c r="CU119" i="5"/>
  <c r="CY119" i="5"/>
  <c r="CW119" i="5"/>
  <c r="CW101" i="5"/>
  <c r="CY101" i="5"/>
  <c r="CW160" i="5"/>
  <c r="CY160" i="5"/>
  <c r="CW158" i="5"/>
  <c r="CY158" i="5"/>
  <c r="CW206" i="5"/>
  <c r="CY206" i="5"/>
  <c r="CW18" i="5"/>
  <c r="CY18" i="5"/>
  <c r="CW15" i="5"/>
  <c r="CY15" i="5"/>
  <c r="CW162" i="5"/>
  <c r="CY162" i="5"/>
  <c r="CW9" i="5"/>
  <c r="CY9" i="5"/>
  <c r="CW103" i="5"/>
  <c r="CY103" i="5"/>
  <c r="CY115" i="5"/>
  <c r="CW115" i="5"/>
  <c r="CU115" i="5"/>
  <c r="CW163" i="5"/>
  <c r="CY163" i="5"/>
  <c r="CW19" i="5"/>
  <c r="CY19" i="5"/>
  <c r="CW193" i="5"/>
  <c r="CY193" i="5"/>
  <c r="CW104" i="5"/>
  <c r="CY104" i="5"/>
  <c r="CW167" i="5"/>
  <c r="CY167" i="5"/>
  <c r="CW213" i="5"/>
  <c r="CY213" i="5"/>
  <c r="CW106" i="5"/>
  <c r="CY106" i="5"/>
  <c r="CW168" i="5"/>
  <c r="CY168" i="5"/>
  <c r="CW204" i="5"/>
  <c r="CY204" i="5"/>
  <c r="CW10" i="5"/>
  <c r="CY10" i="5"/>
  <c r="CW107" i="5"/>
  <c r="CY107" i="5"/>
  <c r="CW177" i="5"/>
  <c r="CW169" i="5" s="1"/>
  <c r="CY177" i="5"/>
  <c r="CY169" i="5" s="1"/>
  <c r="CW166" i="5"/>
  <c r="CY166" i="5"/>
  <c r="CW208" i="5"/>
  <c r="CY208" i="5"/>
  <c r="CW20" i="5"/>
  <c r="CY20" i="5"/>
  <c r="CW25" i="5"/>
  <c r="CY25" i="5"/>
  <c r="CW14" i="5"/>
  <c r="CY14" i="5"/>
  <c r="CU117" i="5"/>
  <c r="CY117" i="5"/>
  <c r="CW117" i="5"/>
  <c r="CW157" i="5"/>
  <c r="CY157" i="5"/>
  <c r="CU118" i="5"/>
  <c r="CY118" i="5"/>
  <c r="CW118" i="5"/>
  <c r="CW165" i="5"/>
  <c r="CY165" i="5"/>
  <c r="CW22" i="5"/>
  <c r="CY22" i="5"/>
  <c r="CW109" i="5"/>
  <c r="CY109" i="5"/>
  <c r="CY121" i="5"/>
  <c r="CW121" i="5"/>
  <c r="CU121" i="5"/>
  <c r="CW102" i="5"/>
  <c r="CY102" i="5"/>
  <c r="CW108" i="5"/>
  <c r="CY108" i="5"/>
  <c r="CY120" i="5"/>
  <c r="CW120" i="5"/>
  <c r="CU120" i="5"/>
  <c r="CW161" i="5"/>
  <c r="CY161" i="5"/>
  <c r="CW210" i="5"/>
  <c r="CY210" i="5"/>
  <c r="CW207" i="5"/>
  <c r="CY207" i="5"/>
  <c r="CW12" i="5"/>
  <c r="CY12" i="5"/>
  <c r="CW17" i="5"/>
  <c r="CY17" i="5"/>
  <c r="CW21" i="5"/>
  <c r="CY21" i="5"/>
  <c r="CW212" i="5"/>
  <c r="CY212" i="5"/>
  <c r="CW24" i="5"/>
  <c r="CY24" i="5"/>
  <c r="CW111" i="5"/>
  <c r="CY111" i="5"/>
  <c r="CU116" i="5"/>
  <c r="CY116" i="5"/>
  <c r="CW116" i="5"/>
  <c r="CW164" i="5"/>
  <c r="CY164" i="5"/>
  <c r="CW205" i="5"/>
  <c r="CY205" i="5"/>
  <c r="CW11" i="5"/>
  <c r="CY11" i="5"/>
  <c r="CW16" i="5"/>
  <c r="CY16" i="5"/>
  <c r="CW192" i="5"/>
  <c r="CY192" i="5"/>
  <c r="CU7" i="5"/>
  <c r="CW7" i="5"/>
  <c r="CU105" i="5"/>
  <c r="CU104" i="5"/>
  <c r="CU167" i="5"/>
  <c r="CU157" i="5"/>
  <c r="CU213" i="5"/>
  <c r="CU26" i="5"/>
  <c r="CU23" i="5"/>
  <c r="CU189" i="5"/>
  <c r="CU206" i="5"/>
  <c r="CU15" i="5"/>
  <c r="CU106" i="5"/>
  <c r="CU168" i="5"/>
  <c r="CU165" i="5"/>
  <c r="CU204" i="5"/>
  <c r="CU10" i="5"/>
  <c r="CU22" i="5"/>
  <c r="CU158" i="5"/>
  <c r="CU18" i="5"/>
  <c r="CU109" i="5"/>
  <c r="CU107" i="5"/>
  <c r="CU177" i="5"/>
  <c r="CU166" i="5"/>
  <c r="CU208" i="5"/>
  <c r="CU20" i="5"/>
  <c r="CU25" i="5"/>
  <c r="CU14" i="5"/>
  <c r="CU101" i="5"/>
  <c r="CU160" i="5"/>
  <c r="CU102" i="5"/>
  <c r="CU108" i="5"/>
  <c r="CU161" i="5"/>
  <c r="CU210" i="5"/>
  <c r="CU207" i="5"/>
  <c r="CU12" i="5"/>
  <c r="CU17" i="5"/>
  <c r="CU21" i="5"/>
  <c r="CU110" i="5"/>
  <c r="CU162" i="5"/>
  <c r="CU211" i="5"/>
  <c r="CU9" i="5"/>
  <c r="CU13" i="5"/>
  <c r="CU103" i="5"/>
  <c r="CU163" i="5"/>
  <c r="CU212" i="5"/>
  <c r="CU19" i="5"/>
  <c r="CU24" i="5"/>
  <c r="CU193" i="5"/>
  <c r="CU111" i="5"/>
  <c r="CU164" i="5"/>
  <c r="CU205" i="5"/>
  <c r="CU11" i="5"/>
  <c r="CU16" i="5"/>
  <c r="CU192" i="5"/>
  <c r="BW7" i="5"/>
  <c r="CQ111" i="5"/>
  <c r="CS111" i="5"/>
  <c r="CQ117" i="5"/>
  <c r="CS117" i="5"/>
  <c r="CS157" i="5"/>
  <c r="CQ157" i="5"/>
  <c r="CQ105" i="5"/>
  <c r="CS105" i="5"/>
  <c r="CS160" i="5"/>
  <c r="CQ160" i="5"/>
  <c r="CQ206" i="5"/>
  <c r="CS206" i="5"/>
  <c r="CQ18" i="5"/>
  <c r="CS18" i="5"/>
  <c r="CQ109" i="5"/>
  <c r="CS109" i="5"/>
  <c r="CS107" i="5"/>
  <c r="CQ107" i="5"/>
  <c r="CQ121" i="5"/>
  <c r="CS121" i="5"/>
  <c r="CS177" i="5"/>
  <c r="CS169" i="5" s="1"/>
  <c r="CQ177" i="5"/>
  <c r="CQ169" i="5" s="1"/>
  <c r="CS166" i="5"/>
  <c r="CQ166" i="5"/>
  <c r="CQ208" i="5"/>
  <c r="CS208" i="5"/>
  <c r="CS20" i="5"/>
  <c r="CQ20" i="5"/>
  <c r="CQ25" i="5"/>
  <c r="CS25" i="5"/>
  <c r="CQ14" i="5"/>
  <c r="CS14" i="5"/>
  <c r="CQ192" i="5"/>
  <c r="CS192" i="5"/>
  <c r="CQ104" i="5"/>
  <c r="CS104" i="5"/>
  <c r="CQ108" i="5"/>
  <c r="CS108" i="5"/>
  <c r="CQ161" i="5"/>
  <c r="CS161" i="5"/>
  <c r="CQ207" i="5"/>
  <c r="CS207" i="5"/>
  <c r="CQ17" i="5"/>
  <c r="CS17" i="5"/>
  <c r="CQ110" i="5"/>
  <c r="CS110" i="5"/>
  <c r="CQ113" i="5"/>
  <c r="CS113" i="5"/>
  <c r="CS162" i="5"/>
  <c r="CQ162" i="5"/>
  <c r="CQ211" i="5"/>
  <c r="CS211" i="5"/>
  <c r="CS7" i="5"/>
  <c r="CQ7" i="5"/>
  <c r="CQ9" i="5"/>
  <c r="CS9" i="5"/>
  <c r="CS13" i="5"/>
  <c r="CQ13" i="5"/>
  <c r="CQ116" i="5"/>
  <c r="CS116" i="5"/>
  <c r="CS205" i="5"/>
  <c r="CQ205" i="5"/>
  <c r="CQ11" i="5"/>
  <c r="CS11" i="5"/>
  <c r="CQ102" i="5"/>
  <c r="CS102" i="5"/>
  <c r="CS120" i="5"/>
  <c r="CQ120" i="5"/>
  <c r="CQ210" i="5"/>
  <c r="CS210" i="5"/>
  <c r="CS12" i="5"/>
  <c r="CQ12" i="5"/>
  <c r="CQ21" i="5"/>
  <c r="CS21" i="5"/>
  <c r="CQ103" i="5"/>
  <c r="CS103" i="5"/>
  <c r="CQ115" i="5"/>
  <c r="CS115" i="5"/>
  <c r="CS163" i="5"/>
  <c r="CQ163" i="5"/>
  <c r="CS212" i="5"/>
  <c r="CQ212" i="5"/>
  <c r="CQ19" i="5"/>
  <c r="CS19" i="5"/>
  <c r="CQ24" i="5"/>
  <c r="CS24" i="5"/>
  <c r="CQ193" i="5"/>
  <c r="CS193" i="5"/>
  <c r="CS164" i="5"/>
  <c r="CQ164" i="5"/>
  <c r="CQ16" i="5"/>
  <c r="CS16" i="5"/>
  <c r="CS167" i="5"/>
  <c r="CQ167" i="5"/>
  <c r="CQ213" i="5"/>
  <c r="CS213" i="5"/>
  <c r="CQ26" i="5"/>
  <c r="CS26" i="5"/>
  <c r="CQ23" i="5"/>
  <c r="CS23" i="5"/>
  <c r="CQ189" i="5"/>
  <c r="CS189" i="5"/>
  <c r="CQ119" i="5"/>
  <c r="CS119" i="5"/>
  <c r="CQ101" i="5"/>
  <c r="CS101" i="5"/>
  <c r="CS158" i="5"/>
  <c r="CQ158" i="5"/>
  <c r="CS15" i="5"/>
  <c r="CQ15" i="5"/>
  <c r="CQ106" i="5"/>
  <c r="CS106" i="5"/>
  <c r="CQ118" i="5"/>
  <c r="CS118" i="5"/>
  <c r="CS168" i="5"/>
  <c r="CQ168" i="5"/>
  <c r="CS165" i="5"/>
  <c r="CQ165" i="5"/>
  <c r="CS204" i="5"/>
  <c r="CQ204" i="5"/>
  <c r="CQ10" i="5"/>
  <c r="CS10" i="5"/>
  <c r="CQ22" i="5"/>
  <c r="CS22" i="5"/>
  <c r="CM162" i="5"/>
  <c r="CO162" i="5"/>
  <c r="CM211" i="5"/>
  <c r="CO211" i="5"/>
  <c r="CO7" i="5"/>
  <c r="CM7" i="5"/>
  <c r="CO9" i="5"/>
  <c r="CM9" i="5"/>
  <c r="CM13" i="5"/>
  <c r="CO13" i="5"/>
  <c r="CO103" i="5"/>
  <c r="CM103" i="5"/>
  <c r="CM163" i="5"/>
  <c r="CO163" i="5"/>
  <c r="CM212" i="5"/>
  <c r="CO212" i="5"/>
  <c r="CM19" i="5"/>
  <c r="CO19" i="5"/>
  <c r="CO24" i="5"/>
  <c r="CM24" i="5"/>
  <c r="CM193" i="5"/>
  <c r="CO193" i="5"/>
  <c r="CO11" i="5"/>
  <c r="CO16" i="5"/>
  <c r="CM16" i="5"/>
  <c r="CM192" i="5"/>
  <c r="CO192" i="5"/>
  <c r="CM205" i="5"/>
  <c r="CO205" i="5"/>
  <c r="CM167" i="5"/>
  <c r="CO167" i="5"/>
  <c r="CO157" i="5"/>
  <c r="CM157" i="5"/>
  <c r="CM213" i="5"/>
  <c r="CO213" i="5"/>
  <c r="CM26" i="5"/>
  <c r="CO26" i="5"/>
  <c r="CM23" i="5"/>
  <c r="CO23" i="5"/>
  <c r="CM189" i="5"/>
  <c r="CO189" i="5"/>
  <c r="CO164" i="5"/>
  <c r="CM164" i="5"/>
  <c r="CO117" i="5"/>
  <c r="CM117" i="5"/>
  <c r="CM105" i="5"/>
  <c r="CO105" i="5"/>
  <c r="CO119" i="5"/>
  <c r="CM119" i="5"/>
  <c r="CM101" i="5"/>
  <c r="CO101" i="5"/>
  <c r="CM160" i="5"/>
  <c r="CO160" i="5"/>
  <c r="CM158" i="5"/>
  <c r="CO158" i="5"/>
  <c r="CM206" i="5"/>
  <c r="CO206" i="5"/>
  <c r="CM18" i="5"/>
  <c r="CO18" i="5"/>
  <c r="CM15" i="5"/>
  <c r="CO15" i="5"/>
  <c r="CM106" i="5"/>
  <c r="CO106" i="5"/>
  <c r="CO118" i="5"/>
  <c r="CM118" i="5"/>
  <c r="CM168" i="5"/>
  <c r="CO168" i="5"/>
  <c r="CM165" i="5"/>
  <c r="CO165" i="5"/>
  <c r="CM204" i="5"/>
  <c r="CO204" i="5"/>
  <c r="CM10" i="5"/>
  <c r="CO10" i="5"/>
  <c r="CM22" i="5"/>
  <c r="CO22" i="5"/>
  <c r="CO113" i="5"/>
  <c r="CM113" i="5"/>
  <c r="CM115" i="5"/>
  <c r="CO115" i="5"/>
  <c r="CM109" i="5"/>
  <c r="CO109" i="5"/>
  <c r="CM107" i="5"/>
  <c r="CO107" i="5"/>
  <c r="CO121" i="5"/>
  <c r="CM121" i="5"/>
  <c r="CM177" i="5"/>
  <c r="CM169" i="5" s="1"/>
  <c r="CO177" i="5"/>
  <c r="CM166" i="5"/>
  <c r="CO166" i="5"/>
  <c r="CO208" i="5"/>
  <c r="CM208" i="5"/>
  <c r="CM20" i="5"/>
  <c r="CO20" i="5"/>
  <c r="CO25" i="5"/>
  <c r="CM25" i="5"/>
  <c r="CM14" i="5"/>
  <c r="CO14" i="5"/>
  <c r="CM110" i="5"/>
  <c r="CO110" i="5"/>
  <c r="CO111" i="5"/>
  <c r="CM111" i="5"/>
  <c r="CM116" i="5"/>
  <c r="CO116" i="5"/>
  <c r="CO104" i="5"/>
  <c r="CM104" i="5"/>
  <c r="CM102" i="5"/>
  <c r="CO102" i="5"/>
  <c r="CM108" i="5"/>
  <c r="CO108" i="5"/>
  <c r="CO120" i="5"/>
  <c r="CM120" i="5"/>
  <c r="CM161" i="5"/>
  <c r="CO161" i="5"/>
  <c r="CM210" i="5"/>
  <c r="CO210" i="5"/>
  <c r="CM207" i="5"/>
  <c r="CO207" i="5"/>
  <c r="CM12" i="5"/>
  <c r="CO12" i="5"/>
  <c r="CO17" i="5"/>
  <c r="CM17" i="5"/>
  <c r="CM21" i="5"/>
  <c r="CO21" i="5"/>
  <c r="CK24" i="5"/>
  <c r="CI24" i="5"/>
  <c r="CK111" i="5"/>
  <c r="CI111" i="5"/>
  <c r="CI116" i="5"/>
  <c r="CK116" i="5"/>
  <c r="CI164" i="5"/>
  <c r="CK164" i="5"/>
  <c r="CK205" i="5"/>
  <c r="CI205" i="5"/>
  <c r="CI11" i="5"/>
  <c r="CK11" i="5"/>
  <c r="CI192" i="5"/>
  <c r="CK192" i="5"/>
  <c r="CK117" i="5"/>
  <c r="CI117" i="5"/>
  <c r="CI157" i="5"/>
  <c r="CK157" i="5"/>
  <c r="CK23" i="5"/>
  <c r="CI23" i="5"/>
  <c r="CI105" i="5"/>
  <c r="CK105" i="5"/>
  <c r="CK119" i="5"/>
  <c r="CI119" i="5"/>
  <c r="CI101" i="5"/>
  <c r="CK101" i="5"/>
  <c r="CI160" i="5"/>
  <c r="CK160" i="5"/>
  <c r="CI158" i="5"/>
  <c r="CK158" i="5"/>
  <c r="CK206" i="5"/>
  <c r="CI206" i="5"/>
  <c r="CI18" i="5"/>
  <c r="CK18" i="5"/>
  <c r="CK15" i="5"/>
  <c r="CI15" i="5"/>
  <c r="CI106" i="5"/>
  <c r="CK106" i="5"/>
  <c r="CK118" i="5"/>
  <c r="CI118" i="5"/>
  <c r="CI168" i="5"/>
  <c r="CK168" i="5"/>
  <c r="CI165" i="5"/>
  <c r="CK165" i="5"/>
  <c r="CI204" i="5"/>
  <c r="CK204" i="5"/>
  <c r="CI10" i="5"/>
  <c r="CK10" i="5"/>
  <c r="CI22" i="5"/>
  <c r="CK22" i="5"/>
  <c r="CI212" i="5"/>
  <c r="CK212" i="5"/>
  <c r="CK16" i="5"/>
  <c r="CI16" i="5"/>
  <c r="CI167" i="5"/>
  <c r="CK167" i="5"/>
  <c r="CK189" i="5"/>
  <c r="CI189" i="5"/>
  <c r="CI107" i="5"/>
  <c r="CK107" i="5"/>
  <c r="CI177" i="5"/>
  <c r="CK177" i="5"/>
  <c r="CI166" i="5"/>
  <c r="CK166" i="5"/>
  <c r="CI208" i="5"/>
  <c r="CK208" i="5"/>
  <c r="CI25" i="5"/>
  <c r="CK25" i="5"/>
  <c r="CK120" i="5"/>
  <c r="CI120" i="5"/>
  <c r="CK161" i="5"/>
  <c r="CI161" i="5"/>
  <c r="CI210" i="5"/>
  <c r="CK210" i="5"/>
  <c r="CK207" i="5"/>
  <c r="CI207" i="5"/>
  <c r="CI12" i="5"/>
  <c r="CK12" i="5"/>
  <c r="CK17" i="5"/>
  <c r="CI17" i="5"/>
  <c r="CI21" i="5"/>
  <c r="CK21" i="5"/>
  <c r="CK103" i="5"/>
  <c r="CI103" i="5"/>
  <c r="CI115" i="5"/>
  <c r="CK115" i="5"/>
  <c r="CK163" i="5"/>
  <c r="CI163" i="5"/>
  <c r="CI19" i="5"/>
  <c r="CK19" i="5"/>
  <c r="CI193" i="5"/>
  <c r="CK193" i="5"/>
  <c r="CK104" i="5"/>
  <c r="CI104" i="5"/>
  <c r="CI213" i="5"/>
  <c r="CK213" i="5"/>
  <c r="CI26" i="5"/>
  <c r="CK26" i="5"/>
  <c r="CI109" i="5"/>
  <c r="CK109" i="5"/>
  <c r="CI121" i="5"/>
  <c r="CK121" i="5"/>
  <c r="CI20" i="5"/>
  <c r="CK20" i="5"/>
  <c r="CI14" i="5"/>
  <c r="CK14" i="5"/>
  <c r="CK102" i="5"/>
  <c r="CI102" i="5"/>
  <c r="CI108" i="5"/>
  <c r="CK108" i="5"/>
  <c r="CK110" i="5"/>
  <c r="CI110" i="5"/>
  <c r="CK113" i="5"/>
  <c r="CI113" i="5"/>
  <c r="CK162" i="5"/>
  <c r="CI162" i="5"/>
  <c r="CI211" i="5"/>
  <c r="CK211" i="5"/>
  <c r="CI7" i="5"/>
  <c r="CK7" i="5"/>
  <c r="CI9" i="5"/>
  <c r="CK9" i="5"/>
  <c r="CI13" i="5"/>
  <c r="CK13" i="5"/>
  <c r="CG113" i="5"/>
  <c r="CE113" i="5"/>
  <c r="CC113" i="5"/>
  <c r="CC162" i="5"/>
  <c r="CG162" i="5"/>
  <c r="CE162" i="5"/>
  <c r="CC103" i="5"/>
  <c r="CE103" i="5"/>
  <c r="CG103" i="5"/>
  <c r="CE115" i="5"/>
  <c r="CG115" i="5"/>
  <c r="CC115" i="5"/>
  <c r="CG163" i="5"/>
  <c r="CE163" i="5"/>
  <c r="CC163" i="5"/>
  <c r="CG212" i="5"/>
  <c r="CC212" i="5"/>
  <c r="CE212" i="5"/>
  <c r="CG19" i="5"/>
  <c r="CE19" i="5"/>
  <c r="CC19" i="5"/>
  <c r="CC24" i="5"/>
  <c r="CE24" i="5"/>
  <c r="CG24" i="5"/>
  <c r="CG193" i="5"/>
  <c r="CC193" i="5"/>
  <c r="CE193" i="5"/>
  <c r="CC9" i="5"/>
  <c r="CE9" i="5"/>
  <c r="CG9" i="5"/>
  <c r="CC111" i="5"/>
  <c r="CE111" i="5"/>
  <c r="CG111" i="5"/>
  <c r="CE116" i="5"/>
  <c r="CG116" i="5"/>
  <c r="CC116" i="5"/>
  <c r="CE164" i="5"/>
  <c r="CC164" i="5"/>
  <c r="CG164" i="5"/>
  <c r="CG205" i="5"/>
  <c r="CC205" i="5"/>
  <c r="CE205" i="5"/>
  <c r="CG11" i="5"/>
  <c r="CE11" i="5"/>
  <c r="CC11" i="5"/>
  <c r="CC16" i="5"/>
  <c r="CE16" i="5"/>
  <c r="CG16" i="5"/>
  <c r="CE192" i="5"/>
  <c r="CG192" i="5"/>
  <c r="CC192" i="5"/>
  <c r="CG7" i="5"/>
  <c r="CA7" i="5"/>
  <c r="CC7" i="5"/>
  <c r="CE7" i="5"/>
  <c r="CE157" i="5"/>
  <c r="CC157" i="5"/>
  <c r="CG157" i="5"/>
  <c r="CG189" i="5"/>
  <c r="CC189" i="5"/>
  <c r="CE189" i="5"/>
  <c r="CC119" i="5"/>
  <c r="CE119" i="5"/>
  <c r="CG119" i="5"/>
  <c r="CG101" i="5"/>
  <c r="CC101" i="5"/>
  <c r="CE101" i="5"/>
  <c r="CC160" i="5"/>
  <c r="CG160" i="5"/>
  <c r="CE160" i="5"/>
  <c r="CE158" i="5"/>
  <c r="CC158" i="5"/>
  <c r="CG158" i="5"/>
  <c r="CG206" i="5"/>
  <c r="CC206" i="5"/>
  <c r="CG18" i="5"/>
  <c r="CE18" i="5"/>
  <c r="CC18" i="5"/>
  <c r="CC15" i="5"/>
  <c r="CG15" i="5"/>
  <c r="CE15" i="5"/>
  <c r="CG110" i="5"/>
  <c r="CC110" i="5"/>
  <c r="CE110" i="5"/>
  <c r="CG211" i="5"/>
  <c r="CC211" i="5"/>
  <c r="CE211" i="5"/>
  <c r="CG213" i="5"/>
  <c r="CC213" i="5"/>
  <c r="CE213" i="5"/>
  <c r="CC106" i="5"/>
  <c r="CE106" i="5"/>
  <c r="CG106" i="5"/>
  <c r="CC118" i="5"/>
  <c r="CE118" i="5"/>
  <c r="CG118" i="5"/>
  <c r="CC168" i="5"/>
  <c r="CG168" i="5"/>
  <c r="CE168" i="5"/>
  <c r="CE165" i="5"/>
  <c r="CC165" i="5"/>
  <c r="CG165" i="5"/>
  <c r="CG204" i="5"/>
  <c r="CC204" i="5"/>
  <c r="CE204" i="5"/>
  <c r="CG10" i="5"/>
  <c r="CE10" i="5"/>
  <c r="CC10" i="5"/>
  <c r="CC22" i="5"/>
  <c r="CG22" i="5"/>
  <c r="CE22" i="5"/>
  <c r="CE13" i="5"/>
  <c r="CG13" i="5"/>
  <c r="CC13" i="5"/>
  <c r="CC104" i="5"/>
  <c r="CE104" i="5"/>
  <c r="CG104" i="5"/>
  <c r="CE167" i="5"/>
  <c r="CC167" i="5"/>
  <c r="CG167" i="5"/>
  <c r="CE26" i="5"/>
  <c r="CG26" i="5"/>
  <c r="CC26" i="5"/>
  <c r="CC105" i="5"/>
  <c r="CE105" i="5"/>
  <c r="CG105" i="5"/>
  <c r="CG109" i="5"/>
  <c r="CC109" i="5"/>
  <c r="CE109" i="5"/>
  <c r="CE121" i="5"/>
  <c r="CG121" i="5"/>
  <c r="CC121" i="5"/>
  <c r="CG177" i="5"/>
  <c r="CC177" i="5"/>
  <c r="CE177" i="5"/>
  <c r="CE166" i="5"/>
  <c r="CC166" i="5"/>
  <c r="CG166" i="5"/>
  <c r="CC208" i="5"/>
  <c r="CE208" i="5"/>
  <c r="CG208" i="5"/>
  <c r="CE20" i="5"/>
  <c r="CG20" i="5"/>
  <c r="CC20" i="5"/>
  <c r="CC25" i="5"/>
  <c r="CE25" i="5"/>
  <c r="CG25" i="5"/>
  <c r="CC14" i="5"/>
  <c r="CG14" i="5"/>
  <c r="CE14" i="5"/>
  <c r="CC117" i="5"/>
  <c r="CE117" i="5"/>
  <c r="CG117" i="5"/>
  <c r="CC23" i="5"/>
  <c r="CE23" i="5"/>
  <c r="CG23" i="5"/>
  <c r="CC107" i="5"/>
  <c r="CE107" i="5"/>
  <c r="CG107" i="5"/>
  <c r="CG102" i="5"/>
  <c r="CC102" i="5"/>
  <c r="CE102" i="5"/>
  <c r="CC108" i="5"/>
  <c r="CE108" i="5"/>
  <c r="CG108" i="5"/>
  <c r="CE120" i="5"/>
  <c r="CG120" i="5"/>
  <c r="CC120" i="5"/>
  <c r="CC161" i="5"/>
  <c r="CG161" i="5"/>
  <c r="CE161" i="5"/>
  <c r="CC210" i="5"/>
  <c r="CE210" i="5"/>
  <c r="CG210" i="5"/>
  <c r="CG207" i="5"/>
  <c r="CC207" i="5"/>
  <c r="CE12" i="5"/>
  <c r="CC12" i="5"/>
  <c r="CC17" i="5"/>
  <c r="CE17" i="5"/>
  <c r="CG17" i="5"/>
  <c r="CE21" i="5"/>
  <c r="CG21" i="5"/>
  <c r="CC21" i="5"/>
  <c r="CG214" i="5"/>
  <c r="BU187" i="5"/>
  <c r="CA186" i="5"/>
  <c r="CA16" i="5"/>
  <c r="AS105" i="5"/>
  <c r="AS102" i="5"/>
  <c r="BS108" i="5"/>
  <c r="BY168" i="5"/>
  <c r="I164" i="5"/>
  <c r="I211" i="5"/>
  <c r="CA193" i="5"/>
  <c r="AS110" i="5"/>
  <c r="BW113" i="5"/>
  <c r="BW177" i="5"/>
  <c r="I171" i="5"/>
  <c r="I212" i="5"/>
  <c r="I191" i="5"/>
  <c r="I161" i="5"/>
  <c r="I157" i="5"/>
  <c r="BW190" i="5"/>
  <c r="AS111" i="5"/>
  <c r="I179" i="5"/>
  <c r="I158" i="5"/>
  <c r="I213" i="5"/>
  <c r="I192" i="5"/>
  <c r="AS103" i="5"/>
  <c r="AS104" i="5"/>
  <c r="I162" i="5"/>
  <c r="I165" i="5"/>
  <c r="I206" i="5"/>
  <c r="BG12" i="5"/>
  <c r="BY189" i="5"/>
  <c r="BM188" i="5"/>
  <c r="AS106" i="5"/>
  <c r="I167" i="5"/>
  <c r="I163" i="5"/>
  <c r="I166" i="5"/>
  <c r="I208" i="5"/>
  <c r="BS187" i="5"/>
  <c r="AU101" i="5"/>
  <c r="BW183" i="5"/>
  <c r="I175" i="5"/>
  <c r="AS109" i="5"/>
  <c r="AS107" i="5"/>
  <c r="I160" i="5"/>
  <c r="AY170" i="5"/>
  <c r="I207" i="5"/>
  <c r="AS186" i="5"/>
  <c r="H72" i="4"/>
  <c r="BS188" i="5"/>
  <c r="BA192" i="5"/>
  <c r="BU189" i="5"/>
  <c r="BQ188" i="5"/>
  <c r="BK188" i="5"/>
  <c r="BE188" i="5"/>
  <c r="AU188" i="5"/>
  <c r="BI188" i="5"/>
  <c r="BY187" i="5"/>
  <c r="BI186" i="5"/>
  <c r="BU192" i="5"/>
  <c r="BW188" i="5"/>
  <c r="AW188" i="5"/>
  <c r="BE192" i="5"/>
  <c r="BO188" i="5"/>
  <c r="AY188" i="5"/>
  <c r="AS188" i="5"/>
  <c r="BK189" i="5"/>
  <c r="AU192" i="5"/>
  <c r="BU188" i="5"/>
  <c r="BO186" i="5"/>
  <c r="BY188" i="5"/>
  <c r="BG188" i="5"/>
  <c r="BA188" i="5"/>
  <c r="BU186" i="5"/>
  <c r="AU186" i="5"/>
  <c r="BG190" i="5"/>
  <c r="AY186" i="5"/>
  <c r="BQ186" i="5"/>
  <c r="BM186" i="5"/>
  <c r="AU189" i="5"/>
  <c r="AS187" i="5"/>
  <c r="AY187" i="5"/>
  <c r="BA186" i="5"/>
  <c r="AW186" i="5"/>
  <c r="BW186" i="5"/>
  <c r="BS186" i="5"/>
  <c r="BY186" i="5"/>
  <c r="I186" i="5"/>
  <c r="BC186" i="5"/>
  <c r="BG186" i="5"/>
  <c r="BU7" i="5"/>
  <c r="AY7" i="5"/>
  <c r="BG7" i="5"/>
  <c r="BO7" i="5"/>
  <c r="BE186" i="5"/>
  <c r="BK186" i="5"/>
  <c r="BC7" i="5"/>
  <c r="AU187" i="5"/>
  <c r="BQ189" i="5"/>
  <c r="BG187" i="5"/>
  <c r="CA189" i="5"/>
  <c r="AW187" i="5"/>
  <c r="BC187" i="5"/>
  <c r="BE189" i="5"/>
  <c r="I189" i="5"/>
  <c r="BA189" i="5"/>
  <c r="BS189" i="5"/>
  <c r="CA187" i="5"/>
  <c r="I187" i="5"/>
  <c r="BI189" i="5"/>
  <c r="BO187" i="5"/>
  <c r="BK187" i="5"/>
  <c r="BO189" i="5"/>
  <c r="BA187" i="5"/>
  <c r="BM187" i="5"/>
  <c r="BA193" i="5"/>
  <c r="BI187" i="5"/>
  <c r="BW187" i="5"/>
  <c r="BE187" i="5"/>
  <c r="BE193" i="5"/>
  <c r="BU190" i="5"/>
  <c r="BO191" i="5"/>
  <c r="BY192" i="5"/>
  <c r="I190" i="5"/>
  <c r="BI192" i="5"/>
  <c r="BG191" i="5"/>
  <c r="AU191" i="5"/>
  <c r="BA191" i="5"/>
  <c r="CA190" i="5"/>
  <c r="BQ191" i="5"/>
  <c r="BO190" i="5"/>
  <c r="AY190" i="5"/>
  <c r="AS192" i="5"/>
  <c r="BC191" i="5"/>
  <c r="BK190" i="5"/>
  <c r="BS193" i="5"/>
  <c r="BK193" i="5"/>
  <c r="BE190" i="5"/>
  <c r="AU190" i="5"/>
  <c r="BY190" i="5"/>
  <c r="AY191" i="5"/>
  <c r="BY193" i="5"/>
  <c r="BS190" i="5"/>
  <c r="BW192" i="5"/>
  <c r="BI191" i="5"/>
  <c r="AY193" i="5"/>
  <c r="BO192" i="5"/>
  <c r="AS189" i="5"/>
  <c r="BG192" i="5"/>
  <c r="AS191" i="5"/>
  <c r="AY189" i="5"/>
  <c r="BC189" i="5"/>
  <c r="I193" i="5"/>
  <c r="AY192" i="5"/>
  <c r="BM192" i="5"/>
  <c r="CA192" i="5"/>
  <c r="BE191" i="5"/>
  <c r="BQ190" i="5"/>
  <c r="CA191" i="5"/>
  <c r="BU191" i="5"/>
  <c r="BM190" i="5"/>
  <c r="BQ192" i="5"/>
  <c r="AW193" i="5"/>
  <c r="BC193" i="5"/>
  <c r="BY191" i="5"/>
  <c r="BO193" i="5"/>
  <c r="AU193" i="5"/>
  <c r="BI193" i="5"/>
  <c r="BW193" i="5"/>
  <c r="BC190" i="5"/>
  <c r="BM191" i="5"/>
  <c r="AS190" i="5"/>
  <c r="AS193" i="5"/>
  <c r="BG193" i="5"/>
  <c r="BW189" i="5"/>
  <c r="AW191" i="5"/>
  <c r="BS192" i="5"/>
  <c r="BG189" i="5"/>
  <c r="BC192" i="5"/>
  <c r="BI190" i="5"/>
  <c r="BS191" i="5"/>
  <c r="AW192" i="5"/>
  <c r="BQ187" i="5"/>
  <c r="BK192" i="5"/>
  <c r="CA188" i="5"/>
  <c r="BU193" i="5"/>
  <c r="BA190" i="5"/>
  <c r="BK191" i="5"/>
  <c r="BQ193" i="5"/>
  <c r="AW190" i="5"/>
  <c r="BW191" i="5"/>
  <c r="BC188" i="5"/>
  <c r="AW189" i="5"/>
  <c r="BM193" i="5"/>
  <c r="BM189" i="5"/>
  <c r="I188" i="5"/>
  <c r="CA219" i="5"/>
  <c r="BS219" i="5"/>
  <c r="BK219" i="5"/>
  <c r="BC219" i="5"/>
  <c r="AU219" i="5"/>
  <c r="BU219" i="5"/>
  <c r="BM219" i="5"/>
  <c r="BE219" i="5"/>
  <c r="AW219" i="5"/>
  <c r="BW219" i="5"/>
  <c r="BO219" i="5"/>
  <c r="BG219" i="5"/>
  <c r="AY219" i="5"/>
  <c r="BY219" i="5"/>
  <c r="BQ219" i="5"/>
  <c r="BI219" i="5"/>
  <c r="BA219" i="5"/>
  <c r="AS219" i="5"/>
  <c r="BW215" i="5"/>
  <c r="BO215" i="5"/>
  <c r="BG215" i="5"/>
  <c r="AY215" i="5"/>
  <c r="BY215" i="5"/>
  <c r="BQ215" i="5"/>
  <c r="BI215" i="5"/>
  <c r="BA215" i="5"/>
  <c r="AS215" i="5"/>
  <c r="CA215" i="5"/>
  <c r="BS215" i="5"/>
  <c r="BK215" i="5"/>
  <c r="BC215" i="5"/>
  <c r="AU215" i="5"/>
  <c r="BM215" i="5"/>
  <c r="BE215" i="5"/>
  <c r="BU215" i="5"/>
  <c r="AW215" i="5"/>
  <c r="BW216" i="5"/>
  <c r="BO216" i="5"/>
  <c r="BG216" i="5"/>
  <c r="AY216" i="5"/>
  <c r="BY216" i="5"/>
  <c r="BQ216" i="5"/>
  <c r="BI216" i="5"/>
  <c r="BA216" i="5"/>
  <c r="AS216" i="5"/>
  <c r="BS216" i="5"/>
  <c r="BC216" i="5"/>
  <c r="AU216" i="5"/>
  <c r="CA216" i="5"/>
  <c r="BK216" i="5"/>
  <c r="BU216" i="5"/>
  <c r="BM216" i="5"/>
  <c r="BE216" i="5"/>
  <c r="AW216" i="5"/>
  <c r="BY217" i="5"/>
  <c r="BQ217" i="5"/>
  <c r="BI217" i="5"/>
  <c r="BA217" i="5"/>
  <c r="AS217" i="5"/>
  <c r="CA217" i="5"/>
  <c r="BS217" i="5"/>
  <c r="BK217" i="5"/>
  <c r="BC217" i="5"/>
  <c r="AU217" i="5"/>
  <c r="BU217" i="5"/>
  <c r="BM217" i="5"/>
  <c r="BE217" i="5"/>
  <c r="AW217" i="5"/>
  <c r="AY217" i="5"/>
  <c r="BW217" i="5"/>
  <c r="BO217" i="5"/>
  <c r="BG217" i="5"/>
  <c r="CA220" i="5"/>
  <c r="BS220" i="5"/>
  <c r="BK220" i="5"/>
  <c r="BC220" i="5"/>
  <c r="AU220" i="5"/>
  <c r="BU220" i="5"/>
  <c r="BM220" i="5"/>
  <c r="BE220" i="5"/>
  <c r="AW220" i="5"/>
  <c r="BW220" i="5"/>
  <c r="BG220" i="5"/>
  <c r="BO220" i="5"/>
  <c r="AY220" i="5"/>
  <c r="BY220" i="5"/>
  <c r="BQ220" i="5"/>
  <c r="BI220" i="5"/>
  <c r="BA220" i="5"/>
  <c r="AS220" i="5"/>
  <c r="I217" i="5"/>
  <c r="AW171" i="5"/>
  <c r="I216" i="5"/>
  <c r="I219" i="5"/>
  <c r="I220" i="5"/>
  <c r="I215" i="5"/>
  <c r="BM183" i="5"/>
  <c r="BI175" i="5"/>
  <c r="BM165" i="5"/>
  <c r="I205" i="5"/>
  <c r="BO205" i="5"/>
  <c r="AY205" i="5"/>
  <c r="BM205" i="5"/>
  <c r="AW205" i="5"/>
  <c r="BA205" i="5"/>
  <c r="CA205" i="5"/>
  <c r="BK205" i="5"/>
  <c r="AU205" i="5"/>
  <c r="BY205" i="5"/>
  <c r="BI205" i="5"/>
  <c r="AS205" i="5"/>
  <c r="BW205" i="5"/>
  <c r="BG205" i="5"/>
  <c r="BU205" i="5"/>
  <c r="BE205" i="5"/>
  <c r="BQ205" i="5"/>
  <c r="BS205" i="5"/>
  <c r="BC205" i="5"/>
  <c r="BI157" i="5"/>
  <c r="I210" i="5"/>
  <c r="CA210" i="5"/>
  <c r="BK210" i="5"/>
  <c r="AU210" i="5"/>
  <c r="BY210" i="5"/>
  <c r="BI210" i="5"/>
  <c r="AS210" i="5"/>
  <c r="BW210" i="5"/>
  <c r="BG210" i="5"/>
  <c r="BU210" i="5"/>
  <c r="BE210" i="5"/>
  <c r="BS210" i="5"/>
  <c r="BC210" i="5"/>
  <c r="AW210" i="5"/>
  <c r="BQ210" i="5"/>
  <c r="BA210" i="5"/>
  <c r="BO210" i="5"/>
  <c r="AY210" i="5"/>
  <c r="BM210" i="5"/>
  <c r="AU157" i="5"/>
  <c r="AS204" i="5"/>
  <c r="BG171" i="5"/>
  <c r="BC166" i="5"/>
  <c r="BY158" i="5"/>
  <c r="AW158" i="5"/>
  <c r="BC177" i="5"/>
  <c r="BQ177" i="5"/>
  <c r="AW183" i="5"/>
  <c r="BG183" i="5"/>
  <c r="BI167" i="5"/>
  <c r="AW175" i="5"/>
  <c r="BQ183" i="5"/>
  <c r="BS183" i="5"/>
  <c r="BU183" i="5"/>
  <c r="BK158" i="5"/>
  <c r="BW179" i="5"/>
  <c r="BQ175" i="5"/>
  <c r="AS183" i="5"/>
  <c r="BC183" i="5"/>
  <c r="AY183" i="5"/>
  <c r="BO183" i="5"/>
  <c r="BA183" i="5"/>
  <c r="BK183" i="5"/>
  <c r="CA170" i="5"/>
  <c r="AW179" i="5"/>
  <c r="BI183" i="5"/>
  <c r="AU183" i="5"/>
  <c r="BE175" i="5"/>
  <c r="BM170" i="5"/>
  <c r="BA170" i="5"/>
  <c r="AU171" i="5"/>
  <c r="AU177" i="5"/>
  <c r="BS171" i="5"/>
  <c r="BS175" i="5"/>
  <c r="AY175" i="5"/>
  <c r="BO175" i="5"/>
  <c r="BY175" i="5"/>
  <c r="BK175" i="5"/>
  <c r="BM175" i="5"/>
  <c r="BA175" i="5"/>
  <c r="BC175" i="5"/>
  <c r="BO170" i="5"/>
  <c r="AU175" i="5"/>
  <c r="CA175" i="5"/>
  <c r="BG175" i="5"/>
  <c r="BU175" i="5"/>
  <c r="AS175" i="5"/>
  <c r="BW158" i="5"/>
  <c r="BE158" i="5"/>
  <c r="BS158" i="5"/>
  <c r="BI158" i="5"/>
  <c r="AU158" i="5"/>
  <c r="BC179" i="5"/>
  <c r="BG158" i="5"/>
  <c r="AS158" i="5"/>
  <c r="BO158" i="5"/>
  <c r="BU158" i="5"/>
  <c r="BQ158" i="5"/>
  <c r="BA158" i="5"/>
  <c r="BA179" i="5"/>
  <c r="BC158" i="5"/>
  <c r="BM158" i="5"/>
  <c r="AY158" i="5"/>
  <c r="AU164" i="5"/>
  <c r="AW177" i="5"/>
  <c r="CA158" i="5"/>
  <c r="BE179" i="5"/>
  <c r="BQ179" i="5"/>
  <c r="BM171" i="5"/>
  <c r="AS171" i="5"/>
  <c r="AW163" i="5"/>
  <c r="BE170" i="5"/>
  <c r="BI171" i="5"/>
  <c r="BK171" i="5"/>
  <c r="BK170" i="5"/>
  <c r="BK177" i="5"/>
  <c r="AS170" i="5"/>
  <c r="BE171" i="5"/>
  <c r="BG170" i="5"/>
  <c r="CA171" i="5"/>
  <c r="BI170" i="5"/>
  <c r="BY183" i="5"/>
  <c r="BQ170" i="5"/>
  <c r="AS177" i="5"/>
  <c r="CA183" i="5"/>
  <c r="BS177" i="5"/>
  <c r="BE177" i="5"/>
  <c r="BG177" i="5"/>
  <c r="AY171" i="5"/>
  <c r="BA171" i="5"/>
  <c r="BO177" i="5"/>
  <c r="BI177" i="5"/>
  <c r="BC170" i="5"/>
  <c r="BY170" i="5"/>
  <c r="BC171" i="5"/>
  <c r="AY177" i="5"/>
  <c r="BS170" i="5"/>
  <c r="BU177" i="5"/>
  <c r="BO171" i="5"/>
  <c r="AW170" i="5"/>
  <c r="BQ171" i="5"/>
  <c r="BG179" i="5"/>
  <c r="BM179" i="5"/>
  <c r="I177" i="5"/>
  <c r="BY177" i="5"/>
  <c r="AU161" i="5"/>
  <c r="BU179" i="5"/>
  <c r="AS179" i="5"/>
  <c r="BI179" i="5"/>
  <c r="CA177" i="5"/>
  <c r="I183" i="5"/>
  <c r="BE183" i="5"/>
  <c r="BY179" i="5"/>
  <c r="AU179" i="5"/>
  <c r="BS179" i="5"/>
  <c r="BA177" i="5"/>
  <c r="BK179" i="5"/>
  <c r="AY179" i="5"/>
  <c r="BM177" i="5"/>
  <c r="I170" i="5"/>
  <c r="AU170" i="5"/>
  <c r="CA179" i="5"/>
  <c r="BO179" i="5"/>
  <c r="I168" i="5"/>
  <c r="AU168" i="5"/>
  <c r="AS168" i="5"/>
  <c r="I172" i="5"/>
  <c r="BG172" i="5"/>
  <c r="BI172" i="5"/>
  <c r="CA172" i="5"/>
  <c r="BK172" i="5"/>
  <c r="AU172" i="5"/>
  <c r="BO172" i="5"/>
  <c r="AY172" i="5"/>
  <c r="AS172" i="5"/>
  <c r="BM172" i="5"/>
  <c r="AW172" i="5"/>
  <c r="BQ172" i="5"/>
  <c r="BA172" i="5"/>
  <c r="BE172" i="5"/>
  <c r="BS172" i="5"/>
  <c r="BC172" i="5"/>
  <c r="I173" i="5"/>
  <c r="BY173" i="5"/>
  <c r="BI173" i="5"/>
  <c r="AU173" i="5"/>
  <c r="CA173" i="5"/>
  <c r="BK173" i="5"/>
  <c r="BM173" i="5"/>
  <c r="AW173" i="5"/>
  <c r="BQ173" i="5"/>
  <c r="BO173" i="5"/>
  <c r="AY173" i="5"/>
  <c r="AS173" i="5"/>
  <c r="BA173" i="5"/>
  <c r="BS173" i="5"/>
  <c r="BC173" i="5"/>
  <c r="BG173" i="5"/>
  <c r="BU173" i="5"/>
  <c r="BE173" i="5"/>
  <c r="BW173" i="5"/>
  <c r="I180" i="5"/>
  <c r="BW180" i="5"/>
  <c r="BG180" i="5"/>
  <c r="BY180" i="5"/>
  <c r="BI180" i="5"/>
  <c r="CA180" i="5"/>
  <c r="BK180" i="5"/>
  <c r="AU180" i="5"/>
  <c r="AY180" i="5"/>
  <c r="BM180" i="5"/>
  <c r="AW180" i="5"/>
  <c r="BO180" i="5"/>
  <c r="AS180" i="5"/>
  <c r="BQ180" i="5"/>
  <c r="BA180" i="5"/>
  <c r="BU180" i="5"/>
  <c r="BS180" i="5"/>
  <c r="BC180" i="5"/>
  <c r="BE180" i="5"/>
  <c r="I174" i="5"/>
  <c r="CA174" i="5"/>
  <c r="BK174" i="5"/>
  <c r="AU174" i="5"/>
  <c r="AW174" i="5"/>
  <c r="BM174" i="5"/>
  <c r="BO174" i="5"/>
  <c r="AY174" i="5"/>
  <c r="AS174" i="5"/>
  <c r="BS174" i="5"/>
  <c r="BQ174" i="5"/>
  <c r="BA174" i="5"/>
  <c r="BC174" i="5"/>
  <c r="BU174" i="5"/>
  <c r="BE174" i="5"/>
  <c r="BY174" i="5"/>
  <c r="BI174" i="5"/>
  <c r="BW174" i="5"/>
  <c r="BG174" i="5"/>
  <c r="I182" i="5"/>
  <c r="CA182" i="5"/>
  <c r="BK182" i="5"/>
  <c r="AU182" i="5"/>
  <c r="AW182" i="5"/>
  <c r="BM182" i="5"/>
  <c r="BO182" i="5"/>
  <c r="AY182" i="5"/>
  <c r="AS182" i="5"/>
  <c r="BC182" i="5"/>
  <c r="BQ182" i="5"/>
  <c r="BA182" i="5"/>
  <c r="BS182" i="5"/>
  <c r="BU182" i="5"/>
  <c r="BE182" i="5"/>
  <c r="BW182" i="5"/>
  <c r="BG182" i="5"/>
  <c r="BY182" i="5"/>
  <c r="BI182" i="5"/>
  <c r="I176" i="5"/>
  <c r="BO176" i="5"/>
  <c r="AY176" i="5"/>
  <c r="AS176" i="5"/>
  <c r="BQ176" i="5"/>
  <c r="BA176" i="5"/>
  <c r="BS176" i="5"/>
  <c r="BC176" i="5"/>
  <c r="BE176" i="5"/>
  <c r="BG176" i="5"/>
  <c r="BY176" i="5"/>
  <c r="BI176" i="5"/>
  <c r="CA176" i="5"/>
  <c r="BK176" i="5"/>
  <c r="AU176" i="5"/>
  <c r="BM176" i="5"/>
  <c r="AW176" i="5"/>
  <c r="I181" i="5"/>
  <c r="BY181" i="5"/>
  <c r="BI181" i="5"/>
  <c r="AU181" i="5"/>
  <c r="CA181" i="5"/>
  <c r="BK181" i="5"/>
  <c r="BM181" i="5"/>
  <c r="AW181" i="5"/>
  <c r="BA181" i="5"/>
  <c r="BO181" i="5"/>
  <c r="AY181" i="5"/>
  <c r="AS181" i="5"/>
  <c r="BQ181" i="5"/>
  <c r="BS181" i="5"/>
  <c r="BC181" i="5"/>
  <c r="BU181" i="5"/>
  <c r="BE181" i="5"/>
  <c r="BW181" i="5"/>
  <c r="BG181" i="5"/>
  <c r="I184" i="5"/>
  <c r="BO184" i="5"/>
  <c r="AY184" i="5"/>
  <c r="AS184" i="5"/>
  <c r="BQ184" i="5"/>
  <c r="BA184" i="5"/>
  <c r="BS184" i="5"/>
  <c r="BC184" i="5"/>
  <c r="BU184" i="5"/>
  <c r="BE184" i="5"/>
  <c r="BW184" i="5"/>
  <c r="BG184" i="5"/>
  <c r="BY184" i="5"/>
  <c r="BI184" i="5"/>
  <c r="BM184" i="5"/>
  <c r="CA184" i="5"/>
  <c r="BK184" i="5"/>
  <c r="AU184" i="5"/>
  <c r="AW184" i="5"/>
  <c r="AW167" i="5"/>
  <c r="CA164" i="5"/>
  <c r="AY164" i="5"/>
  <c r="BE157" i="5"/>
  <c r="BC167" i="5"/>
  <c r="BW157" i="5"/>
  <c r="BS157" i="5"/>
  <c r="CA163" i="5"/>
  <c r="BQ167" i="5"/>
  <c r="BM163" i="5"/>
  <c r="AY163" i="5"/>
  <c r="BY165" i="5"/>
  <c r="BG165" i="5"/>
  <c r="BO157" i="5"/>
  <c r="BW167" i="5"/>
  <c r="BA163" i="5"/>
  <c r="BK157" i="5"/>
  <c r="BW163" i="5"/>
  <c r="BY157" i="5"/>
  <c r="AW157" i="5"/>
  <c r="BA162" i="5"/>
  <c r="AU162" i="5"/>
  <c r="BK167" i="5"/>
  <c r="BA157" i="5"/>
  <c r="BU167" i="5"/>
  <c r="BU157" i="5"/>
  <c r="BW165" i="5"/>
  <c r="AU165" i="5"/>
  <c r="BQ160" i="5"/>
  <c r="AU160" i="5"/>
  <c r="BC157" i="5"/>
  <c r="BI168" i="5"/>
  <c r="AU163" i="5"/>
  <c r="AS166" i="5"/>
  <c r="AU166" i="5"/>
  <c r="BG157" i="5"/>
  <c r="BQ157" i="5"/>
  <c r="BY167" i="5"/>
  <c r="AU167" i="5"/>
  <c r="BS166" i="5"/>
  <c r="AS163" i="5"/>
  <c r="AY157" i="5"/>
  <c r="BE167" i="5"/>
  <c r="BM157" i="5"/>
  <c r="BS167" i="5"/>
  <c r="BU168" i="5"/>
  <c r="BA167" i="5"/>
  <c r="BO168" i="5"/>
  <c r="BU162" i="5"/>
  <c r="AY167" i="5"/>
  <c r="BO167" i="5"/>
  <c r="BQ163" i="5"/>
  <c r="BO163" i="5"/>
  <c r="CA160" i="5"/>
  <c r="AS167" i="5"/>
  <c r="CA167" i="5"/>
  <c r="BM167" i="5"/>
  <c r="BU160" i="5"/>
  <c r="BE162" i="5"/>
  <c r="BG162" i="5"/>
  <c r="BM168" i="5"/>
  <c r="AS160" i="5"/>
  <c r="BY160" i="5"/>
  <c r="BI162" i="5"/>
  <c r="BS160" i="5"/>
  <c r="BY163" i="5"/>
  <c r="BI165" i="5"/>
  <c r="BC160" i="5"/>
  <c r="BQ168" i="5"/>
  <c r="AW160" i="5"/>
  <c r="BO162" i="5"/>
  <c r="BM162" i="5"/>
  <c r="BG168" i="5"/>
  <c r="BW168" i="5"/>
  <c r="BU163" i="5"/>
  <c r="BK163" i="5"/>
  <c r="AY162" i="5"/>
  <c r="CA168" i="5"/>
  <c r="BA160" i="5"/>
  <c r="CA162" i="5"/>
  <c r="BQ162" i="5"/>
  <c r="AS162" i="5"/>
  <c r="BE160" i="5"/>
  <c r="BC168" i="5"/>
  <c r="BG163" i="5"/>
  <c r="BK168" i="5"/>
  <c r="AW168" i="5"/>
  <c r="BI160" i="5"/>
  <c r="BY162" i="5"/>
  <c r="AY168" i="5"/>
  <c r="BK160" i="5"/>
  <c r="BI163" i="5"/>
  <c r="CA165" i="5"/>
  <c r="AW165" i="5"/>
  <c r="BC162" i="5"/>
  <c r="BA168" i="5"/>
  <c r="BK162" i="5"/>
  <c r="BM160" i="5"/>
  <c r="AW162" i="5"/>
  <c r="BS168" i="5"/>
  <c r="BE163" i="5"/>
  <c r="BS163" i="5"/>
  <c r="BC163" i="5"/>
  <c r="AY160" i="5"/>
  <c r="BE168" i="5"/>
  <c r="BG160" i="5"/>
  <c r="BG167" i="5"/>
  <c r="CA157" i="5"/>
  <c r="AS157" i="5"/>
  <c r="BO160" i="5"/>
  <c r="BW160" i="5"/>
  <c r="BU164" i="5"/>
  <c r="BY164" i="5"/>
  <c r="BA164" i="5"/>
  <c r="BM164" i="5"/>
  <c r="BQ164" i="5"/>
  <c r="BE164" i="5"/>
  <c r="AS164" i="5"/>
  <c r="BI164" i="5"/>
  <c r="AW164" i="5"/>
  <c r="BW164" i="5"/>
  <c r="AS165" i="5"/>
  <c r="BY166" i="5"/>
  <c r="BA166" i="5"/>
  <c r="BM166" i="5"/>
  <c r="BE166" i="5"/>
  <c r="BQ166" i="5"/>
  <c r="AW166" i="5"/>
  <c r="BI166" i="5"/>
  <c r="BU166" i="5"/>
  <c r="BO166" i="5"/>
  <c r="AY166" i="5"/>
  <c r="BS165" i="5"/>
  <c r="BC165" i="5"/>
  <c r="BS164" i="5"/>
  <c r="BO164" i="5"/>
  <c r="BU165" i="5"/>
  <c r="BE165" i="5"/>
  <c r="CA166" i="5"/>
  <c r="BK166" i="5"/>
  <c r="BO165" i="5"/>
  <c r="AY165" i="5"/>
  <c r="BK164" i="5"/>
  <c r="BG164" i="5"/>
  <c r="BQ165" i="5"/>
  <c r="BA165" i="5"/>
  <c r="BS162" i="5"/>
  <c r="BW162" i="5"/>
  <c r="BW166" i="5"/>
  <c r="BG166" i="5"/>
  <c r="BK165" i="5"/>
  <c r="BC164" i="5"/>
  <c r="BG101" i="5"/>
  <c r="CA159" i="5"/>
  <c r="BW159" i="5"/>
  <c r="BS159" i="5"/>
  <c r="BO159" i="5"/>
  <c r="BK159" i="5"/>
  <c r="BG159" i="5"/>
  <c r="BC159" i="5"/>
  <c r="AY159" i="5"/>
  <c r="BY159" i="5"/>
  <c r="BU159" i="5"/>
  <c r="BQ159" i="5"/>
  <c r="BM159" i="5"/>
  <c r="BI159" i="5"/>
  <c r="BE159" i="5"/>
  <c r="BA159" i="5"/>
  <c r="AW159" i="5"/>
  <c r="AS159" i="5"/>
  <c r="CA101" i="5"/>
  <c r="AS101" i="5"/>
  <c r="BY161" i="5"/>
  <c r="BU161" i="5"/>
  <c r="BQ161" i="5"/>
  <c r="BM161" i="5"/>
  <c r="BI161" i="5"/>
  <c r="BE161" i="5"/>
  <c r="BA161" i="5"/>
  <c r="AW161" i="5"/>
  <c r="AS161" i="5"/>
  <c r="CA161" i="5"/>
  <c r="BW161" i="5"/>
  <c r="BS161" i="5"/>
  <c r="BO161" i="5"/>
  <c r="BK161" i="5"/>
  <c r="BG161" i="5"/>
  <c r="BC161" i="5"/>
  <c r="AY161" i="5"/>
  <c r="AY101" i="5"/>
  <c r="BI101" i="5"/>
  <c r="BY101" i="5"/>
  <c r="BA101" i="5"/>
  <c r="I101" i="5"/>
  <c r="BC101" i="5"/>
  <c r="BQ101" i="5"/>
  <c r="BO101" i="5"/>
  <c r="BM101" i="5"/>
  <c r="BE101" i="5"/>
  <c r="BS101" i="5"/>
  <c r="BW101" i="5"/>
  <c r="BU101" i="5"/>
  <c r="AW101" i="5"/>
  <c r="BK101" i="5"/>
  <c r="BA108" i="5"/>
  <c r="AU108" i="5"/>
  <c r="BO108" i="5"/>
  <c r="BI108" i="5"/>
  <c r="I119" i="5"/>
  <c r="BO119" i="5"/>
  <c r="AY119" i="5"/>
  <c r="BM119" i="5"/>
  <c r="AW119" i="5"/>
  <c r="BU119" i="5"/>
  <c r="CA119" i="5"/>
  <c r="BK119" i="5"/>
  <c r="AU119" i="5"/>
  <c r="BY119" i="5"/>
  <c r="BI119" i="5"/>
  <c r="AS119" i="5"/>
  <c r="BE119" i="5"/>
  <c r="BW119" i="5"/>
  <c r="BG119" i="5"/>
  <c r="BS119" i="5"/>
  <c r="BC119" i="5"/>
  <c r="BQ119" i="5"/>
  <c r="BA119" i="5"/>
  <c r="I116" i="5"/>
  <c r="BU116" i="5"/>
  <c r="BE116" i="5"/>
  <c r="BS116" i="5"/>
  <c r="BC116" i="5"/>
  <c r="BQ116" i="5"/>
  <c r="BA116" i="5"/>
  <c r="BY116" i="5"/>
  <c r="BO116" i="5"/>
  <c r="AY116" i="5"/>
  <c r="CA116" i="5"/>
  <c r="AS116" i="5"/>
  <c r="BM116" i="5"/>
  <c r="AW116" i="5"/>
  <c r="BK116" i="5"/>
  <c r="BW116" i="5"/>
  <c r="BG116" i="5"/>
  <c r="AU116" i="5"/>
  <c r="BI116" i="5"/>
  <c r="I117" i="5"/>
  <c r="BS117" i="5"/>
  <c r="BC117" i="5"/>
  <c r="AS117" i="5"/>
  <c r="BQ117" i="5"/>
  <c r="BA117" i="5"/>
  <c r="BO117" i="5"/>
  <c r="AY117" i="5"/>
  <c r="BY117" i="5"/>
  <c r="BM117" i="5"/>
  <c r="AW117" i="5"/>
  <c r="BI117" i="5"/>
  <c r="BG117" i="5"/>
  <c r="CA117" i="5"/>
  <c r="BK117" i="5"/>
  <c r="AU117" i="5"/>
  <c r="BU117" i="5"/>
  <c r="BE117" i="5"/>
  <c r="BW117" i="5"/>
  <c r="BU108" i="5"/>
  <c r="AS108" i="5"/>
  <c r="I118" i="5"/>
  <c r="BQ118" i="5"/>
  <c r="BA118" i="5"/>
  <c r="BG118" i="5"/>
  <c r="BE118" i="5"/>
  <c r="BO118" i="5"/>
  <c r="AY118" i="5"/>
  <c r="BM118" i="5"/>
  <c r="AW118" i="5"/>
  <c r="CA118" i="5"/>
  <c r="BK118" i="5"/>
  <c r="AU118" i="5"/>
  <c r="BU118" i="5"/>
  <c r="BY118" i="5"/>
  <c r="BI118" i="5"/>
  <c r="AS118" i="5"/>
  <c r="BW118" i="5"/>
  <c r="BS118" i="5"/>
  <c r="BC118" i="5"/>
  <c r="I115" i="5"/>
  <c r="BW115" i="5"/>
  <c r="BG115" i="5"/>
  <c r="CA115" i="5"/>
  <c r="BK115" i="5"/>
  <c r="BU115" i="5"/>
  <c r="BE115" i="5"/>
  <c r="BS115" i="5"/>
  <c r="BC115" i="5"/>
  <c r="AW115" i="5"/>
  <c r="AU115" i="5"/>
  <c r="BQ115" i="5"/>
  <c r="BA115" i="5"/>
  <c r="BM115" i="5"/>
  <c r="BO115" i="5"/>
  <c r="AY115" i="5"/>
  <c r="BY115" i="5"/>
  <c r="BI115" i="5"/>
  <c r="AS115" i="5"/>
  <c r="I121" i="5"/>
  <c r="CA121" i="5"/>
  <c r="BK121" i="5"/>
  <c r="AU121" i="5"/>
  <c r="BA121" i="5"/>
  <c r="BY121" i="5"/>
  <c r="BI121" i="5"/>
  <c r="AS121" i="5"/>
  <c r="BW121" i="5"/>
  <c r="BG121" i="5"/>
  <c r="BU121" i="5"/>
  <c r="BE121" i="5"/>
  <c r="BO121" i="5"/>
  <c r="AY121" i="5"/>
  <c r="BS121" i="5"/>
  <c r="BC121" i="5"/>
  <c r="BM121" i="5"/>
  <c r="AW121" i="5"/>
  <c r="BQ121" i="5"/>
  <c r="BC108" i="5"/>
  <c r="I120" i="5"/>
  <c r="BM120" i="5"/>
  <c r="AW120" i="5"/>
  <c r="BS120" i="5"/>
  <c r="CA120" i="5"/>
  <c r="BK120" i="5"/>
  <c r="AU120" i="5"/>
  <c r="BC120" i="5"/>
  <c r="BQ120" i="5"/>
  <c r="BY120" i="5"/>
  <c r="BI120" i="5"/>
  <c r="AS120" i="5"/>
  <c r="BW120" i="5"/>
  <c r="BG120" i="5"/>
  <c r="BU120" i="5"/>
  <c r="BE120" i="5"/>
  <c r="BO120" i="5"/>
  <c r="AY120" i="5"/>
  <c r="BA120" i="5"/>
  <c r="I113" i="5"/>
  <c r="CA113" i="5"/>
  <c r="BK113" i="5"/>
  <c r="AU113" i="5"/>
  <c r="AY113" i="5"/>
  <c r="BY113" i="5"/>
  <c r="BI113" i="5"/>
  <c r="AS113" i="5"/>
  <c r="BG113" i="5"/>
  <c r="BU113" i="5"/>
  <c r="BE113" i="5"/>
  <c r="BQ113" i="5"/>
  <c r="BS113" i="5"/>
  <c r="BC113" i="5"/>
  <c r="BA113" i="5"/>
  <c r="BM113" i="5"/>
  <c r="AW113" i="5"/>
  <c r="BO113" i="5"/>
  <c r="BE108" i="5"/>
  <c r="AW108" i="5"/>
  <c r="CA108" i="5"/>
  <c r="AY108" i="5"/>
  <c r="BG108" i="5"/>
  <c r="I108" i="5"/>
  <c r="BW108" i="5"/>
  <c r="BY108" i="5"/>
  <c r="BQ108" i="5"/>
  <c r="BM108" i="5"/>
  <c r="BK108" i="5"/>
  <c r="BU100" i="5"/>
  <c r="BE100" i="5"/>
  <c r="BQ100" i="5"/>
  <c r="I102" i="5"/>
  <c r="BW102" i="5"/>
  <c r="BG102" i="5"/>
  <c r="AW102" i="5"/>
  <c r="BS102" i="5"/>
  <c r="BM102" i="5"/>
  <c r="BC102" i="5"/>
  <c r="BY102" i="5"/>
  <c r="BI102" i="5"/>
  <c r="AY102" i="5"/>
  <c r="BU102" i="5"/>
  <c r="BE102" i="5"/>
  <c r="CA102" i="5"/>
  <c r="BO102" i="5"/>
  <c r="BK102" i="5"/>
  <c r="AU102" i="5"/>
  <c r="BA102" i="5"/>
  <c r="BQ102" i="5"/>
  <c r="I105" i="5"/>
  <c r="BY105" i="5"/>
  <c r="BI105" i="5"/>
  <c r="AY105" i="5"/>
  <c r="BU105" i="5"/>
  <c r="BE105" i="5"/>
  <c r="CA105" i="5"/>
  <c r="BO105" i="5"/>
  <c r="BK105" i="5"/>
  <c r="AU105" i="5"/>
  <c r="BQ105" i="5"/>
  <c r="BA105" i="5"/>
  <c r="BW105" i="5"/>
  <c r="BG105" i="5"/>
  <c r="AW105" i="5"/>
  <c r="BM105" i="5"/>
  <c r="BC105" i="5"/>
  <c r="BS105" i="5"/>
  <c r="I107" i="5"/>
  <c r="BU107" i="5"/>
  <c r="BE107" i="5"/>
  <c r="CA107" i="5"/>
  <c r="BO107" i="5"/>
  <c r="BK107" i="5"/>
  <c r="AU107" i="5"/>
  <c r="BQ107" i="5"/>
  <c r="BA107" i="5"/>
  <c r="BW107" i="5"/>
  <c r="BG107" i="5"/>
  <c r="AW107" i="5"/>
  <c r="BS107" i="5"/>
  <c r="BM107" i="5"/>
  <c r="BC107" i="5"/>
  <c r="BY107" i="5"/>
  <c r="BI107" i="5"/>
  <c r="AY107" i="5"/>
  <c r="I110" i="5"/>
  <c r="BW110" i="5"/>
  <c r="BG110" i="5"/>
  <c r="AW110" i="5"/>
  <c r="BS110" i="5"/>
  <c r="BM110" i="5"/>
  <c r="BC110" i="5"/>
  <c r="BY110" i="5"/>
  <c r="BI110" i="5"/>
  <c r="AY110" i="5"/>
  <c r="BU110" i="5"/>
  <c r="BE110" i="5"/>
  <c r="CA110" i="5"/>
  <c r="BO110" i="5"/>
  <c r="BK110" i="5"/>
  <c r="AU110" i="5"/>
  <c r="BQ110" i="5"/>
  <c r="BA110" i="5"/>
  <c r="AY106" i="5"/>
  <c r="BU106" i="5"/>
  <c r="BE106" i="5"/>
  <c r="CA106" i="5"/>
  <c r="BO106" i="5"/>
  <c r="BK106" i="5"/>
  <c r="AU106" i="5"/>
  <c r="BQ106" i="5"/>
  <c r="BA106" i="5"/>
  <c r="BW106" i="5"/>
  <c r="BG106" i="5"/>
  <c r="AW106" i="5"/>
  <c r="I106" i="5"/>
  <c r="BS106" i="5"/>
  <c r="BM106" i="5"/>
  <c r="BC106" i="5"/>
  <c r="BY106" i="5"/>
  <c r="BI106" i="5"/>
  <c r="BQ109" i="5"/>
  <c r="BA109" i="5"/>
  <c r="BW109" i="5"/>
  <c r="BG109" i="5"/>
  <c r="AW109" i="5"/>
  <c r="BS109" i="5"/>
  <c r="BM109" i="5"/>
  <c r="BC109" i="5"/>
  <c r="BY109" i="5"/>
  <c r="BI109" i="5"/>
  <c r="AY109" i="5"/>
  <c r="BU109" i="5"/>
  <c r="BE109" i="5"/>
  <c r="I109" i="5"/>
  <c r="CA109" i="5"/>
  <c r="AU109" i="5"/>
  <c r="BO109" i="5"/>
  <c r="BK109" i="5"/>
  <c r="I103" i="5"/>
  <c r="AW103" i="5"/>
  <c r="BS103" i="5"/>
  <c r="BM103" i="5"/>
  <c r="BC103" i="5"/>
  <c r="BY103" i="5"/>
  <c r="BI103" i="5"/>
  <c r="AY103" i="5"/>
  <c r="BU103" i="5"/>
  <c r="BE103" i="5"/>
  <c r="CA103" i="5"/>
  <c r="BO103" i="5"/>
  <c r="BK103" i="5"/>
  <c r="AU103" i="5"/>
  <c r="BQ103" i="5"/>
  <c r="BA103" i="5"/>
  <c r="BW103" i="5"/>
  <c r="BG103" i="5"/>
  <c r="I111" i="5"/>
  <c r="AW111" i="5"/>
  <c r="BS111" i="5"/>
  <c r="BM111" i="5"/>
  <c r="BC111" i="5"/>
  <c r="BY111" i="5"/>
  <c r="BI111" i="5"/>
  <c r="AY111" i="5"/>
  <c r="BU111" i="5"/>
  <c r="BE111" i="5"/>
  <c r="CA111" i="5"/>
  <c r="BO111" i="5"/>
  <c r="BK111" i="5"/>
  <c r="AU111" i="5"/>
  <c r="BQ111" i="5"/>
  <c r="BA111" i="5"/>
  <c r="BW111" i="5"/>
  <c r="BG111" i="5"/>
  <c r="BS104" i="5"/>
  <c r="BM104" i="5"/>
  <c r="BC104" i="5"/>
  <c r="BY104" i="5"/>
  <c r="BI104" i="5"/>
  <c r="AY104" i="5"/>
  <c r="BU104" i="5"/>
  <c r="BE104" i="5"/>
  <c r="CA104" i="5"/>
  <c r="BO104" i="5"/>
  <c r="BK104" i="5"/>
  <c r="AU104" i="5"/>
  <c r="I104" i="5"/>
  <c r="BQ104" i="5"/>
  <c r="BA104" i="5"/>
  <c r="BW104" i="5"/>
  <c r="BG104" i="5"/>
  <c r="AW104" i="5"/>
  <c r="K277" i="5"/>
  <c r="K280" i="5"/>
  <c r="I4" i="4"/>
  <c r="I6" i="4"/>
  <c r="I9" i="4"/>
  <c r="AT71" i="5"/>
  <c r="N27" i="5"/>
  <c r="J71" i="5"/>
  <c r="CI169" i="5" l="1"/>
  <c r="CG169" i="5"/>
  <c r="CO169" i="5"/>
  <c r="CK169" i="5"/>
  <c r="CW6" i="5"/>
  <c r="CY6" i="5"/>
  <c r="CW99" i="5"/>
  <c r="CW203" i="5"/>
  <c r="CY203" i="5"/>
  <c r="CY156" i="5"/>
  <c r="CY112" i="5"/>
  <c r="CY99" i="5"/>
  <c r="CY185" i="5"/>
  <c r="CW112" i="5"/>
  <c r="CU6" i="5"/>
  <c r="CW185" i="5"/>
  <c r="CW156" i="5"/>
  <c r="CS6" i="5"/>
  <c r="CQ203" i="5"/>
  <c r="CQ6" i="5"/>
  <c r="CQ99" i="5"/>
  <c r="CM6" i="5"/>
  <c r="CS99" i="5"/>
  <c r="CS203" i="5"/>
  <c r="CS112" i="5"/>
  <c r="CS185" i="5"/>
  <c r="CQ112" i="5"/>
  <c r="CS156" i="5"/>
  <c r="CI99" i="5"/>
  <c r="CM203" i="5"/>
  <c r="CO112" i="5"/>
  <c r="CO6" i="5"/>
  <c r="CO99" i="5"/>
  <c r="CK203" i="5"/>
  <c r="CM99" i="5"/>
  <c r="CG203" i="5"/>
  <c r="CO185" i="5"/>
  <c r="CK156" i="5"/>
  <c r="CO203" i="5"/>
  <c r="CO156" i="5"/>
  <c r="CI6" i="5"/>
  <c r="CM112" i="5"/>
  <c r="CK99" i="5"/>
  <c r="CK112" i="5"/>
  <c r="CI112" i="5"/>
  <c r="CI203" i="5"/>
  <c r="CK185" i="5"/>
  <c r="CK6" i="5"/>
  <c r="CG156" i="5"/>
  <c r="CG99" i="5"/>
  <c r="CG112" i="5"/>
  <c r="CE112" i="5"/>
  <c r="CG6" i="5"/>
  <c r="CE156" i="5"/>
  <c r="CG185" i="5"/>
  <c r="CE169" i="5"/>
  <c r="CC214" i="5"/>
  <c r="CC112" i="5"/>
  <c r="CC6" i="5"/>
  <c r="CE99" i="5"/>
  <c r="CE203" i="5"/>
  <c r="CE6" i="5"/>
  <c r="CE214" i="5"/>
  <c r="CC99" i="5"/>
  <c r="CC203" i="5"/>
  <c r="CC156" i="5"/>
  <c r="CC185" i="5"/>
  <c r="CC169" i="5"/>
  <c r="BE185" i="5"/>
  <c r="BW185" i="5"/>
  <c r="BQ185" i="5"/>
  <c r="AY185" i="5"/>
  <c r="BU185" i="5"/>
  <c r="BM185" i="5"/>
  <c r="BS185" i="5"/>
  <c r="BA185" i="5"/>
  <c r="BY185" i="5"/>
  <c r="BG185" i="5"/>
  <c r="I185" i="5"/>
  <c r="BK185" i="5"/>
  <c r="BI185" i="5"/>
  <c r="CA185" i="5"/>
  <c r="BC185" i="5"/>
  <c r="BO185" i="5"/>
  <c r="AW185" i="5"/>
  <c r="AU185" i="5"/>
  <c r="AS185" i="5"/>
  <c r="I214" i="5"/>
  <c r="BI169" i="5"/>
  <c r="BC169" i="5"/>
  <c r="BQ169" i="5"/>
  <c r="BO169" i="5"/>
  <c r="BA169" i="5"/>
  <c r="BK169" i="5"/>
  <c r="CA169" i="5"/>
  <c r="BM169" i="5"/>
  <c r="BY169" i="5"/>
  <c r="AU169" i="5"/>
  <c r="BU169" i="5"/>
  <c r="BG169" i="5"/>
  <c r="AW169" i="5"/>
  <c r="AY169" i="5"/>
  <c r="BE169" i="5"/>
  <c r="BW169" i="5"/>
  <c r="BS169" i="5"/>
  <c r="AS169" i="5"/>
  <c r="I169" i="5"/>
  <c r="AS112" i="5"/>
  <c r="I112" i="5"/>
  <c r="I99" i="5"/>
  <c r="AU99" i="5"/>
  <c r="M252" i="5"/>
  <c r="K75" i="5"/>
  <c r="CA213" i="5" l="1"/>
  <c r="CA212" i="5"/>
  <c r="CA211" i="5"/>
  <c r="CA209" i="5"/>
  <c r="CA208" i="5"/>
  <c r="CA207" i="5"/>
  <c r="CA206" i="5"/>
  <c r="BY213" i="5"/>
  <c r="BY212" i="5"/>
  <c r="BY211" i="5"/>
  <c r="BY209" i="5"/>
  <c r="BY208" i="5"/>
  <c r="BY207" i="5"/>
  <c r="BY206" i="5"/>
  <c r="BW213" i="5"/>
  <c r="BW209" i="5"/>
  <c r="BW211" i="5"/>
  <c r="BW212" i="5"/>
  <c r="BW208" i="5"/>
  <c r="BW206" i="5"/>
  <c r="BW207" i="5"/>
  <c r="BU212" i="5"/>
  <c r="BU213" i="5"/>
  <c r="BU209" i="5"/>
  <c r="BU211" i="5"/>
  <c r="BU208" i="5"/>
  <c r="BU206" i="5"/>
  <c r="BU207" i="5"/>
  <c r="BS213" i="5"/>
  <c r="BS212" i="5"/>
  <c r="BS209" i="5"/>
  <c r="BS211" i="5"/>
  <c r="BS208" i="5"/>
  <c r="BS207" i="5"/>
  <c r="BS206" i="5"/>
  <c r="BQ213" i="5"/>
  <c r="BQ212" i="5"/>
  <c r="BQ211" i="5"/>
  <c r="BQ209" i="5"/>
  <c r="BQ208" i="5"/>
  <c r="BQ207" i="5"/>
  <c r="BQ206" i="5"/>
  <c r="BO213" i="5"/>
  <c r="BO212" i="5"/>
  <c r="BO211" i="5"/>
  <c r="BO209" i="5"/>
  <c r="BO208" i="5"/>
  <c r="BO207" i="5"/>
  <c r="BO206" i="5"/>
  <c r="BM213" i="5"/>
  <c r="BM212" i="5"/>
  <c r="BM211" i="5"/>
  <c r="BM209" i="5"/>
  <c r="BM208" i="5"/>
  <c r="BM207" i="5"/>
  <c r="BM206" i="5"/>
  <c r="BK213" i="5"/>
  <c r="BK212" i="5"/>
  <c r="BK211" i="5"/>
  <c r="BK209" i="5"/>
  <c r="BK208" i="5"/>
  <c r="BK207" i="5"/>
  <c r="BK206" i="5"/>
  <c r="BI213" i="5"/>
  <c r="BI212" i="5"/>
  <c r="BI211" i="5"/>
  <c r="BI209" i="5"/>
  <c r="BI208" i="5"/>
  <c r="BI207" i="5"/>
  <c r="BI206" i="5"/>
  <c r="BG213" i="5"/>
  <c r="BG212" i="5"/>
  <c r="BG211" i="5"/>
  <c r="BG209" i="5"/>
  <c r="BG208" i="5"/>
  <c r="BG207" i="5"/>
  <c r="BG206" i="5"/>
  <c r="BE213" i="5"/>
  <c r="BE212" i="5"/>
  <c r="BE211" i="5"/>
  <c r="BE209" i="5"/>
  <c r="BE208" i="5"/>
  <c r="BE207" i="5"/>
  <c r="BE206" i="5"/>
  <c r="BG11" i="3"/>
  <c r="BG27" i="3"/>
  <c r="BG25" i="3"/>
  <c r="BG23" i="3"/>
  <c r="BG21" i="3"/>
  <c r="K208" i="5"/>
  <c r="K210" i="5" l="1"/>
  <c r="F194" i="5" l="1"/>
  <c r="H197" i="5" l="1"/>
  <c r="H198" i="5"/>
  <c r="H199" i="5"/>
  <c r="H200" i="5"/>
  <c r="H201" i="5"/>
  <c r="H202" i="5"/>
  <c r="H196" i="5"/>
  <c r="H195" i="5"/>
  <c r="BC213" i="5"/>
  <c r="BA213" i="5"/>
  <c r="AY213" i="5"/>
  <c r="AW213" i="5"/>
  <c r="AU213" i="5"/>
  <c r="AS213" i="5"/>
  <c r="K213" i="5"/>
  <c r="BC212" i="5"/>
  <c r="BA212" i="5"/>
  <c r="AY212" i="5"/>
  <c r="AW212" i="5"/>
  <c r="AU212" i="5"/>
  <c r="AS212" i="5"/>
  <c r="K212" i="5"/>
  <c r="BC211" i="5"/>
  <c r="BA211" i="5"/>
  <c r="AY211" i="5"/>
  <c r="AW211" i="5"/>
  <c r="AU211" i="5"/>
  <c r="AS211" i="5"/>
  <c r="K211" i="5"/>
  <c r="BC209" i="5"/>
  <c r="BA209" i="5"/>
  <c r="AY209" i="5"/>
  <c r="AW209" i="5"/>
  <c r="AU209" i="5"/>
  <c r="AS209" i="5"/>
  <c r="BC208" i="5"/>
  <c r="BA208" i="5"/>
  <c r="AY208" i="5"/>
  <c r="AW208" i="5"/>
  <c r="AU208" i="5"/>
  <c r="AS208" i="5"/>
  <c r="BC207" i="5"/>
  <c r="BA207" i="5"/>
  <c r="AY207" i="5"/>
  <c r="AW207" i="5"/>
  <c r="AU207" i="5"/>
  <c r="AS207" i="5"/>
  <c r="K207" i="5"/>
  <c r="BC206" i="5"/>
  <c r="BA206" i="5"/>
  <c r="AY206" i="5"/>
  <c r="AW206" i="5"/>
  <c r="AU206" i="5"/>
  <c r="AS206" i="5"/>
  <c r="AT203" i="5"/>
  <c r="J203" i="5"/>
  <c r="K254" i="5"/>
  <c r="K253" i="5"/>
  <c r="AT252" i="5"/>
  <c r="N252" i="5"/>
  <c r="L252" i="5"/>
  <c r="J252" i="5"/>
  <c r="K70" i="5"/>
  <c r="K69" i="5"/>
  <c r="K68" i="5"/>
  <c r="K67" i="5"/>
  <c r="K66" i="5"/>
  <c r="K65" i="5"/>
  <c r="K64" i="5"/>
  <c r="K63" i="5"/>
  <c r="K62" i="5"/>
  <c r="F60" i="5"/>
  <c r="AT60" i="5"/>
  <c r="N60" i="5"/>
  <c r="M60" i="5"/>
  <c r="L60" i="5"/>
  <c r="G281" i="5"/>
  <c r="G280" i="5"/>
  <c r="K279" i="5"/>
  <c r="G279" i="5"/>
  <c r="K278" i="5"/>
  <c r="G278" i="5"/>
  <c r="G277" i="5"/>
  <c r="G276" i="5"/>
  <c r="G275" i="5"/>
  <c r="G274" i="5"/>
  <c r="G273" i="5"/>
  <c r="F272" i="5"/>
  <c r="AT272" i="5"/>
  <c r="M272" i="5"/>
  <c r="J272" i="5"/>
  <c r="K98" i="5"/>
  <c r="G98" i="5"/>
  <c r="K97" i="5"/>
  <c r="G97" i="5"/>
  <c r="K96" i="5"/>
  <c r="G96" i="5"/>
  <c r="K95" i="5"/>
  <c r="G95" i="5"/>
  <c r="K94" i="5"/>
  <c r="G94" i="5"/>
  <c r="K93" i="5"/>
  <c r="G93" i="5"/>
  <c r="K92" i="5"/>
  <c r="G92" i="5"/>
  <c r="K91" i="5"/>
  <c r="G91" i="5"/>
  <c r="K90" i="5"/>
  <c r="G90" i="5"/>
  <c r="K89" i="5"/>
  <c r="G89" i="5"/>
  <c r="K88" i="5"/>
  <c r="G88" i="5"/>
  <c r="K87" i="5"/>
  <c r="G87" i="5"/>
  <c r="K86" i="5"/>
  <c r="G86" i="5"/>
  <c r="K85" i="5"/>
  <c r="G85" i="5"/>
  <c r="G84" i="5"/>
  <c r="G83" i="5"/>
  <c r="F82" i="5"/>
  <c r="AT82" i="5"/>
  <c r="N82" i="5"/>
  <c r="M82" i="5"/>
  <c r="L82" i="5"/>
  <c r="J82" i="5"/>
  <c r="G242" i="5"/>
  <c r="G241" i="5"/>
  <c r="G240" i="5"/>
  <c r="G239" i="5"/>
  <c r="K238" i="5"/>
  <c r="G238" i="5"/>
  <c r="K237" i="5"/>
  <c r="G237" i="5"/>
  <c r="G236" i="5"/>
  <c r="G235" i="5"/>
  <c r="F234" i="5"/>
  <c r="AT234" i="5"/>
  <c r="M234" i="5"/>
  <c r="L234" i="5"/>
  <c r="J234" i="5"/>
  <c r="K202" i="5"/>
  <c r="G202" i="5"/>
  <c r="K201" i="5"/>
  <c r="G201" i="5"/>
  <c r="K200" i="5"/>
  <c r="G200" i="5"/>
  <c r="K199" i="5"/>
  <c r="G199" i="5"/>
  <c r="K198" i="5"/>
  <c r="G198" i="5"/>
  <c r="K197" i="5"/>
  <c r="G197" i="5"/>
  <c r="K196" i="5"/>
  <c r="G196" i="5"/>
  <c r="K195" i="5"/>
  <c r="G195" i="5"/>
  <c r="AT194" i="5"/>
  <c r="N194" i="5"/>
  <c r="L194" i="5"/>
  <c r="J194" i="5"/>
  <c r="K233" i="5"/>
  <c r="K232" i="5"/>
  <c r="K231" i="5"/>
  <c r="K230" i="5"/>
  <c r="K229" i="5"/>
  <c r="K228" i="5"/>
  <c r="K227" i="5"/>
  <c r="K226" i="5"/>
  <c r="K225" i="5"/>
  <c r="K224" i="5"/>
  <c r="K223" i="5"/>
  <c r="K222" i="5"/>
  <c r="F221" i="5"/>
  <c r="AT221" i="5"/>
  <c r="N221" i="5"/>
  <c r="M221" i="5"/>
  <c r="L221" i="5"/>
  <c r="J221" i="5"/>
  <c r="K126" i="5"/>
  <c r="K125" i="5"/>
  <c r="K124" i="5"/>
  <c r="N122" i="5"/>
  <c r="M122" i="5"/>
  <c r="L122" i="5"/>
  <c r="K155" i="5"/>
  <c r="G155" i="5"/>
  <c r="K154" i="5"/>
  <c r="G154" i="5"/>
  <c r="K153" i="5"/>
  <c r="G153" i="5"/>
  <c r="K152" i="5"/>
  <c r="G152" i="5"/>
  <c r="K151" i="5"/>
  <c r="G151" i="5"/>
  <c r="K150" i="5"/>
  <c r="G150" i="5"/>
  <c r="K149" i="5"/>
  <c r="G149" i="5"/>
  <c r="K148" i="5"/>
  <c r="G148" i="5"/>
  <c r="K147" i="5"/>
  <c r="G147" i="5"/>
  <c r="K146" i="5"/>
  <c r="G146" i="5"/>
  <c r="K145" i="5"/>
  <c r="G145" i="5"/>
  <c r="K144" i="5"/>
  <c r="G144" i="5"/>
  <c r="K143" i="5"/>
  <c r="G143" i="5"/>
  <c r="K142" i="5"/>
  <c r="G142" i="5"/>
  <c r="K141" i="5"/>
  <c r="G141" i="5"/>
  <c r="K140" i="5"/>
  <c r="G140" i="5"/>
  <c r="K139" i="5"/>
  <c r="G139" i="5"/>
  <c r="K138" i="5"/>
  <c r="G138" i="5"/>
  <c r="K137" i="5"/>
  <c r="G137" i="5"/>
  <c r="K136" i="5"/>
  <c r="G136" i="5"/>
  <c r="K135" i="5"/>
  <c r="G135" i="5"/>
  <c r="K134" i="5"/>
  <c r="G134" i="5"/>
  <c r="K133" i="5"/>
  <c r="G133" i="5"/>
  <c r="K132" i="5"/>
  <c r="G132" i="5"/>
  <c r="F131" i="5"/>
  <c r="M131" i="5"/>
  <c r="J131" i="5"/>
  <c r="F38" i="5"/>
  <c r="AZ38" i="5"/>
  <c r="AZ282" i="5" s="1"/>
  <c r="AX38" i="5"/>
  <c r="AV38" i="5"/>
  <c r="AV282" i="5" s="1"/>
  <c r="N38" i="5"/>
  <c r="M38" i="5"/>
  <c r="L38" i="5"/>
  <c r="J38" i="5"/>
  <c r="F27" i="5"/>
  <c r="M27" i="5"/>
  <c r="L27" i="5"/>
  <c r="K59" i="5"/>
  <c r="K58" i="5"/>
  <c r="K57" i="5"/>
  <c r="K56" i="5"/>
  <c r="K55" i="5"/>
  <c r="K54" i="5"/>
  <c r="K53" i="5"/>
  <c r="K52" i="5"/>
  <c r="K51" i="5"/>
  <c r="K50" i="5"/>
  <c r="F49" i="5"/>
  <c r="M49" i="5"/>
  <c r="J49" i="5"/>
  <c r="K81" i="5"/>
  <c r="G81" i="5"/>
  <c r="K80" i="5"/>
  <c r="G80" i="5"/>
  <c r="K79" i="5"/>
  <c r="G79" i="5"/>
  <c r="K78" i="5"/>
  <c r="G78" i="5"/>
  <c r="K77" i="5"/>
  <c r="G77" i="5"/>
  <c r="K76" i="5"/>
  <c r="G76" i="5"/>
  <c r="G75" i="5"/>
  <c r="K74" i="5"/>
  <c r="G74" i="5"/>
  <c r="K73" i="5"/>
  <c r="G73" i="5"/>
  <c r="K72" i="5"/>
  <c r="G72" i="5"/>
  <c r="F71" i="5"/>
  <c r="N71" i="5"/>
  <c r="M71" i="5"/>
  <c r="L71" i="5"/>
  <c r="G26" i="5"/>
  <c r="G25" i="5"/>
  <c r="G24" i="5"/>
  <c r="G23" i="5"/>
  <c r="G22" i="5"/>
  <c r="G21" i="5"/>
  <c r="G20" i="5"/>
  <c r="G19" i="5"/>
  <c r="G18" i="5"/>
  <c r="G17" i="5"/>
  <c r="G16" i="5"/>
  <c r="G15" i="5"/>
  <c r="G14" i="5"/>
  <c r="G13" i="5"/>
  <c r="G12" i="5"/>
  <c r="G11" i="5"/>
  <c r="G10" i="5"/>
  <c r="G9" i="5"/>
  <c r="G8" i="5"/>
  <c r="G7" i="5"/>
  <c r="N6" i="5"/>
  <c r="M6" i="5"/>
  <c r="L6" i="5"/>
  <c r="K256" i="1"/>
  <c r="K257" i="1"/>
  <c r="CY195" i="5" l="1"/>
  <c r="CU195" i="5"/>
  <c r="CW195" i="5"/>
  <c r="CY196" i="5"/>
  <c r="CW196" i="5"/>
  <c r="CU196" i="5"/>
  <c r="CY202" i="5"/>
  <c r="CW202" i="5"/>
  <c r="CU202" i="5"/>
  <c r="CW201" i="5"/>
  <c r="CU201" i="5"/>
  <c r="CY201" i="5"/>
  <c r="CU200" i="5"/>
  <c r="CY200" i="5"/>
  <c r="CW200" i="5"/>
  <c r="CY199" i="5"/>
  <c r="CW199" i="5"/>
  <c r="CU199" i="5"/>
  <c r="CY198" i="5"/>
  <c r="CW198" i="5"/>
  <c r="CU198" i="5"/>
  <c r="CY197" i="5"/>
  <c r="CW197" i="5"/>
  <c r="CU197" i="5"/>
  <c r="L282" i="5"/>
  <c r="CK195" i="5"/>
  <c r="CI195" i="5"/>
  <c r="CK202" i="5"/>
  <c r="CI202" i="5"/>
  <c r="CK196" i="5"/>
  <c r="CI196" i="5"/>
  <c r="CK201" i="5"/>
  <c r="CI201" i="5"/>
  <c r="CK200" i="5"/>
  <c r="CI200" i="5"/>
  <c r="CK199" i="5"/>
  <c r="CI199" i="5"/>
  <c r="CK198" i="5"/>
  <c r="CI198" i="5"/>
  <c r="CI197" i="5"/>
  <c r="CK197" i="5"/>
  <c r="CG196" i="5"/>
  <c r="CG202" i="5"/>
  <c r="CG201" i="5"/>
  <c r="CG200" i="5"/>
  <c r="CG199" i="5"/>
  <c r="CG198" i="5"/>
  <c r="CG195" i="5"/>
  <c r="CG197" i="5"/>
  <c r="CE195" i="5"/>
  <c r="CE196" i="5"/>
  <c r="CE197" i="5"/>
  <c r="CC195" i="5"/>
  <c r="CC196" i="5"/>
  <c r="CC202" i="5"/>
  <c r="CE202" i="5"/>
  <c r="CC201" i="5"/>
  <c r="CE201" i="5"/>
  <c r="CC200" i="5"/>
  <c r="CE200" i="5"/>
  <c r="CC199" i="5"/>
  <c r="CE199" i="5"/>
  <c r="CC198" i="5"/>
  <c r="CE198" i="5"/>
  <c r="CC197" i="5"/>
  <c r="AT282" i="5"/>
  <c r="K27" i="5"/>
  <c r="J282" i="5"/>
  <c r="M282" i="5"/>
  <c r="N282" i="5"/>
  <c r="H228" i="5"/>
  <c r="H224" i="5"/>
  <c r="H229" i="5"/>
  <c r="H230" i="5"/>
  <c r="H232" i="5"/>
  <c r="H223" i="5"/>
  <c r="H231" i="5"/>
  <c r="H225" i="5"/>
  <c r="H233" i="5"/>
  <c r="H226" i="5"/>
  <c r="H222" i="5"/>
  <c r="H227" i="5"/>
  <c r="H134" i="5"/>
  <c r="H142" i="5"/>
  <c r="H150" i="5"/>
  <c r="H138" i="5"/>
  <c r="H135" i="5"/>
  <c r="H143" i="5"/>
  <c r="H151" i="5"/>
  <c r="H136" i="5"/>
  <c r="H144" i="5"/>
  <c r="H152" i="5"/>
  <c r="H146" i="5"/>
  <c r="H137" i="5"/>
  <c r="H145" i="5"/>
  <c r="H153" i="5"/>
  <c r="H154" i="5"/>
  <c r="H139" i="5"/>
  <c r="H147" i="5"/>
  <c r="H155" i="5"/>
  <c r="H133" i="5"/>
  <c r="H140" i="5"/>
  <c r="H149" i="5"/>
  <c r="H141" i="5"/>
  <c r="H148" i="5"/>
  <c r="H132" i="5"/>
  <c r="I251" i="5"/>
  <c r="I247" i="5"/>
  <c r="H241" i="5"/>
  <c r="I245" i="5"/>
  <c r="H242" i="5"/>
  <c r="I250" i="5"/>
  <c r="I246" i="5"/>
  <c r="H235" i="5"/>
  <c r="H236" i="5"/>
  <c r="I249" i="5"/>
  <c r="H237" i="5"/>
  <c r="H238" i="5"/>
  <c r="I248" i="5"/>
  <c r="H239" i="5"/>
  <c r="I244" i="5"/>
  <c r="H240" i="5"/>
  <c r="H41" i="5"/>
  <c r="H43" i="5"/>
  <c r="H44" i="5"/>
  <c r="H47" i="5"/>
  <c r="H40" i="5"/>
  <c r="H48" i="5"/>
  <c r="H91" i="5"/>
  <c r="H92" i="5"/>
  <c r="H85" i="5"/>
  <c r="H93" i="5"/>
  <c r="H86" i="5"/>
  <c r="H94" i="5"/>
  <c r="H95" i="5"/>
  <c r="H88" i="5"/>
  <c r="H96" i="5"/>
  <c r="H89" i="5"/>
  <c r="H97" i="5"/>
  <c r="H90" i="5"/>
  <c r="H98" i="5"/>
  <c r="H54" i="5"/>
  <c r="H55" i="5"/>
  <c r="H58" i="5"/>
  <c r="H59" i="5"/>
  <c r="H50" i="5"/>
  <c r="H53" i="5"/>
  <c r="H67" i="5"/>
  <c r="H30" i="5"/>
  <c r="H28" i="5"/>
  <c r="H31" i="5"/>
  <c r="H32" i="5"/>
  <c r="H33" i="5"/>
  <c r="H80" i="5"/>
  <c r="H81" i="5"/>
  <c r="H75" i="5"/>
  <c r="H76" i="5"/>
  <c r="H77" i="5"/>
  <c r="H78" i="5"/>
  <c r="H79" i="5"/>
  <c r="I124" i="5"/>
  <c r="I125" i="5"/>
  <c r="I123" i="5"/>
  <c r="F282" i="5"/>
  <c r="I126" i="5"/>
  <c r="H279" i="5"/>
  <c r="H281" i="5"/>
  <c r="H274" i="5"/>
  <c r="H273" i="5"/>
  <c r="H275" i="5"/>
  <c r="AS203" i="5"/>
  <c r="CA112" i="5"/>
  <c r="BK112" i="5"/>
  <c r="AU112" i="5"/>
  <c r="BY112" i="5"/>
  <c r="BI112" i="5"/>
  <c r="BW112" i="5"/>
  <c r="BG112" i="5"/>
  <c r="BU112" i="5"/>
  <c r="BE112" i="5"/>
  <c r="BS112" i="5"/>
  <c r="BC112" i="5"/>
  <c r="BQ112" i="5"/>
  <c r="BA112" i="5"/>
  <c r="BO112" i="5"/>
  <c r="AY112" i="5"/>
  <c r="BM112" i="5"/>
  <c r="AW112" i="5"/>
  <c r="BO99" i="5"/>
  <c r="AY99" i="5"/>
  <c r="AW99" i="5"/>
  <c r="BY99" i="5"/>
  <c r="BI99" i="5"/>
  <c r="BW99" i="5"/>
  <c r="BG99" i="5"/>
  <c r="BQ99" i="5"/>
  <c r="BA99" i="5"/>
  <c r="BC99" i="5"/>
  <c r="BS99" i="5"/>
  <c r="BM99" i="5"/>
  <c r="CA99" i="5"/>
  <c r="BK99" i="5"/>
  <c r="BU99" i="5"/>
  <c r="BE99" i="5"/>
  <c r="BG202" i="5"/>
  <c r="BE202" i="5"/>
  <c r="CA195" i="5"/>
  <c r="BY195" i="5"/>
  <c r="BW195" i="5"/>
  <c r="BU195" i="5"/>
  <c r="BE195" i="5"/>
  <c r="BO195" i="5"/>
  <c r="BG195" i="5"/>
  <c r="BM195" i="5"/>
  <c r="BS195" i="5"/>
  <c r="BK195" i="5"/>
  <c r="BQ195" i="5"/>
  <c r="BI195" i="5"/>
  <c r="BK274" i="5"/>
  <c r="BY17" i="5"/>
  <c r="BS17" i="5"/>
  <c r="BI17" i="5"/>
  <c r="BE17" i="5"/>
  <c r="BW17" i="5"/>
  <c r="BM17" i="5"/>
  <c r="BG17" i="5"/>
  <c r="BK17" i="5"/>
  <c r="BQ17" i="5"/>
  <c r="CA17" i="5"/>
  <c r="BU17" i="5"/>
  <c r="BO17" i="5"/>
  <c r="BW20" i="5"/>
  <c r="BY20" i="5"/>
  <c r="BG20" i="5"/>
  <c r="BQ20" i="5"/>
  <c r="CA20" i="5"/>
  <c r="BK20" i="5"/>
  <c r="BM20" i="5"/>
  <c r="BU20" i="5"/>
  <c r="BO20" i="5"/>
  <c r="BS20" i="5"/>
  <c r="BI20" i="5"/>
  <c r="BE20" i="5"/>
  <c r="BY25" i="5"/>
  <c r="CA25" i="5"/>
  <c r="BK25" i="5"/>
  <c r="BS25" i="5"/>
  <c r="BI25" i="5"/>
  <c r="BE25" i="5"/>
  <c r="BO25" i="5"/>
  <c r="BG25" i="5"/>
  <c r="BW25" i="5"/>
  <c r="BQ25" i="5"/>
  <c r="BM25" i="5"/>
  <c r="BU25" i="5"/>
  <c r="CA201" i="5"/>
  <c r="BY201" i="5"/>
  <c r="BW201" i="5"/>
  <c r="BU201" i="5"/>
  <c r="BI201" i="5"/>
  <c r="BS201" i="5"/>
  <c r="BQ201" i="5"/>
  <c r="BO201" i="5"/>
  <c r="BM201" i="5"/>
  <c r="BK201" i="5"/>
  <c r="BI198" i="5"/>
  <c r="BG201" i="5"/>
  <c r="BI199" i="5"/>
  <c r="BE201" i="5"/>
  <c r="BI200" i="5"/>
  <c r="BI202" i="5"/>
  <c r="BW12" i="5"/>
  <c r="BQ12" i="5"/>
  <c r="CA12" i="5"/>
  <c r="BK12" i="5"/>
  <c r="BU12" i="5"/>
  <c r="BY12" i="5"/>
  <c r="BO12" i="5"/>
  <c r="BS12" i="5"/>
  <c r="BI12" i="5"/>
  <c r="BE12" i="5"/>
  <c r="BM12" i="5"/>
  <c r="BU15" i="5"/>
  <c r="BW15" i="5"/>
  <c r="BK15" i="5"/>
  <c r="BO15" i="5"/>
  <c r="BY15" i="5"/>
  <c r="BS15" i="5"/>
  <c r="BI15" i="5"/>
  <c r="BE15" i="5"/>
  <c r="BM15" i="5"/>
  <c r="BG15" i="5"/>
  <c r="CA15" i="5"/>
  <c r="BQ15" i="5"/>
  <c r="BS26" i="5"/>
  <c r="BY26" i="5"/>
  <c r="BQ26" i="5"/>
  <c r="BK26" i="5"/>
  <c r="BI26" i="5"/>
  <c r="BM26" i="5"/>
  <c r="BU26" i="5"/>
  <c r="BO26" i="5"/>
  <c r="BW26" i="5"/>
  <c r="BG26" i="5"/>
  <c r="BE26" i="5"/>
  <c r="CA26" i="5"/>
  <c r="BQ13" i="5"/>
  <c r="BS13" i="5"/>
  <c r="BE13" i="5"/>
  <c r="CA13" i="5"/>
  <c r="BK13" i="5"/>
  <c r="BU13" i="5"/>
  <c r="BY13" i="5"/>
  <c r="BO13" i="5"/>
  <c r="BI13" i="5"/>
  <c r="BM13" i="5"/>
  <c r="BG13" i="5"/>
  <c r="BQ21" i="5"/>
  <c r="BI21" i="5"/>
  <c r="CA21" i="5"/>
  <c r="BK21" i="5"/>
  <c r="BU21" i="5"/>
  <c r="BS21" i="5"/>
  <c r="BW21" i="5"/>
  <c r="BO21" i="5"/>
  <c r="BY21" i="5"/>
  <c r="BE21" i="5"/>
  <c r="BM21" i="5"/>
  <c r="BG21" i="5"/>
  <c r="CA196" i="5"/>
  <c r="BY196" i="5"/>
  <c r="BS196" i="5"/>
  <c r="BQ196" i="5"/>
  <c r="BO196" i="5"/>
  <c r="BM196" i="5"/>
  <c r="BK196" i="5"/>
  <c r="BG196" i="5"/>
  <c r="BU196" i="5"/>
  <c r="BE196" i="5"/>
  <c r="BW196" i="5"/>
  <c r="CA253" i="5"/>
  <c r="BS253" i="5"/>
  <c r="BK253" i="5"/>
  <c r="BY253" i="5"/>
  <c r="BQ253" i="5"/>
  <c r="BI253" i="5"/>
  <c r="BE253" i="5"/>
  <c r="BW253" i="5"/>
  <c r="BU253" i="5"/>
  <c r="BM253" i="5"/>
  <c r="BG253" i="5"/>
  <c r="BO253" i="5"/>
  <c r="BU23" i="5"/>
  <c r="BO23" i="5"/>
  <c r="BY23" i="5"/>
  <c r="CA23" i="5"/>
  <c r="BS23" i="5"/>
  <c r="BI23" i="5"/>
  <c r="BE23" i="5"/>
  <c r="BM23" i="5"/>
  <c r="BG23" i="5"/>
  <c r="BW23" i="5"/>
  <c r="BK23" i="5"/>
  <c r="BQ23" i="5"/>
  <c r="BS18" i="5"/>
  <c r="BI18" i="5"/>
  <c r="BE18" i="5"/>
  <c r="BU18" i="5"/>
  <c r="BY18" i="5"/>
  <c r="BM18" i="5"/>
  <c r="BG18" i="5"/>
  <c r="BW18" i="5"/>
  <c r="BQ18" i="5"/>
  <c r="CA18" i="5"/>
  <c r="BK18" i="5"/>
  <c r="BO18" i="5"/>
  <c r="BO16" i="5"/>
  <c r="BY16" i="5"/>
  <c r="BS16" i="5"/>
  <c r="BI16" i="5"/>
  <c r="BE16" i="5"/>
  <c r="BM16" i="5"/>
  <c r="BG16" i="5"/>
  <c r="BW16" i="5"/>
  <c r="BQ16" i="5"/>
  <c r="BK16" i="5"/>
  <c r="BU16" i="5"/>
  <c r="BO24" i="5"/>
  <c r="BU24" i="5"/>
  <c r="BY24" i="5"/>
  <c r="BQ24" i="5"/>
  <c r="BS24" i="5"/>
  <c r="BI24" i="5"/>
  <c r="BE24" i="5"/>
  <c r="BM24" i="5"/>
  <c r="BG24" i="5"/>
  <c r="BW24" i="5"/>
  <c r="CA24" i="5"/>
  <c r="BK24" i="5"/>
  <c r="BW199" i="5"/>
  <c r="BU199" i="5"/>
  <c r="BS199" i="5"/>
  <c r="BQ199" i="5"/>
  <c r="BO199" i="5"/>
  <c r="BM199" i="5"/>
  <c r="BK199" i="5"/>
  <c r="BE199" i="5"/>
  <c r="CA199" i="5"/>
  <c r="BG199" i="5"/>
  <c r="BY199" i="5"/>
  <c r="CA198" i="5"/>
  <c r="BW198" i="5"/>
  <c r="BU198" i="5"/>
  <c r="BG198" i="5"/>
  <c r="BS198" i="5"/>
  <c r="BQ198" i="5"/>
  <c r="BO198" i="5"/>
  <c r="BM198" i="5"/>
  <c r="BK198" i="5"/>
  <c r="BE198" i="5"/>
  <c r="BY198" i="5"/>
  <c r="BS10" i="5"/>
  <c r="BI10" i="5"/>
  <c r="BA10" i="5"/>
  <c r="BE10" i="5"/>
  <c r="BM10" i="5"/>
  <c r="BG10" i="5"/>
  <c r="BW10" i="5"/>
  <c r="BQ10" i="5"/>
  <c r="CA10" i="5"/>
  <c r="BK10" i="5"/>
  <c r="BU10" i="5"/>
  <c r="BO10" i="5"/>
  <c r="BY10" i="5"/>
  <c r="BO8" i="5"/>
  <c r="BY8" i="5"/>
  <c r="BC8" i="5"/>
  <c r="BS8" i="5"/>
  <c r="BI8" i="5"/>
  <c r="BE8" i="5"/>
  <c r="BQ8" i="5"/>
  <c r="BU8" i="5"/>
  <c r="BM8" i="5"/>
  <c r="BG8" i="5"/>
  <c r="BW8" i="5"/>
  <c r="CA8" i="5"/>
  <c r="BK8" i="5"/>
  <c r="BM11" i="5"/>
  <c r="BG11" i="5"/>
  <c r="BO11" i="5"/>
  <c r="BS11" i="5"/>
  <c r="BW11" i="5"/>
  <c r="BQ11" i="5"/>
  <c r="CA11" i="5"/>
  <c r="BK11" i="5"/>
  <c r="BU11" i="5"/>
  <c r="BI11" i="5"/>
  <c r="BY11" i="5"/>
  <c r="BE11" i="5"/>
  <c r="BM19" i="5"/>
  <c r="BG19" i="5"/>
  <c r="BW19" i="5"/>
  <c r="BS19" i="5"/>
  <c r="BQ19" i="5"/>
  <c r="BE19" i="5"/>
  <c r="CA19" i="5"/>
  <c r="BK19" i="5"/>
  <c r="BU19" i="5"/>
  <c r="BO19" i="5"/>
  <c r="BY19" i="5"/>
  <c r="BI19" i="5"/>
  <c r="CA202" i="5"/>
  <c r="BY202" i="5"/>
  <c r="BW202" i="5"/>
  <c r="BS202" i="5"/>
  <c r="BQ202" i="5"/>
  <c r="BO202" i="5"/>
  <c r="BM202" i="5"/>
  <c r="BK202" i="5"/>
  <c r="BU202" i="5"/>
  <c r="CA200" i="5"/>
  <c r="BY200" i="5"/>
  <c r="BW200" i="5"/>
  <c r="BU200" i="5"/>
  <c r="BE200" i="5"/>
  <c r="BS200" i="5"/>
  <c r="BQ200" i="5"/>
  <c r="BO200" i="5"/>
  <c r="BM200" i="5"/>
  <c r="BK200" i="5"/>
  <c r="BG200" i="5"/>
  <c r="BY9" i="5"/>
  <c r="BS9" i="5"/>
  <c r="BI9" i="5"/>
  <c r="BE9" i="5"/>
  <c r="CA9" i="5"/>
  <c r="BO9" i="5"/>
  <c r="BM9" i="5"/>
  <c r="BG9" i="5"/>
  <c r="BW9" i="5"/>
  <c r="BQ9" i="5"/>
  <c r="BU9" i="5"/>
  <c r="BK9" i="5"/>
  <c r="CA14" i="5"/>
  <c r="BK14" i="5"/>
  <c r="BG14" i="5"/>
  <c r="BU14" i="5"/>
  <c r="BM14" i="5"/>
  <c r="BY14" i="5"/>
  <c r="BO14" i="5"/>
  <c r="BS14" i="5"/>
  <c r="BI14" i="5"/>
  <c r="BE14" i="5"/>
  <c r="BQ14" i="5"/>
  <c r="BW14" i="5"/>
  <c r="CA22" i="5"/>
  <c r="BK22" i="5"/>
  <c r="BU22" i="5"/>
  <c r="BG22" i="5"/>
  <c r="BO22" i="5"/>
  <c r="BY22" i="5"/>
  <c r="BQ22" i="5"/>
  <c r="BS22" i="5"/>
  <c r="BI22" i="5"/>
  <c r="BE22" i="5"/>
  <c r="BM22" i="5"/>
  <c r="BW22" i="5"/>
  <c r="CA197" i="5"/>
  <c r="BW197" i="5"/>
  <c r="BU197" i="5"/>
  <c r="BI197" i="5"/>
  <c r="BM197" i="5"/>
  <c r="BE197" i="5"/>
  <c r="BS197" i="5"/>
  <c r="BK197" i="5"/>
  <c r="BY197" i="5"/>
  <c r="BQ197" i="5"/>
  <c r="BO197" i="5"/>
  <c r="BI196" i="5"/>
  <c r="BG197" i="5"/>
  <c r="CA254" i="5"/>
  <c r="BS254" i="5"/>
  <c r="BK254" i="5"/>
  <c r="BY254" i="5"/>
  <c r="BQ254" i="5"/>
  <c r="BI254" i="5"/>
  <c r="BW254" i="5"/>
  <c r="BO254" i="5"/>
  <c r="BG254" i="5"/>
  <c r="BU254" i="5"/>
  <c r="BM254" i="5"/>
  <c r="BE254" i="5"/>
  <c r="BC21" i="5"/>
  <c r="AU197" i="5"/>
  <c r="I26" i="5"/>
  <c r="BC16" i="5"/>
  <c r="BC24" i="5"/>
  <c r="I11" i="5"/>
  <c r="BC17" i="5"/>
  <c r="I25" i="5"/>
  <c r="I200" i="5"/>
  <c r="AW254" i="5"/>
  <c r="BA202" i="5"/>
  <c r="BC9" i="5"/>
  <c r="BC12" i="5"/>
  <c r="BC20" i="5"/>
  <c r="BA124" i="5"/>
  <c r="AW195" i="5"/>
  <c r="BA23" i="5"/>
  <c r="BA198" i="5"/>
  <c r="AS13" i="5"/>
  <c r="AW25" i="5"/>
  <c r="I197" i="5"/>
  <c r="AW198" i="5"/>
  <c r="AW10" i="5"/>
  <c r="I14" i="5"/>
  <c r="BC197" i="5"/>
  <c r="BC200" i="5"/>
  <c r="AS26" i="5"/>
  <c r="BC14" i="5"/>
  <c r="I198" i="5"/>
  <c r="BA18" i="5"/>
  <c r="AS18" i="5"/>
  <c r="AY18" i="5"/>
  <c r="I18" i="5"/>
  <c r="AW18" i="5"/>
  <c r="I10" i="5"/>
  <c r="AU10" i="5"/>
  <c r="K194" i="5"/>
  <c r="AU18" i="5"/>
  <c r="BC10" i="5"/>
  <c r="BC13" i="5"/>
  <c r="BA13" i="5"/>
  <c r="I13" i="5"/>
  <c r="AW13" i="5"/>
  <c r="AW9" i="5"/>
  <c r="I22" i="5"/>
  <c r="BC22" i="5"/>
  <c r="BA22" i="5"/>
  <c r="AY22" i="5"/>
  <c r="AW22" i="5"/>
  <c r="AU22" i="5"/>
  <c r="AS22" i="5"/>
  <c r="AW26" i="5"/>
  <c r="AW124" i="5"/>
  <c r="AY198" i="5"/>
  <c r="AW14" i="5"/>
  <c r="BA26" i="5"/>
  <c r="BC198" i="5"/>
  <c r="G122" i="5"/>
  <c r="G203" i="5"/>
  <c r="AS17" i="5"/>
  <c r="BA21" i="5"/>
  <c r="AY14" i="5"/>
  <c r="I24" i="5"/>
  <c r="AS198" i="5"/>
  <c r="AS200" i="5"/>
  <c r="AU200" i="5"/>
  <c r="AW200" i="5"/>
  <c r="I16" i="5"/>
  <c r="G6" i="5"/>
  <c r="G71" i="5"/>
  <c r="BA9" i="5"/>
  <c r="I20" i="5"/>
  <c r="BC202" i="5"/>
  <c r="AS202" i="5"/>
  <c r="AW202" i="5"/>
  <c r="I202" i="5"/>
  <c r="AY202" i="5"/>
  <c r="AU202" i="5"/>
  <c r="I8" i="5"/>
  <c r="AY10" i="5"/>
  <c r="I12" i="5"/>
  <c r="BA14" i="5"/>
  <c r="I17" i="5"/>
  <c r="AW17" i="5"/>
  <c r="G49" i="5"/>
  <c r="K131" i="5"/>
  <c r="AS10" i="5"/>
  <c r="AS21" i="5"/>
  <c r="I9" i="5"/>
  <c r="AS9" i="5"/>
  <c r="AS14" i="5"/>
  <c r="AU14" i="5"/>
  <c r="BA17" i="5"/>
  <c r="I21" i="5"/>
  <c r="AW21" i="5"/>
  <c r="G38" i="5"/>
  <c r="BC18" i="5"/>
  <c r="AS25" i="5"/>
  <c r="AY201" i="5"/>
  <c r="I201" i="5"/>
  <c r="AU201" i="5"/>
  <c r="BC201" i="5"/>
  <c r="BA25" i="5"/>
  <c r="BA195" i="5"/>
  <c r="AS195" i="5"/>
  <c r="I195" i="5"/>
  <c r="G131" i="5"/>
  <c r="AU198" i="5"/>
  <c r="G82" i="5"/>
  <c r="G194" i="5"/>
  <c r="G272" i="5"/>
  <c r="K60" i="5"/>
  <c r="AS254" i="5"/>
  <c r="AU11" i="5"/>
  <c r="AY11" i="5"/>
  <c r="BC11" i="5"/>
  <c r="AU15" i="5"/>
  <c r="AY15" i="5"/>
  <c r="BC15" i="5"/>
  <c r="AU19" i="5"/>
  <c r="AY19" i="5"/>
  <c r="BC19" i="5"/>
  <c r="AU23" i="5"/>
  <c r="AY23" i="5"/>
  <c r="BC23" i="5"/>
  <c r="I23" i="5"/>
  <c r="AS24" i="5"/>
  <c r="AW24" i="5"/>
  <c r="BA24" i="5"/>
  <c r="AU26" i="5"/>
  <c r="AY26" i="5"/>
  <c r="BC26" i="5"/>
  <c r="BA8" i="5"/>
  <c r="AW12" i="5"/>
  <c r="I15" i="5"/>
  <c r="AS16" i="5"/>
  <c r="BA16" i="5"/>
  <c r="I19" i="5"/>
  <c r="AW20" i="5"/>
  <c r="K71" i="5"/>
  <c r="AW8" i="5"/>
  <c r="BA12" i="5"/>
  <c r="AW16" i="5"/>
  <c r="AS20" i="5"/>
  <c r="AU9" i="5"/>
  <c r="AY9" i="5"/>
  <c r="AS11" i="5"/>
  <c r="AW11" i="5"/>
  <c r="BA11" i="5"/>
  <c r="AU13" i="5"/>
  <c r="AY13" i="5"/>
  <c r="AS15" i="5"/>
  <c r="AW15" i="5"/>
  <c r="BA15" i="5"/>
  <c r="AU17" i="5"/>
  <c r="AY17" i="5"/>
  <c r="AS19" i="5"/>
  <c r="AW19" i="5"/>
  <c r="BA19" i="5"/>
  <c r="AU21" i="5"/>
  <c r="AY21" i="5"/>
  <c r="AS23" i="5"/>
  <c r="AW23" i="5"/>
  <c r="AU25" i="5"/>
  <c r="AY25" i="5"/>
  <c r="BC25" i="5"/>
  <c r="AS12" i="5"/>
  <c r="BA20" i="5"/>
  <c r="K49" i="5"/>
  <c r="AS8" i="5"/>
  <c r="AU8" i="5"/>
  <c r="AY8" i="5"/>
  <c r="AU12" i="5"/>
  <c r="AY12" i="5"/>
  <c r="AU16" i="5"/>
  <c r="AY16" i="5"/>
  <c r="AU20" i="5"/>
  <c r="AY20" i="5"/>
  <c r="AU24" i="5"/>
  <c r="AY24" i="5"/>
  <c r="K38" i="5"/>
  <c r="G27" i="5"/>
  <c r="K122" i="5"/>
  <c r="AY196" i="5"/>
  <c r="AW196" i="5"/>
  <c r="I196" i="5"/>
  <c r="AU196" i="5"/>
  <c r="BA196" i="5"/>
  <c r="BC196" i="5"/>
  <c r="AS196" i="5"/>
  <c r="AY123" i="5"/>
  <c r="G221" i="5"/>
  <c r="K221" i="5"/>
  <c r="BC124" i="5"/>
  <c r="AY124" i="5"/>
  <c r="AU124" i="5"/>
  <c r="G234" i="5"/>
  <c r="BA197" i="5"/>
  <c r="AW197" i="5"/>
  <c r="AS197" i="5"/>
  <c r="AY197" i="5"/>
  <c r="BC199" i="5"/>
  <c r="AY199" i="5"/>
  <c r="AU199" i="5"/>
  <c r="AW199" i="5"/>
  <c r="I199" i="5"/>
  <c r="BA199" i="5"/>
  <c r="AS199" i="5"/>
  <c r="K82" i="5"/>
  <c r="BC195" i="5"/>
  <c r="AY195" i="5"/>
  <c r="AU195" i="5"/>
  <c r="AY200" i="5"/>
  <c r="BA200" i="5"/>
  <c r="BA201" i="5"/>
  <c r="AW201" i="5"/>
  <c r="AS201" i="5"/>
  <c r="G60" i="5"/>
  <c r="AW61" i="5"/>
  <c r="BC254" i="5"/>
  <c r="AY254" i="5"/>
  <c r="AU254" i="5"/>
  <c r="BA254" i="5"/>
  <c r="BC253" i="5"/>
  <c r="AY253" i="5"/>
  <c r="AU253" i="5"/>
  <c r="BA253" i="5"/>
  <c r="AW253" i="5"/>
  <c r="AS253" i="5"/>
  <c r="K252" i="5"/>
  <c r="K203" i="5"/>
  <c r="K30" i="1"/>
  <c r="K10" i="1"/>
  <c r="K21" i="1"/>
  <c r="H68" i="4"/>
  <c r="F69" i="4" s="1"/>
  <c r="H65" i="4"/>
  <c r="E66" i="4" s="1"/>
  <c r="H62" i="4"/>
  <c r="D63" i="4" s="1"/>
  <c r="H59" i="4"/>
  <c r="E60" i="4" s="1"/>
  <c r="H56" i="4"/>
  <c r="D57" i="4" s="1"/>
  <c r="H53" i="4"/>
  <c r="C54" i="4" s="1"/>
  <c r="H50" i="4"/>
  <c r="F51" i="4" s="1"/>
  <c r="H47" i="4"/>
  <c r="G48" i="4" s="1"/>
  <c r="H44" i="4"/>
  <c r="F45" i="4" s="1"/>
  <c r="H41" i="4"/>
  <c r="E42" i="4" s="1"/>
  <c r="H38" i="4"/>
  <c r="D39" i="4" s="1"/>
  <c r="H35" i="4"/>
  <c r="E36" i="4" s="1"/>
  <c r="H32" i="4"/>
  <c r="G33" i="4" s="1"/>
  <c r="H29" i="4"/>
  <c r="H26" i="4"/>
  <c r="F27" i="4" s="1"/>
  <c r="H23" i="4"/>
  <c r="G24" i="4" s="1"/>
  <c r="O6" i="1"/>
  <c r="T6" i="1"/>
  <c r="Y6" i="1"/>
  <c r="AD6" i="1"/>
  <c r="AI6" i="1"/>
  <c r="AN6" i="1"/>
  <c r="AS6" i="1"/>
  <c r="AX6" i="1"/>
  <c r="BC6" i="1"/>
  <c r="BH6" i="1"/>
  <c r="BM6" i="1"/>
  <c r="BR6" i="1"/>
  <c r="O28" i="1"/>
  <c r="T28" i="1"/>
  <c r="Y28" i="1"/>
  <c r="AD28" i="1"/>
  <c r="AI28" i="1"/>
  <c r="AN28" i="1"/>
  <c r="AS28" i="1"/>
  <c r="AX28" i="1"/>
  <c r="BC28" i="1"/>
  <c r="BH28" i="1"/>
  <c r="BM28" i="1"/>
  <c r="BR28" i="1"/>
  <c r="BR253" i="1"/>
  <c r="BR252" i="1"/>
  <c r="BR251" i="1"/>
  <c r="BR250" i="1"/>
  <c r="BR249" i="1"/>
  <c r="BR248" i="1"/>
  <c r="BR247" i="1"/>
  <c r="BR246" i="1"/>
  <c r="BR245" i="1"/>
  <c r="BR244" i="1"/>
  <c r="BR243" i="1"/>
  <c r="BR242" i="1"/>
  <c r="BM253" i="1"/>
  <c r="BM252" i="1"/>
  <c r="BM251" i="1"/>
  <c r="BM250" i="1"/>
  <c r="BM249" i="1"/>
  <c r="BM248" i="1"/>
  <c r="BM247" i="1"/>
  <c r="BM246" i="1"/>
  <c r="BM245" i="1"/>
  <c r="BM244" i="1"/>
  <c r="BM243" i="1"/>
  <c r="BM242" i="1"/>
  <c r="BH253" i="1"/>
  <c r="BH252" i="1"/>
  <c r="BH251" i="1"/>
  <c r="BH250" i="1"/>
  <c r="BH249" i="1"/>
  <c r="BH248" i="1"/>
  <c r="BH247" i="1"/>
  <c r="BH246" i="1"/>
  <c r="BH245" i="1"/>
  <c r="BH244" i="1"/>
  <c r="BH243" i="1"/>
  <c r="BH242" i="1"/>
  <c r="BC253" i="1"/>
  <c r="BC252" i="1"/>
  <c r="BC251" i="1"/>
  <c r="BC250" i="1"/>
  <c r="BC249" i="1"/>
  <c r="BC248" i="1"/>
  <c r="BC247" i="1"/>
  <c r="BC246" i="1"/>
  <c r="BC245" i="1"/>
  <c r="BC244" i="1"/>
  <c r="BC243" i="1"/>
  <c r="BC242" i="1"/>
  <c r="AX253" i="1"/>
  <c r="AX252" i="1"/>
  <c r="AX251" i="1"/>
  <c r="AX250" i="1"/>
  <c r="AX249" i="1"/>
  <c r="AX248" i="1"/>
  <c r="AX247" i="1"/>
  <c r="AX246" i="1"/>
  <c r="AX245" i="1"/>
  <c r="AX244" i="1"/>
  <c r="AX243" i="1"/>
  <c r="AX242" i="1"/>
  <c r="AS253" i="1"/>
  <c r="AS252" i="1"/>
  <c r="AS251" i="1"/>
  <c r="AS250" i="1"/>
  <c r="AS249" i="1"/>
  <c r="AS248" i="1"/>
  <c r="AS247" i="1"/>
  <c r="AS246" i="1"/>
  <c r="AS245" i="1"/>
  <c r="AS244" i="1"/>
  <c r="AS243" i="1"/>
  <c r="AS242" i="1"/>
  <c r="AN253" i="1"/>
  <c r="AN252" i="1"/>
  <c r="AN251" i="1"/>
  <c r="AN250" i="1"/>
  <c r="AN249" i="1"/>
  <c r="AN248" i="1"/>
  <c r="AN247" i="1"/>
  <c r="AN246" i="1"/>
  <c r="AN245" i="1"/>
  <c r="AN244" i="1"/>
  <c r="AN243" i="1"/>
  <c r="AN242" i="1"/>
  <c r="AI253" i="1"/>
  <c r="AI252" i="1"/>
  <c r="AI251" i="1"/>
  <c r="AI250" i="1"/>
  <c r="AI249" i="1"/>
  <c r="AI248" i="1"/>
  <c r="AI247" i="1"/>
  <c r="AI246" i="1"/>
  <c r="AI245" i="1"/>
  <c r="AI244" i="1"/>
  <c r="AI243" i="1"/>
  <c r="AI242" i="1"/>
  <c r="AD253" i="1"/>
  <c r="AD252" i="1"/>
  <c r="AD251" i="1"/>
  <c r="AD250" i="1"/>
  <c r="AD249" i="1"/>
  <c r="AD248" i="1"/>
  <c r="AD247" i="1"/>
  <c r="AD246" i="1"/>
  <c r="AD245" i="1"/>
  <c r="AD244" i="1"/>
  <c r="AD243" i="1"/>
  <c r="AD242" i="1"/>
  <c r="Y253" i="1"/>
  <c r="Y252" i="1"/>
  <c r="Y251" i="1"/>
  <c r="Y250" i="1"/>
  <c r="Y249" i="1"/>
  <c r="Y248" i="1"/>
  <c r="Y247" i="1"/>
  <c r="Y246" i="1"/>
  <c r="Y245" i="1"/>
  <c r="Y244" i="1"/>
  <c r="Y243" i="1"/>
  <c r="Y242" i="1"/>
  <c r="T253" i="1"/>
  <c r="T252" i="1"/>
  <c r="T251" i="1"/>
  <c r="T250" i="1"/>
  <c r="T249" i="1"/>
  <c r="T248" i="1"/>
  <c r="T247" i="1"/>
  <c r="T246" i="1"/>
  <c r="T245" i="1"/>
  <c r="T244" i="1"/>
  <c r="T243" i="1"/>
  <c r="T242" i="1"/>
  <c r="O253" i="1"/>
  <c r="O252" i="1"/>
  <c r="O251" i="1"/>
  <c r="O250" i="1"/>
  <c r="O249" i="1"/>
  <c r="O248" i="1"/>
  <c r="O247" i="1"/>
  <c r="O246" i="1"/>
  <c r="O245" i="1"/>
  <c r="O244" i="1"/>
  <c r="O243" i="1"/>
  <c r="O242" i="1"/>
  <c r="BG9" i="3"/>
  <c r="BG7" i="3"/>
  <c r="BG5" i="3"/>
  <c r="CW81" i="5" l="1"/>
  <c r="CY81" i="5"/>
  <c r="CW53" i="5"/>
  <c r="CY53" i="5"/>
  <c r="CW97" i="5"/>
  <c r="CY97" i="5"/>
  <c r="CW85" i="5"/>
  <c r="CY85" i="5"/>
  <c r="CW41" i="5"/>
  <c r="CY41" i="5"/>
  <c r="CW236" i="5"/>
  <c r="CY236" i="5"/>
  <c r="CW232" i="5"/>
  <c r="CY232" i="5"/>
  <c r="CW275" i="5"/>
  <c r="CY275" i="5"/>
  <c r="CW80" i="5"/>
  <c r="CY80" i="5"/>
  <c r="CW50" i="5"/>
  <c r="CY50" i="5"/>
  <c r="CW89" i="5"/>
  <c r="CY89" i="5"/>
  <c r="CW92" i="5"/>
  <c r="CY92" i="5"/>
  <c r="CW240" i="5"/>
  <c r="CY240" i="5"/>
  <c r="CW235" i="5"/>
  <c r="CY235" i="5"/>
  <c r="CW227" i="5"/>
  <c r="CY227" i="5"/>
  <c r="CW230" i="5"/>
  <c r="CY230" i="5"/>
  <c r="CW273" i="5"/>
  <c r="CY273" i="5"/>
  <c r="CW33" i="5"/>
  <c r="CY33" i="5"/>
  <c r="CW59" i="5"/>
  <c r="CY59" i="5"/>
  <c r="CW96" i="5"/>
  <c r="CY96" i="5"/>
  <c r="CW91" i="5"/>
  <c r="CY91" i="5"/>
  <c r="CW222" i="5"/>
  <c r="CY222" i="5"/>
  <c r="CW229" i="5"/>
  <c r="CY229" i="5"/>
  <c r="CW274" i="5"/>
  <c r="CY274" i="5"/>
  <c r="CW79" i="5"/>
  <c r="CY79" i="5"/>
  <c r="CW32" i="5"/>
  <c r="CY32" i="5"/>
  <c r="CW58" i="5"/>
  <c r="CY58" i="5"/>
  <c r="CW88" i="5"/>
  <c r="CY88" i="5"/>
  <c r="CW48" i="5"/>
  <c r="CY48" i="5"/>
  <c r="CW239" i="5"/>
  <c r="CY239" i="5"/>
  <c r="CW226" i="5"/>
  <c r="CY226" i="5"/>
  <c r="CW224" i="5"/>
  <c r="CY224" i="5"/>
  <c r="CW281" i="5"/>
  <c r="CY281" i="5"/>
  <c r="CW78" i="5"/>
  <c r="CY78" i="5"/>
  <c r="CW31" i="5"/>
  <c r="CY31" i="5"/>
  <c r="CW55" i="5"/>
  <c r="CY55" i="5"/>
  <c r="CW95" i="5"/>
  <c r="CY95" i="5"/>
  <c r="CW40" i="5"/>
  <c r="CY40" i="5"/>
  <c r="CW242" i="5"/>
  <c r="CY242" i="5"/>
  <c r="CW233" i="5"/>
  <c r="CY233" i="5"/>
  <c r="CW228" i="5"/>
  <c r="CY228" i="5"/>
  <c r="CW279" i="5"/>
  <c r="CY279" i="5"/>
  <c r="CW77" i="5"/>
  <c r="CY77" i="5"/>
  <c r="CW28" i="5"/>
  <c r="CY28" i="5"/>
  <c r="CW54" i="5"/>
  <c r="CY54" i="5"/>
  <c r="CW94" i="5"/>
  <c r="CY94" i="5"/>
  <c r="CW47" i="5"/>
  <c r="CY47" i="5"/>
  <c r="CW238" i="5"/>
  <c r="CY238" i="5"/>
  <c r="CW225" i="5"/>
  <c r="CY225" i="5"/>
  <c r="CW76" i="5"/>
  <c r="CY76" i="5"/>
  <c r="CW30" i="5"/>
  <c r="CY30" i="5"/>
  <c r="CW98" i="5"/>
  <c r="CY98" i="5"/>
  <c r="CW86" i="5"/>
  <c r="CY86" i="5"/>
  <c r="CW44" i="5"/>
  <c r="CY44" i="5"/>
  <c r="CW237" i="5"/>
  <c r="CY237" i="5"/>
  <c r="CW241" i="5"/>
  <c r="CY241" i="5"/>
  <c r="CW231" i="5"/>
  <c r="CY231" i="5"/>
  <c r="CY194" i="5"/>
  <c r="CW75" i="5"/>
  <c r="CY75" i="5"/>
  <c r="CW67" i="5"/>
  <c r="CW60" i="5" s="1"/>
  <c r="CY67" i="5"/>
  <c r="CY60" i="5" s="1"/>
  <c r="CW90" i="5"/>
  <c r="CY90" i="5"/>
  <c r="CW93" i="5"/>
  <c r="CY93" i="5"/>
  <c r="CW43" i="5"/>
  <c r="CY43" i="5"/>
  <c r="CW223" i="5"/>
  <c r="CY223" i="5"/>
  <c r="CW153" i="5"/>
  <c r="CY153" i="5"/>
  <c r="CW149" i="5"/>
  <c r="CY149" i="5"/>
  <c r="CW145" i="5"/>
  <c r="CY145" i="5"/>
  <c r="CW135" i="5"/>
  <c r="CY135" i="5"/>
  <c r="CW140" i="5"/>
  <c r="CY140" i="5"/>
  <c r="CW137" i="5"/>
  <c r="CY137" i="5"/>
  <c r="CW138" i="5"/>
  <c r="CY138" i="5"/>
  <c r="CW143" i="5"/>
  <c r="CY143" i="5"/>
  <c r="CW133" i="5"/>
  <c r="CY133" i="5"/>
  <c r="CW146" i="5"/>
  <c r="CY146" i="5"/>
  <c r="CW150" i="5"/>
  <c r="CY150" i="5"/>
  <c r="CW155" i="5"/>
  <c r="CY155" i="5"/>
  <c r="CW152" i="5"/>
  <c r="CY152" i="5"/>
  <c r="CW142" i="5"/>
  <c r="CY142" i="5"/>
  <c r="CW147" i="5"/>
  <c r="CY147" i="5"/>
  <c r="CW144" i="5"/>
  <c r="CY144" i="5"/>
  <c r="CW134" i="5"/>
  <c r="CY134" i="5"/>
  <c r="CW141" i="5"/>
  <c r="CY141" i="5"/>
  <c r="CW132" i="5"/>
  <c r="CY132" i="5"/>
  <c r="CW139" i="5"/>
  <c r="CY139" i="5"/>
  <c r="CW136" i="5"/>
  <c r="CY136" i="5"/>
  <c r="CW148" i="5"/>
  <c r="CY148" i="5"/>
  <c r="CW154" i="5"/>
  <c r="CY154" i="5"/>
  <c r="CW151" i="5"/>
  <c r="CY151" i="5"/>
  <c r="CU274" i="5"/>
  <c r="CU79" i="5"/>
  <c r="CU32" i="5"/>
  <c r="CU58" i="5"/>
  <c r="CU88" i="5"/>
  <c r="CU48" i="5"/>
  <c r="CU239" i="5"/>
  <c r="CU226" i="5"/>
  <c r="CU224" i="5"/>
  <c r="CU281" i="5"/>
  <c r="CU78" i="5"/>
  <c r="CU31" i="5"/>
  <c r="CU55" i="5"/>
  <c r="CU95" i="5"/>
  <c r="CU40" i="5"/>
  <c r="CU242" i="5"/>
  <c r="CU233" i="5"/>
  <c r="CU228" i="5"/>
  <c r="CU279" i="5"/>
  <c r="CU77" i="5"/>
  <c r="CU28" i="5"/>
  <c r="CU54" i="5"/>
  <c r="CU94" i="5"/>
  <c r="CU47" i="5"/>
  <c r="CU238" i="5"/>
  <c r="CU225" i="5"/>
  <c r="CU76" i="5"/>
  <c r="CU30" i="5"/>
  <c r="CU98" i="5"/>
  <c r="CU86" i="5"/>
  <c r="CU44" i="5"/>
  <c r="CU237" i="5"/>
  <c r="CU241" i="5"/>
  <c r="CU231" i="5"/>
  <c r="CU75" i="5"/>
  <c r="CU67" i="5"/>
  <c r="CU90" i="5"/>
  <c r="CU93" i="5"/>
  <c r="CU43" i="5"/>
  <c r="CU223" i="5"/>
  <c r="CU81" i="5"/>
  <c r="CU53" i="5"/>
  <c r="CU97" i="5"/>
  <c r="CU85" i="5"/>
  <c r="CU41" i="5"/>
  <c r="CU236" i="5"/>
  <c r="CU232" i="5"/>
  <c r="CU275" i="5"/>
  <c r="CU80" i="5"/>
  <c r="CU50" i="5"/>
  <c r="CU89" i="5"/>
  <c r="CU92" i="5"/>
  <c r="CU240" i="5"/>
  <c r="CU235" i="5"/>
  <c r="CU227" i="5"/>
  <c r="CU230" i="5"/>
  <c r="CW194" i="5"/>
  <c r="CU273" i="5"/>
  <c r="CU33" i="5"/>
  <c r="CU59" i="5"/>
  <c r="CU96" i="5"/>
  <c r="CU91" i="5"/>
  <c r="CU222" i="5"/>
  <c r="CU229" i="5"/>
  <c r="BC237" i="5"/>
  <c r="CS141" i="5"/>
  <c r="CS153" i="5"/>
  <c r="CS143" i="5"/>
  <c r="CS145" i="5"/>
  <c r="CS135" i="5"/>
  <c r="CS140" i="5"/>
  <c r="CS137" i="5"/>
  <c r="CS138" i="5"/>
  <c r="CS149" i="5"/>
  <c r="CS133" i="5"/>
  <c r="CS146" i="5"/>
  <c r="CS150" i="5"/>
  <c r="CS155" i="5"/>
  <c r="CS152" i="5"/>
  <c r="CS142" i="5"/>
  <c r="CS147" i="5"/>
  <c r="CS144" i="5"/>
  <c r="CS134" i="5"/>
  <c r="CS132" i="5"/>
  <c r="CS139" i="5"/>
  <c r="CS136" i="5"/>
  <c r="CS148" i="5"/>
  <c r="CS154" i="5"/>
  <c r="CS151" i="5"/>
  <c r="CS81" i="5"/>
  <c r="CQ81" i="5"/>
  <c r="CQ53" i="5"/>
  <c r="CS53" i="5"/>
  <c r="CQ97" i="5"/>
  <c r="CS97" i="5"/>
  <c r="CQ85" i="5"/>
  <c r="CS85" i="5"/>
  <c r="CQ41" i="5"/>
  <c r="CS41" i="5"/>
  <c r="CQ236" i="5"/>
  <c r="CS236" i="5"/>
  <c r="CQ232" i="5"/>
  <c r="CS232" i="5"/>
  <c r="CQ275" i="5"/>
  <c r="CS275" i="5"/>
  <c r="CQ80" i="5"/>
  <c r="CS80" i="5"/>
  <c r="CQ50" i="5"/>
  <c r="CS50" i="5"/>
  <c r="CQ89" i="5"/>
  <c r="CS89" i="5"/>
  <c r="CQ92" i="5"/>
  <c r="CS92" i="5"/>
  <c r="CQ240" i="5"/>
  <c r="CS240" i="5"/>
  <c r="CQ235" i="5"/>
  <c r="CS235" i="5"/>
  <c r="CQ227" i="5"/>
  <c r="CS227" i="5"/>
  <c r="CQ230" i="5"/>
  <c r="CS230" i="5"/>
  <c r="CQ273" i="5"/>
  <c r="CS273" i="5"/>
  <c r="CQ33" i="5"/>
  <c r="CS33" i="5"/>
  <c r="CQ59" i="5"/>
  <c r="CS59" i="5"/>
  <c r="CQ96" i="5"/>
  <c r="CS96" i="5"/>
  <c r="CQ91" i="5"/>
  <c r="CS91" i="5"/>
  <c r="CQ222" i="5"/>
  <c r="CS222" i="5"/>
  <c r="CQ229" i="5"/>
  <c r="CS229" i="5"/>
  <c r="CQ274" i="5"/>
  <c r="CS274" i="5"/>
  <c r="CQ79" i="5"/>
  <c r="CS79" i="5"/>
  <c r="CQ32" i="5"/>
  <c r="CS32" i="5"/>
  <c r="CQ58" i="5"/>
  <c r="CS58" i="5"/>
  <c r="CQ88" i="5"/>
  <c r="CS88" i="5"/>
  <c r="CQ48" i="5"/>
  <c r="CS48" i="5"/>
  <c r="CQ239" i="5"/>
  <c r="CS239" i="5"/>
  <c r="CQ226" i="5"/>
  <c r="CS226" i="5"/>
  <c r="CQ224" i="5"/>
  <c r="CS224" i="5"/>
  <c r="CQ281" i="5"/>
  <c r="CS281" i="5"/>
  <c r="CQ78" i="5"/>
  <c r="CS78" i="5"/>
  <c r="CQ31" i="5"/>
  <c r="CS31" i="5"/>
  <c r="CS55" i="5"/>
  <c r="CQ55" i="5"/>
  <c r="CQ95" i="5"/>
  <c r="CS95" i="5"/>
  <c r="CQ40" i="5"/>
  <c r="CS40" i="5"/>
  <c r="CQ242" i="5"/>
  <c r="CS242" i="5"/>
  <c r="CQ233" i="5"/>
  <c r="CS233" i="5"/>
  <c r="CS228" i="5"/>
  <c r="CQ228" i="5"/>
  <c r="CS279" i="5"/>
  <c r="CQ279" i="5"/>
  <c r="CQ77" i="5"/>
  <c r="CS77" i="5"/>
  <c r="CQ28" i="5"/>
  <c r="CS28" i="5"/>
  <c r="CQ54" i="5"/>
  <c r="CS54" i="5"/>
  <c r="CQ94" i="5"/>
  <c r="CS94" i="5"/>
  <c r="CQ47" i="5"/>
  <c r="CS47" i="5"/>
  <c r="CS238" i="5"/>
  <c r="CQ238" i="5"/>
  <c r="CQ225" i="5"/>
  <c r="CS225" i="5"/>
  <c r="CQ76" i="5"/>
  <c r="CS76" i="5"/>
  <c r="CQ30" i="5"/>
  <c r="CS30" i="5"/>
  <c r="CS98" i="5"/>
  <c r="CQ98" i="5"/>
  <c r="CQ86" i="5"/>
  <c r="CS86" i="5"/>
  <c r="CQ44" i="5"/>
  <c r="CS44" i="5"/>
  <c r="CS237" i="5"/>
  <c r="CQ237" i="5"/>
  <c r="CQ241" i="5"/>
  <c r="CS241" i="5"/>
  <c r="CQ231" i="5"/>
  <c r="CS231" i="5"/>
  <c r="CQ75" i="5"/>
  <c r="CS75" i="5"/>
  <c r="CQ67" i="5"/>
  <c r="CQ60" i="5" s="1"/>
  <c r="CS67" i="5"/>
  <c r="CS60" i="5" s="1"/>
  <c r="CS90" i="5"/>
  <c r="CQ90" i="5"/>
  <c r="CQ93" i="5"/>
  <c r="CS93" i="5"/>
  <c r="CQ43" i="5"/>
  <c r="CS43" i="5"/>
  <c r="CQ223" i="5"/>
  <c r="CS223" i="5"/>
  <c r="CM81" i="5"/>
  <c r="CO81" i="5"/>
  <c r="CM53" i="5"/>
  <c r="CO53" i="5"/>
  <c r="CM97" i="5"/>
  <c r="CO97" i="5"/>
  <c r="CM85" i="5"/>
  <c r="CO85" i="5"/>
  <c r="CM41" i="5"/>
  <c r="CO41" i="5"/>
  <c r="CM236" i="5"/>
  <c r="CO236" i="5"/>
  <c r="CO232" i="5"/>
  <c r="CM232" i="5"/>
  <c r="CO275" i="5"/>
  <c r="CM275" i="5"/>
  <c r="CM80" i="5"/>
  <c r="CO80" i="5"/>
  <c r="CM50" i="5"/>
  <c r="CO50" i="5"/>
  <c r="CM89" i="5"/>
  <c r="CO89" i="5"/>
  <c r="CM92" i="5"/>
  <c r="CO92" i="5"/>
  <c r="CM240" i="5"/>
  <c r="CO240" i="5"/>
  <c r="CM235" i="5"/>
  <c r="CO235" i="5"/>
  <c r="CM227" i="5"/>
  <c r="CO227" i="5"/>
  <c r="CM230" i="5"/>
  <c r="CO230" i="5"/>
  <c r="CM273" i="5"/>
  <c r="CO273" i="5"/>
  <c r="CO33" i="5"/>
  <c r="CM33" i="5"/>
  <c r="CO59" i="5"/>
  <c r="CM59" i="5"/>
  <c r="CM96" i="5"/>
  <c r="CO96" i="5"/>
  <c r="CM91" i="5"/>
  <c r="CO91" i="5"/>
  <c r="CM222" i="5"/>
  <c r="CO222" i="5"/>
  <c r="CM229" i="5"/>
  <c r="CO229" i="5"/>
  <c r="CM274" i="5"/>
  <c r="CO274" i="5"/>
  <c r="CM79" i="5"/>
  <c r="CO79" i="5"/>
  <c r="CM32" i="5"/>
  <c r="CO32" i="5"/>
  <c r="CM58" i="5"/>
  <c r="CO58" i="5"/>
  <c r="CM88" i="5"/>
  <c r="CO88" i="5"/>
  <c r="CM48" i="5"/>
  <c r="CO48" i="5"/>
  <c r="CM239" i="5"/>
  <c r="CO239" i="5"/>
  <c r="CM226" i="5"/>
  <c r="CO226" i="5"/>
  <c r="CO224" i="5"/>
  <c r="CM224" i="5"/>
  <c r="CM281" i="5"/>
  <c r="CO281" i="5"/>
  <c r="CO78" i="5"/>
  <c r="CM78" i="5"/>
  <c r="CM31" i="5"/>
  <c r="CO31" i="5"/>
  <c r="CM55" i="5"/>
  <c r="CO55" i="5"/>
  <c r="CO95" i="5"/>
  <c r="CM95" i="5"/>
  <c r="CM40" i="5"/>
  <c r="CO40" i="5"/>
  <c r="CO242" i="5"/>
  <c r="CM242" i="5"/>
  <c r="CM233" i="5"/>
  <c r="CO233" i="5"/>
  <c r="CM228" i="5"/>
  <c r="CO228" i="5"/>
  <c r="CM279" i="5"/>
  <c r="CO279" i="5"/>
  <c r="CO77" i="5"/>
  <c r="CM77" i="5"/>
  <c r="CM28" i="5"/>
  <c r="CO28" i="5"/>
  <c r="CM54" i="5"/>
  <c r="CO54" i="5"/>
  <c r="CO94" i="5"/>
  <c r="CM94" i="5"/>
  <c r="CM47" i="5"/>
  <c r="CO47" i="5"/>
  <c r="CM238" i="5"/>
  <c r="CO238" i="5"/>
  <c r="CO225" i="5"/>
  <c r="CM225" i="5"/>
  <c r="CM76" i="5"/>
  <c r="CO76" i="5"/>
  <c r="CM30" i="5"/>
  <c r="CO30" i="5"/>
  <c r="CM98" i="5"/>
  <c r="CO98" i="5"/>
  <c r="CO86" i="5"/>
  <c r="CM86" i="5"/>
  <c r="CM44" i="5"/>
  <c r="CO44" i="5"/>
  <c r="CM237" i="5"/>
  <c r="CO237" i="5"/>
  <c r="CO241" i="5"/>
  <c r="CM241" i="5"/>
  <c r="CM231" i="5"/>
  <c r="CO231" i="5"/>
  <c r="CM75" i="5"/>
  <c r="CO75" i="5"/>
  <c r="CM67" i="5"/>
  <c r="CM60" i="5" s="1"/>
  <c r="CO67" i="5"/>
  <c r="CO60" i="5" s="1"/>
  <c r="CM90" i="5"/>
  <c r="CO90" i="5"/>
  <c r="CM93" i="5"/>
  <c r="CO93" i="5"/>
  <c r="CO43" i="5"/>
  <c r="CM43" i="5"/>
  <c r="CM223" i="5"/>
  <c r="CO223" i="5"/>
  <c r="CK273" i="5"/>
  <c r="CI273" i="5"/>
  <c r="CK33" i="5"/>
  <c r="CI33" i="5"/>
  <c r="CK59" i="5"/>
  <c r="CI59" i="5"/>
  <c r="CI96" i="5"/>
  <c r="CK96" i="5"/>
  <c r="CI91" i="5"/>
  <c r="CK91" i="5"/>
  <c r="CO148" i="5"/>
  <c r="CI148" i="5"/>
  <c r="CO154" i="5"/>
  <c r="CI154" i="5"/>
  <c r="CI151" i="5"/>
  <c r="CO151" i="5"/>
  <c r="CK222" i="5"/>
  <c r="CI222" i="5"/>
  <c r="CK229" i="5"/>
  <c r="CI229" i="5"/>
  <c r="CK274" i="5"/>
  <c r="CI274" i="5"/>
  <c r="CI79" i="5"/>
  <c r="CK79" i="5"/>
  <c r="CK32" i="5"/>
  <c r="CI32" i="5"/>
  <c r="CI58" i="5"/>
  <c r="CK58" i="5"/>
  <c r="CI88" i="5"/>
  <c r="CK88" i="5"/>
  <c r="CI48" i="5"/>
  <c r="CK48" i="5"/>
  <c r="CI239" i="5"/>
  <c r="CK239" i="5"/>
  <c r="CO141" i="5"/>
  <c r="CI141" i="5"/>
  <c r="CO153" i="5"/>
  <c r="CI153" i="5"/>
  <c r="CI143" i="5"/>
  <c r="CO143" i="5"/>
  <c r="CI226" i="5"/>
  <c r="CK226" i="5"/>
  <c r="CK224" i="5"/>
  <c r="CI224" i="5"/>
  <c r="CK281" i="5"/>
  <c r="CI281" i="5"/>
  <c r="CI78" i="5"/>
  <c r="CK78" i="5"/>
  <c r="CI31" i="5"/>
  <c r="CK31" i="5"/>
  <c r="CI55" i="5"/>
  <c r="CK55" i="5"/>
  <c r="CK95" i="5"/>
  <c r="CI95" i="5"/>
  <c r="CI40" i="5"/>
  <c r="CK40" i="5"/>
  <c r="CK242" i="5"/>
  <c r="CI242" i="5"/>
  <c r="CO149" i="5"/>
  <c r="CI149" i="5"/>
  <c r="CI145" i="5"/>
  <c r="CO145" i="5"/>
  <c r="CI135" i="5"/>
  <c r="CO135" i="5"/>
  <c r="CK233" i="5"/>
  <c r="CI233" i="5"/>
  <c r="CI228" i="5"/>
  <c r="CK228" i="5"/>
  <c r="CK194" i="5"/>
  <c r="CK279" i="5"/>
  <c r="CI279" i="5"/>
  <c r="CK77" i="5"/>
  <c r="CI77" i="5"/>
  <c r="CI28" i="5"/>
  <c r="CK28" i="5"/>
  <c r="CI54" i="5"/>
  <c r="CK54" i="5"/>
  <c r="CK94" i="5"/>
  <c r="CI94" i="5"/>
  <c r="CI47" i="5"/>
  <c r="CK47" i="5"/>
  <c r="CI238" i="5"/>
  <c r="CK238" i="5"/>
  <c r="CO140" i="5"/>
  <c r="CI140" i="5"/>
  <c r="CO137" i="5"/>
  <c r="CI137" i="5"/>
  <c r="CO138" i="5"/>
  <c r="CI138" i="5"/>
  <c r="CK225" i="5"/>
  <c r="CI225" i="5"/>
  <c r="CK76" i="5"/>
  <c r="CI76" i="5"/>
  <c r="CI30" i="5"/>
  <c r="CK30" i="5"/>
  <c r="CI98" i="5"/>
  <c r="CK98" i="5"/>
  <c r="CK86" i="5"/>
  <c r="CI86" i="5"/>
  <c r="CI44" i="5"/>
  <c r="CK44" i="5"/>
  <c r="CI237" i="5"/>
  <c r="CK237" i="5"/>
  <c r="CK241" i="5"/>
  <c r="CI241" i="5"/>
  <c r="CO133" i="5"/>
  <c r="CI133" i="5"/>
  <c r="CO146" i="5"/>
  <c r="CI146" i="5"/>
  <c r="CO150" i="5"/>
  <c r="CI150" i="5"/>
  <c r="CK231" i="5"/>
  <c r="CI231" i="5"/>
  <c r="CI75" i="5"/>
  <c r="CK75" i="5"/>
  <c r="CK67" i="5"/>
  <c r="CK60" i="5" s="1"/>
  <c r="CI67" i="5"/>
  <c r="CI90" i="5"/>
  <c r="CK90" i="5"/>
  <c r="CK93" i="5"/>
  <c r="CI93" i="5"/>
  <c r="CK43" i="5"/>
  <c r="CI43" i="5"/>
  <c r="CI155" i="5"/>
  <c r="CO155" i="5"/>
  <c r="CI152" i="5"/>
  <c r="CO152" i="5"/>
  <c r="CO142" i="5"/>
  <c r="CI142" i="5"/>
  <c r="CK223" i="5"/>
  <c r="CI223" i="5"/>
  <c r="CI81" i="5"/>
  <c r="CK81" i="5"/>
  <c r="CI53" i="5"/>
  <c r="CK53" i="5"/>
  <c r="CI97" i="5"/>
  <c r="CK97" i="5"/>
  <c r="CK85" i="5"/>
  <c r="CI85" i="5"/>
  <c r="CK41" i="5"/>
  <c r="CI41" i="5"/>
  <c r="CI236" i="5"/>
  <c r="CK236" i="5"/>
  <c r="CI147" i="5"/>
  <c r="CO147" i="5"/>
  <c r="CI144" i="5"/>
  <c r="CO144" i="5"/>
  <c r="CO134" i="5"/>
  <c r="CI134" i="5"/>
  <c r="CK232" i="5"/>
  <c r="CI232" i="5"/>
  <c r="CK275" i="5"/>
  <c r="CI275" i="5"/>
  <c r="CI80" i="5"/>
  <c r="CK80" i="5"/>
  <c r="CK50" i="5"/>
  <c r="CI50" i="5"/>
  <c r="CI89" i="5"/>
  <c r="CK89" i="5"/>
  <c r="CI92" i="5"/>
  <c r="CK92" i="5"/>
  <c r="CK240" i="5"/>
  <c r="CI240" i="5"/>
  <c r="CK235" i="5"/>
  <c r="CI235" i="5"/>
  <c r="CO132" i="5"/>
  <c r="CI132" i="5"/>
  <c r="CI139" i="5"/>
  <c r="CO139" i="5"/>
  <c r="CI136" i="5"/>
  <c r="CO136" i="5"/>
  <c r="CI227" i="5"/>
  <c r="CK227" i="5"/>
  <c r="CK230" i="5"/>
  <c r="CI230" i="5"/>
  <c r="CC58" i="5"/>
  <c r="CG58" i="5"/>
  <c r="CE58" i="5"/>
  <c r="CE226" i="5"/>
  <c r="CG226" i="5"/>
  <c r="CC226" i="5"/>
  <c r="CE281" i="5"/>
  <c r="CG281" i="5"/>
  <c r="CC281" i="5"/>
  <c r="CE78" i="5"/>
  <c r="CC78" i="5"/>
  <c r="CG78" i="5"/>
  <c r="CC31" i="5"/>
  <c r="CG31" i="5"/>
  <c r="CE31" i="5"/>
  <c r="CE55" i="5"/>
  <c r="CC55" i="5"/>
  <c r="CG55" i="5"/>
  <c r="CC95" i="5"/>
  <c r="CE95" i="5"/>
  <c r="CG95" i="5"/>
  <c r="CG40" i="5"/>
  <c r="CC40" i="5"/>
  <c r="CE40" i="5"/>
  <c r="CE242" i="5"/>
  <c r="CC242" i="5"/>
  <c r="CG242" i="5"/>
  <c r="CG149" i="5"/>
  <c r="CK149" i="5"/>
  <c r="CC149" i="5"/>
  <c r="CG145" i="5"/>
  <c r="CK145" i="5"/>
  <c r="CC145" i="5"/>
  <c r="CG135" i="5"/>
  <c r="CC135" i="5"/>
  <c r="CK135" i="5"/>
  <c r="CE233" i="5"/>
  <c r="CG233" i="5"/>
  <c r="CC233" i="5"/>
  <c r="CG228" i="5"/>
  <c r="CC228" i="5"/>
  <c r="CE228" i="5"/>
  <c r="CC279" i="5"/>
  <c r="CE279" i="5"/>
  <c r="CG279" i="5"/>
  <c r="CE77" i="5"/>
  <c r="CC77" i="5"/>
  <c r="CG77" i="5"/>
  <c r="CE28" i="5"/>
  <c r="CC28" i="5"/>
  <c r="CG28" i="5"/>
  <c r="CE54" i="5"/>
  <c r="CC54" i="5"/>
  <c r="CG54" i="5"/>
  <c r="CC94" i="5"/>
  <c r="CE94" i="5"/>
  <c r="CG94" i="5"/>
  <c r="CE47" i="5"/>
  <c r="CG47" i="5"/>
  <c r="CC47" i="5"/>
  <c r="CC238" i="5"/>
  <c r="CG238" i="5"/>
  <c r="CE238" i="5"/>
  <c r="CG140" i="5"/>
  <c r="CC140" i="5"/>
  <c r="CK140" i="5"/>
  <c r="CG137" i="5"/>
  <c r="CK137" i="5"/>
  <c r="CC137" i="5"/>
  <c r="CG138" i="5"/>
  <c r="CK138" i="5"/>
  <c r="CC138" i="5"/>
  <c r="CE225" i="5"/>
  <c r="CG225" i="5"/>
  <c r="CC225" i="5"/>
  <c r="CC32" i="5"/>
  <c r="CG32" i="5"/>
  <c r="CE32" i="5"/>
  <c r="CG141" i="5"/>
  <c r="CK141" i="5"/>
  <c r="CC141" i="5"/>
  <c r="CC76" i="5"/>
  <c r="CG76" i="5"/>
  <c r="CE76" i="5"/>
  <c r="CE30" i="5"/>
  <c r="CC30" i="5"/>
  <c r="CG30" i="5"/>
  <c r="CE98" i="5"/>
  <c r="CG98" i="5"/>
  <c r="CC98" i="5"/>
  <c r="CC86" i="5"/>
  <c r="CE86" i="5"/>
  <c r="CG86" i="5"/>
  <c r="CC44" i="5"/>
  <c r="CE44" i="5"/>
  <c r="CG44" i="5"/>
  <c r="CC237" i="5"/>
  <c r="CG237" i="5"/>
  <c r="CE237" i="5"/>
  <c r="CE241" i="5"/>
  <c r="CC241" i="5"/>
  <c r="CG241" i="5"/>
  <c r="CG133" i="5"/>
  <c r="CK133" i="5"/>
  <c r="CC133" i="5"/>
  <c r="CG146" i="5"/>
  <c r="CK146" i="5"/>
  <c r="CC146" i="5"/>
  <c r="CG150" i="5"/>
  <c r="CK150" i="5"/>
  <c r="CC150" i="5"/>
  <c r="CG231" i="5"/>
  <c r="CC231" i="5"/>
  <c r="CE231" i="5"/>
  <c r="CI194" i="5"/>
  <c r="CE79" i="5"/>
  <c r="CC79" i="5"/>
  <c r="CG79" i="5"/>
  <c r="CC75" i="5"/>
  <c r="CG75" i="5"/>
  <c r="CE75" i="5"/>
  <c r="CG67" i="5"/>
  <c r="CC67" i="5"/>
  <c r="CE67" i="5"/>
  <c r="CE90" i="5"/>
  <c r="CG90" i="5"/>
  <c r="CC90" i="5"/>
  <c r="CG93" i="5"/>
  <c r="CC93" i="5"/>
  <c r="CE93" i="5"/>
  <c r="CC43" i="5"/>
  <c r="CE43" i="5"/>
  <c r="CG43" i="5"/>
  <c r="CG155" i="5"/>
  <c r="CC155" i="5"/>
  <c r="CK155" i="5"/>
  <c r="CG152" i="5"/>
  <c r="CK152" i="5"/>
  <c r="CC152" i="5"/>
  <c r="CG142" i="5"/>
  <c r="CK142" i="5"/>
  <c r="CC142" i="5"/>
  <c r="CG223" i="5"/>
  <c r="CC223" i="5"/>
  <c r="CE223" i="5"/>
  <c r="CE274" i="5"/>
  <c r="CG274" i="5"/>
  <c r="CC274" i="5"/>
  <c r="CG48" i="5"/>
  <c r="CC48" i="5"/>
  <c r="CE48" i="5"/>
  <c r="CG153" i="5"/>
  <c r="CK153" i="5"/>
  <c r="CC153" i="5"/>
  <c r="CC224" i="5"/>
  <c r="CE224" i="5"/>
  <c r="CG224" i="5"/>
  <c r="CE81" i="5"/>
  <c r="CC81" i="5"/>
  <c r="CG81" i="5"/>
  <c r="CE53" i="5"/>
  <c r="CC53" i="5"/>
  <c r="CG53" i="5"/>
  <c r="CE97" i="5"/>
  <c r="CG97" i="5"/>
  <c r="CC97" i="5"/>
  <c r="CG85" i="5"/>
  <c r="CC85" i="5"/>
  <c r="CE85" i="5"/>
  <c r="CC41" i="5"/>
  <c r="CE41" i="5"/>
  <c r="CG41" i="5"/>
  <c r="CC236" i="5"/>
  <c r="CG236" i="5"/>
  <c r="CE236" i="5"/>
  <c r="CG147" i="5"/>
  <c r="CC147" i="5"/>
  <c r="CK147" i="5"/>
  <c r="CG144" i="5"/>
  <c r="CK144" i="5"/>
  <c r="CC144" i="5"/>
  <c r="CG134" i="5"/>
  <c r="CK134" i="5"/>
  <c r="CC134" i="5"/>
  <c r="CC232" i="5"/>
  <c r="CE232" i="5"/>
  <c r="CG232" i="5"/>
  <c r="CE88" i="5"/>
  <c r="CG88" i="5"/>
  <c r="CC88" i="5"/>
  <c r="CG143" i="5"/>
  <c r="CC143" i="5"/>
  <c r="CK143" i="5"/>
  <c r="CE275" i="5"/>
  <c r="CG275" i="5"/>
  <c r="CC275" i="5"/>
  <c r="CE80" i="5"/>
  <c r="CC80" i="5"/>
  <c r="CG80" i="5"/>
  <c r="CC50" i="5"/>
  <c r="CG50" i="5"/>
  <c r="CE50" i="5"/>
  <c r="CE89" i="5"/>
  <c r="CG89" i="5"/>
  <c r="CC89" i="5"/>
  <c r="CG92" i="5"/>
  <c r="CC92" i="5"/>
  <c r="CE92" i="5"/>
  <c r="CG240" i="5"/>
  <c r="CE240" i="5"/>
  <c r="CC240" i="5"/>
  <c r="CE235" i="5"/>
  <c r="CC235" i="5"/>
  <c r="CG235" i="5"/>
  <c r="CG132" i="5"/>
  <c r="CC132" i="5"/>
  <c r="CK132" i="5"/>
  <c r="CG139" i="5"/>
  <c r="CC139" i="5"/>
  <c r="CK139" i="5"/>
  <c r="CG136" i="5"/>
  <c r="CK136" i="5"/>
  <c r="CC136" i="5"/>
  <c r="CG227" i="5"/>
  <c r="CC227" i="5"/>
  <c r="CE227" i="5"/>
  <c r="CG230" i="5"/>
  <c r="CC230" i="5"/>
  <c r="CE230" i="5"/>
  <c r="CG239" i="5"/>
  <c r="CE239" i="5"/>
  <c r="CC239" i="5"/>
  <c r="CC273" i="5"/>
  <c r="CE273" i="5"/>
  <c r="CG273" i="5"/>
  <c r="CE33" i="5"/>
  <c r="CG33" i="5"/>
  <c r="CC33" i="5"/>
  <c r="CE59" i="5"/>
  <c r="CC59" i="5"/>
  <c r="CG59" i="5"/>
  <c r="CE96" i="5"/>
  <c r="CG96" i="5"/>
  <c r="CC96" i="5"/>
  <c r="CE91" i="5"/>
  <c r="CG91" i="5"/>
  <c r="CC91" i="5"/>
  <c r="CG148" i="5"/>
  <c r="CC148" i="5"/>
  <c r="CK148" i="5"/>
  <c r="CG154" i="5"/>
  <c r="CK154" i="5"/>
  <c r="CC154" i="5"/>
  <c r="CG151" i="5"/>
  <c r="CC151" i="5"/>
  <c r="CK151" i="5"/>
  <c r="CG222" i="5"/>
  <c r="CC222" i="5"/>
  <c r="CE222" i="5"/>
  <c r="CG229" i="5"/>
  <c r="CC229" i="5"/>
  <c r="CE229" i="5"/>
  <c r="CG194" i="5"/>
  <c r="CE155" i="5"/>
  <c r="CE152" i="5"/>
  <c r="CE142" i="5"/>
  <c r="CE147" i="5"/>
  <c r="CE144" i="5"/>
  <c r="CE134" i="5"/>
  <c r="CE132" i="5"/>
  <c r="CE139" i="5"/>
  <c r="CE136" i="5"/>
  <c r="CE148" i="5"/>
  <c r="CE154" i="5"/>
  <c r="CE151" i="5"/>
  <c r="CC194" i="5"/>
  <c r="CE141" i="5"/>
  <c r="CE153" i="5"/>
  <c r="CE143" i="5"/>
  <c r="CE149" i="5"/>
  <c r="CE145" i="5"/>
  <c r="CE135" i="5"/>
  <c r="CE140" i="5"/>
  <c r="CE137" i="5"/>
  <c r="CE138" i="5"/>
  <c r="CE133" i="5"/>
  <c r="CE146" i="5"/>
  <c r="CE150" i="5"/>
  <c r="CE194" i="5"/>
  <c r="CA39" i="5"/>
  <c r="BG273" i="5"/>
  <c r="BY76" i="5"/>
  <c r="BY36" i="5"/>
  <c r="BY85" i="5"/>
  <c r="BU75" i="5"/>
  <c r="I33" i="5"/>
  <c r="BO96" i="5"/>
  <c r="BU92" i="5"/>
  <c r="BI45" i="5"/>
  <c r="BO239" i="5"/>
  <c r="BM141" i="5"/>
  <c r="BU153" i="5"/>
  <c r="BS143" i="5"/>
  <c r="I226" i="5"/>
  <c r="BW224" i="5"/>
  <c r="BU34" i="5"/>
  <c r="BO89" i="5"/>
  <c r="BI46" i="5"/>
  <c r="BW148" i="5"/>
  <c r="AW154" i="5"/>
  <c r="BM151" i="5"/>
  <c r="BO222" i="5"/>
  <c r="BI229" i="5"/>
  <c r="BQ281" i="5"/>
  <c r="BU72" i="5"/>
  <c r="I32" i="5"/>
  <c r="BW88" i="5"/>
  <c r="BY84" i="5"/>
  <c r="BI44" i="5"/>
  <c r="BY242" i="5"/>
  <c r="BU149" i="5"/>
  <c r="BY145" i="5"/>
  <c r="BY135" i="5"/>
  <c r="BY233" i="5"/>
  <c r="BO228" i="5"/>
  <c r="BK280" i="5"/>
  <c r="BK74" i="5"/>
  <c r="BK31" i="5"/>
  <c r="BK95" i="5"/>
  <c r="BC83" i="5"/>
  <c r="BI43" i="5"/>
  <c r="AU238" i="5"/>
  <c r="BQ140" i="5"/>
  <c r="BY137" i="5"/>
  <c r="BQ138" i="5"/>
  <c r="I225" i="5"/>
  <c r="BK279" i="5"/>
  <c r="BU81" i="5"/>
  <c r="I28" i="5"/>
  <c r="BO87" i="5"/>
  <c r="BI91" i="5"/>
  <c r="BI42" i="5"/>
  <c r="BO237" i="5"/>
  <c r="BE241" i="5"/>
  <c r="BY133" i="5"/>
  <c r="BU146" i="5"/>
  <c r="BS150" i="5"/>
  <c r="BW231" i="5"/>
  <c r="BO278" i="5"/>
  <c r="BU79" i="5"/>
  <c r="I30" i="5"/>
  <c r="BW98" i="5"/>
  <c r="BO94" i="5"/>
  <c r="BI48" i="5"/>
  <c r="BM155" i="5"/>
  <c r="CA152" i="5"/>
  <c r="AI152" i="5" s="1"/>
  <c r="AJ152" i="5" s="1"/>
  <c r="AK152" i="5" s="1"/>
  <c r="AL152" i="5" s="1"/>
  <c r="AM152" i="5" s="1"/>
  <c r="AN152" i="5" s="1"/>
  <c r="AO152" i="5" s="1"/>
  <c r="AP152" i="5" s="1"/>
  <c r="AQ152" i="5" s="1"/>
  <c r="BQ142" i="5"/>
  <c r="BW223" i="5"/>
  <c r="BI277" i="5"/>
  <c r="BW78" i="5"/>
  <c r="BE80" i="5"/>
  <c r="I37" i="5"/>
  <c r="BQ90" i="5"/>
  <c r="BQ86" i="5"/>
  <c r="BI40" i="5"/>
  <c r="BI41" i="5"/>
  <c r="BU236" i="5"/>
  <c r="BU147" i="5"/>
  <c r="CA144" i="5"/>
  <c r="AI144" i="5" s="1"/>
  <c r="BM134" i="5"/>
  <c r="BQ232" i="5"/>
  <c r="AY91" i="5"/>
  <c r="AS150" i="5"/>
  <c r="BC275" i="5"/>
  <c r="BA276" i="5"/>
  <c r="BE77" i="5"/>
  <c r="BQ35" i="5"/>
  <c r="BS29" i="5"/>
  <c r="CA97" i="5"/>
  <c r="BI47" i="5"/>
  <c r="BU240" i="5"/>
  <c r="BI235" i="5"/>
  <c r="BG132" i="5"/>
  <c r="BC139" i="5"/>
  <c r="BS136" i="5"/>
  <c r="AU227" i="5"/>
  <c r="CA230" i="5"/>
  <c r="BK39" i="5"/>
  <c r="BI39" i="5"/>
  <c r="BM69" i="5"/>
  <c r="BI69" i="5"/>
  <c r="BE58" i="5"/>
  <c r="BI58" i="5"/>
  <c r="BW46" i="5"/>
  <c r="I41" i="5"/>
  <c r="I66" i="5"/>
  <c r="BI66" i="5"/>
  <c r="I68" i="5"/>
  <c r="BI68" i="5"/>
  <c r="I57" i="5"/>
  <c r="BI57" i="5"/>
  <c r="I45" i="5"/>
  <c r="I63" i="5"/>
  <c r="BI63" i="5"/>
  <c r="I70" i="5"/>
  <c r="BI70" i="5"/>
  <c r="I40" i="5"/>
  <c r="BE51" i="5"/>
  <c r="BI51" i="5"/>
  <c r="I65" i="5"/>
  <c r="BI65" i="5"/>
  <c r="I67" i="5"/>
  <c r="BI67" i="5"/>
  <c r="I56" i="5"/>
  <c r="BI56" i="5"/>
  <c r="AU44" i="5"/>
  <c r="I48" i="5"/>
  <c r="I59" i="5"/>
  <c r="BI59" i="5"/>
  <c r="BW64" i="5"/>
  <c r="BI64" i="5"/>
  <c r="BS53" i="5"/>
  <c r="BI53" i="5"/>
  <c r="BO55" i="5"/>
  <c r="BI55" i="5"/>
  <c r="AS43" i="5"/>
  <c r="I52" i="5"/>
  <c r="BI52" i="5"/>
  <c r="AY39" i="5"/>
  <c r="BW62" i="5"/>
  <c r="BI62" i="5"/>
  <c r="I61" i="5"/>
  <c r="BI61" i="5"/>
  <c r="I50" i="5"/>
  <c r="BI50" i="5"/>
  <c r="I54" i="5"/>
  <c r="BI54" i="5"/>
  <c r="I42" i="5"/>
  <c r="BK152" i="5"/>
  <c r="AS73" i="5"/>
  <c r="AU39" i="5"/>
  <c r="BC30" i="5"/>
  <c r="AY48" i="5"/>
  <c r="BQ52" i="5"/>
  <c r="BA48" i="5"/>
  <c r="AW223" i="5"/>
  <c r="AW63" i="5"/>
  <c r="AU73" i="5"/>
  <c r="AS39" i="5"/>
  <c r="BA152" i="5"/>
  <c r="AY79" i="5"/>
  <c r="BA278" i="5"/>
  <c r="BS48" i="5"/>
  <c r="AW152" i="5"/>
  <c r="BU63" i="5"/>
  <c r="BQ73" i="5"/>
  <c r="AS74" i="5"/>
  <c r="AW54" i="5"/>
  <c r="AU42" i="5"/>
  <c r="AS81" i="5"/>
  <c r="BK223" i="5"/>
  <c r="BM142" i="5"/>
  <c r="BC241" i="5"/>
  <c r="AY28" i="5"/>
  <c r="AU231" i="5"/>
  <c r="AU94" i="5"/>
  <c r="BY63" i="5"/>
  <c r="BM47" i="5"/>
  <c r="BC47" i="5"/>
  <c r="AW145" i="5"/>
  <c r="BC233" i="5"/>
  <c r="AS242" i="5"/>
  <c r="BA30" i="5"/>
  <c r="BC48" i="5"/>
  <c r="BC52" i="5"/>
  <c r="BC79" i="5"/>
  <c r="AS63" i="5"/>
  <c r="AW39" i="5"/>
  <c r="BC152" i="5"/>
  <c r="AW142" i="5"/>
  <c r="I73" i="5"/>
  <c r="BA142" i="5"/>
  <c r="BK63" i="5"/>
  <c r="BG63" i="5"/>
  <c r="BG48" i="5"/>
  <c r="BM48" i="5"/>
  <c r="BM152" i="5"/>
  <c r="BY73" i="5"/>
  <c r="BG52" i="5"/>
  <c r="BU142" i="5"/>
  <c r="BM30" i="5"/>
  <c r="AU142" i="5"/>
  <c r="AW30" i="5"/>
  <c r="AW52" i="5"/>
  <c r="AY52" i="5"/>
  <c r="I79" i="5"/>
  <c r="I98" i="5"/>
  <c r="BC155" i="5"/>
  <c r="CA63" i="5"/>
  <c r="BW63" i="5"/>
  <c r="BK48" i="5"/>
  <c r="BU48" i="5"/>
  <c r="BO152" i="5"/>
  <c r="BK73" i="5"/>
  <c r="BU52" i="5"/>
  <c r="BE79" i="5"/>
  <c r="BG155" i="5"/>
  <c r="AY142" i="5"/>
  <c r="AS30" i="5"/>
  <c r="AS52" i="5"/>
  <c r="AU52" i="5"/>
  <c r="AS79" i="5"/>
  <c r="AY94" i="5"/>
  <c r="I155" i="5"/>
  <c r="I278" i="5"/>
  <c r="AS142" i="5"/>
  <c r="BM63" i="5"/>
  <c r="BO48" i="5"/>
  <c r="CA48" i="5"/>
  <c r="BS152" i="5"/>
  <c r="BS73" i="5"/>
  <c r="BK52" i="5"/>
  <c r="BM79" i="5"/>
  <c r="BU155" i="5"/>
  <c r="BC142" i="5"/>
  <c r="AW79" i="5"/>
  <c r="BA94" i="5"/>
  <c r="BA155" i="5"/>
  <c r="AW155" i="5"/>
  <c r="BO63" i="5"/>
  <c r="BY48" i="5"/>
  <c r="BG152" i="5"/>
  <c r="BU152" i="5"/>
  <c r="CA73" i="5"/>
  <c r="BY52" i="5"/>
  <c r="BG79" i="5"/>
  <c r="BO155" i="5"/>
  <c r="AU63" i="5"/>
  <c r="AY30" i="5"/>
  <c r="I142" i="5"/>
  <c r="AU48" i="5"/>
  <c r="BA79" i="5"/>
  <c r="BC278" i="5"/>
  <c r="BA63" i="5"/>
  <c r="AS94" i="5"/>
  <c r="AY155" i="5"/>
  <c r="AW278" i="5"/>
  <c r="BA39" i="5"/>
  <c r="AS152" i="5"/>
  <c r="BQ63" i="5"/>
  <c r="BQ48" i="5"/>
  <c r="BQ152" i="5"/>
  <c r="BW152" i="5"/>
  <c r="BG73" i="5"/>
  <c r="BS52" i="5"/>
  <c r="AY63" i="5"/>
  <c r="AY152" i="5"/>
  <c r="AU30" i="5"/>
  <c r="BC39" i="5"/>
  <c r="AS48" i="5"/>
  <c r="BC73" i="5"/>
  <c r="BA73" i="5"/>
  <c r="AY278" i="5"/>
  <c r="BC94" i="5"/>
  <c r="BA52" i="5"/>
  <c r="AU278" i="5"/>
  <c r="BS63" i="5"/>
  <c r="BW48" i="5"/>
  <c r="BE152" i="5"/>
  <c r="BY152" i="5"/>
  <c r="BO73" i="5"/>
  <c r="BE52" i="5"/>
  <c r="BC63" i="5"/>
  <c r="AU152" i="5"/>
  <c r="AW48" i="5"/>
  <c r="AY73" i="5"/>
  <c r="AW73" i="5"/>
  <c r="AU79" i="5"/>
  <c r="AS278" i="5"/>
  <c r="I94" i="5"/>
  <c r="I152" i="5"/>
  <c r="AW94" i="5"/>
  <c r="BE63" i="5"/>
  <c r="BE48" i="5"/>
  <c r="BI152" i="5"/>
  <c r="BM223" i="5"/>
  <c r="BY94" i="5"/>
  <c r="BE274" i="5"/>
  <c r="BC274" i="5"/>
  <c r="BA61" i="5"/>
  <c r="BC91" i="5"/>
  <c r="AW87" i="5"/>
  <c r="AW150" i="5"/>
  <c r="AS54" i="5"/>
  <c r="AU146" i="5"/>
  <c r="AU28" i="5"/>
  <c r="AY231" i="5"/>
  <c r="BO61" i="5"/>
  <c r="AW279" i="5"/>
  <c r="I91" i="5"/>
  <c r="AU87" i="5"/>
  <c r="BA241" i="5"/>
  <c r="BA150" i="5"/>
  <c r="AY146" i="5"/>
  <c r="BC54" i="5"/>
  <c r="AW146" i="5"/>
  <c r="I150" i="5"/>
  <c r="AY81" i="5"/>
  <c r="AW91" i="5"/>
  <c r="BC61" i="5"/>
  <c r="BA237" i="5"/>
  <c r="AY87" i="5"/>
  <c r="I241" i="5"/>
  <c r="AU133" i="5"/>
  <c r="BC146" i="5"/>
  <c r="AY54" i="5"/>
  <c r="BC150" i="5"/>
  <c r="AU61" i="5"/>
  <c r="I237" i="5"/>
  <c r="BC87" i="5"/>
  <c r="AS241" i="5"/>
  <c r="AY133" i="5"/>
  <c r="I146" i="5"/>
  <c r="AU54" i="5"/>
  <c r="AW50" i="5"/>
  <c r="AU279" i="5"/>
  <c r="AW237" i="5"/>
  <c r="I87" i="5"/>
  <c r="AW241" i="5"/>
  <c r="BC133" i="5"/>
  <c r="AS50" i="5"/>
  <c r="AW231" i="5"/>
  <c r="BK42" i="5"/>
  <c r="AY61" i="5"/>
  <c r="AY279" i="5"/>
  <c r="BA91" i="5"/>
  <c r="AU237" i="5"/>
  <c r="AU241" i="5"/>
  <c r="AW28" i="5"/>
  <c r="BC42" i="5"/>
  <c r="BC231" i="5"/>
  <c r="BW42" i="5"/>
  <c r="BW150" i="5"/>
  <c r="BG87" i="5"/>
  <c r="AS61" i="5"/>
  <c r="BC279" i="5"/>
  <c r="AU91" i="5"/>
  <c r="AY237" i="5"/>
  <c r="AY241" i="5"/>
  <c r="AU150" i="5"/>
  <c r="AY150" i="5"/>
  <c r="AS28" i="5"/>
  <c r="AY42" i="5"/>
  <c r="BC28" i="5"/>
  <c r="AW81" i="5"/>
  <c r="AS231" i="5"/>
  <c r="BG237" i="5"/>
  <c r="AW227" i="5"/>
  <c r="I134" i="5"/>
  <c r="AS80" i="5"/>
  <c r="AS227" i="5"/>
  <c r="BA230" i="5"/>
  <c r="BY93" i="5"/>
  <c r="AS93" i="5"/>
  <c r="BA144" i="5"/>
  <c r="AU144" i="5"/>
  <c r="BG227" i="5"/>
  <c r="CA40" i="5"/>
  <c r="BE73" i="5"/>
  <c r="BW52" i="5"/>
  <c r="BM52" i="5"/>
  <c r="BG142" i="5"/>
  <c r="BM73" i="5"/>
  <c r="BO52" i="5"/>
  <c r="CA52" i="5"/>
  <c r="BO142" i="5"/>
  <c r="AW98" i="5"/>
  <c r="BI73" i="5"/>
  <c r="BS142" i="5"/>
  <c r="BQ145" i="5"/>
  <c r="BK144" i="5"/>
  <c r="BG72" i="5"/>
  <c r="BE61" i="5"/>
  <c r="BM133" i="5"/>
  <c r="BS50" i="5"/>
  <c r="BG28" i="5"/>
  <c r="BK146" i="5"/>
  <c r="BI241" i="5"/>
  <c r="AS41" i="5"/>
  <c r="AY70" i="5"/>
  <c r="BC277" i="5"/>
  <c r="CA53" i="5"/>
  <c r="AY225" i="5"/>
  <c r="AW74" i="5"/>
  <c r="AU95" i="5"/>
  <c r="I138" i="5"/>
  <c r="BQ55" i="5"/>
  <c r="BA138" i="5"/>
  <c r="BY40" i="5"/>
  <c r="I80" i="5"/>
  <c r="BA70" i="5"/>
  <c r="BG230" i="5"/>
  <c r="BI81" i="5"/>
  <c r="BQ279" i="5"/>
  <c r="BQ91" i="5"/>
  <c r="BC50" i="5"/>
  <c r="BY50" i="5"/>
  <c r="BM81" i="5"/>
  <c r="BE42" i="5"/>
  <c r="BM279" i="5"/>
  <c r="BO146" i="5"/>
  <c r="BK91" i="5"/>
  <c r="BA146" i="5"/>
  <c r="BA231" i="5"/>
  <c r="BS133" i="5"/>
  <c r="BY61" i="5"/>
  <c r="BK87" i="5"/>
  <c r="BK231" i="5"/>
  <c r="BI150" i="5"/>
  <c r="BS54" i="5"/>
  <c r="BI28" i="5"/>
  <c r="BU237" i="5"/>
  <c r="AS55" i="5"/>
  <c r="BC53" i="5"/>
  <c r="BY225" i="5"/>
  <c r="BY138" i="5"/>
  <c r="AW280" i="5"/>
  <c r="AW55" i="5"/>
  <c r="AU135" i="5"/>
  <c r="BW280" i="5"/>
  <c r="BM225" i="5"/>
  <c r="BU43" i="5"/>
  <c r="BA280" i="5"/>
  <c r="AW238" i="5"/>
  <c r="AU83" i="5"/>
  <c r="AS225" i="5"/>
  <c r="AW56" i="5"/>
  <c r="BC225" i="5"/>
  <c r="BQ225" i="5"/>
  <c r="BA137" i="5"/>
  <c r="I238" i="5"/>
  <c r="AU225" i="5"/>
  <c r="AW225" i="5"/>
  <c r="BU228" i="5"/>
  <c r="BA225" i="5"/>
  <c r="AU55" i="5"/>
  <c r="BW41" i="5"/>
  <c r="BW142" i="5"/>
  <c r="BQ79" i="5"/>
  <c r="BO30" i="5"/>
  <c r="BI155" i="5"/>
  <c r="CA98" i="5"/>
  <c r="BK142" i="5"/>
  <c r="BY142" i="5"/>
  <c r="BU30" i="5"/>
  <c r="BQ155" i="5"/>
  <c r="BS278" i="5"/>
  <c r="BK94" i="5"/>
  <c r="BU98" i="5"/>
  <c r="BE142" i="5"/>
  <c r="CA142" i="5"/>
  <c r="AI142" i="5" s="1"/>
  <c r="BI30" i="5"/>
  <c r="BE155" i="5"/>
  <c r="BQ278" i="5"/>
  <c r="BU94" i="5"/>
  <c r="BA96" i="5"/>
  <c r="BE226" i="5"/>
  <c r="BC33" i="5"/>
  <c r="BE57" i="5"/>
  <c r="AU141" i="5"/>
  <c r="AS153" i="5"/>
  <c r="AU68" i="5"/>
  <c r="AU66" i="5"/>
  <c r="BG226" i="5"/>
  <c r="BI153" i="5"/>
  <c r="BG57" i="5"/>
  <c r="BG225" i="5"/>
  <c r="BQ95" i="5"/>
  <c r="AS66" i="5"/>
  <c r="BC92" i="5"/>
  <c r="BS45" i="5"/>
  <c r="BQ153" i="5"/>
  <c r="BW57" i="5"/>
  <c r="BA143" i="5"/>
  <c r="BE143" i="5"/>
  <c r="BO68" i="5"/>
  <c r="BQ45" i="5"/>
  <c r="BY153" i="5"/>
  <c r="BO74" i="5"/>
  <c r="BW225" i="5"/>
  <c r="CA31" i="5"/>
  <c r="AW68" i="5"/>
  <c r="AW239" i="5"/>
  <c r="AW226" i="5"/>
  <c r="BW143" i="5"/>
  <c r="BQ75" i="5"/>
  <c r="BK141" i="5"/>
  <c r="BG68" i="5"/>
  <c r="BU45" i="5"/>
  <c r="BQ64" i="5"/>
  <c r="BE225" i="5"/>
  <c r="CA225" i="5"/>
  <c r="AS45" i="5"/>
  <c r="BA224" i="5"/>
  <c r="BS75" i="5"/>
  <c r="BQ141" i="5"/>
  <c r="BY68" i="5"/>
  <c r="BO225" i="5"/>
  <c r="BQ238" i="5"/>
  <c r="I92" i="5"/>
  <c r="AS75" i="5"/>
  <c r="BC143" i="5"/>
  <c r="BQ274" i="5"/>
  <c r="BI225" i="5"/>
  <c r="BO138" i="5"/>
  <c r="BK83" i="5"/>
  <c r="BA92" i="5"/>
  <c r="BC224" i="5"/>
  <c r="BC153" i="5"/>
  <c r="AS141" i="5"/>
  <c r="BG81" i="5"/>
  <c r="BY42" i="5"/>
  <c r="BI279" i="5"/>
  <c r="BM150" i="5"/>
  <c r="BK64" i="5"/>
  <c r="BS225" i="5"/>
  <c r="BO133" i="5"/>
  <c r="BS87" i="5"/>
  <c r="BU91" i="5"/>
  <c r="BW144" i="5"/>
  <c r="BO50" i="5"/>
  <c r="BW140" i="5"/>
  <c r="BK80" i="5"/>
  <c r="BG53" i="5"/>
  <c r="BG231" i="5"/>
  <c r="BM137" i="5"/>
  <c r="BO54" i="5"/>
  <c r="BS28" i="5"/>
  <c r="BU225" i="5"/>
  <c r="BK225" i="5"/>
  <c r="BE31" i="5"/>
  <c r="BS146" i="5"/>
  <c r="BO238" i="5"/>
  <c r="BW56" i="5"/>
  <c r="BM233" i="5"/>
  <c r="CA84" i="5"/>
  <c r="BG277" i="5"/>
  <c r="BK33" i="5"/>
  <c r="BG33" i="5"/>
  <c r="BI224" i="5"/>
  <c r="BW96" i="5"/>
  <c r="BI33" i="5"/>
  <c r="BS92" i="5"/>
  <c r="BG96" i="5"/>
  <c r="BU66" i="5"/>
  <c r="BW92" i="5"/>
  <c r="BQ96" i="5"/>
  <c r="BK66" i="5"/>
  <c r="BI92" i="5"/>
  <c r="BO66" i="5"/>
  <c r="AY228" i="5"/>
  <c r="BY72" i="5"/>
  <c r="BO37" i="5"/>
  <c r="BY56" i="5"/>
  <c r="AU32" i="5"/>
  <c r="BA135" i="5"/>
  <c r="BU32" i="5"/>
  <c r="CA145" i="5"/>
  <c r="AI145" i="5" s="1"/>
  <c r="AJ145" i="5" s="1"/>
  <c r="AK145" i="5" s="1"/>
  <c r="AL145" i="5" s="1"/>
  <c r="AM145" i="5" s="1"/>
  <c r="AN145" i="5" s="1"/>
  <c r="AO145" i="5" s="1"/>
  <c r="AP145" i="5" s="1"/>
  <c r="AQ145" i="5" s="1"/>
  <c r="BK70" i="5"/>
  <c r="BM228" i="5"/>
  <c r="BQ233" i="5"/>
  <c r="BK78" i="5"/>
  <c r="I84" i="5"/>
  <c r="AU65" i="5"/>
  <c r="AS44" i="5"/>
  <c r="BE233" i="5"/>
  <c r="CA135" i="5"/>
  <c r="AI135" i="5" s="1"/>
  <c r="AJ135" i="5" s="1"/>
  <c r="AK135" i="5" s="1"/>
  <c r="AL135" i="5" s="1"/>
  <c r="AM135" i="5" s="1"/>
  <c r="AN135" i="5" s="1"/>
  <c r="AO135" i="5" s="1"/>
  <c r="AP135" i="5" s="1"/>
  <c r="AQ135" i="5" s="1"/>
  <c r="BW65" i="5"/>
  <c r="AS281" i="5"/>
  <c r="BS65" i="5"/>
  <c r="AY34" i="5"/>
  <c r="BC89" i="5"/>
  <c r="BQ148" i="5"/>
  <c r="BW79" i="5"/>
  <c r="BQ30" i="5"/>
  <c r="BY155" i="5"/>
  <c r="BY278" i="5"/>
  <c r="AU69" i="5"/>
  <c r="AU85" i="5"/>
  <c r="AU34" i="5"/>
  <c r="AU36" i="5"/>
  <c r="BC85" i="5"/>
  <c r="BY148" i="5"/>
  <c r="BO76" i="5"/>
  <c r="BK79" i="5"/>
  <c r="BO79" i="5"/>
  <c r="BY30" i="5"/>
  <c r="BK155" i="5"/>
  <c r="BU278" i="5"/>
  <c r="AS69" i="5"/>
  <c r="AW229" i="5"/>
  <c r="AW222" i="5"/>
  <c r="BA34" i="5"/>
  <c r="BQ229" i="5"/>
  <c r="BG76" i="5"/>
  <c r="BS79" i="5"/>
  <c r="BY79" i="5"/>
  <c r="BE30" i="5"/>
  <c r="BK30" i="5"/>
  <c r="BS155" i="5"/>
  <c r="BG36" i="5"/>
  <c r="BO85" i="5"/>
  <c r="BE89" i="5"/>
  <c r="AU155" i="5"/>
  <c r="BE229" i="5"/>
  <c r="BS222" i="5"/>
  <c r="BI142" i="5"/>
  <c r="BE34" i="5"/>
  <c r="CA79" i="5"/>
  <c r="BI79" i="5"/>
  <c r="BW30" i="5"/>
  <c r="CA30" i="5"/>
  <c r="CA155" i="5"/>
  <c r="AI155" i="5" s="1"/>
  <c r="AJ155" i="5" s="1"/>
  <c r="AK155" i="5" s="1"/>
  <c r="AL155" i="5" s="1"/>
  <c r="AM155" i="5" s="1"/>
  <c r="AN155" i="5" s="1"/>
  <c r="AO155" i="5" s="1"/>
  <c r="AP155" i="5" s="1"/>
  <c r="BE85" i="5"/>
  <c r="BO98" i="5"/>
  <c r="AS155" i="5"/>
  <c r="BE154" i="5"/>
  <c r="BW222" i="5"/>
  <c r="BC229" i="5"/>
  <c r="AU76" i="5"/>
  <c r="BC148" i="5"/>
  <c r="AS151" i="5"/>
  <c r="BU222" i="5"/>
  <c r="BG30" i="5"/>
  <c r="BS30" i="5"/>
  <c r="BW155" i="5"/>
  <c r="BM94" i="5"/>
  <c r="BG98" i="5"/>
  <c r="I223" i="5"/>
  <c r="I148" i="5"/>
  <c r="I279" i="5"/>
  <c r="I81" i="5"/>
  <c r="AW42" i="5"/>
  <c r="AS237" i="5"/>
  <c r="BA133" i="5"/>
  <c r="BE50" i="5"/>
  <c r="BS81" i="5"/>
  <c r="BO81" i="5"/>
  <c r="BI231" i="5"/>
  <c r="BE231" i="5"/>
  <c r="BS42" i="5"/>
  <c r="BU279" i="5"/>
  <c r="BY279" i="5"/>
  <c r="BG150" i="5"/>
  <c r="BY150" i="5"/>
  <c r="BQ54" i="5"/>
  <c r="CA28" i="5"/>
  <c r="BI133" i="5"/>
  <c r="BU61" i="5"/>
  <c r="BG146" i="5"/>
  <c r="BW146" i="5"/>
  <c r="BW87" i="5"/>
  <c r="BU87" i="5"/>
  <c r="BW237" i="5"/>
  <c r="BW91" i="5"/>
  <c r="BU241" i="5"/>
  <c r="BA279" i="5"/>
  <c r="AS133" i="5"/>
  <c r="BC81" i="5"/>
  <c r="BA42" i="5"/>
  <c r="BM50" i="5"/>
  <c r="BK81" i="5"/>
  <c r="BQ81" i="5"/>
  <c r="BY231" i="5"/>
  <c r="CA231" i="5"/>
  <c r="CA42" i="5"/>
  <c r="BG279" i="5"/>
  <c r="CA279" i="5"/>
  <c r="BK150" i="5"/>
  <c r="CA150" i="5"/>
  <c r="AI150" i="5" s="1"/>
  <c r="AJ150" i="5" s="1"/>
  <c r="AK150" i="5" s="1"/>
  <c r="AL150" i="5" s="1"/>
  <c r="AM150" i="5" s="1"/>
  <c r="AN150" i="5" s="1"/>
  <c r="BU54" i="5"/>
  <c r="BW54" i="5"/>
  <c r="BQ28" i="5"/>
  <c r="BE28" i="5"/>
  <c r="BU133" i="5"/>
  <c r="BG61" i="5"/>
  <c r="BI146" i="5"/>
  <c r="BY146" i="5"/>
  <c r="BI87" i="5"/>
  <c r="BE87" i="5"/>
  <c r="BU89" i="5"/>
  <c r="BG91" i="5"/>
  <c r="BQ241" i="5"/>
  <c r="AU50" i="5"/>
  <c r="BA81" i="5"/>
  <c r="AY50" i="5"/>
  <c r="BK50" i="5"/>
  <c r="CA50" i="5"/>
  <c r="BY81" i="5"/>
  <c r="BW81" i="5"/>
  <c r="BM231" i="5"/>
  <c r="BO231" i="5"/>
  <c r="BM42" i="5"/>
  <c r="BE279" i="5"/>
  <c r="BO150" i="5"/>
  <c r="BU150" i="5"/>
  <c r="BE54" i="5"/>
  <c r="BK54" i="5"/>
  <c r="BO28" i="5"/>
  <c r="BM28" i="5"/>
  <c r="BG133" i="5"/>
  <c r="BW61" i="5"/>
  <c r="BM146" i="5"/>
  <c r="CA146" i="5"/>
  <c r="AI146" i="5" s="1"/>
  <c r="AJ146" i="5" s="1"/>
  <c r="AK146" i="5" s="1"/>
  <c r="AL146" i="5" s="1"/>
  <c r="AM146" i="5" s="1"/>
  <c r="AN146" i="5" s="1"/>
  <c r="AO146" i="5" s="1"/>
  <c r="AP146" i="5" s="1"/>
  <c r="AQ146" i="5" s="1"/>
  <c r="BY87" i="5"/>
  <c r="BQ87" i="5"/>
  <c r="BY91" i="5"/>
  <c r="I230" i="5"/>
  <c r="BA50" i="5"/>
  <c r="AW133" i="5"/>
  <c r="BA28" i="5"/>
  <c r="BW50" i="5"/>
  <c r="BG50" i="5"/>
  <c r="BE81" i="5"/>
  <c r="BS231" i="5"/>
  <c r="BU231" i="5"/>
  <c r="BU42" i="5"/>
  <c r="BS279" i="5"/>
  <c r="BE150" i="5"/>
  <c r="BM54" i="5"/>
  <c r="BY54" i="5"/>
  <c r="BY28" i="5"/>
  <c r="BU28" i="5"/>
  <c r="CA133" i="5"/>
  <c r="AI133" i="5" s="1"/>
  <c r="AJ133" i="5" s="1"/>
  <c r="AK133" i="5" s="1"/>
  <c r="AL133" i="5" s="1"/>
  <c r="AM133" i="5" s="1"/>
  <c r="AN133" i="5" s="1"/>
  <c r="AO133" i="5" s="1"/>
  <c r="AP133" i="5" s="1"/>
  <c r="AQ133" i="5" s="1"/>
  <c r="BK133" i="5"/>
  <c r="BM61" i="5"/>
  <c r="BE146" i="5"/>
  <c r="CA87" i="5"/>
  <c r="BO91" i="5"/>
  <c r="CA91" i="5"/>
  <c r="I231" i="5"/>
  <c r="AS42" i="5"/>
  <c r="BA87" i="5"/>
  <c r="AS91" i="5"/>
  <c r="AS279" i="5"/>
  <c r="BU50" i="5"/>
  <c r="CA81" i="5"/>
  <c r="BQ231" i="5"/>
  <c r="BG42" i="5"/>
  <c r="BO42" i="5"/>
  <c r="BS62" i="5"/>
  <c r="BO279" i="5"/>
  <c r="BQ150" i="5"/>
  <c r="CA54" i="5"/>
  <c r="BW28" i="5"/>
  <c r="BE133" i="5"/>
  <c r="BW133" i="5"/>
  <c r="BQ61" i="5"/>
  <c r="BK61" i="5"/>
  <c r="BQ146" i="5"/>
  <c r="BM87" i="5"/>
  <c r="BM237" i="5"/>
  <c r="BS91" i="5"/>
  <c r="BM91" i="5"/>
  <c r="AS87" i="5"/>
  <c r="I133" i="5"/>
  <c r="AU81" i="5"/>
  <c r="AS146" i="5"/>
  <c r="BA54" i="5"/>
  <c r="BQ50" i="5"/>
  <c r="BQ42" i="5"/>
  <c r="BW279" i="5"/>
  <c r="BG54" i="5"/>
  <c r="BK28" i="5"/>
  <c r="BY139" i="5"/>
  <c r="BQ133" i="5"/>
  <c r="BS61" i="5"/>
  <c r="CA61" i="5"/>
  <c r="BY237" i="5"/>
  <c r="BE91" i="5"/>
  <c r="BM241" i="5"/>
  <c r="BA145" i="5"/>
  <c r="AS56" i="5"/>
  <c r="AS135" i="5"/>
  <c r="BG135" i="5"/>
  <c r="BQ226" i="5"/>
  <c r="BS72" i="5"/>
  <c r="BU145" i="5"/>
  <c r="BE56" i="5"/>
  <c r="BE67" i="5"/>
  <c r="AS65" i="5"/>
  <c r="BA281" i="5"/>
  <c r="AS95" i="5"/>
  <c r="I88" i="5"/>
  <c r="BA84" i="5"/>
  <c r="AW83" i="5"/>
  <c r="I242" i="5"/>
  <c r="AU224" i="5"/>
  <c r="AU226" i="5"/>
  <c r="AY149" i="5"/>
  <c r="AU145" i="5"/>
  <c r="AS137" i="5"/>
  <c r="BC55" i="5"/>
  <c r="AY72" i="5"/>
  <c r="BA55" i="5"/>
  <c r="BA44" i="5"/>
  <c r="AU78" i="5"/>
  <c r="AS67" i="5"/>
  <c r="AS147" i="5"/>
  <c r="AS224" i="5"/>
  <c r="AU88" i="5"/>
  <c r="BA74" i="5"/>
  <c r="BE135" i="5"/>
  <c r="BM135" i="5"/>
  <c r="BE40" i="5"/>
  <c r="BM144" i="5"/>
  <c r="BU277" i="5"/>
  <c r="BO226" i="5"/>
  <c r="BW226" i="5"/>
  <c r="BM32" i="5"/>
  <c r="BK72" i="5"/>
  <c r="BW72" i="5"/>
  <c r="BY65" i="5"/>
  <c r="BO223" i="5"/>
  <c r="BG145" i="5"/>
  <c r="BE137" i="5"/>
  <c r="BS56" i="5"/>
  <c r="BE134" i="5"/>
  <c r="BI74" i="5"/>
  <c r="BS64" i="5"/>
  <c r="BU67" i="5"/>
  <c r="BW147" i="5"/>
  <c r="CA138" i="5"/>
  <c r="AI138" i="5" s="1"/>
  <c r="AJ138" i="5" s="1"/>
  <c r="AK138" i="5" s="1"/>
  <c r="AL138" i="5" s="1"/>
  <c r="AM138" i="5" s="1"/>
  <c r="AN138" i="5" s="1"/>
  <c r="AO138" i="5" s="1"/>
  <c r="AP138" i="5" s="1"/>
  <c r="AQ138" i="5" s="1"/>
  <c r="BK224" i="5"/>
  <c r="BI78" i="5"/>
  <c r="BW242" i="5"/>
  <c r="I233" i="5"/>
  <c r="AW281" i="5"/>
  <c r="AY242" i="5"/>
  <c r="BA226" i="5"/>
  <c r="BC72" i="5"/>
  <c r="BI135" i="5"/>
  <c r="CA226" i="5"/>
  <c r="BG32" i="5"/>
  <c r="BO72" i="5"/>
  <c r="BS145" i="5"/>
  <c r="BG224" i="5"/>
  <c r="BQ242" i="5"/>
  <c r="AW65" i="5"/>
  <c r="BA67" i="5"/>
  <c r="AY84" i="5"/>
  <c r="AS88" i="5"/>
  <c r="BA95" i="5"/>
  <c r="AS83" i="5"/>
  <c r="BC238" i="5"/>
  <c r="AU228" i="5"/>
  <c r="AY226" i="5"/>
  <c r="BA149" i="5"/>
  <c r="AY145" i="5"/>
  <c r="AW137" i="5"/>
  <c r="AU72" i="5"/>
  <c r="BC74" i="5"/>
  <c r="AW67" i="5"/>
  <c r="AY140" i="5"/>
  <c r="BA242" i="5"/>
  <c r="BC43" i="5"/>
  <c r="AS70" i="5"/>
  <c r="BK135" i="5"/>
  <c r="BS135" i="5"/>
  <c r="BW40" i="5"/>
  <c r="BG144" i="5"/>
  <c r="BQ277" i="5"/>
  <c r="BU226" i="5"/>
  <c r="BO32" i="5"/>
  <c r="CA72" i="5"/>
  <c r="BK65" i="5"/>
  <c r="BO145" i="5"/>
  <c r="BG137" i="5"/>
  <c r="BE37" i="5"/>
  <c r="BG56" i="5"/>
  <c r="BS70" i="5"/>
  <c r="BS134" i="5"/>
  <c r="BQ74" i="5"/>
  <c r="BK41" i="5"/>
  <c r="BY149" i="5"/>
  <c r="BM43" i="5"/>
  <c r="BE224" i="5"/>
  <c r="AY88" i="5"/>
  <c r="AW84" i="5"/>
  <c r="AY224" i="5"/>
  <c r="AW44" i="5"/>
  <c r="BA72" i="5"/>
  <c r="AS149" i="5"/>
  <c r="BA65" i="5"/>
  <c r="BC135" i="5"/>
  <c r="BW135" i="5"/>
  <c r="BK32" i="5"/>
  <c r="CA65" i="5"/>
  <c r="BO56" i="5"/>
  <c r="BM67" i="5"/>
  <c r="BA64" i="5"/>
  <c r="I277" i="5"/>
  <c r="AY67" i="5"/>
  <c r="AY280" i="5"/>
  <c r="BA88" i="5"/>
  <c r="AY95" i="5"/>
  <c r="AY83" i="5"/>
  <c r="BC228" i="5"/>
  <c r="AY233" i="5"/>
  <c r="AY56" i="5"/>
  <c r="AW149" i="5"/>
  <c r="BC31" i="5"/>
  <c r="AY80" i="5"/>
  <c r="AY59" i="5"/>
  <c r="AW72" i="5"/>
  <c r="BA53" i="5"/>
  <c r="AY65" i="5"/>
  <c r="AU242" i="5"/>
  <c r="AW135" i="5"/>
  <c r="AY135" i="5"/>
  <c r="I145" i="5"/>
  <c r="BM280" i="5"/>
  <c r="BQ135" i="5"/>
  <c r="BG55" i="5"/>
  <c r="BM226" i="5"/>
  <c r="BG140" i="5"/>
  <c r="BE32" i="5"/>
  <c r="BQ32" i="5"/>
  <c r="BO80" i="5"/>
  <c r="BE72" i="5"/>
  <c r="BE65" i="5"/>
  <c r="BM65" i="5"/>
  <c r="BI145" i="5"/>
  <c r="BW137" i="5"/>
  <c r="CA37" i="5"/>
  <c r="CA56" i="5"/>
  <c r="BU56" i="5"/>
  <c r="BY70" i="5"/>
  <c r="BS41" i="5"/>
  <c r="BO67" i="5"/>
  <c r="BM31" i="5"/>
  <c r="BE149" i="5"/>
  <c r="BO43" i="5"/>
  <c r="BU90" i="5"/>
  <c r="BS84" i="5"/>
  <c r="BK88" i="5"/>
  <c r="AU67" i="5"/>
  <c r="AW88" i="5"/>
  <c r="BC226" i="5"/>
  <c r="BC145" i="5"/>
  <c r="BC65" i="5"/>
  <c r="AW224" i="5"/>
  <c r="BI226" i="5"/>
  <c r="BW32" i="5"/>
  <c r="BI72" i="5"/>
  <c r="BW145" i="5"/>
  <c r="BC67" i="5"/>
  <c r="I280" i="5"/>
  <c r="BC95" i="5"/>
  <c r="AY238" i="5"/>
  <c r="AY223" i="5"/>
  <c r="BA233" i="5"/>
  <c r="AW140" i="5"/>
  <c r="AU56" i="5"/>
  <c r="BC149" i="5"/>
  <c r="AY31" i="5"/>
  <c r="AY43" i="5"/>
  <c r="BC32" i="5"/>
  <c r="AS78" i="5"/>
  <c r="BA37" i="5"/>
  <c r="BC44" i="5"/>
  <c r="AS72" i="5"/>
  <c r="I72" i="5"/>
  <c r="AS53" i="5"/>
  <c r="AW40" i="5"/>
  <c r="AS64" i="5"/>
  <c r="AW43" i="5"/>
  <c r="AW32" i="5"/>
  <c r="BC86" i="5"/>
  <c r="AS31" i="5"/>
  <c r="BC242" i="5"/>
  <c r="AS32" i="5"/>
  <c r="I137" i="5"/>
  <c r="AY55" i="5"/>
  <c r="BO280" i="5"/>
  <c r="BU135" i="5"/>
  <c r="CA55" i="5"/>
  <c r="BS226" i="5"/>
  <c r="BK140" i="5"/>
  <c r="BS32" i="5"/>
  <c r="BY32" i="5"/>
  <c r="BW80" i="5"/>
  <c r="BM72" i="5"/>
  <c r="BY53" i="5"/>
  <c r="BU65" i="5"/>
  <c r="BO65" i="5"/>
  <c r="BK145" i="5"/>
  <c r="BM145" i="5"/>
  <c r="BK56" i="5"/>
  <c r="BW228" i="5"/>
  <c r="BG64" i="5"/>
  <c r="CA233" i="5"/>
  <c r="BI31" i="5"/>
  <c r="BI149" i="5"/>
  <c r="BI138" i="5"/>
  <c r="BG43" i="5"/>
  <c r="BI95" i="5"/>
  <c r="BE84" i="5"/>
  <c r="BY88" i="5"/>
  <c r="AS84" i="5"/>
  <c r="AU149" i="5"/>
  <c r="I135" i="5"/>
  <c r="BO135" i="5"/>
  <c r="CA149" i="5"/>
  <c r="AI149" i="5" s="1"/>
  <c r="AJ149" i="5" s="1"/>
  <c r="AK149" i="5" s="1"/>
  <c r="AL149" i="5" s="1"/>
  <c r="AM149" i="5" s="1"/>
  <c r="AN149" i="5" s="1"/>
  <c r="AO149" i="5" s="1"/>
  <c r="AP149" i="5" s="1"/>
  <c r="AQ149" i="5" s="1"/>
  <c r="CA88" i="5"/>
  <c r="AY281" i="5"/>
  <c r="AS280" i="5"/>
  <c r="BC84" i="5"/>
  <c r="I95" i="5"/>
  <c r="AW242" i="5"/>
  <c r="AS226" i="5"/>
  <c r="AW233" i="5"/>
  <c r="AS140" i="5"/>
  <c r="AS145" i="5"/>
  <c r="AU31" i="5"/>
  <c r="AU43" i="5"/>
  <c r="AY32" i="5"/>
  <c r="BA56" i="5"/>
  <c r="BA59" i="5"/>
  <c r="AW53" i="5"/>
  <c r="AU280" i="5"/>
  <c r="BC88" i="5"/>
  <c r="BA32" i="5"/>
  <c r="AW147" i="5"/>
  <c r="AS86" i="5"/>
  <c r="AU84" i="5"/>
  <c r="BC56" i="5"/>
  <c r="I144" i="5"/>
  <c r="I149" i="5"/>
  <c r="AY37" i="5"/>
  <c r="BA228" i="5"/>
  <c r="BK226" i="5"/>
  <c r="BY226" i="5"/>
  <c r="CA32" i="5"/>
  <c r="BI32" i="5"/>
  <c r="BQ72" i="5"/>
  <c r="BG65" i="5"/>
  <c r="BQ65" i="5"/>
  <c r="BE145" i="5"/>
  <c r="BM56" i="5"/>
  <c r="BQ56" i="5"/>
  <c r="CA224" i="5"/>
  <c r="BW84" i="5"/>
  <c r="BS88" i="5"/>
  <c r="BG67" i="5"/>
  <c r="BW149" i="5"/>
  <c r="BG149" i="5"/>
  <c r="BM224" i="5"/>
  <c r="BU84" i="5"/>
  <c r="BK242" i="5"/>
  <c r="BE88" i="5"/>
  <c r="BM88" i="5"/>
  <c r="I139" i="5"/>
  <c r="BO132" i="5"/>
  <c r="BW67" i="5"/>
  <c r="BQ149" i="5"/>
  <c r="BS149" i="5"/>
  <c r="BS224" i="5"/>
  <c r="BG84" i="5"/>
  <c r="BU242" i="5"/>
  <c r="CA86" i="5"/>
  <c r="BU88" i="5"/>
  <c r="BO88" i="5"/>
  <c r="I224" i="5"/>
  <c r="BC97" i="5"/>
  <c r="AW62" i="5"/>
  <c r="BA62" i="5"/>
  <c r="BY67" i="5"/>
  <c r="BM149" i="5"/>
  <c r="BK149" i="5"/>
  <c r="BY224" i="5"/>
  <c r="BM90" i="5"/>
  <c r="BM84" i="5"/>
  <c r="BI84" i="5"/>
  <c r="BS242" i="5"/>
  <c r="BG88" i="5"/>
  <c r="BQ88" i="5"/>
  <c r="AW232" i="5"/>
  <c r="BO35" i="5"/>
  <c r="BE281" i="5"/>
  <c r="BQ67" i="5"/>
  <c r="BK67" i="5"/>
  <c r="BS147" i="5"/>
  <c r="BO149" i="5"/>
  <c r="BU224" i="5"/>
  <c r="BQ224" i="5"/>
  <c r="BO84" i="5"/>
  <c r="BK84" i="5"/>
  <c r="CA242" i="5"/>
  <c r="BI88" i="5"/>
  <c r="BM281" i="5"/>
  <c r="BS67" i="5"/>
  <c r="CA67" i="5"/>
  <c r="BI147" i="5"/>
  <c r="BE59" i="5"/>
  <c r="BO224" i="5"/>
  <c r="BW275" i="5"/>
  <c r="BQ84" i="5"/>
  <c r="BO242" i="5"/>
  <c r="BA77" i="5"/>
  <c r="BC136" i="5"/>
  <c r="BA232" i="5"/>
  <c r="BW132" i="5"/>
  <c r="BE62" i="5"/>
  <c r="BQ51" i="5"/>
  <c r="BK230" i="5"/>
  <c r="BW230" i="5"/>
  <c r="BY230" i="5"/>
  <c r="BQ230" i="5"/>
  <c r="AU230" i="5"/>
  <c r="BU230" i="5"/>
  <c r="BS230" i="5"/>
  <c r="BO230" i="5"/>
  <c r="BM230" i="5"/>
  <c r="AY230" i="5"/>
  <c r="AW69" i="5"/>
  <c r="AU275" i="5"/>
  <c r="BA93" i="5"/>
  <c r="AW97" i="5"/>
  <c r="AS85" i="5"/>
  <c r="AS136" i="5"/>
  <c r="AS232" i="5"/>
  <c r="BA227" i="5"/>
  <c r="BA29" i="5"/>
  <c r="I76" i="5"/>
  <c r="BE230" i="5"/>
  <c r="BK154" i="5"/>
  <c r="BY132" i="5"/>
  <c r="BU76" i="5"/>
  <c r="BO139" i="5"/>
  <c r="BS51" i="5"/>
  <c r="BE46" i="5"/>
  <c r="BG232" i="5"/>
  <c r="BG58" i="5"/>
  <c r="BU85" i="5"/>
  <c r="BI89" i="5"/>
  <c r="BY276" i="5"/>
  <c r="BG276" i="5"/>
  <c r="BW276" i="5"/>
  <c r="AW276" i="5"/>
  <c r="CA276" i="5"/>
  <c r="BU136" i="5"/>
  <c r="BM136" i="5"/>
  <c r="AY136" i="5"/>
  <c r="BQ136" i="5"/>
  <c r="BI136" i="5"/>
  <c r="I136" i="5"/>
  <c r="BO136" i="5"/>
  <c r="BE136" i="5"/>
  <c r="BW136" i="5"/>
  <c r="BA136" i="5"/>
  <c r="BK139" i="5"/>
  <c r="BY151" i="5"/>
  <c r="BI151" i="5"/>
  <c r="I151" i="5"/>
  <c r="BW151" i="5"/>
  <c r="BE151" i="5"/>
  <c r="AU151" i="5"/>
  <c r="AW151" i="5"/>
  <c r="BS151" i="5"/>
  <c r="AY151" i="5"/>
  <c r="BO151" i="5"/>
  <c r="BA151" i="5"/>
  <c r="BG151" i="5"/>
  <c r="BC151" i="5"/>
  <c r="BC69" i="5"/>
  <c r="BA69" i="5"/>
  <c r="AY275" i="5"/>
  <c r="AY276" i="5"/>
  <c r="I93" i="5"/>
  <c r="BA97" i="5"/>
  <c r="AW132" i="5"/>
  <c r="AU232" i="5"/>
  <c r="I154" i="5"/>
  <c r="AY35" i="5"/>
  <c r="BC58" i="5"/>
  <c r="BK151" i="5"/>
  <c r="BI230" i="5"/>
  <c r="BU154" i="5"/>
  <c r="BG29" i="5"/>
  <c r="BG136" i="5"/>
  <c r="BQ77" i="5"/>
  <c r="BI77" i="5"/>
  <c r="AU77" i="5"/>
  <c r="BW77" i="5"/>
  <c r="AY77" i="5"/>
  <c r="CA77" i="5"/>
  <c r="BG77" i="5"/>
  <c r="AS77" i="5"/>
  <c r="BS77" i="5"/>
  <c r="BU77" i="5"/>
  <c r="I77" i="5"/>
  <c r="I62" i="5"/>
  <c r="BQ62" i="5"/>
  <c r="BY62" i="5"/>
  <c r="BO62" i="5"/>
  <c r="BM62" i="5"/>
  <c r="BG62" i="5"/>
  <c r="CA62" i="5"/>
  <c r="BU62" i="5"/>
  <c r="I51" i="5"/>
  <c r="BY51" i="5"/>
  <c r="AY51" i="5"/>
  <c r="BU51" i="5"/>
  <c r="BK51" i="5"/>
  <c r="AS51" i="5"/>
  <c r="BO51" i="5"/>
  <c r="BW51" i="5"/>
  <c r="AU51" i="5"/>
  <c r="AW51" i="5"/>
  <c r="CA51" i="5"/>
  <c r="BA51" i="5"/>
  <c r="BC51" i="5"/>
  <c r="BM51" i="5"/>
  <c r="BW93" i="5"/>
  <c r="BO93" i="5"/>
  <c r="BU93" i="5"/>
  <c r="BK93" i="5"/>
  <c r="BC93" i="5"/>
  <c r="BE93" i="5"/>
  <c r="BQ93" i="5"/>
  <c r="AU93" i="5"/>
  <c r="BM93" i="5"/>
  <c r="I47" i="5"/>
  <c r="BE47" i="5"/>
  <c r="AS47" i="5"/>
  <c r="BW47" i="5"/>
  <c r="BG47" i="5"/>
  <c r="BS47" i="5"/>
  <c r="CA47" i="5"/>
  <c r="BK47" i="5"/>
  <c r="BY47" i="5"/>
  <c r="BY232" i="5"/>
  <c r="BS232" i="5"/>
  <c r="BC232" i="5"/>
  <c r="I232" i="5"/>
  <c r="CA232" i="5"/>
  <c r="BM232" i="5"/>
  <c r="BK232" i="5"/>
  <c r="BO232" i="5"/>
  <c r="BW232" i="5"/>
  <c r="BU232" i="5"/>
  <c r="AS97" i="5"/>
  <c r="AY132" i="5"/>
  <c r="BU35" i="5"/>
  <c r="BI232" i="5"/>
  <c r="CA76" i="5"/>
  <c r="BM76" i="5"/>
  <c r="AY76" i="5"/>
  <c r="BS76" i="5"/>
  <c r="BE76" i="5"/>
  <c r="BK76" i="5"/>
  <c r="BW76" i="5"/>
  <c r="BQ76" i="5"/>
  <c r="AS76" i="5"/>
  <c r="BI76" i="5"/>
  <c r="I34" i="5"/>
  <c r="BW34" i="5"/>
  <c r="BQ34" i="5"/>
  <c r="BO34" i="5"/>
  <c r="BI34" i="5"/>
  <c r="BC34" i="5"/>
  <c r="AS34" i="5"/>
  <c r="BG34" i="5"/>
  <c r="CA34" i="5"/>
  <c r="AW34" i="5"/>
  <c r="BS34" i="5"/>
  <c r="BM34" i="5"/>
  <c r="I36" i="5"/>
  <c r="BU36" i="5"/>
  <c r="BI36" i="5"/>
  <c r="BA36" i="5"/>
  <c r="BM36" i="5"/>
  <c r="AW36" i="5"/>
  <c r="BE36" i="5"/>
  <c r="BS36" i="5"/>
  <c r="BK36" i="5"/>
  <c r="BO36" i="5"/>
  <c r="I69" i="5"/>
  <c r="BO69" i="5"/>
  <c r="BG69" i="5"/>
  <c r="BS69" i="5"/>
  <c r="CA69" i="5"/>
  <c r="BQ69" i="5"/>
  <c r="BU69" i="5"/>
  <c r="BY69" i="5"/>
  <c r="I58" i="5"/>
  <c r="BS58" i="5"/>
  <c r="BW58" i="5"/>
  <c r="BY58" i="5"/>
  <c r="BA58" i="5"/>
  <c r="BU58" i="5"/>
  <c r="BK58" i="5"/>
  <c r="CA58" i="5"/>
  <c r="BQ58" i="5"/>
  <c r="BM89" i="5"/>
  <c r="BS89" i="5"/>
  <c r="BY89" i="5"/>
  <c r="BQ89" i="5"/>
  <c r="BK89" i="5"/>
  <c r="BG89" i="5"/>
  <c r="AU89" i="5"/>
  <c r="BW89" i="5"/>
  <c r="I89" i="5"/>
  <c r="BS85" i="5"/>
  <c r="BA85" i="5"/>
  <c r="BQ85" i="5"/>
  <c r="AW85" i="5"/>
  <c r="BI85" i="5"/>
  <c r="CA85" i="5"/>
  <c r="AY85" i="5"/>
  <c r="BW85" i="5"/>
  <c r="BM85" i="5"/>
  <c r="BG85" i="5"/>
  <c r="BK85" i="5"/>
  <c r="I46" i="5"/>
  <c r="BO46" i="5"/>
  <c r="CA46" i="5"/>
  <c r="BG46" i="5"/>
  <c r="BS46" i="5"/>
  <c r="BU46" i="5"/>
  <c r="AW46" i="5"/>
  <c r="BY46" i="5"/>
  <c r="BM46" i="5"/>
  <c r="AS46" i="5"/>
  <c r="BQ46" i="5"/>
  <c r="BS227" i="5"/>
  <c r="BK227" i="5"/>
  <c r="BC227" i="5"/>
  <c r="BM227" i="5"/>
  <c r="BQ227" i="5"/>
  <c r="AY227" i="5"/>
  <c r="I227" i="5"/>
  <c r="BI227" i="5"/>
  <c r="BW227" i="5"/>
  <c r="BO227" i="5"/>
  <c r="CA227" i="5"/>
  <c r="AU62" i="5"/>
  <c r="AU276" i="5"/>
  <c r="AY62" i="5"/>
  <c r="AY89" i="5"/>
  <c r="I85" i="5"/>
  <c r="AS132" i="5"/>
  <c r="AY232" i="5"/>
  <c r="AU35" i="5"/>
  <c r="AY58" i="5"/>
  <c r="BC77" i="5"/>
  <c r="BC230" i="5"/>
  <c r="AS36" i="5"/>
  <c r="AW47" i="5"/>
  <c r="BC154" i="5"/>
  <c r="BU151" i="5"/>
  <c r="BS154" i="5"/>
  <c r="BW29" i="5"/>
  <c r="BM77" i="5"/>
  <c r="BU47" i="5"/>
  <c r="BY136" i="5"/>
  <c r="BG51" i="5"/>
  <c r="BE232" i="5"/>
  <c r="BM58" i="5"/>
  <c r="BE69" i="5"/>
  <c r="CA93" i="5"/>
  <c r="BE97" i="5"/>
  <c r="CA89" i="5"/>
  <c r="BQ280" i="5"/>
  <c r="BC280" i="5"/>
  <c r="BG280" i="5"/>
  <c r="BS280" i="5"/>
  <c r="BI280" i="5"/>
  <c r="BU280" i="5"/>
  <c r="BE280" i="5"/>
  <c r="BY280" i="5"/>
  <c r="CA280" i="5"/>
  <c r="BU74" i="5"/>
  <c r="BG74" i="5"/>
  <c r="I74" i="5"/>
  <c r="BM74" i="5"/>
  <c r="BY74" i="5"/>
  <c r="AU74" i="5"/>
  <c r="BE74" i="5"/>
  <c r="BW74" i="5"/>
  <c r="AY74" i="5"/>
  <c r="CA74" i="5"/>
  <c r="BS74" i="5"/>
  <c r="I31" i="5"/>
  <c r="BY31" i="5"/>
  <c r="BU31" i="5"/>
  <c r="BS31" i="5"/>
  <c r="BG31" i="5"/>
  <c r="BA31" i="5"/>
  <c r="BQ31" i="5"/>
  <c r="BW31" i="5"/>
  <c r="AW31" i="5"/>
  <c r="BO31" i="5"/>
  <c r="I64" i="5"/>
  <c r="BO64" i="5"/>
  <c r="AY64" i="5"/>
  <c r="BM64" i="5"/>
  <c r="BC64" i="5"/>
  <c r="CA64" i="5"/>
  <c r="AU64" i="5"/>
  <c r="BU64" i="5"/>
  <c r="BY64" i="5"/>
  <c r="AW64" i="5"/>
  <c r="BE64" i="5"/>
  <c r="I53" i="5"/>
  <c r="BK53" i="5"/>
  <c r="AU53" i="5"/>
  <c r="BW53" i="5"/>
  <c r="BQ53" i="5"/>
  <c r="BM53" i="5"/>
  <c r="BU53" i="5"/>
  <c r="AY53" i="5"/>
  <c r="BE53" i="5"/>
  <c r="BO53" i="5"/>
  <c r="I55" i="5"/>
  <c r="BY55" i="5"/>
  <c r="BM55" i="5"/>
  <c r="BK55" i="5"/>
  <c r="BE55" i="5"/>
  <c r="BW55" i="5"/>
  <c r="BS55" i="5"/>
  <c r="BU55" i="5"/>
  <c r="BS95" i="5"/>
  <c r="BE95" i="5"/>
  <c r="BU95" i="5"/>
  <c r="BM95" i="5"/>
  <c r="AW95" i="5"/>
  <c r="CA95" i="5"/>
  <c r="BU83" i="5"/>
  <c r="BM83" i="5"/>
  <c r="BE83" i="5"/>
  <c r="BA83" i="5"/>
  <c r="BQ83" i="5"/>
  <c r="I83" i="5"/>
  <c r="I43" i="5"/>
  <c r="CA43" i="5"/>
  <c r="BK43" i="5"/>
  <c r="BW43" i="5"/>
  <c r="BQ43" i="5"/>
  <c r="BY43" i="5"/>
  <c r="BE43" i="5"/>
  <c r="BS43" i="5"/>
  <c r="BA43" i="5"/>
  <c r="BM238" i="5"/>
  <c r="BW238" i="5"/>
  <c r="AS238" i="5"/>
  <c r="BI238" i="5"/>
  <c r="BI140" i="5"/>
  <c r="I140" i="5"/>
  <c r="CA140" i="5"/>
  <c r="AI140" i="5" s="1"/>
  <c r="AJ140" i="5" s="1"/>
  <c r="AK140" i="5" s="1"/>
  <c r="AL140" i="5" s="1"/>
  <c r="AM140" i="5" s="1"/>
  <c r="AN140" i="5" s="1"/>
  <c r="AO140" i="5" s="1"/>
  <c r="AP140" i="5" s="1"/>
  <c r="AQ140" i="5" s="1"/>
  <c r="BE140" i="5"/>
  <c r="BY140" i="5"/>
  <c r="BO140" i="5"/>
  <c r="BU140" i="5"/>
  <c r="BM140" i="5"/>
  <c r="BA140" i="5"/>
  <c r="BS140" i="5"/>
  <c r="AU140" i="5"/>
  <c r="BC140" i="5"/>
  <c r="BS137" i="5"/>
  <c r="CA137" i="5"/>
  <c r="AI137" i="5" s="1"/>
  <c r="BC137" i="5"/>
  <c r="BQ137" i="5"/>
  <c r="BU137" i="5"/>
  <c r="AY137" i="5"/>
  <c r="BO137" i="5"/>
  <c r="AU137" i="5"/>
  <c r="BK137" i="5"/>
  <c r="BI137" i="5"/>
  <c r="BW138" i="5"/>
  <c r="BM138" i="5"/>
  <c r="BC138" i="5"/>
  <c r="BU138" i="5"/>
  <c r="BE138" i="5"/>
  <c r="AY138" i="5"/>
  <c r="BS138" i="5"/>
  <c r="AW138" i="5"/>
  <c r="AU138" i="5"/>
  <c r="BK138" i="5"/>
  <c r="AS138" i="5"/>
  <c r="BG138" i="5"/>
  <c r="BI233" i="5"/>
  <c r="AU233" i="5"/>
  <c r="BK233" i="5"/>
  <c r="BU233" i="5"/>
  <c r="AS233" i="5"/>
  <c r="BW233" i="5"/>
  <c r="BO233" i="5"/>
  <c r="BG233" i="5"/>
  <c r="BS233" i="5"/>
  <c r="I228" i="5"/>
  <c r="CA228" i="5"/>
  <c r="BE228" i="5"/>
  <c r="AS228" i="5"/>
  <c r="BS228" i="5"/>
  <c r="BK228" i="5"/>
  <c r="AW228" i="5"/>
  <c r="BY228" i="5"/>
  <c r="BQ228" i="5"/>
  <c r="BI228" i="5"/>
  <c r="BG228" i="5"/>
  <c r="BY275" i="5"/>
  <c r="BQ275" i="5"/>
  <c r="BE275" i="5"/>
  <c r="BA275" i="5"/>
  <c r="BG275" i="5"/>
  <c r="CA139" i="5"/>
  <c r="AI139" i="5" s="1"/>
  <c r="AJ139" i="5" s="1"/>
  <c r="AK139" i="5" s="1"/>
  <c r="AL139" i="5" s="1"/>
  <c r="AM139" i="5" s="1"/>
  <c r="AN139" i="5" s="1"/>
  <c r="AO139" i="5" s="1"/>
  <c r="AP139" i="5" s="1"/>
  <c r="AQ139" i="5" s="1"/>
  <c r="AS139" i="5"/>
  <c r="BS139" i="5"/>
  <c r="AW139" i="5"/>
  <c r="BU139" i="5"/>
  <c r="BM139" i="5"/>
  <c r="AY139" i="5"/>
  <c r="BG139" i="5"/>
  <c r="BE139" i="5"/>
  <c r="BW139" i="5"/>
  <c r="BQ139" i="5"/>
  <c r="AU139" i="5"/>
  <c r="AW29" i="5"/>
  <c r="BC62" i="5"/>
  <c r="AS276" i="5"/>
  <c r="AS89" i="5"/>
  <c r="AS154" i="5"/>
  <c r="BC46" i="5"/>
  <c r="AY47" i="5"/>
  <c r="AU58" i="5"/>
  <c r="BA47" i="5"/>
  <c r="BC76" i="5"/>
  <c r="CA151" i="5"/>
  <c r="AI151" i="5" s="1"/>
  <c r="AJ151" i="5" s="1"/>
  <c r="AK151" i="5" s="1"/>
  <c r="AL151" i="5" s="1"/>
  <c r="AM151" i="5" s="1"/>
  <c r="AN151" i="5" s="1"/>
  <c r="AO151" i="5" s="1"/>
  <c r="AP151" i="5" s="1"/>
  <c r="AQ151" i="5" s="1"/>
  <c r="BE227" i="5"/>
  <c r="BK29" i="5"/>
  <c r="BO77" i="5"/>
  <c r="BQ47" i="5"/>
  <c r="CA136" i="5"/>
  <c r="AI136" i="5" s="1"/>
  <c r="AJ136" i="5" s="1"/>
  <c r="AK136" i="5" s="1"/>
  <c r="AL136" i="5" s="1"/>
  <c r="AM136" i="5" s="1"/>
  <c r="AN136" i="5" s="1"/>
  <c r="AO136" i="5" s="1"/>
  <c r="AP136" i="5" s="1"/>
  <c r="AQ136" i="5" s="1"/>
  <c r="BW36" i="5"/>
  <c r="BK46" i="5"/>
  <c r="BO58" i="5"/>
  <c r="BW69" i="5"/>
  <c r="BS93" i="5"/>
  <c r="BY97" i="5"/>
  <c r="I35" i="5"/>
  <c r="BM35" i="5"/>
  <c r="BC35" i="5"/>
  <c r="BE35" i="5"/>
  <c r="BA35" i="5"/>
  <c r="CA35" i="5"/>
  <c r="BW35" i="5"/>
  <c r="BI35" i="5"/>
  <c r="AW35" i="5"/>
  <c r="BG35" i="5"/>
  <c r="BS35" i="5"/>
  <c r="AU97" i="5"/>
  <c r="AW93" i="5"/>
  <c r="AW136" i="5"/>
  <c r="AW77" i="5"/>
  <c r="BK136" i="5"/>
  <c r="BO148" i="5"/>
  <c r="BE148" i="5"/>
  <c r="AU148" i="5"/>
  <c r="AS148" i="5"/>
  <c r="BM148" i="5"/>
  <c r="AW148" i="5"/>
  <c r="BK148" i="5"/>
  <c r="BS148" i="5"/>
  <c r="BA148" i="5"/>
  <c r="CA148" i="5"/>
  <c r="AI148" i="5" s="1"/>
  <c r="AJ148" i="5" s="1"/>
  <c r="AK148" i="5" s="1"/>
  <c r="AL148" i="5" s="1"/>
  <c r="AM148" i="5" s="1"/>
  <c r="AN148" i="5" s="1"/>
  <c r="AO148" i="5" s="1"/>
  <c r="AP148" i="5" s="1"/>
  <c r="AQ148" i="5" s="1"/>
  <c r="BG148" i="5"/>
  <c r="AY148" i="5"/>
  <c r="AS62" i="5"/>
  <c r="BC276" i="5"/>
  <c r="AW89" i="5"/>
  <c r="I97" i="5"/>
  <c r="AS230" i="5"/>
  <c r="AW58" i="5"/>
  <c r="AY46" i="5"/>
  <c r="AU47" i="5"/>
  <c r="BC36" i="5"/>
  <c r="BC29" i="5"/>
  <c r="BA76" i="5"/>
  <c r="AS275" i="5"/>
  <c r="BC132" i="5"/>
  <c r="BA46" i="5"/>
  <c r="AY69" i="5"/>
  <c r="BQ151" i="5"/>
  <c r="BK35" i="5"/>
  <c r="BU148" i="5"/>
  <c r="BY227" i="5"/>
  <c r="BY77" i="5"/>
  <c r="BY34" i="5"/>
  <c r="BQ36" i="5"/>
  <c r="BK69" i="5"/>
  <c r="BG93" i="5"/>
  <c r="I29" i="5"/>
  <c r="BY29" i="5"/>
  <c r="AS29" i="5"/>
  <c r="BQ29" i="5"/>
  <c r="AU29" i="5"/>
  <c r="BI29" i="5"/>
  <c r="BE29" i="5"/>
  <c r="BO29" i="5"/>
  <c r="AY29" i="5"/>
  <c r="CA29" i="5"/>
  <c r="BM29" i="5"/>
  <c r="BI97" i="5"/>
  <c r="BU97" i="5"/>
  <c r="BQ97" i="5"/>
  <c r="BG97" i="5"/>
  <c r="BM97" i="5"/>
  <c r="BW97" i="5"/>
  <c r="BK97" i="5"/>
  <c r="BS97" i="5"/>
  <c r="BU132" i="5"/>
  <c r="BE132" i="5"/>
  <c r="BS132" i="5"/>
  <c r="BQ132" i="5"/>
  <c r="BA132" i="5"/>
  <c r="BM132" i="5"/>
  <c r="I132" i="5"/>
  <c r="CA132" i="5"/>
  <c r="AI132" i="5" s="1"/>
  <c r="AJ132" i="5" s="1"/>
  <c r="AK132" i="5" s="1"/>
  <c r="AL132" i="5" s="1"/>
  <c r="AM132" i="5" s="1"/>
  <c r="AN132" i="5" s="1"/>
  <c r="AO132" i="5" s="1"/>
  <c r="AP132" i="5" s="1"/>
  <c r="AQ132" i="5" s="1"/>
  <c r="BK132" i="5"/>
  <c r="AU132" i="5"/>
  <c r="BO47" i="5"/>
  <c r="BG154" i="5"/>
  <c r="CA154" i="5"/>
  <c r="AI154" i="5" s="1"/>
  <c r="BO154" i="5"/>
  <c r="BW154" i="5"/>
  <c r="BM154" i="5"/>
  <c r="BQ154" i="5"/>
  <c r="BI154" i="5"/>
  <c r="BY154" i="5"/>
  <c r="AU154" i="5"/>
  <c r="BA89" i="5"/>
  <c r="AY93" i="5"/>
  <c r="AW230" i="5"/>
  <c r="AY154" i="5"/>
  <c r="BA154" i="5"/>
  <c r="AS58" i="5"/>
  <c r="AU46" i="5"/>
  <c r="AY36" i="5"/>
  <c r="AW76" i="5"/>
  <c r="BA139" i="5"/>
  <c r="AU136" i="5"/>
  <c r="AS35" i="5"/>
  <c r="AY97" i="5"/>
  <c r="BY35" i="5"/>
  <c r="BI148" i="5"/>
  <c r="BI132" i="5"/>
  <c r="BU227" i="5"/>
  <c r="BU29" i="5"/>
  <c r="BK77" i="5"/>
  <c r="BK62" i="5"/>
  <c r="BI276" i="5"/>
  <c r="BK34" i="5"/>
  <c r="BI139" i="5"/>
  <c r="CA36" i="5"/>
  <c r="BM275" i="5"/>
  <c r="BI93" i="5"/>
  <c r="BO97" i="5"/>
  <c r="BK241" i="5"/>
  <c r="BQ240" i="5"/>
  <c r="BQ235" i="5"/>
  <c r="BK235" i="5"/>
  <c r="AY235" i="5"/>
  <c r="BU235" i="5"/>
  <c r="BS235" i="5"/>
  <c r="BC235" i="5"/>
  <c r="BW240" i="5"/>
  <c r="AS235" i="5"/>
  <c r="BE240" i="5"/>
  <c r="BS237" i="5"/>
  <c r="CA241" i="5"/>
  <c r="BQ237" i="5"/>
  <c r="BS241" i="5"/>
  <c r="BK237" i="5"/>
  <c r="BY241" i="5"/>
  <c r="CA237" i="5"/>
  <c r="BW241" i="5"/>
  <c r="AU239" i="5"/>
  <c r="AY240" i="5"/>
  <c r="BM235" i="5"/>
  <c r="BS240" i="5"/>
  <c r="BE242" i="5"/>
  <c r="BM242" i="5"/>
  <c r="CA238" i="5"/>
  <c r="BO236" i="5"/>
  <c r="I235" i="5"/>
  <c r="AU235" i="5"/>
  <c r="I236" i="5"/>
  <c r="CA235" i="5"/>
  <c r="BK240" i="5"/>
  <c r="BO240" i="5"/>
  <c r="BY239" i="5"/>
  <c r="BE236" i="5"/>
  <c r="I240" i="5"/>
  <c r="AY239" i="5"/>
  <c r="BY235" i="5"/>
  <c r="CA240" i="5"/>
  <c r="BG242" i="5"/>
  <c r="BM239" i="5"/>
  <c r="BG235" i="5"/>
  <c r="BG240" i="5"/>
  <c r="BI242" i="5"/>
  <c r="BE238" i="5"/>
  <c r="AU240" i="5"/>
  <c r="AW235" i="5"/>
  <c r="AW240" i="5"/>
  <c r="BA235" i="5"/>
  <c r="AU236" i="5"/>
  <c r="BA240" i="5"/>
  <c r="BC240" i="5"/>
  <c r="BW235" i="5"/>
  <c r="BY240" i="5"/>
  <c r="BU238" i="5"/>
  <c r="BO235" i="5"/>
  <c r="BE235" i="5"/>
  <c r="BI240" i="5"/>
  <c r="BM240" i="5"/>
  <c r="BE237" i="5"/>
  <c r="BI237" i="5"/>
  <c r="BG241" i="5"/>
  <c r="BO241" i="5"/>
  <c r="BG238" i="5"/>
  <c r="BK238" i="5"/>
  <c r="BY238" i="5"/>
  <c r="BA238" i="5"/>
  <c r="AS240" i="5"/>
  <c r="BS239" i="5"/>
  <c r="BS238" i="5"/>
  <c r="AW144" i="5"/>
  <c r="AS59" i="5"/>
  <c r="AW75" i="5"/>
  <c r="AW66" i="5"/>
  <c r="BC45" i="5"/>
  <c r="AY147" i="5"/>
  <c r="AY90" i="5"/>
  <c r="AU70" i="5"/>
  <c r="AU90" i="5"/>
  <c r="BC66" i="5"/>
  <c r="AY33" i="5"/>
  <c r="BA90" i="5"/>
  <c r="AY68" i="5"/>
  <c r="AU59" i="5"/>
  <c r="BW229" i="5"/>
  <c r="BM143" i="5"/>
  <c r="BK40" i="5"/>
  <c r="BY75" i="5"/>
  <c r="BE144" i="5"/>
  <c r="BO144" i="5"/>
  <c r="BE141" i="5"/>
  <c r="BW68" i="5"/>
  <c r="BS277" i="5"/>
  <c r="BK277" i="5"/>
  <c r="BE45" i="5"/>
  <c r="CA80" i="5"/>
  <c r="BU80" i="5"/>
  <c r="BG222" i="5"/>
  <c r="BI222" i="5"/>
  <c r="BI223" i="5"/>
  <c r="BE223" i="5"/>
  <c r="BM153" i="5"/>
  <c r="BM37" i="5"/>
  <c r="BM57" i="5"/>
  <c r="BE70" i="5"/>
  <c r="CA70" i="5"/>
  <c r="BQ134" i="5"/>
  <c r="BU134" i="5"/>
  <c r="BM41" i="5"/>
  <c r="BW33" i="5"/>
  <c r="CA147" i="5"/>
  <c r="AI147" i="5" s="1"/>
  <c r="AJ147" i="5" s="1"/>
  <c r="AK147" i="5" s="1"/>
  <c r="AL147" i="5" s="1"/>
  <c r="AM147" i="5" s="1"/>
  <c r="AN147" i="5" s="1"/>
  <c r="AO147" i="5" s="1"/>
  <c r="AP147" i="5" s="1"/>
  <c r="AQ147" i="5" s="1"/>
  <c r="BW59" i="5"/>
  <c r="BM59" i="5"/>
  <c r="BS66" i="5"/>
  <c r="CA66" i="5"/>
  <c r="BE78" i="5"/>
  <c r="BQ78" i="5"/>
  <c r="BY90" i="5"/>
  <c r="BK90" i="5"/>
  <c r="BG92" i="5"/>
  <c r="BQ239" i="5"/>
  <c r="BE86" i="5"/>
  <c r="BM236" i="5"/>
  <c r="BI96" i="5"/>
  <c r="BS96" i="5"/>
  <c r="BA68" i="5"/>
  <c r="AS92" i="5"/>
  <c r="I239" i="5"/>
  <c r="BC223" i="5"/>
  <c r="AU153" i="5"/>
  <c r="AW141" i="5"/>
  <c r="BA45" i="5"/>
  <c r="AU80" i="5"/>
  <c r="BC78" i="5"/>
  <c r="AU40" i="5"/>
  <c r="BA40" i="5"/>
  <c r="AY277" i="5"/>
  <c r="AW92" i="5"/>
  <c r="AS239" i="5"/>
  <c r="I153" i="5"/>
  <c r="AS144" i="5"/>
  <c r="AS222" i="5"/>
  <c r="BA141" i="5"/>
  <c r="AW45" i="5"/>
  <c r="AW78" i="5"/>
  <c r="AW59" i="5"/>
  <c r="AY78" i="5"/>
  <c r="BA75" i="5"/>
  <c r="AY66" i="5"/>
  <c r="AS223" i="5"/>
  <c r="I147" i="5"/>
  <c r="BA57" i="5"/>
  <c r="AS236" i="5"/>
  <c r="AY86" i="5"/>
  <c r="AW70" i="5"/>
  <c r="AY144" i="5"/>
  <c r="BA86" i="5"/>
  <c r="AU277" i="5"/>
  <c r="BK229" i="5"/>
  <c r="BU143" i="5"/>
  <c r="BS40" i="5"/>
  <c r="BQ40" i="5"/>
  <c r="BK75" i="5"/>
  <c r="BI144" i="5"/>
  <c r="BS144" i="5"/>
  <c r="BI141" i="5"/>
  <c r="BE277" i="5"/>
  <c r="BW277" i="5"/>
  <c r="BG45" i="5"/>
  <c r="BQ80" i="5"/>
  <c r="BG80" i="5"/>
  <c r="BQ222" i="5"/>
  <c r="BY223" i="5"/>
  <c r="CA223" i="5"/>
  <c r="BO153" i="5"/>
  <c r="BG37" i="5"/>
  <c r="CA57" i="5"/>
  <c r="BO70" i="5"/>
  <c r="BY134" i="5"/>
  <c r="CA134" i="5"/>
  <c r="AI134" i="5" s="1"/>
  <c r="AJ134" i="5" s="1"/>
  <c r="AK134" i="5" s="1"/>
  <c r="AL134" i="5" s="1"/>
  <c r="AM134" i="5" s="1"/>
  <c r="AN134" i="5" s="1"/>
  <c r="AO134" i="5" s="1"/>
  <c r="AP134" i="5" s="1"/>
  <c r="AQ134" i="5" s="1"/>
  <c r="BE41" i="5"/>
  <c r="BM33" i="5"/>
  <c r="BO33" i="5"/>
  <c r="BE147" i="5"/>
  <c r="BG59" i="5"/>
  <c r="BE66" i="5"/>
  <c r="BM66" i="5"/>
  <c r="BS78" i="5"/>
  <c r="BY78" i="5"/>
  <c r="BG90" i="5"/>
  <c r="BO90" i="5"/>
  <c r="BM92" i="5"/>
  <c r="BK92" i="5"/>
  <c r="BI239" i="5"/>
  <c r="BI86" i="5"/>
  <c r="BG86" i="5"/>
  <c r="BK236" i="5"/>
  <c r="BY96" i="5"/>
  <c r="I229" i="5"/>
  <c r="I243" i="5"/>
  <c r="BQ59" i="5"/>
  <c r="BS86" i="5"/>
  <c r="AS277" i="5"/>
  <c r="AY96" i="5"/>
  <c r="BA239" i="5"/>
  <c r="AW153" i="5"/>
  <c r="BA222" i="5"/>
  <c r="AY45" i="5"/>
  <c r="AY141" i="5"/>
  <c r="AW134" i="5"/>
  <c r="BC37" i="5"/>
  <c r="AU33" i="5"/>
  <c r="BC59" i="5"/>
  <c r="BC40" i="5"/>
  <c r="AU75" i="5"/>
  <c r="AW236" i="5"/>
  <c r="I143" i="5"/>
  <c r="BA223" i="5"/>
  <c r="AS143" i="5"/>
  <c r="BC41" i="5"/>
  <c r="BC80" i="5"/>
  <c r="I86" i="5"/>
  <c r="BA236" i="5"/>
  <c r="BA66" i="5"/>
  <c r="BC70" i="5"/>
  <c r="AU96" i="5"/>
  <c r="AS57" i="5"/>
  <c r="AW86" i="5"/>
  <c r="BM229" i="5"/>
  <c r="BO229" i="5"/>
  <c r="BG143" i="5"/>
  <c r="BY143" i="5"/>
  <c r="BM40" i="5"/>
  <c r="BG75" i="5"/>
  <c r="CA75" i="5"/>
  <c r="BQ144" i="5"/>
  <c r="BW141" i="5"/>
  <c r="BS141" i="5"/>
  <c r="BQ68" i="5"/>
  <c r="BK68" i="5"/>
  <c r="BM277" i="5"/>
  <c r="BK45" i="5"/>
  <c r="BY80" i="5"/>
  <c r="BI80" i="5"/>
  <c r="BK222" i="5"/>
  <c r="BS223" i="5"/>
  <c r="BU223" i="5"/>
  <c r="BS153" i="5"/>
  <c r="BW37" i="5"/>
  <c r="BO57" i="5"/>
  <c r="BQ70" i="5"/>
  <c r="BW70" i="5"/>
  <c r="BW134" i="5"/>
  <c r="CA41" i="5"/>
  <c r="BS33" i="5"/>
  <c r="BQ33" i="5"/>
  <c r="BM147" i="5"/>
  <c r="BY59" i="5"/>
  <c r="BO59" i="5"/>
  <c r="BG66" i="5"/>
  <c r="BQ66" i="5"/>
  <c r="CA78" i="5"/>
  <c r="BW90" i="5"/>
  <c r="BO92" i="5"/>
  <c r="BY92" i="5"/>
  <c r="BW239" i="5"/>
  <c r="BK239" i="5"/>
  <c r="BK86" i="5"/>
  <c r="BU86" i="5"/>
  <c r="BI236" i="5"/>
  <c r="BK96" i="5"/>
  <c r="BK134" i="5"/>
  <c r="BU59" i="5"/>
  <c r="BM78" i="5"/>
  <c r="BS90" i="5"/>
  <c r="BY86" i="5"/>
  <c r="CA236" i="5"/>
  <c r="AW277" i="5"/>
  <c r="I96" i="5"/>
  <c r="BA153" i="5"/>
  <c r="AU222" i="5"/>
  <c r="AU45" i="5"/>
  <c r="BC141" i="5"/>
  <c r="BC57" i="5"/>
  <c r="AU134" i="5"/>
  <c r="AU37" i="5"/>
  <c r="AS33" i="5"/>
  <c r="AY75" i="5"/>
  <c r="AS90" i="5"/>
  <c r="BC96" i="5"/>
  <c r="AW143" i="5"/>
  <c r="AY153" i="5"/>
  <c r="I78" i="5"/>
  <c r="AU229" i="5"/>
  <c r="AW57" i="5"/>
  <c r="BC144" i="5"/>
  <c r="AU143" i="5"/>
  <c r="AS134" i="5"/>
  <c r="BS229" i="5"/>
  <c r="BU229" i="5"/>
  <c r="BO143" i="5"/>
  <c r="CA143" i="5"/>
  <c r="AI143" i="5" s="1"/>
  <c r="AJ143" i="5" s="1"/>
  <c r="AK143" i="5" s="1"/>
  <c r="AL143" i="5" s="1"/>
  <c r="AM143" i="5" s="1"/>
  <c r="AN143" i="5" s="1"/>
  <c r="AO143" i="5" s="1"/>
  <c r="AP143" i="5" s="1"/>
  <c r="AQ143" i="5" s="1"/>
  <c r="BU40" i="5"/>
  <c r="BO75" i="5"/>
  <c r="BE75" i="5"/>
  <c r="BU144" i="5"/>
  <c r="BG141" i="5"/>
  <c r="CA141" i="5"/>
  <c r="AI141" i="5" s="1"/>
  <c r="AJ141" i="5" s="1"/>
  <c r="AK141" i="5" s="1"/>
  <c r="AL141" i="5" s="1"/>
  <c r="AM141" i="5" s="1"/>
  <c r="AN141" i="5" s="1"/>
  <c r="AO141" i="5" s="1"/>
  <c r="AP141" i="5" s="1"/>
  <c r="AQ141" i="5" s="1"/>
  <c r="BS68" i="5"/>
  <c r="CA68" i="5"/>
  <c r="CA277" i="5"/>
  <c r="CA45" i="5"/>
  <c r="BS80" i="5"/>
  <c r="BE222" i="5"/>
  <c r="BG223" i="5"/>
  <c r="BK153" i="5"/>
  <c r="BW153" i="5"/>
  <c r="BY37" i="5"/>
  <c r="BI37" i="5"/>
  <c r="BS57" i="5"/>
  <c r="BU57" i="5"/>
  <c r="BU70" i="5"/>
  <c r="BG134" i="5"/>
  <c r="BU41" i="5"/>
  <c r="CA33" i="5"/>
  <c r="BY33" i="5"/>
  <c r="BG147" i="5"/>
  <c r="BQ147" i="5"/>
  <c r="BK59" i="5"/>
  <c r="BW66" i="5"/>
  <c r="BG78" i="5"/>
  <c r="BI90" i="5"/>
  <c r="BQ92" i="5"/>
  <c r="CA92" i="5"/>
  <c r="BE239" i="5"/>
  <c r="CA239" i="5"/>
  <c r="BM86" i="5"/>
  <c r="BW86" i="5"/>
  <c r="BY236" i="5"/>
  <c r="CA96" i="5"/>
  <c r="BA277" i="5"/>
  <c r="BC68" i="5"/>
  <c r="AS96" i="5"/>
  <c r="AS229" i="5"/>
  <c r="AY222" i="5"/>
  <c r="AY41" i="5"/>
  <c r="AY57" i="5"/>
  <c r="AY134" i="5"/>
  <c r="BA41" i="5"/>
  <c r="AS37" i="5"/>
  <c r="AW33" i="5"/>
  <c r="BA80" i="5"/>
  <c r="BC75" i="5"/>
  <c r="AY40" i="5"/>
  <c r="AW90" i="5"/>
  <c r="BA134" i="5"/>
  <c r="BA78" i="5"/>
  <c r="AY229" i="5"/>
  <c r="BC90" i="5"/>
  <c r="AY143" i="5"/>
  <c r="BC147" i="5"/>
  <c r="AU147" i="5"/>
  <c r="BY229" i="5"/>
  <c r="CA229" i="5"/>
  <c r="BI143" i="5"/>
  <c r="BK143" i="5"/>
  <c r="BG40" i="5"/>
  <c r="BW75" i="5"/>
  <c r="BM75" i="5"/>
  <c r="BY144" i="5"/>
  <c r="BO141" i="5"/>
  <c r="BY141" i="5"/>
  <c r="BE68" i="5"/>
  <c r="BM68" i="5"/>
  <c r="BY277" i="5"/>
  <c r="BW45" i="5"/>
  <c r="BO45" i="5"/>
  <c r="BM80" i="5"/>
  <c r="BY222" i="5"/>
  <c r="CA222" i="5"/>
  <c r="BQ223" i="5"/>
  <c r="BG153" i="5"/>
  <c r="CA153" i="5"/>
  <c r="AI153" i="5" s="1"/>
  <c r="AJ153" i="5" s="1"/>
  <c r="AK153" i="5" s="1"/>
  <c r="AL153" i="5" s="1"/>
  <c r="AM153" i="5" s="1"/>
  <c r="AN153" i="5" s="1"/>
  <c r="AO153" i="5" s="1"/>
  <c r="AP153" i="5" s="1"/>
  <c r="AQ153" i="5" s="1"/>
  <c r="BU37" i="5"/>
  <c r="BQ37" i="5"/>
  <c r="BK57" i="5"/>
  <c r="BM70" i="5"/>
  <c r="BI134" i="5"/>
  <c r="BQ41" i="5"/>
  <c r="BO41" i="5"/>
  <c r="BE33" i="5"/>
  <c r="BK147" i="5"/>
  <c r="BY147" i="5"/>
  <c r="BS59" i="5"/>
  <c r="BO78" i="5"/>
  <c r="CA90" i="5"/>
  <c r="BE92" i="5"/>
  <c r="BU239" i="5"/>
  <c r="BO86" i="5"/>
  <c r="BS236" i="5"/>
  <c r="BG236" i="5"/>
  <c r="BE96" i="5"/>
  <c r="BM96" i="5"/>
  <c r="I222" i="5"/>
  <c r="BO134" i="5"/>
  <c r="AS68" i="5"/>
  <c r="AY92" i="5"/>
  <c r="AW96" i="5"/>
  <c r="BC239" i="5"/>
  <c r="BA229" i="5"/>
  <c r="AU223" i="5"/>
  <c r="BC222" i="5"/>
  <c r="AU41" i="5"/>
  <c r="AU57" i="5"/>
  <c r="BC134" i="5"/>
  <c r="AW41" i="5"/>
  <c r="AW37" i="5"/>
  <c r="BA33" i="5"/>
  <c r="AW80" i="5"/>
  <c r="I75" i="5"/>
  <c r="AS40" i="5"/>
  <c r="AU86" i="5"/>
  <c r="BC236" i="5"/>
  <c r="AY236" i="5"/>
  <c r="I90" i="5"/>
  <c r="AU92" i="5"/>
  <c r="BA147" i="5"/>
  <c r="I141" i="5"/>
  <c r="BG229" i="5"/>
  <c r="BQ143" i="5"/>
  <c r="BO40" i="5"/>
  <c r="BI75" i="5"/>
  <c r="BU141" i="5"/>
  <c r="BU68" i="5"/>
  <c r="BO277" i="5"/>
  <c r="BY45" i="5"/>
  <c r="BM45" i="5"/>
  <c r="BM222" i="5"/>
  <c r="BE153" i="5"/>
  <c r="BK37" i="5"/>
  <c r="BS37" i="5"/>
  <c r="BY57" i="5"/>
  <c r="BQ57" i="5"/>
  <c r="BG70" i="5"/>
  <c r="BG41" i="5"/>
  <c r="BY41" i="5"/>
  <c r="BU33" i="5"/>
  <c r="BO147" i="5"/>
  <c r="CA59" i="5"/>
  <c r="BY66" i="5"/>
  <c r="BU78" i="5"/>
  <c r="BE90" i="5"/>
  <c r="BG239" i="5"/>
  <c r="BQ236" i="5"/>
  <c r="BW236" i="5"/>
  <c r="BU96" i="5"/>
  <c r="BG83" i="5"/>
  <c r="BQ94" i="5"/>
  <c r="BI98" i="5"/>
  <c r="BA98" i="5"/>
  <c r="BY95" i="5"/>
  <c r="BW95" i="5"/>
  <c r="BW83" i="5"/>
  <c r="BS94" i="5"/>
  <c r="BY98" i="5"/>
  <c r="BQ98" i="5"/>
  <c r="G282" i="5"/>
  <c r="BI83" i="5"/>
  <c r="BE94" i="5"/>
  <c r="BC98" i="5"/>
  <c r="AU98" i="5"/>
  <c r="BO83" i="5"/>
  <c r="BY83" i="5"/>
  <c r="BI94" i="5"/>
  <c r="BG94" i="5"/>
  <c r="BS98" i="5"/>
  <c r="BK98" i="5"/>
  <c r="I44" i="5"/>
  <c r="BS44" i="5"/>
  <c r="BK44" i="5"/>
  <c r="BY44" i="5"/>
  <c r="BO44" i="5"/>
  <c r="BG44" i="5"/>
  <c r="BQ44" i="5"/>
  <c r="BE44" i="5"/>
  <c r="CA44" i="5"/>
  <c r="BW44" i="5"/>
  <c r="BU44" i="5"/>
  <c r="BM44" i="5"/>
  <c r="AY44" i="5"/>
  <c r="BO95" i="5"/>
  <c r="BS83" i="5"/>
  <c r="CA83" i="5"/>
  <c r="CA94" i="5"/>
  <c r="BW94" i="5"/>
  <c r="AY98" i="5"/>
  <c r="BM98" i="5"/>
  <c r="BE98" i="5"/>
  <c r="I39" i="5"/>
  <c r="BO39" i="5"/>
  <c r="BS39" i="5"/>
  <c r="BU39" i="5"/>
  <c r="BQ39" i="5"/>
  <c r="BW39" i="5"/>
  <c r="BM39" i="5"/>
  <c r="BG39" i="5"/>
  <c r="BY39" i="5"/>
  <c r="BE39" i="5"/>
  <c r="CA278" i="5"/>
  <c r="BG95" i="5"/>
  <c r="AS98" i="5"/>
  <c r="BE123" i="5"/>
  <c r="AW123" i="5"/>
  <c r="BC123" i="5"/>
  <c r="AU123" i="5"/>
  <c r="AS123" i="5"/>
  <c r="BG123" i="5"/>
  <c r="BA123" i="5"/>
  <c r="AS124" i="5"/>
  <c r="BY123" i="5"/>
  <c r="BW124" i="5"/>
  <c r="BY124" i="5"/>
  <c r="BK124" i="5"/>
  <c r="BG124" i="5"/>
  <c r="BO124" i="5"/>
  <c r="BI124" i="5"/>
  <c r="BM124" i="5"/>
  <c r="BQ124" i="5"/>
  <c r="BU124" i="5"/>
  <c r="BS124" i="5"/>
  <c r="BE124" i="5"/>
  <c r="CA124" i="5"/>
  <c r="BI123" i="5"/>
  <c r="BU123" i="5"/>
  <c r="BS123" i="5"/>
  <c r="BW123" i="5"/>
  <c r="CA123" i="5"/>
  <c r="BK123" i="5"/>
  <c r="BM123" i="5"/>
  <c r="BO123" i="5"/>
  <c r="BQ123" i="5"/>
  <c r="BE126" i="5"/>
  <c r="AS126" i="5"/>
  <c r="BC125" i="5"/>
  <c r="AS125" i="5"/>
  <c r="AW125" i="5"/>
  <c r="BA125" i="5"/>
  <c r="AU125" i="5"/>
  <c r="BM126" i="5"/>
  <c r="AY125" i="5"/>
  <c r="BW125" i="5"/>
  <c r="AY126" i="5"/>
  <c r="BI126" i="5"/>
  <c r="CA126" i="5"/>
  <c r="BY126" i="5"/>
  <c r="BA126" i="5"/>
  <c r="AW126" i="5"/>
  <c r="BK126" i="5"/>
  <c r="BG126" i="5"/>
  <c r="BU125" i="5"/>
  <c r="BQ126" i="5"/>
  <c r="BI125" i="5"/>
  <c r="BQ125" i="5"/>
  <c r="BO125" i="5"/>
  <c r="BK125" i="5"/>
  <c r="BM125" i="5"/>
  <c r="BS125" i="5"/>
  <c r="BW126" i="5"/>
  <c r="BU126" i="5"/>
  <c r="BS126" i="5"/>
  <c r="BE125" i="5"/>
  <c r="BY125" i="5"/>
  <c r="BO126" i="5"/>
  <c r="BG125" i="5"/>
  <c r="CA125" i="5"/>
  <c r="AU126" i="5"/>
  <c r="BC126" i="5"/>
  <c r="AW275" i="5"/>
  <c r="BU276" i="5"/>
  <c r="BO281" i="5"/>
  <c r="BO275" i="5"/>
  <c r="BS275" i="5"/>
  <c r="BO276" i="5"/>
  <c r="BS276" i="5"/>
  <c r="CA275" i="5"/>
  <c r="BU275" i="5"/>
  <c r="I281" i="5"/>
  <c r="BM276" i="5"/>
  <c r="BQ276" i="5"/>
  <c r="BK275" i="5"/>
  <c r="AU281" i="5"/>
  <c r="I275" i="5"/>
  <c r="I276" i="5"/>
  <c r="BK276" i="5"/>
  <c r="BE276" i="5"/>
  <c r="BI275" i="5"/>
  <c r="BC281" i="5"/>
  <c r="BS274" i="5"/>
  <c r="BM274" i="5"/>
  <c r="BY281" i="5"/>
  <c r="CA274" i="5"/>
  <c r="BW281" i="5"/>
  <c r="BA274" i="5"/>
  <c r="BY274" i="5"/>
  <c r="BI281" i="5"/>
  <c r="BO274" i="5"/>
  <c r="BI274" i="5"/>
  <c r="BG281" i="5"/>
  <c r="AW273" i="5"/>
  <c r="AU274" i="5"/>
  <c r="AY274" i="5"/>
  <c r="BW274" i="5"/>
  <c r="BU281" i="5"/>
  <c r="AS274" i="5"/>
  <c r="BG274" i="5"/>
  <c r="AW274" i="5"/>
  <c r="I274" i="5"/>
  <c r="BU274" i="5"/>
  <c r="CA281" i="5"/>
  <c r="BS281" i="5"/>
  <c r="BK281" i="5"/>
  <c r="BA273" i="5"/>
  <c r="AS273" i="5"/>
  <c r="BK278" i="5"/>
  <c r="BU273" i="5"/>
  <c r="BW278" i="5"/>
  <c r="BG278" i="5"/>
  <c r="BM278" i="5"/>
  <c r="BE278" i="5"/>
  <c r="BI278" i="5"/>
  <c r="BC273" i="5"/>
  <c r="BE273" i="5"/>
  <c r="BK273" i="5"/>
  <c r="BS273" i="5"/>
  <c r="AU273" i="5"/>
  <c r="CA273" i="5"/>
  <c r="BQ273" i="5"/>
  <c r="I273" i="5"/>
  <c r="BY273" i="5"/>
  <c r="BO273" i="5"/>
  <c r="AY273" i="5"/>
  <c r="BI273" i="5"/>
  <c r="BM273" i="5"/>
  <c r="BW273" i="5"/>
  <c r="AW259" i="5"/>
  <c r="BU259" i="5"/>
  <c r="AY259" i="5"/>
  <c r="BE259" i="5"/>
  <c r="BY259" i="5"/>
  <c r="BO259" i="5"/>
  <c r="BG259" i="5"/>
  <c r="AS259" i="5"/>
  <c r="BM259" i="5"/>
  <c r="BW259" i="5"/>
  <c r="BI259" i="5"/>
  <c r="BA259" i="5"/>
  <c r="AU259" i="5"/>
  <c r="BQ259" i="5"/>
  <c r="BK259" i="5"/>
  <c r="BC259" i="5"/>
  <c r="CA259" i="5"/>
  <c r="BS259" i="5"/>
  <c r="BW214" i="5"/>
  <c r="AW214" i="5"/>
  <c r="BA214" i="5"/>
  <c r="BM214" i="5"/>
  <c r="BQ214" i="5"/>
  <c r="AS214" i="5"/>
  <c r="AY214" i="5"/>
  <c r="BC214" i="5"/>
  <c r="BI214" i="5"/>
  <c r="BO214" i="5"/>
  <c r="BS214" i="5"/>
  <c r="BY214" i="5"/>
  <c r="BE214" i="5"/>
  <c r="AU214" i="5"/>
  <c r="BU214" i="5"/>
  <c r="BK214" i="5"/>
  <c r="BG214" i="5"/>
  <c r="CA214" i="5"/>
  <c r="BQ156" i="5"/>
  <c r="BM156" i="5"/>
  <c r="BW156" i="5"/>
  <c r="BC156" i="5"/>
  <c r="CA156" i="5"/>
  <c r="BS156" i="5"/>
  <c r="AS156" i="5"/>
  <c r="AU156" i="5"/>
  <c r="AW156" i="5"/>
  <c r="BI156" i="5"/>
  <c r="AY156" i="5"/>
  <c r="BE156" i="5"/>
  <c r="BY156" i="5"/>
  <c r="BO156" i="5"/>
  <c r="BU156" i="5"/>
  <c r="BG156" i="5"/>
  <c r="BA156" i="5"/>
  <c r="BK156" i="5"/>
  <c r="AS99" i="5"/>
  <c r="BS252" i="5"/>
  <c r="BU252" i="5"/>
  <c r="BW194" i="5"/>
  <c r="BY194" i="5"/>
  <c r="BW252" i="5"/>
  <c r="CA194" i="5"/>
  <c r="BY252" i="5"/>
  <c r="BS194" i="5"/>
  <c r="CA252" i="5"/>
  <c r="BU194" i="5"/>
  <c r="BK194" i="5"/>
  <c r="BG194" i="5"/>
  <c r="BI252" i="5"/>
  <c r="BO194" i="5"/>
  <c r="BM194" i="5"/>
  <c r="BK252" i="5"/>
  <c r="BQ194" i="5"/>
  <c r="BM252" i="5"/>
  <c r="BI194" i="5"/>
  <c r="BO252" i="5"/>
  <c r="BQ252" i="5"/>
  <c r="BG252" i="5"/>
  <c r="BE252" i="5"/>
  <c r="BE194" i="5"/>
  <c r="C33" i="4"/>
  <c r="D42" i="4"/>
  <c r="E69" i="4"/>
  <c r="E57" i="4"/>
  <c r="D33" i="4"/>
  <c r="F42" i="4"/>
  <c r="F57" i="4"/>
  <c r="F36" i="4"/>
  <c r="G27" i="4"/>
  <c r="C39" i="4"/>
  <c r="C51" i="4"/>
  <c r="D66" i="4"/>
  <c r="E39" i="4"/>
  <c r="F66" i="4"/>
  <c r="C63" i="4"/>
  <c r="G69" i="4"/>
  <c r="G63" i="4"/>
  <c r="F63" i="4"/>
  <c r="BA252" i="5"/>
  <c r="AY194" i="5"/>
  <c r="I194" i="5"/>
  <c r="AU194" i="5"/>
  <c r="I122" i="5"/>
  <c r="AY252" i="5"/>
  <c r="AS194" i="5"/>
  <c r="AW194" i="5"/>
  <c r="AU252" i="5"/>
  <c r="AS252" i="5"/>
  <c r="BC252" i="5"/>
  <c r="BC194" i="5"/>
  <c r="BA194" i="5"/>
  <c r="AW252" i="5"/>
  <c r="AS241" i="1"/>
  <c r="AI241" i="1"/>
  <c r="O241" i="1"/>
  <c r="BC241" i="1"/>
  <c r="C30" i="4"/>
  <c r="D30" i="4"/>
  <c r="Y241" i="1"/>
  <c r="BM241" i="1"/>
  <c r="T241" i="1"/>
  <c r="AD241" i="1"/>
  <c r="AN241" i="1"/>
  <c r="AX241" i="1"/>
  <c r="BH241" i="1"/>
  <c r="BR241" i="1"/>
  <c r="G42" i="4"/>
  <c r="G51" i="4"/>
  <c r="G57" i="4"/>
  <c r="C45" i="4"/>
  <c r="D54" i="4"/>
  <c r="F60" i="4"/>
  <c r="E33" i="4"/>
  <c r="F39" i="4"/>
  <c r="E45" i="4"/>
  <c r="G66" i="4"/>
  <c r="C27" i="4"/>
  <c r="F33" i="4"/>
  <c r="G39" i="4"/>
  <c r="G45" i="4"/>
  <c r="C57" i="4"/>
  <c r="E63" i="4"/>
  <c r="C69" i="4"/>
  <c r="C24" i="4"/>
  <c r="D27" i="4"/>
  <c r="E30" i="4"/>
  <c r="G36" i="4"/>
  <c r="C48" i="4"/>
  <c r="D51" i="4"/>
  <c r="E54" i="4"/>
  <c r="G60" i="4"/>
  <c r="D24" i="4"/>
  <c r="E27" i="4"/>
  <c r="F30" i="4"/>
  <c r="D48" i="4"/>
  <c r="E51" i="4"/>
  <c r="F54" i="4"/>
  <c r="E24" i="4"/>
  <c r="G30" i="4"/>
  <c r="C42" i="4"/>
  <c r="D45" i="4"/>
  <c r="E48" i="4"/>
  <c r="G54" i="4"/>
  <c r="C66" i="4"/>
  <c r="D69" i="4"/>
  <c r="F24" i="4"/>
  <c r="F48" i="4"/>
  <c r="C36" i="4"/>
  <c r="C60" i="4"/>
  <c r="D36" i="4"/>
  <c r="D60" i="4"/>
  <c r="AJ154" i="5" l="1"/>
  <c r="AK154" i="5" s="1"/>
  <c r="AL154" i="5" s="1"/>
  <c r="AM154" i="5" s="1"/>
  <c r="AN154" i="5" s="1"/>
  <c r="AO154" i="5" s="1"/>
  <c r="AP154" i="5" s="1"/>
  <c r="AQ154" i="5" s="1"/>
  <c r="AJ137" i="5"/>
  <c r="AK137" i="5" s="1"/>
  <c r="AL137" i="5" s="1"/>
  <c r="AM137" i="5" s="1"/>
  <c r="AN137" i="5" s="1"/>
  <c r="AO137" i="5" s="1"/>
  <c r="AP137" i="5" s="1"/>
  <c r="AQ137" i="5" s="1"/>
  <c r="AO150" i="5"/>
  <c r="AP150" i="5" s="1"/>
  <c r="AQ150" i="5" s="1"/>
  <c r="AQ155" i="5"/>
  <c r="AJ144" i="5"/>
  <c r="AK144" i="5" s="1"/>
  <c r="AL144" i="5" s="1"/>
  <c r="AM144" i="5" s="1"/>
  <c r="AN144" i="5" s="1"/>
  <c r="AO144" i="5" s="1"/>
  <c r="AP144" i="5" s="1"/>
  <c r="AQ144" i="5" s="1"/>
  <c r="AJ142" i="5"/>
  <c r="AK142" i="5" s="1"/>
  <c r="AL142" i="5" s="1"/>
  <c r="AM142" i="5" s="1"/>
  <c r="AN142" i="5" s="1"/>
  <c r="AO142" i="5" s="1"/>
  <c r="AP142" i="5" s="1"/>
  <c r="AQ142" i="5" s="1"/>
  <c r="CI60" i="5"/>
  <c r="CG60" i="5"/>
  <c r="CW82" i="5"/>
  <c r="CY82" i="5"/>
  <c r="CY71" i="5"/>
  <c r="CY221" i="5"/>
  <c r="CW131" i="5"/>
  <c r="CY38" i="5"/>
  <c r="CY49" i="5"/>
  <c r="CY234" i="5"/>
  <c r="CY272" i="5"/>
  <c r="CY27" i="5"/>
  <c r="CY131" i="5"/>
  <c r="CW221" i="5"/>
  <c r="CW71" i="5"/>
  <c r="CW38" i="5"/>
  <c r="CW272" i="5"/>
  <c r="CW234" i="5"/>
  <c r="CW49" i="5"/>
  <c r="CW27" i="5"/>
  <c r="CG71" i="5"/>
  <c r="CS131" i="5"/>
  <c r="CQ221" i="5"/>
  <c r="CS71" i="5"/>
  <c r="CQ71" i="5"/>
  <c r="CS221" i="5"/>
  <c r="CS38" i="5"/>
  <c r="CQ82" i="5"/>
  <c r="CQ234" i="5"/>
  <c r="CI27" i="5"/>
  <c r="CS27" i="5"/>
  <c r="CS82" i="5"/>
  <c r="CQ27" i="5"/>
  <c r="CQ272" i="5"/>
  <c r="CO27" i="5"/>
  <c r="CQ38" i="5"/>
  <c r="CM27" i="5"/>
  <c r="CS234" i="5"/>
  <c r="CS49" i="5"/>
  <c r="CS272" i="5"/>
  <c r="CQ49" i="5"/>
  <c r="CM71" i="5"/>
  <c r="CO82" i="5"/>
  <c r="CM82" i="5"/>
  <c r="CO38" i="5"/>
  <c r="CO234" i="5"/>
  <c r="CO49" i="5"/>
  <c r="CO221" i="5"/>
  <c r="CM234" i="5"/>
  <c r="CM49" i="5"/>
  <c r="CK71" i="5"/>
  <c r="CM221" i="5"/>
  <c r="CO272" i="5"/>
  <c r="CO71" i="5"/>
  <c r="CM272" i="5"/>
  <c r="CM38" i="5"/>
  <c r="CK82" i="5"/>
  <c r="CK131" i="5"/>
  <c r="CI71" i="5"/>
  <c r="CK234" i="5"/>
  <c r="CK49" i="5"/>
  <c r="CK38" i="5"/>
  <c r="CG234" i="5"/>
  <c r="CG131" i="5"/>
  <c r="CO131" i="5"/>
  <c r="CI38" i="5"/>
  <c r="CI221" i="5"/>
  <c r="CI272" i="5"/>
  <c r="CG221" i="5"/>
  <c r="CK221" i="5"/>
  <c r="CI234" i="5"/>
  <c r="CI49" i="5"/>
  <c r="CK272" i="5"/>
  <c r="CG272" i="5"/>
  <c r="CI82" i="5"/>
  <c r="CK27" i="5"/>
  <c r="CC38" i="5"/>
  <c r="CG82" i="5"/>
  <c r="CG49" i="5"/>
  <c r="CG38" i="5"/>
  <c r="CC27" i="5"/>
  <c r="CG27" i="5"/>
  <c r="CC49" i="5"/>
  <c r="CE234" i="5"/>
  <c r="CE221" i="5"/>
  <c r="CE131" i="5"/>
  <c r="CE71" i="5"/>
  <c r="CE272" i="5"/>
  <c r="CE82" i="5"/>
  <c r="CC60" i="5"/>
  <c r="CE38" i="5"/>
  <c r="CE60" i="5"/>
  <c r="CE27" i="5"/>
  <c r="CE49" i="5"/>
  <c r="BI38" i="5"/>
  <c r="CC234" i="5"/>
  <c r="CC221" i="5"/>
  <c r="CC71" i="5"/>
  <c r="CC272" i="5"/>
  <c r="CC82" i="5"/>
  <c r="BI49" i="5"/>
  <c r="BI60" i="5"/>
  <c r="BH27" i="5"/>
  <c r="BH282" i="5" s="1"/>
  <c r="AX27" i="5"/>
  <c r="AX282" i="5" s="1"/>
  <c r="BM221" i="5"/>
  <c r="BC82" i="5"/>
  <c r="BC49" i="5"/>
  <c r="BK131" i="5"/>
  <c r="BS71" i="5"/>
  <c r="BK71" i="5"/>
  <c r="I131" i="5"/>
  <c r="BW131" i="5"/>
  <c r="BC221" i="5"/>
  <c r="BC27" i="5"/>
  <c r="BW49" i="5"/>
  <c r="BA49" i="5"/>
  <c r="BG49" i="5"/>
  <c r="AU221" i="5"/>
  <c r="BY71" i="5"/>
  <c r="BS221" i="5"/>
  <c r="BO71" i="5"/>
  <c r="BQ221" i="5"/>
  <c r="BQ27" i="5"/>
  <c r="AW221" i="5"/>
  <c r="BW38" i="5"/>
  <c r="BS82" i="5"/>
  <c r="BI71" i="5"/>
  <c r="AW38" i="5"/>
  <c r="CA221" i="5"/>
  <c r="AU27" i="5"/>
  <c r="I27" i="5"/>
  <c r="BE49" i="5"/>
  <c r="BE60" i="5"/>
  <c r="AY272" i="5"/>
  <c r="BY38" i="5"/>
  <c r="BS60" i="5"/>
  <c r="I71" i="5"/>
  <c r="BE131" i="5"/>
  <c r="CA49" i="5"/>
  <c r="AU60" i="5"/>
  <c r="AW71" i="5"/>
  <c r="BO27" i="5"/>
  <c r="AU38" i="5"/>
  <c r="BE27" i="5"/>
  <c r="BC71" i="5"/>
  <c r="BK221" i="5"/>
  <c r="BQ82" i="5"/>
  <c r="BK49" i="5"/>
  <c r="BM49" i="5"/>
  <c r="BO60" i="5"/>
  <c r="BE71" i="5"/>
  <c r="I221" i="5"/>
  <c r="I60" i="5"/>
  <c r="BI27" i="5"/>
  <c r="BQ60" i="5"/>
  <c r="BA221" i="5"/>
  <c r="AY221" i="5"/>
  <c r="BW221" i="5"/>
  <c r="AY27" i="5"/>
  <c r="BA82" i="5"/>
  <c r="BU60" i="5"/>
  <c r="AU49" i="5"/>
  <c r="AS221" i="5"/>
  <c r="I234" i="5"/>
  <c r="AS71" i="5"/>
  <c r="I272" i="5"/>
  <c r="BO38" i="5"/>
  <c r="BQ131" i="5"/>
  <c r="BQ38" i="5"/>
  <c r="BG82" i="5"/>
  <c r="BU131" i="5"/>
  <c r="AW27" i="5"/>
  <c r="BM82" i="5"/>
  <c r="BI131" i="5"/>
  <c r="BA38" i="5"/>
  <c r="BK60" i="5"/>
  <c r="BA60" i="5"/>
  <c r="AY38" i="5"/>
  <c r="BK82" i="5"/>
  <c r="BA71" i="5"/>
  <c r="BC60" i="5"/>
  <c r="AU131" i="5"/>
  <c r="CA27" i="5"/>
  <c r="BY27" i="5"/>
  <c r="BC272" i="5"/>
  <c r="BW60" i="5"/>
  <c r="BE221" i="5"/>
  <c r="CA131" i="5"/>
  <c r="BS38" i="5"/>
  <c r="AY71" i="5"/>
  <c r="BU71" i="5"/>
  <c r="BC131" i="5"/>
  <c r="AY82" i="5"/>
  <c r="BQ49" i="5"/>
  <c r="BS49" i="5"/>
  <c r="BG60" i="5"/>
  <c r="BM27" i="5"/>
  <c r="AY49" i="5"/>
  <c r="BG71" i="5"/>
  <c r="BG27" i="5"/>
  <c r="AW131" i="5"/>
  <c r="BO131" i="5"/>
  <c r="BK38" i="5"/>
  <c r="AY234" i="5"/>
  <c r="BE82" i="5"/>
  <c r="BY131" i="5"/>
  <c r="BA131" i="5"/>
  <c r="CA60" i="5"/>
  <c r="BS27" i="5"/>
  <c r="BU221" i="5"/>
  <c r="AU71" i="5"/>
  <c r="BQ71" i="5"/>
  <c r="BU27" i="5"/>
  <c r="BK27" i="5"/>
  <c r="AW82" i="5"/>
  <c r="BO49" i="5"/>
  <c r="AS272" i="5"/>
  <c r="BA272" i="5"/>
  <c r="BG221" i="5"/>
  <c r="BG131" i="5"/>
  <c r="BS131" i="5"/>
  <c r="I82" i="5"/>
  <c r="BU49" i="5"/>
  <c r="AY60" i="5"/>
  <c r="BW71" i="5"/>
  <c r="BI221" i="5"/>
  <c r="CA38" i="5"/>
  <c r="I49" i="5"/>
  <c r="BM71" i="5"/>
  <c r="BO221" i="5"/>
  <c r="BC38" i="5"/>
  <c r="BU82" i="5"/>
  <c r="AW49" i="5"/>
  <c r="BY49" i="5"/>
  <c r="BY60" i="5"/>
  <c r="CA71" i="5"/>
  <c r="BA27" i="5"/>
  <c r="AW60" i="5"/>
  <c r="BM131" i="5"/>
  <c r="BK272" i="5"/>
  <c r="AW272" i="5"/>
  <c r="BG38" i="5"/>
  <c r="CA82" i="5"/>
  <c r="I38" i="5"/>
  <c r="AU82" i="5"/>
  <c r="BS234" i="5"/>
  <c r="BM60" i="5"/>
  <c r="AS131" i="5"/>
  <c r="AS38" i="5"/>
  <c r="AS60" i="5"/>
  <c r="AS49" i="5"/>
  <c r="BU234" i="5"/>
  <c r="BQ272" i="5"/>
  <c r="BI82" i="5"/>
  <c r="BY221" i="5"/>
  <c r="BO82" i="5"/>
  <c r="AY131" i="5"/>
  <c r="AS82" i="5"/>
  <c r="BY82" i="5"/>
  <c r="BW27" i="5"/>
  <c r="BM38" i="5"/>
  <c r="BW234" i="5"/>
  <c r="BC234" i="5"/>
  <c r="CA234" i="5"/>
  <c r="BY234" i="5"/>
  <c r="BM234" i="5"/>
  <c r="BI234" i="5"/>
  <c r="AS234" i="5"/>
  <c r="BA234" i="5"/>
  <c r="AU234" i="5"/>
  <c r="BO234" i="5"/>
  <c r="BK234" i="5"/>
  <c r="AW234" i="5"/>
  <c r="BG234" i="5"/>
  <c r="BE234" i="5"/>
  <c r="BQ234" i="5"/>
  <c r="BS243" i="5"/>
  <c r="CA243" i="5"/>
  <c r="AS27" i="5"/>
  <c r="AW243" i="5"/>
  <c r="BE243" i="5"/>
  <c r="BM243" i="5"/>
  <c r="BU243" i="5"/>
  <c r="BI243" i="5"/>
  <c r="BO243" i="5"/>
  <c r="BG243" i="5"/>
  <c r="BY243" i="5"/>
  <c r="BA243" i="5"/>
  <c r="BW243" i="5"/>
  <c r="AS243" i="5"/>
  <c r="BQ243" i="5"/>
  <c r="BE38" i="5"/>
  <c r="BU38" i="5"/>
  <c r="BW82" i="5"/>
  <c r="BK243" i="5"/>
  <c r="AY243" i="5"/>
  <c r="AU243" i="5"/>
  <c r="BC243" i="5"/>
  <c r="BO272" i="5"/>
  <c r="CA122" i="5"/>
  <c r="BW122" i="5"/>
  <c r="AU122" i="5"/>
  <c r="BM122" i="5"/>
  <c r="BY122" i="5"/>
  <c r="BI122" i="5"/>
  <c r="BQ122" i="5"/>
  <c r="BU122" i="5"/>
  <c r="BE122" i="5"/>
  <c r="AY122" i="5"/>
  <c r="BC122" i="5"/>
  <c r="BA122" i="5"/>
  <c r="BK122" i="5"/>
  <c r="AW122" i="5"/>
  <c r="BO122" i="5"/>
  <c r="BS122" i="5"/>
  <c r="AS122" i="5"/>
  <c r="BG122" i="5"/>
  <c r="BM272" i="5"/>
  <c r="AU272" i="5"/>
  <c r="BU272" i="5"/>
  <c r="BG272" i="5"/>
  <c r="BY272" i="5"/>
  <c r="BS272" i="5"/>
  <c r="BI272" i="5"/>
  <c r="BE272" i="5"/>
  <c r="CA272" i="5"/>
  <c r="BW272" i="5"/>
  <c r="H69" i="4"/>
  <c r="H63" i="4"/>
  <c r="H51" i="4"/>
  <c r="H57" i="4"/>
  <c r="H39" i="4"/>
  <c r="H33" i="4"/>
  <c r="H30" i="4"/>
  <c r="H27" i="4"/>
  <c r="H45" i="4"/>
  <c r="H42" i="4"/>
  <c r="H54" i="4"/>
  <c r="H66" i="4"/>
  <c r="H36" i="4"/>
  <c r="H24" i="4"/>
  <c r="H60" i="4"/>
  <c r="H48" i="4"/>
  <c r="H241" i="1"/>
  <c r="F147" i="1"/>
  <c r="CY282" i="5" l="1"/>
  <c r="CW282" i="5"/>
  <c r="CS282" i="5"/>
  <c r="CM282" i="5"/>
  <c r="CQ282" i="5"/>
  <c r="CI282" i="5"/>
  <c r="CO282" i="5"/>
  <c r="CK282" i="5"/>
  <c r="CG282" i="5"/>
  <c r="CE282" i="5"/>
  <c r="CC282" i="5"/>
  <c r="H268" i="1"/>
  <c r="H267" i="1"/>
  <c r="H266" i="1"/>
  <c r="H265" i="1"/>
  <c r="H264" i="1"/>
  <c r="H263" i="1"/>
  <c r="H262" i="1"/>
  <c r="H261" i="1"/>
  <c r="H258" i="1"/>
  <c r="H257" i="1"/>
  <c r="H256" i="1"/>
  <c r="H239" i="1"/>
  <c r="H238" i="1"/>
  <c r="H237" i="1"/>
  <c r="H236" i="1"/>
  <c r="H235" i="1"/>
  <c r="H234" i="1"/>
  <c r="H233" i="1"/>
  <c r="H232" i="1"/>
  <c r="H229" i="1"/>
  <c r="H228" i="1"/>
  <c r="H227" i="1"/>
  <c r="H226" i="1"/>
  <c r="H223" i="1"/>
  <c r="H222" i="1"/>
  <c r="H221" i="1"/>
  <c r="H220" i="1"/>
  <c r="H219" i="1"/>
  <c r="H218" i="1"/>
  <c r="H217" i="1"/>
  <c r="H216" i="1"/>
  <c r="H215" i="1"/>
  <c r="H214" i="1"/>
  <c r="H213" i="1"/>
  <c r="H212" i="1"/>
  <c r="H211" i="1"/>
  <c r="H210" i="1"/>
  <c r="H209" i="1"/>
  <c r="H206" i="1"/>
  <c r="H205" i="1"/>
  <c r="H204" i="1"/>
  <c r="H203" i="1"/>
  <c r="H202" i="1"/>
  <c r="H201" i="1"/>
  <c r="H200" i="1"/>
  <c r="H199" i="1"/>
  <c r="H198" i="1"/>
  <c r="H197" i="1"/>
  <c r="H194" i="1"/>
  <c r="H193" i="1"/>
  <c r="H192" i="1"/>
  <c r="H191" i="1"/>
  <c r="H190" i="1"/>
  <c r="H189" i="1"/>
  <c r="H188" i="1"/>
  <c r="H187" i="1"/>
  <c r="H186" i="1"/>
  <c r="H183" i="1"/>
  <c r="H182" i="1"/>
  <c r="H181" i="1"/>
  <c r="H180" i="1"/>
  <c r="H179" i="1"/>
  <c r="H178" i="1"/>
  <c r="H177" i="1"/>
  <c r="H176" i="1"/>
  <c r="H175" i="1"/>
  <c r="H174" i="1"/>
  <c r="H173" i="1"/>
  <c r="H172" i="1"/>
  <c r="H171" i="1"/>
  <c r="H170" i="1"/>
  <c r="H169" i="1"/>
  <c r="H168" i="1"/>
  <c r="H165" i="1"/>
  <c r="H164" i="1"/>
  <c r="H163" i="1"/>
  <c r="H162" i="1"/>
  <c r="H161" i="1"/>
  <c r="H160" i="1"/>
  <c r="H159" i="1"/>
  <c r="H158" i="1"/>
  <c r="H155" i="1"/>
  <c r="H154" i="1"/>
  <c r="H153" i="1"/>
  <c r="H152" i="1"/>
  <c r="H151" i="1"/>
  <c r="H150" i="1"/>
  <c r="H149" i="1"/>
  <c r="H148" i="1"/>
  <c r="H134" i="1"/>
  <c r="H145" i="1"/>
  <c r="H144" i="1"/>
  <c r="H143" i="1"/>
  <c r="H142" i="1"/>
  <c r="H141" i="1"/>
  <c r="H140" i="1"/>
  <c r="H139" i="1"/>
  <c r="H138" i="1"/>
  <c r="H137" i="1"/>
  <c r="H136" i="1"/>
  <c r="H135" i="1"/>
  <c r="H131" i="1"/>
  <c r="H130" i="1"/>
  <c r="H129" i="1"/>
  <c r="H128" i="1"/>
  <c r="H127" i="1"/>
  <c r="H126" i="1"/>
  <c r="H125" i="1"/>
  <c r="H124" i="1"/>
  <c r="H121" i="1"/>
  <c r="H120" i="1"/>
  <c r="H119" i="1"/>
  <c r="H118" i="1"/>
  <c r="H117" i="1"/>
  <c r="H116" i="1"/>
  <c r="H115" i="1"/>
  <c r="H114" i="1"/>
  <c r="H111" i="1"/>
  <c r="H110" i="1"/>
  <c r="H109" i="1"/>
  <c r="H108" i="1"/>
  <c r="H107" i="1"/>
  <c r="H106" i="1"/>
  <c r="H105" i="1"/>
  <c r="H104" i="1"/>
  <c r="H103" i="1"/>
  <c r="H102" i="1"/>
  <c r="H101" i="1"/>
  <c r="H100" i="1"/>
  <c r="H99" i="1"/>
  <c r="H98" i="1"/>
  <c r="H97" i="1"/>
  <c r="H96" i="1"/>
  <c r="H95" i="1"/>
  <c r="H94" i="1"/>
  <c r="H93" i="1"/>
  <c r="H92" i="1"/>
  <c r="H91" i="1"/>
  <c r="H90" i="1"/>
  <c r="H89" i="1"/>
  <c r="H88" i="1"/>
  <c r="H76" i="1"/>
  <c r="H85" i="1"/>
  <c r="H84" i="1"/>
  <c r="H83" i="1"/>
  <c r="H82" i="1"/>
  <c r="H81" i="1"/>
  <c r="H80" i="1"/>
  <c r="H79" i="1"/>
  <c r="H78" i="1"/>
  <c r="H77" i="1"/>
  <c r="H61" i="1"/>
  <c r="H60" i="1"/>
  <c r="H59" i="1"/>
  <c r="H58" i="1"/>
  <c r="H57" i="1"/>
  <c r="H56" i="1"/>
  <c r="H55" i="1"/>
  <c r="H54" i="1"/>
  <c r="H53" i="1"/>
  <c r="H52" i="1"/>
  <c r="H73" i="1"/>
  <c r="H72" i="1"/>
  <c r="H71" i="1"/>
  <c r="H70" i="1"/>
  <c r="H69" i="1"/>
  <c r="H68" i="1"/>
  <c r="H67" i="1"/>
  <c r="H66" i="1"/>
  <c r="H65" i="1"/>
  <c r="H64" i="1"/>
  <c r="H49" i="1"/>
  <c r="H48" i="1"/>
  <c r="H47" i="1"/>
  <c r="H46" i="1"/>
  <c r="H45" i="1"/>
  <c r="H44" i="1"/>
  <c r="H43" i="1"/>
  <c r="H42" i="1"/>
  <c r="H41" i="1"/>
  <c r="H40" i="1"/>
  <c r="H37" i="1"/>
  <c r="H36" i="1"/>
  <c r="H35" i="1"/>
  <c r="H34" i="1"/>
  <c r="H33" i="1"/>
  <c r="H32" i="1"/>
  <c r="H31" i="1"/>
  <c r="H30" i="1"/>
  <c r="H27" i="1"/>
  <c r="H26" i="1"/>
  <c r="H25" i="1"/>
  <c r="H24" i="1"/>
  <c r="H23" i="1"/>
  <c r="H22" i="1"/>
  <c r="H21" i="1"/>
  <c r="H20" i="1"/>
  <c r="H19" i="1"/>
  <c r="H18" i="1"/>
  <c r="H17" i="1"/>
  <c r="H16" i="1"/>
  <c r="H15" i="1"/>
  <c r="H14" i="1"/>
  <c r="H13" i="1"/>
  <c r="H12" i="1"/>
  <c r="H11" i="1"/>
  <c r="H10" i="1"/>
  <c r="H9" i="1"/>
  <c r="H8" i="1"/>
  <c r="F260" i="1"/>
  <c r="F255" i="1"/>
  <c r="F241" i="1"/>
  <c r="F231" i="1"/>
  <c r="F225" i="1"/>
  <c r="F208" i="1"/>
  <c r="F196" i="1"/>
  <c r="F185" i="1"/>
  <c r="F167" i="1"/>
  <c r="F157" i="1"/>
  <c r="F133" i="1"/>
  <c r="F123" i="1"/>
  <c r="F113" i="1"/>
  <c r="F87" i="1"/>
  <c r="F75" i="1"/>
  <c r="F63" i="1"/>
  <c r="F51" i="1"/>
  <c r="F39" i="1"/>
  <c r="F29" i="1"/>
  <c r="F7" i="1"/>
  <c r="G8" i="1"/>
  <c r="T14" i="1" l="1"/>
  <c r="BR14" i="1"/>
  <c r="BH14" i="1"/>
  <c r="AX14" i="1"/>
  <c r="AN14" i="1"/>
  <c r="AD14" i="1"/>
  <c r="Y14" i="1"/>
  <c r="BM14" i="1"/>
  <c r="BC14" i="1"/>
  <c r="AS14" i="1"/>
  <c r="AI14" i="1"/>
  <c r="O14" i="1"/>
  <c r="BH72" i="1"/>
  <c r="AN72" i="1"/>
  <c r="T72" i="1"/>
  <c r="BC72" i="1"/>
  <c r="AI72" i="1"/>
  <c r="BR72" i="1"/>
  <c r="AX72" i="1"/>
  <c r="AD72" i="1"/>
  <c r="BM72" i="1"/>
  <c r="AS72" i="1"/>
  <c r="Y72" i="1"/>
  <c r="O72" i="1"/>
  <c r="BR106" i="1"/>
  <c r="BM106" i="1"/>
  <c r="BH106" i="1"/>
  <c r="BC106" i="1"/>
  <c r="AX106" i="1"/>
  <c r="AS106" i="1"/>
  <c r="AN106" i="1"/>
  <c r="AI106" i="1"/>
  <c r="AD106" i="1"/>
  <c r="Y106" i="1"/>
  <c r="T106" i="1"/>
  <c r="O106" i="1"/>
  <c r="BR154" i="1"/>
  <c r="AD154" i="1"/>
  <c r="BC154" i="1"/>
  <c r="AN154" i="1"/>
  <c r="BM154" i="1"/>
  <c r="Y154" i="1"/>
  <c r="AX154" i="1"/>
  <c r="AI154" i="1"/>
  <c r="BH154" i="1"/>
  <c r="T154" i="1"/>
  <c r="O154" i="1"/>
  <c r="AS154" i="1"/>
  <c r="BM202" i="1"/>
  <c r="AS202" i="1"/>
  <c r="Y202" i="1"/>
  <c r="BH202" i="1"/>
  <c r="AN202" i="1"/>
  <c r="T202" i="1"/>
  <c r="AD202" i="1"/>
  <c r="AX202" i="1"/>
  <c r="BR202" i="1"/>
  <c r="AI202" i="1"/>
  <c r="BC202" i="1"/>
  <c r="O202" i="1"/>
  <c r="BM256" i="1"/>
  <c r="Y256" i="1"/>
  <c r="AI256" i="1"/>
  <c r="BH256" i="1"/>
  <c r="T256" i="1"/>
  <c r="AS256" i="1"/>
  <c r="BC256" i="1"/>
  <c r="AN256" i="1"/>
  <c r="AD256" i="1"/>
  <c r="BR256" i="1"/>
  <c r="AX256" i="1"/>
  <c r="O256" i="1"/>
  <c r="O25" i="1"/>
  <c r="Y25" i="1"/>
  <c r="BM25" i="1"/>
  <c r="BC25" i="1"/>
  <c r="AS25" i="1"/>
  <c r="AI25" i="1"/>
  <c r="T25" i="1"/>
  <c r="AN25" i="1"/>
  <c r="BR25" i="1"/>
  <c r="AX25" i="1"/>
  <c r="AD25" i="1"/>
  <c r="BH25" i="1"/>
  <c r="BR61" i="1"/>
  <c r="AX61" i="1"/>
  <c r="AD61" i="1"/>
  <c r="BM61" i="1"/>
  <c r="AS61" i="1"/>
  <c r="Y61" i="1"/>
  <c r="BH61" i="1"/>
  <c r="AN61" i="1"/>
  <c r="T61" i="1"/>
  <c r="AI61" i="1"/>
  <c r="O61" i="1"/>
  <c r="BC61" i="1"/>
  <c r="BC101" i="1"/>
  <c r="AN101" i="1"/>
  <c r="AX101" i="1"/>
  <c r="AI101" i="1"/>
  <c r="BH101" i="1"/>
  <c r="T101" i="1"/>
  <c r="O101" i="1"/>
  <c r="AD101" i="1"/>
  <c r="Y101" i="1"/>
  <c r="AS101" i="1"/>
  <c r="BR101" i="1"/>
  <c r="BM101" i="1"/>
  <c r="BR140" i="1"/>
  <c r="BH140" i="1"/>
  <c r="AX140" i="1"/>
  <c r="AN140" i="1"/>
  <c r="AD140" i="1"/>
  <c r="T140" i="1"/>
  <c r="BC140" i="1"/>
  <c r="AS140" i="1"/>
  <c r="AI140" i="1"/>
  <c r="Y140" i="1"/>
  <c r="BM140" i="1"/>
  <c r="O140" i="1"/>
  <c r="AS149" i="1"/>
  <c r="BR149" i="1"/>
  <c r="AD149" i="1"/>
  <c r="BC149" i="1"/>
  <c r="AN149" i="1"/>
  <c r="BM149" i="1"/>
  <c r="Y149" i="1"/>
  <c r="AX149" i="1"/>
  <c r="AI149" i="1"/>
  <c r="T149" i="1"/>
  <c r="O149" i="1"/>
  <c r="BH149" i="1"/>
  <c r="BR177" i="1"/>
  <c r="BM177" i="1"/>
  <c r="AS177" i="1"/>
  <c r="Y177" i="1"/>
  <c r="BH177" i="1"/>
  <c r="AN177" i="1"/>
  <c r="T177" i="1"/>
  <c r="AI177" i="1"/>
  <c r="BC177" i="1"/>
  <c r="AD177" i="1"/>
  <c r="AX177" i="1"/>
  <c r="O177" i="1"/>
  <c r="AN187" i="1"/>
  <c r="BR187" i="1"/>
  <c r="AD187" i="1"/>
  <c r="BM187" i="1"/>
  <c r="Y187" i="1"/>
  <c r="BH187" i="1"/>
  <c r="T187" i="1"/>
  <c r="BC187" i="1"/>
  <c r="AX187" i="1"/>
  <c r="AI187" i="1"/>
  <c r="AS187" i="1"/>
  <c r="O187" i="1"/>
  <c r="BM197" i="1"/>
  <c r="AS197" i="1"/>
  <c r="Y197" i="1"/>
  <c r="BH197" i="1"/>
  <c r="AN197" i="1"/>
  <c r="T197" i="1"/>
  <c r="BC197" i="1"/>
  <c r="AI197" i="1"/>
  <c r="AD197" i="1"/>
  <c r="AX197" i="1"/>
  <c r="BR197" i="1"/>
  <c r="O197" i="1"/>
  <c r="AX223" i="1"/>
  <c r="BH223" i="1"/>
  <c r="T223" i="1"/>
  <c r="BM223" i="1"/>
  <c r="Y223" i="1"/>
  <c r="BR223" i="1"/>
  <c r="AD223" i="1"/>
  <c r="AN223" i="1"/>
  <c r="BC223" i="1"/>
  <c r="AI223" i="1"/>
  <c r="AS223" i="1"/>
  <c r="O223" i="1"/>
  <c r="BR261" i="1"/>
  <c r="BM261" i="1"/>
  <c r="BH261" i="1"/>
  <c r="BC261" i="1"/>
  <c r="AX261" i="1"/>
  <c r="AS261" i="1"/>
  <c r="AN261" i="1"/>
  <c r="AI261" i="1"/>
  <c r="AD261" i="1"/>
  <c r="Y261" i="1"/>
  <c r="T261" i="1"/>
  <c r="O261" i="1"/>
  <c r="Y10" i="1"/>
  <c r="BM10" i="1"/>
  <c r="BC10" i="1"/>
  <c r="AS10" i="1"/>
  <c r="AI10" i="1"/>
  <c r="T10" i="1"/>
  <c r="BR10" i="1"/>
  <c r="BH10" i="1"/>
  <c r="AX10" i="1"/>
  <c r="AN10" i="1"/>
  <c r="AD10" i="1"/>
  <c r="O10" i="1"/>
  <c r="Y18" i="1"/>
  <c r="BM18" i="1"/>
  <c r="BC18" i="1"/>
  <c r="AS18" i="1"/>
  <c r="AI18" i="1"/>
  <c r="T18" i="1"/>
  <c r="BR18" i="1"/>
  <c r="BH18" i="1"/>
  <c r="AX18" i="1"/>
  <c r="AN18" i="1"/>
  <c r="AD18" i="1"/>
  <c r="O18" i="1"/>
  <c r="Y26" i="1"/>
  <c r="BM26" i="1"/>
  <c r="BC26" i="1"/>
  <c r="AS26" i="1"/>
  <c r="AI26" i="1"/>
  <c r="T26" i="1"/>
  <c r="BR26" i="1"/>
  <c r="BH26" i="1"/>
  <c r="AX26" i="1"/>
  <c r="AN26" i="1"/>
  <c r="AD26" i="1"/>
  <c r="O26" i="1"/>
  <c r="BR36" i="1"/>
  <c r="BM36" i="1"/>
  <c r="BH36" i="1"/>
  <c r="BC36" i="1"/>
  <c r="AX36" i="1"/>
  <c r="AS36" i="1"/>
  <c r="AN36" i="1"/>
  <c r="AI36" i="1"/>
  <c r="AD36" i="1"/>
  <c r="Y36" i="1"/>
  <c r="T36" i="1"/>
  <c r="O36" i="1"/>
  <c r="BC46" i="1"/>
  <c r="AI46" i="1"/>
  <c r="BR46" i="1"/>
  <c r="AX46" i="1"/>
  <c r="AD46" i="1"/>
  <c r="BM46" i="1"/>
  <c r="AS46" i="1"/>
  <c r="Y46" i="1"/>
  <c r="BH46" i="1"/>
  <c r="AN46" i="1"/>
  <c r="T46" i="1"/>
  <c r="O46" i="1"/>
  <c r="BR68" i="1"/>
  <c r="AX68" i="1"/>
  <c r="AD68" i="1"/>
  <c r="BM68" i="1"/>
  <c r="AS68" i="1"/>
  <c r="Y68" i="1"/>
  <c r="BH68" i="1"/>
  <c r="AN68" i="1"/>
  <c r="T68" i="1"/>
  <c r="BC68" i="1"/>
  <c r="AI68" i="1"/>
  <c r="O68" i="1"/>
  <c r="BR54" i="1"/>
  <c r="AX54" i="1"/>
  <c r="AD54" i="1"/>
  <c r="BM54" i="1"/>
  <c r="AS54" i="1"/>
  <c r="Y54" i="1"/>
  <c r="BH54" i="1"/>
  <c r="AN54" i="1"/>
  <c r="T54" i="1"/>
  <c r="BC54" i="1"/>
  <c r="AI54" i="1"/>
  <c r="O54" i="1"/>
  <c r="BH77" i="1"/>
  <c r="AN77" i="1"/>
  <c r="T77" i="1"/>
  <c r="BC77" i="1"/>
  <c r="AI77" i="1"/>
  <c r="BR77" i="1"/>
  <c r="AX77" i="1"/>
  <c r="AD77" i="1"/>
  <c r="BM77" i="1"/>
  <c r="Y77" i="1"/>
  <c r="O77" i="1"/>
  <c r="AS77" i="1"/>
  <c r="BH85" i="1"/>
  <c r="AN85" i="1"/>
  <c r="T85" i="1"/>
  <c r="BC85" i="1"/>
  <c r="AI85" i="1"/>
  <c r="BR85" i="1"/>
  <c r="AX85" i="1"/>
  <c r="AD85" i="1"/>
  <c r="BM85" i="1"/>
  <c r="Y85" i="1"/>
  <c r="O85" i="1"/>
  <c r="AS85" i="1"/>
  <c r="BR94" i="1"/>
  <c r="BM94" i="1"/>
  <c r="BH94" i="1"/>
  <c r="BC94" i="1"/>
  <c r="AX94" i="1"/>
  <c r="AS94" i="1"/>
  <c r="AN94" i="1"/>
  <c r="AI94" i="1"/>
  <c r="AD94" i="1"/>
  <c r="Y94" i="1"/>
  <c r="T94" i="1"/>
  <c r="O94" i="1"/>
  <c r="BR102" i="1"/>
  <c r="BM102" i="1"/>
  <c r="BH102" i="1"/>
  <c r="BC102" i="1"/>
  <c r="AX102" i="1"/>
  <c r="AS102" i="1"/>
  <c r="AN102" i="1"/>
  <c r="AI102" i="1"/>
  <c r="AD102" i="1"/>
  <c r="Y102" i="1"/>
  <c r="T102" i="1"/>
  <c r="O102" i="1"/>
  <c r="BR110" i="1"/>
  <c r="BM110" i="1"/>
  <c r="BH110" i="1"/>
  <c r="BC110" i="1"/>
  <c r="AX110" i="1"/>
  <c r="AS110" i="1"/>
  <c r="AN110" i="1"/>
  <c r="AI110" i="1"/>
  <c r="AD110" i="1"/>
  <c r="Y110" i="1"/>
  <c r="T110" i="1"/>
  <c r="O110" i="1"/>
  <c r="BR120" i="1"/>
  <c r="BM120" i="1"/>
  <c r="BH120" i="1"/>
  <c r="BC120" i="1"/>
  <c r="AX120" i="1"/>
  <c r="AS120" i="1"/>
  <c r="AN120" i="1"/>
  <c r="AI120" i="1"/>
  <c r="AD120" i="1"/>
  <c r="Y120" i="1"/>
  <c r="T120" i="1"/>
  <c r="O120" i="1"/>
  <c r="BR130" i="1"/>
  <c r="BM130" i="1"/>
  <c r="BH130" i="1"/>
  <c r="BC130" i="1"/>
  <c r="AX130" i="1"/>
  <c r="AS130" i="1"/>
  <c r="AN130" i="1"/>
  <c r="AI130" i="1"/>
  <c r="AD130" i="1"/>
  <c r="Y130" i="1"/>
  <c r="T130" i="1"/>
  <c r="O130" i="1"/>
  <c r="BR141" i="1"/>
  <c r="BH141" i="1"/>
  <c r="AX141" i="1"/>
  <c r="AN141" i="1"/>
  <c r="AD141" i="1"/>
  <c r="T141" i="1"/>
  <c r="AS141" i="1"/>
  <c r="AI141" i="1"/>
  <c r="Y141" i="1"/>
  <c r="BM141" i="1"/>
  <c r="BC141" i="1"/>
  <c r="O141" i="1"/>
  <c r="BR150" i="1"/>
  <c r="BM150" i="1"/>
  <c r="BH150" i="1"/>
  <c r="BC150" i="1"/>
  <c r="AX150" i="1"/>
  <c r="AS150" i="1"/>
  <c r="AN150" i="1"/>
  <c r="AI150" i="1"/>
  <c r="AD150" i="1"/>
  <c r="Y150" i="1"/>
  <c r="T150" i="1"/>
  <c r="O150" i="1"/>
  <c r="BR160" i="1"/>
  <c r="BM160" i="1"/>
  <c r="BH160" i="1"/>
  <c r="BC160" i="1"/>
  <c r="AX160" i="1"/>
  <c r="AS160" i="1"/>
  <c r="AN160" i="1"/>
  <c r="AI160" i="1"/>
  <c r="AD160" i="1"/>
  <c r="Y160" i="1"/>
  <c r="T160" i="1"/>
  <c r="O160" i="1"/>
  <c r="BR170" i="1"/>
  <c r="BM170" i="1"/>
  <c r="BH170" i="1"/>
  <c r="BC170" i="1"/>
  <c r="AX170" i="1"/>
  <c r="AS170" i="1"/>
  <c r="AN170" i="1"/>
  <c r="AI170" i="1"/>
  <c r="AD170" i="1"/>
  <c r="Y170" i="1"/>
  <c r="T170" i="1"/>
  <c r="O170" i="1"/>
  <c r="BR178" i="1"/>
  <c r="BM178" i="1"/>
  <c r="BH178" i="1"/>
  <c r="BC178" i="1"/>
  <c r="AX178" i="1"/>
  <c r="AS178" i="1"/>
  <c r="AN178" i="1"/>
  <c r="AI178" i="1"/>
  <c r="AD178" i="1"/>
  <c r="Y178" i="1"/>
  <c r="T178" i="1"/>
  <c r="O178" i="1"/>
  <c r="AI188" i="1"/>
  <c r="BM188" i="1"/>
  <c r="Y188" i="1"/>
  <c r="BH188" i="1"/>
  <c r="T188" i="1"/>
  <c r="BC188" i="1"/>
  <c r="AX188" i="1"/>
  <c r="BR188" i="1"/>
  <c r="AS188" i="1"/>
  <c r="AN188" i="1"/>
  <c r="AD188" i="1"/>
  <c r="O188" i="1"/>
  <c r="BC198" i="1"/>
  <c r="AI198" i="1"/>
  <c r="BR198" i="1"/>
  <c r="AX198" i="1"/>
  <c r="AD198" i="1"/>
  <c r="AS198" i="1"/>
  <c r="BM198" i="1"/>
  <c r="T198" i="1"/>
  <c r="AN198" i="1"/>
  <c r="BH198" i="1"/>
  <c r="Y198" i="1"/>
  <c r="O198" i="1"/>
  <c r="BR206" i="1"/>
  <c r="BC206" i="1"/>
  <c r="AI206" i="1"/>
  <c r="AX206" i="1"/>
  <c r="AD206" i="1"/>
  <c r="T206" i="1"/>
  <c r="AN206" i="1"/>
  <c r="BH206" i="1"/>
  <c r="Y206" i="1"/>
  <c r="AS206" i="1"/>
  <c r="BM206" i="1"/>
  <c r="O206" i="1"/>
  <c r="BC216" i="1"/>
  <c r="BM216" i="1"/>
  <c r="Y216" i="1"/>
  <c r="BR216" i="1"/>
  <c r="AD216" i="1"/>
  <c r="AI216" i="1"/>
  <c r="AS216" i="1"/>
  <c r="BH216" i="1"/>
  <c r="AX216" i="1"/>
  <c r="T216" i="1"/>
  <c r="AN216" i="1"/>
  <c r="O216" i="1"/>
  <c r="BR226" i="1"/>
  <c r="BH226" i="1"/>
  <c r="AX226" i="1"/>
  <c r="AN226" i="1"/>
  <c r="AD226" i="1"/>
  <c r="T226" i="1"/>
  <c r="Y226" i="1"/>
  <c r="AS226" i="1"/>
  <c r="BM226" i="1"/>
  <c r="AI226" i="1"/>
  <c r="BC226" i="1"/>
  <c r="O226" i="1"/>
  <c r="BR236" i="1"/>
  <c r="BM236" i="1"/>
  <c r="BH236" i="1"/>
  <c r="BC236" i="1"/>
  <c r="AX236" i="1"/>
  <c r="AS236" i="1"/>
  <c r="AN236" i="1"/>
  <c r="AI236" i="1"/>
  <c r="AD236" i="1"/>
  <c r="Y236" i="1"/>
  <c r="T236" i="1"/>
  <c r="O236" i="1"/>
  <c r="BH262" i="1"/>
  <c r="T262" i="1"/>
  <c r="BR262" i="1"/>
  <c r="AD262" i="1"/>
  <c r="BC262" i="1"/>
  <c r="AN262" i="1"/>
  <c r="BM262" i="1"/>
  <c r="Y262" i="1"/>
  <c r="AX262" i="1"/>
  <c r="AS262" i="1"/>
  <c r="AI262" i="1"/>
  <c r="O262" i="1"/>
  <c r="BH64" i="1"/>
  <c r="AN64" i="1"/>
  <c r="T64" i="1"/>
  <c r="BC64" i="1"/>
  <c r="AI64" i="1"/>
  <c r="BR64" i="1"/>
  <c r="AX64" i="1"/>
  <c r="AD64" i="1"/>
  <c r="BM64" i="1"/>
  <c r="AS64" i="1"/>
  <c r="Y64" i="1"/>
  <c r="O64" i="1"/>
  <c r="BR98" i="1"/>
  <c r="BM98" i="1"/>
  <c r="BH98" i="1"/>
  <c r="BC98" i="1"/>
  <c r="AX98" i="1"/>
  <c r="AS98" i="1"/>
  <c r="AN98" i="1"/>
  <c r="AI98" i="1"/>
  <c r="AD98" i="1"/>
  <c r="Y98" i="1"/>
  <c r="T98" i="1"/>
  <c r="O98" i="1"/>
  <c r="BM145" i="1"/>
  <c r="BC145" i="1"/>
  <c r="AS145" i="1"/>
  <c r="AI145" i="1"/>
  <c r="Y145" i="1"/>
  <c r="BR145" i="1"/>
  <c r="BH145" i="1"/>
  <c r="AX145" i="1"/>
  <c r="AN145" i="1"/>
  <c r="AD145" i="1"/>
  <c r="T145" i="1"/>
  <c r="O145" i="1"/>
  <c r="BH182" i="1"/>
  <c r="AN182" i="1"/>
  <c r="T182" i="1"/>
  <c r="BC182" i="1"/>
  <c r="AI182" i="1"/>
  <c r="Y182" i="1"/>
  <c r="AS182" i="1"/>
  <c r="BM182" i="1"/>
  <c r="AD182" i="1"/>
  <c r="AX182" i="1"/>
  <c r="O182" i="1"/>
  <c r="BR182" i="1"/>
  <c r="AI212" i="1"/>
  <c r="AS212" i="1"/>
  <c r="AX212" i="1"/>
  <c r="BC212" i="1"/>
  <c r="BM212" i="1"/>
  <c r="Y212" i="1"/>
  <c r="AN212" i="1"/>
  <c r="AD212" i="1"/>
  <c r="BH212" i="1"/>
  <c r="T212" i="1"/>
  <c r="BR212" i="1"/>
  <c r="O212" i="1"/>
  <c r="Y17" i="1"/>
  <c r="BM17" i="1"/>
  <c r="BC17" i="1"/>
  <c r="AS17" i="1"/>
  <c r="AI17" i="1"/>
  <c r="T17" i="1"/>
  <c r="AN17" i="1"/>
  <c r="O17" i="1"/>
  <c r="AX17" i="1"/>
  <c r="BH17" i="1"/>
  <c r="AD17" i="1"/>
  <c r="BR17" i="1"/>
  <c r="BR67" i="1"/>
  <c r="AX67" i="1"/>
  <c r="AD67" i="1"/>
  <c r="BM67" i="1"/>
  <c r="AS67" i="1"/>
  <c r="Y67" i="1"/>
  <c r="BH67" i="1"/>
  <c r="AN67" i="1"/>
  <c r="T67" i="1"/>
  <c r="BC67" i="1"/>
  <c r="O67" i="1"/>
  <c r="AI67" i="1"/>
  <c r="BR93" i="1"/>
  <c r="AD93" i="1"/>
  <c r="BC93" i="1"/>
  <c r="AN93" i="1"/>
  <c r="BM93" i="1"/>
  <c r="Y93" i="1"/>
  <c r="AS93" i="1"/>
  <c r="AX93" i="1"/>
  <c r="AI93" i="1"/>
  <c r="O93" i="1"/>
  <c r="BH93" i="1"/>
  <c r="T93" i="1"/>
  <c r="BH129" i="1"/>
  <c r="T129" i="1"/>
  <c r="AS129" i="1"/>
  <c r="BR129" i="1"/>
  <c r="AD129" i="1"/>
  <c r="BC129" i="1"/>
  <c r="AN129" i="1"/>
  <c r="BM129" i="1"/>
  <c r="Y129" i="1"/>
  <c r="AX129" i="1"/>
  <c r="AI129" i="1"/>
  <c r="O129" i="1"/>
  <c r="BM169" i="1"/>
  <c r="AS169" i="1"/>
  <c r="Y169" i="1"/>
  <c r="BC169" i="1"/>
  <c r="AI169" i="1"/>
  <c r="BR169" i="1"/>
  <c r="AX169" i="1"/>
  <c r="AD169" i="1"/>
  <c r="AN169" i="1"/>
  <c r="BH169" i="1"/>
  <c r="T169" i="1"/>
  <c r="O169" i="1"/>
  <c r="BR205" i="1"/>
  <c r="BM205" i="1"/>
  <c r="AS205" i="1"/>
  <c r="Y205" i="1"/>
  <c r="BH205" i="1"/>
  <c r="AN205" i="1"/>
  <c r="T205" i="1"/>
  <c r="BC205" i="1"/>
  <c r="AI205" i="1"/>
  <c r="AD205" i="1"/>
  <c r="AX205" i="1"/>
  <c r="O205" i="1"/>
  <c r="Y11" i="1"/>
  <c r="BM11" i="1"/>
  <c r="BC11" i="1"/>
  <c r="AS11" i="1"/>
  <c r="AI11" i="1"/>
  <c r="T11" i="1"/>
  <c r="BR11" i="1"/>
  <c r="BH11" i="1"/>
  <c r="AX11" i="1"/>
  <c r="AN11" i="1"/>
  <c r="AD11" i="1"/>
  <c r="O11" i="1"/>
  <c r="BR37" i="1"/>
  <c r="BM37" i="1"/>
  <c r="BH37" i="1"/>
  <c r="BC37" i="1"/>
  <c r="AX37" i="1"/>
  <c r="AS37" i="1"/>
  <c r="AN37" i="1"/>
  <c r="AI37" i="1"/>
  <c r="AD37" i="1"/>
  <c r="Y37" i="1"/>
  <c r="T37" i="1"/>
  <c r="O37" i="1"/>
  <c r="BR47" i="1"/>
  <c r="AX47" i="1"/>
  <c r="AD47" i="1"/>
  <c r="BM47" i="1"/>
  <c r="AS47" i="1"/>
  <c r="Y47" i="1"/>
  <c r="BH47" i="1"/>
  <c r="AN47" i="1"/>
  <c r="T47" i="1"/>
  <c r="AI47" i="1"/>
  <c r="O47" i="1"/>
  <c r="BC47" i="1"/>
  <c r="BM69" i="1"/>
  <c r="AS69" i="1"/>
  <c r="Y69" i="1"/>
  <c r="BH69" i="1"/>
  <c r="AN69" i="1"/>
  <c r="T69" i="1"/>
  <c r="BC69" i="1"/>
  <c r="AI69" i="1"/>
  <c r="AX69" i="1"/>
  <c r="AD69" i="1"/>
  <c r="BR69" i="1"/>
  <c r="O69" i="1"/>
  <c r="BM55" i="1"/>
  <c r="AS55" i="1"/>
  <c r="Y55" i="1"/>
  <c r="BH55" i="1"/>
  <c r="AN55" i="1"/>
  <c r="T55" i="1"/>
  <c r="BC55" i="1"/>
  <c r="AI55" i="1"/>
  <c r="AX55" i="1"/>
  <c r="BR55" i="1"/>
  <c r="AD55" i="1"/>
  <c r="O55" i="1"/>
  <c r="BH78" i="1"/>
  <c r="AN78" i="1"/>
  <c r="T78" i="1"/>
  <c r="BC78" i="1"/>
  <c r="AI78" i="1"/>
  <c r="BR78" i="1"/>
  <c r="AX78" i="1"/>
  <c r="AD78" i="1"/>
  <c r="BM78" i="1"/>
  <c r="AS78" i="1"/>
  <c r="Y78" i="1"/>
  <c r="O78" i="1"/>
  <c r="BM76" i="1"/>
  <c r="AS76" i="1"/>
  <c r="Y76" i="1"/>
  <c r="BH76" i="1"/>
  <c r="AN76" i="1"/>
  <c r="T76" i="1"/>
  <c r="BC76" i="1"/>
  <c r="AI76" i="1"/>
  <c r="BR76" i="1"/>
  <c r="AX76" i="1"/>
  <c r="AD76" i="1"/>
  <c r="O76" i="1"/>
  <c r="BR95" i="1"/>
  <c r="BM95" i="1"/>
  <c r="BH95" i="1"/>
  <c r="BC95" i="1"/>
  <c r="AX95" i="1"/>
  <c r="AS95" i="1"/>
  <c r="AN95" i="1"/>
  <c r="AI95" i="1"/>
  <c r="AD95" i="1"/>
  <c r="Y95" i="1"/>
  <c r="T95" i="1"/>
  <c r="O95" i="1"/>
  <c r="BR103" i="1"/>
  <c r="BM103" i="1"/>
  <c r="BH103" i="1"/>
  <c r="BC103" i="1"/>
  <c r="AX103" i="1"/>
  <c r="AS103" i="1"/>
  <c r="AN103" i="1"/>
  <c r="AI103" i="1"/>
  <c r="AD103" i="1"/>
  <c r="Y103" i="1"/>
  <c r="T103" i="1"/>
  <c r="O103" i="1"/>
  <c r="BR111" i="1"/>
  <c r="BM111" i="1"/>
  <c r="BH111" i="1"/>
  <c r="BC111" i="1"/>
  <c r="AX111" i="1"/>
  <c r="AS111" i="1"/>
  <c r="AN111" i="1"/>
  <c r="AI111" i="1"/>
  <c r="AD111" i="1"/>
  <c r="Y111" i="1"/>
  <c r="T111" i="1"/>
  <c r="O111" i="1"/>
  <c r="BR121" i="1"/>
  <c r="BH121" i="1"/>
  <c r="BC121" i="1"/>
  <c r="AX121" i="1"/>
  <c r="AS121" i="1"/>
  <c r="AN121" i="1"/>
  <c r="AI121" i="1"/>
  <c r="AD121" i="1"/>
  <c r="Y121" i="1"/>
  <c r="T121" i="1"/>
  <c r="O121" i="1"/>
  <c r="BM121" i="1"/>
  <c r="BR131" i="1"/>
  <c r="BM131" i="1"/>
  <c r="BH131" i="1"/>
  <c r="BC131" i="1"/>
  <c r="AX131" i="1"/>
  <c r="AS131" i="1"/>
  <c r="AN131" i="1"/>
  <c r="AI131" i="1"/>
  <c r="AD131" i="1"/>
  <c r="Y131" i="1"/>
  <c r="T131" i="1"/>
  <c r="O131" i="1"/>
  <c r="BM142" i="1"/>
  <c r="BC142" i="1"/>
  <c r="AS142" i="1"/>
  <c r="AI142" i="1"/>
  <c r="Y142" i="1"/>
  <c r="BR142" i="1"/>
  <c r="BH142" i="1"/>
  <c r="AX142" i="1"/>
  <c r="AN142" i="1"/>
  <c r="AD142" i="1"/>
  <c r="T142" i="1"/>
  <c r="O142" i="1"/>
  <c r="BR151" i="1"/>
  <c r="BM151" i="1"/>
  <c r="BH151" i="1"/>
  <c r="BC151" i="1"/>
  <c r="AX151" i="1"/>
  <c r="AS151" i="1"/>
  <c r="AN151" i="1"/>
  <c r="AI151" i="1"/>
  <c r="AD151" i="1"/>
  <c r="Y151" i="1"/>
  <c r="T151" i="1"/>
  <c r="O151" i="1"/>
  <c r="BR161" i="1"/>
  <c r="BM161" i="1"/>
  <c r="BH161" i="1"/>
  <c r="BC161" i="1"/>
  <c r="AX161" i="1"/>
  <c r="AS161" i="1"/>
  <c r="AN161" i="1"/>
  <c r="AI161" i="1"/>
  <c r="AD161" i="1"/>
  <c r="Y161" i="1"/>
  <c r="T161" i="1"/>
  <c r="O161" i="1"/>
  <c r="BR171" i="1"/>
  <c r="BM171" i="1"/>
  <c r="BH171" i="1"/>
  <c r="BC171" i="1"/>
  <c r="AX171" i="1"/>
  <c r="AS171" i="1"/>
  <c r="AN171" i="1"/>
  <c r="AI171" i="1"/>
  <c r="AD171" i="1"/>
  <c r="Y171" i="1"/>
  <c r="T171" i="1"/>
  <c r="O171" i="1"/>
  <c r="BR179" i="1"/>
  <c r="BM179" i="1"/>
  <c r="BH179" i="1"/>
  <c r="BC179" i="1"/>
  <c r="AX179" i="1"/>
  <c r="AS179" i="1"/>
  <c r="AN179" i="1"/>
  <c r="AI179" i="1"/>
  <c r="AD179" i="1"/>
  <c r="Y179" i="1"/>
  <c r="T179" i="1"/>
  <c r="O179" i="1"/>
  <c r="BR189" i="1"/>
  <c r="AD189" i="1"/>
  <c r="BH189" i="1"/>
  <c r="T189" i="1"/>
  <c r="BC189" i="1"/>
  <c r="AX189" i="1"/>
  <c r="AS189" i="1"/>
  <c r="Y189" i="1"/>
  <c r="AI189" i="1"/>
  <c r="AN189" i="1"/>
  <c r="BM189" i="1"/>
  <c r="O189" i="1"/>
  <c r="BH199" i="1"/>
  <c r="AN199" i="1"/>
  <c r="T199" i="1"/>
  <c r="BC199" i="1"/>
  <c r="AI199" i="1"/>
  <c r="BR199" i="1"/>
  <c r="AX199" i="1"/>
  <c r="AD199" i="1"/>
  <c r="BM199" i="1"/>
  <c r="Y199" i="1"/>
  <c r="AS199" i="1"/>
  <c r="O199" i="1"/>
  <c r="BH209" i="1"/>
  <c r="T209" i="1"/>
  <c r="BR209" i="1"/>
  <c r="AD209" i="1"/>
  <c r="AI209" i="1"/>
  <c r="AN209" i="1"/>
  <c r="AX209" i="1"/>
  <c r="BC209" i="1"/>
  <c r="Y209" i="1"/>
  <c r="AS209" i="1"/>
  <c r="BM209" i="1"/>
  <c r="O209" i="1"/>
  <c r="BH217" i="1"/>
  <c r="T217" i="1"/>
  <c r="BR217" i="1"/>
  <c r="AD217" i="1"/>
  <c r="AI217" i="1"/>
  <c r="AN217" i="1"/>
  <c r="AX217" i="1"/>
  <c r="AS217" i="1"/>
  <c r="BM217" i="1"/>
  <c r="BC217" i="1"/>
  <c r="Y217" i="1"/>
  <c r="O217" i="1"/>
  <c r="BR227" i="1"/>
  <c r="BH227" i="1"/>
  <c r="AX227" i="1"/>
  <c r="AN227" i="1"/>
  <c r="AD227" i="1"/>
  <c r="T227" i="1"/>
  <c r="BM227" i="1"/>
  <c r="BC227" i="1"/>
  <c r="AS227" i="1"/>
  <c r="AI227" i="1"/>
  <c r="Y227" i="1"/>
  <c r="O227" i="1"/>
  <c r="BR237" i="1"/>
  <c r="BM237" i="1"/>
  <c r="BH237" i="1"/>
  <c r="BC237" i="1"/>
  <c r="AX237" i="1"/>
  <c r="AS237" i="1"/>
  <c r="AN237" i="1"/>
  <c r="AI237" i="1"/>
  <c r="AD237" i="1"/>
  <c r="Y237" i="1"/>
  <c r="T237" i="1"/>
  <c r="O237" i="1"/>
  <c r="BR263" i="1"/>
  <c r="BM263" i="1"/>
  <c r="BH263" i="1"/>
  <c r="BC263" i="1"/>
  <c r="AX263" i="1"/>
  <c r="AS263" i="1"/>
  <c r="AN263" i="1"/>
  <c r="AI263" i="1"/>
  <c r="AD263" i="1"/>
  <c r="Y263" i="1"/>
  <c r="T263" i="1"/>
  <c r="O263" i="1"/>
  <c r="T22" i="1"/>
  <c r="BR22" i="1"/>
  <c r="BH22" i="1"/>
  <c r="AX22" i="1"/>
  <c r="AN22" i="1"/>
  <c r="AD22" i="1"/>
  <c r="Y22" i="1"/>
  <c r="BM22" i="1"/>
  <c r="BC22" i="1"/>
  <c r="AS22" i="1"/>
  <c r="AI22" i="1"/>
  <c r="O22" i="1"/>
  <c r="BH58" i="1"/>
  <c r="AN58" i="1"/>
  <c r="T58" i="1"/>
  <c r="BC58" i="1"/>
  <c r="AI58" i="1"/>
  <c r="BR58" i="1"/>
  <c r="AX58" i="1"/>
  <c r="AD58" i="1"/>
  <c r="BM58" i="1"/>
  <c r="AS58" i="1"/>
  <c r="Y58" i="1"/>
  <c r="O58" i="1"/>
  <c r="AX126" i="1"/>
  <c r="AI126" i="1"/>
  <c r="BH126" i="1"/>
  <c r="T126" i="1"/>
  <c r="AS126" i="1"/>
  <c r="BR126" i="1"/>
  <c r="AD126" i="1"/>
  <c r="BC126" i="1"/>
  <c r="AN126" i="1"/>
  <c r="BM126" i="1"/>
  <c r="O126" i="1"/>
  <c r="Y126" i="1"/>
  <c r="BH174" i="1"/>
  <c r="AN174" i="1"/>
  <c r="T174" i="1"/>
  <c r="BR174" i="1"/>
  <c r="AX174" i="1"/>
  <c r="AD174" i="1"/>
  <c r="BM174" i="1"/>
  <c r="AS174" i="1"/>
  <c r="Y174" i="1"/>
  <c r="AI174" i="1"/>
  <c r="BC174" i="1"/>
  <c r="O174" i="1"/>
  <c r="AI232" i="1"/>
  <c r="AS232" i="1"/>
  <c r="BR232" i="1"/>
  <c r="AD232" i="1"/>
  <c r="BC232" i="1"/>
  <c r="AN232" i="1"/>
  <c r="BM232" i="1"/>
  <c r="Y232" i="1"/>
  <c r="BH232" i="1"/>
  <c r="T232" i="1"/>
  <c r="AX232" i="1"/>
  <c r="O232" i="1"/>
  <c r="O9" i="1"/>
  <c r="AD9" i="1"/>
  <c r="Y9" i="1"/>
  <c r="BM9" i="1"/>
  <c r="BC9" i="1"/>
  <c r="AS9" i="1"/>
  <c r="AI9" i="1"/>
  <c r="T9" i="1"/>
  <c r="BH9" i="1"/>
  <c r="BR9" i="1"/>
  <c r="AX9" i="1"/>
  <c r="AN9" i="1"/>
  <c r="BC45" i="1"/>
  <c r="AI45" i="1"/>
  <c r="BR45" i="1"/>
  <c r="AX45" i="1"/>
  <c r="AD45" i="1"/>
  <c r="BM45" i="1"/>
  <c r="AS45" i="1"/>
  <c r="Y45" i="1"/>
  <c r="AN45" i="1"/>
  <c r="BH45" i="1"/>
  <c r="T45" i="1"/>
  <c r="O45" i="1"/>
  <c r="AN109" i="1"/>
  <c r="BM109" i="1"/>
  <c r="Y109" i="1"/>
  <c r="AI109" i="1"/>
  <c r="AX109" i="1"/>
  <c r="BH109" i="1"/>
  <c r="T109" i="1"/>
  <c r="AS109" i="1"/>
  <c r="O109" i="1"/>
  <c r="BR109" i="1"/>
  <c r="AD109" i="1"/>
  <c r="BC109" i="1"/>
  <c r="BR235" i="1"/>
  <c r="BM235" i="1"/>
  <c r="BH235" i="1"/>
  <c r="BC235" i="1"/>
  <c r="AX235" i="1"/>
  <c r="AS235" i="1"/>
  <c r="AN235" i="1"/>
  <c r="AI235" i="1"/>
  <c r="AD235" i="1"/>
  <c r="Y235" i="1"/>
  <c r="T235" i="1"/>
  <c r="O235" i="1"/>
  <c r="Y19" i="1"/>
  <c r="BM19" i="1"/>
  <c r="BC19" i="1"/>
  <c r="AS19" i="1"/>
  <c r="AI19" i="1"/>
  <c r="T19" i="1"/>
  <c r="BR19" i="1"/>
  <c r="BH19" i="1"/>
  <c r="AX19" i="1"/>
  <c r="AN19" i="1"/>
  <c r="AD19" i="1"/>
  <c r="O19" i="1"/>
  <c r="BM12" i="1"/>
  <c r="BC12" i="1"/>
  <c r="AS12" i="1"/>
  <c r="AI12" i="1"/>
  <c r="T12" i="1"/>
  <c r="BR12" i="1"/>
  <c r="BH12" i="1"/>
  <c r="AX12" i="1"/>
  <c r="AN12" i="1"/>
  <c r="AD12" i="1"/>
  <c r="O12" i="1"/>
  <c r="Y12" i="1"/>
  <c r="BM20" i="1"/>
  <c r="BC20" i="1"/>
  <c r="AS20" i="1"/>
  <c r="AI20" i="1"/>
  <c r="T20" i="1"/>
  <c r="BR20" i="1"/>
  <c r="BH20" i="1"/>
  <c r="AX20" i="1"/>
  <c r="AN20" i="1"/>
  <c r="AD20" i="1"/>
  <c r="Y20" i="1"/>
  <c r="O20" i="1"/>
  <c r="BR30" i="1"/>
  <c r="BM30" i="1"/>
  <c r="BH30" i="1"/>
  <c r="BC30" i="1"/>
  <c r="AX30" i="1"/>
  <c r="AS30" i="1"/>
  <c r="AN30" i="1"/>
  <c r="AI30" i="1"/>
  <c r="AD30" i="1"/>
  <c r="Y30" i="1"/>
  <c r="T30" i="1"/>
  <c r="O30" i="1"/>
  <c r="BR40" i="1"/>
  <c r="AX40" i="1"/>
  <c r="AD40" i="1"/>
  <c r="BM40" i="1"/>
  <c r="AS40" i="1"/>
  <c r="Y40" i="1"/>
  <c r="BH40" i="1"/>
  <c r="AN40" i="1"/>
  <c r="T40" i="1"/>
  <c r="BC40" i="1"/>
  <c r="AI40" i="1"/>
  <c r="O40" i="1"/>
  <c r="BR48" i="1"/>
  <c r="AX48" i="1"/>
  <c r="AD48" i="1"/>
  <c r="BM48" i="1"/>
  <c r="AS48" i="1"/>
  <c r="Y48" i="1"/>
  <c r="BH48" i="1"/>
  <c r="AN48" i="1"/>
  <c r="T48" i="1"/>
  <c r="BC48" i="1"/>
  <c r="AI48" i="1"/>
  <c r="O48" i="1"/>
  <c r="BM70" i="1"/>
  <c r="AS70" i="1"/>
  <c r="Y70" i="1"/>
  <c r="BH70" i="1"/>
  <c r="AN70" i="1"/>
  <c r="T70" i="1"/>
  <c r="BC70" i="1"/>
  <c r="AI70" i="1"/>
  <c r="BR70" i="1"/>
  <c r="AX70" i="1"/>
  <c r="AD70" i="1"/>
  <c r="O70" i="1"/>
  <c r="BM56" i="1"/>
  <c r="AS56" i="1"/>
  <c r="Y56" i="1"/>
  <c r="BH56" i="1"/>
  <c r="AN56" i="1"/>
  <c r="T56" i="1"/>
  <c r="BC56" i="1"/>
  <c r="AI56" i="1"/>
  <c r="BR56" i="1"/>
  <c r="AX56" i="1"/>
  <c r="AD56" i="1"/>
  <c r="O56" i="1"/>
  <c r="BC79" i="1"/>
  <c r="AI79" i="1"/>
  <c r="BR79" i="1"/>
  <c r="AX79" i="1"/>
  <c r="AD79" i="1"/>
  <c r="BM79" i="1"/>
  <c r="AS79" i="1"/>
  <c r="Y79" i="1"/>
  <c r="O79" i="1"/>
  <c r="T79" i="1"/>
  <c r="BH79" i="1"/>
  <c r="AN79" i="1"/>
  <c r="BR88" i="1"/>
  <c r="BM88" i="1"/>
  <c r="BH88" i="1"/>
  <c r="BC88" i="1"/>
  <c r="AX88" i="1"/>
  <c r="AS88" i="1"/>
  <c r="AN88" i="1"/>
  <c r="AI88" i="1"/>
  <c r="AD88" i="1"/>
  <c r="Y88" i="1"/>
  <c r="T88" i="1"/>
  <c r="O88" i="1"/>
  <c r="BR96" i="1"/>
  <c r="BM96" i="1"/>
  <c r="BH96" i="1"/>
  <c r="BC96" i="1"/>
  <c r="AX96" i="1"/>
  <c r="AS96" i="1"/>
  <c r="AN96" i="1"/>
  <c r="AI96" i="1"/>
  <c r="AD96" i="1"/>
  <c r="Y96" i="1"/>
  <c r="T96" i="1"/>
  <c r="O96" i="1"/>
  <c r="BR104" i="1"/>
  <c r="BM104" i="1"/>
  <c r="BH104" i="1"/>
  <c r="BC104" i="1"/>
  <c r="AX104" i="1"/>
  <c r="AS104" i="1"/>
  <c r="AN104" i="1"/>
  <c r="AI104" i="1"/>
  <c r="AD104" i="1"/>
  <c r="Y104" i="1"/>
  <c r="T104" i="1"/>
  <c r="O104" i="1"/>
  <c r="BM114" i="1"/>
  <c r="BH114" i="1"/>
  <c r="BC114" i="1"/>
  <c r="AX114" i="1"/>
  <c r="AS114" i="1"/>
  <c r="AN114" i="1"/>
  <c r="AI114" i="1"/>
  <c r="AD114" i="1"/>
  <c r="Y114" i="1"/>
  <c r="T114" i="1"/>
  <c r="BR114" i="1"/>
  <c r="O114" i="1"/>
  <c r="BR124" i="1"/>
  <c r="BM124" i="1"/>
  <c r="BH124" i="1"/>
  <c r="BC124" i="1"/>
  <c r="AX124" i="1"/>
  <c r="AS124" i="1"/>
  <c r="AN124" i="1"/>
  <c r="AI124" i="1"/>
  <c r="AD124" i="1"/>
  <c r="Y124" i="1"/>
  <c r="T124" i="1"/>
  <c r="O124" i="1"/>
  <c r="BR135" i="1"/>
  <c r="BH135" i="1"/>
  <c r="AX135" i="1"/>
  <c r="AN135" i="1"/>
  <c r="AD135" i="1"/>
  <c r="T135" i="1"/>
  <c r="BM135" i="1"/>
  <c r="BC135" i="1"/>
  <c r="AS135" i="1"/>
  <c r="AI135" i="1"/>
  <c r="Y135" i="1"/>
  <c r="O135" i="1"/>
  <c r="BR143" i="1"/>
  <c r="BH143" i="1"/>
  <c r="AX143" i="1"/>
  <c r="AN143" i="1"/>
  <c r="AD143" i="1"/>
  <c r="T143" i="1"/>
  <c r="AI143" i="1"/>
  <c r="Y143" i="1"/>
  <c r="BM143" i="1"/>
  <c r="BC143" i="1"/>
  <c r="O143" i="1"/>
  <c r="AS143" i="1"/>
  <c r="BR152" i="1"/>
  <c r="BM152" i="1"/>
  <c r="BH152" i="1"/>
  <c r="BC152" i="1"/>
  <c r="AX152" i="1"/>
  <c r="AS152" i="1"/>
  <c r="AN152" i="1"/>
  <c r="AI152" i="1"/>
  <c r="AD152" i="1"/>
  <c r="Y152" i="1"/>
  <c r="T152" i="1"/>
  <c r="O152" i="1"/>
  <c r="BM162" i="1"/>
  <c r="BH162" i="1"/>
  <c r="BC162" i="1"/>
  <c r="AX162" i="1"/>
  <c r="AS162" i="1"/>
  <c r="AN162" i="1"/>
  <c r="AI162" i="1"/>
  <c r="AD162" i="1"/>
  <c r="Y162" i="1"/>
  <c r="T162" i="1"/>
  <c r="BR162" i="1"/>
  <c r="O162" i="1"/>
  <c r="BC172" i="1"/>
  <c r="AI172" i="1"/>
  <c r="BR172" i="1"/>
  <c r="AX172" i="1"/>
  <c r="AD172" i="1"/>
  <c r="BH172" i="1"/>
  <c r="Y172" i="1"/>
  <c r="AS172" i="1"/>
  <c r="BM172" i="1"/>
  <c r="T172" i="1"/>
  <c r="O172" i="1"/>
  <c r="AN172" i="1"/>
  <c r="AX180" i="1"/>
  <c r="AD180" i="1"/>
  <c r="BH180" i="1"/>
  <c r="AN180" i="1"/>
  <c r="T180" i="1"/>
  <c r="BC180" i="1"/>
  <c r="AI180" i="1"/>
  <c r="BR180" i="1"/>
  <c r="Y180" i="1"/>
  <c r="AS180" i="1"/>
  <c r="BM180" i="1"/>
  <c r="O180" i="1"/>
  <c r="BM190" i="1"/>
  <c r="Y190" i="1"/>
  <c r="BC190" i="1"/>
  <c r="AX190" i="1"/>
  <c r="AS190" i="1"/>
  <c r="AN190" i="1"/>
  <c r="AD190" i="1"/>
  <c r="BH190" i="1"/>
  <c r="AI190" i="1"/>
  <c r="BR190" i="1"/>
  <c r="T190" i="1"/>
  <c r="O190" i="1"/>
  <c r="BR200" i="1"/>
  <c r="AX200" i="1"/>
  <c r="AD200" i="1"/>
  <c r="BM200" i="1"/>
  <c r="AS200" i="1"/>
  <c r="Y200" i="1"/>
  <c r="BC200" i="1"/>
  <c r="AN200" i="1"/>
  <c r="BH200" i="1"/>
  <c r="T200" i="1"/>
  <c r="AI200" i="1"/>
  <c r="O200" i="1"/>
  <c r="BM210" i="1"/>
  <c r="Y210" i="1"/>
  <c r="AI210" i="1"/>
  <c r="AN210" i="1"/>
  <c r="AS210" i="1"/>
  <c r="BC210" i="1"/>
  <c r="BH210" i="1"/>
  <c r="AD210" i="1"/>
  <c r="AX210" i="1"/>
  <c r="T210" i="1"/>
  <c r="BR210" i="1"/>
  <c r="O210" i="1"/>
  <c r="BM218" i="1"/>
  <c r="Y218" i="1"/>
  <c r="AI218" i="1"/>
  <c r="AN218" i="1"/>
  <c r="AS218" i="1"/>
  <c r="BC218" i="1"/>
  <c r="AX218" i="1"/>
  <c r="BR218" i="1"/>
  <c r="T218" i="1"/>
  <c r="BH218" i="1"/>
  <c r="AD218" i="1"/>
  <c r="O218" i="1"/>
  <c r="AX228" i="1"/>
  <c r="BR228" i="1"/>
  <c r="BM228" i="1"/>
  <c r="AN228" i="1"/>
  <c r="AI228" i="1"/>
  <c r="BH228" i="1"/>
  <c r="AS228" i="1"/>
  <c r="AD228" i="1"/>
  <c r="Y228" i="1"/>
  <c r="T228" i="1"/>
  <c r="BC228" i="1"/>
  <c r="O228" i="1"/>
  <c r="AS238" i="1"/>
  <c r="BC238" i="1"/>
  <c r="AN238" i="1"/>
  <c r="BM238" i="1"/>
  <c r="Y238" i="1"/>
  <c r="AX238" i="1"/>
  <c r="AI238" i="1"/>
  <c r="BR238" i="1"/>
  <c r="AD238" i="1"/>
  <c r="BH238" i="1"/>
  <c r="T238" i="1"/>
  <c r="O238" i="1"/>
  <c r="AS264" i="1"/>
  <c r="BC264" i="1"/>
  <c r="AN264" i="1"/>
  <c r="BM264" i="1"/>
  <c r="Y264" i="1"/>
  <c r="AX264" i="1"/>
  <c r="BH264" i="1"/>
  <c r="T264" i="1"/>
  <c r="AI264" i="1"/>
  <c r="BR264" i="1"/>
  <c r="O264" i="1"/>
  <c r="AD264" i="1"/>
  <c r="BM42" i="1"/>
  <c r="AS42" i="1"/>
  <c r="Y42" i="1"/>
  <c r="BH42" i="1"/>
  <c r="AN42" i="1"/>
  <c r="T42" i="1"/>
  <c r="BC42" i="1"/>
  <c r="AI42" i="1"/>
  <c r="BR42" i="1"/>
  <c r="AX42" i="1"/>
  <c r="AD42" i="1"/>
  <c r="O42" i="1"/>
  <c r="BR90" i="1"/>
  <c r="BM90" i="1"/>
  <c r="BH90" i="1"/>
  <c r="BC90" i="1"/>
  <c r="AX90" i="1"/>
  <c r="AS90" i="1"/>
  <c r="AN90" i="1"/>
  <c r="AI90" i="1"/>
  <c r="AD90" i="1"/>
  <c r="Y90" i="1"/>
  <c r="T90" i="1"/>
  <c r="O90" i="1"/>
  <c r="BM137" i="1"/>
  <c r="BC137" i="1"/>
  <c r="AS137" i="1"/>
  <c r="AI137" i="1"/>
  <c r="Y137" i="1"/>
  <c r="T137" i="1"/>
  <c r="BR137" i="1"/>
  <c r="BH137" i="1"/>
  <c r="AX137" i="1"/>
  <c r="AN137" i="1"/>
  <c r="O137" i="1"/>
  <c r="AD137" i="1"/>
  <c r="BC192" i="1"/>
  <c r="AS192" i="1"/>
  <c r="AN192" i="1"/>
  <c r="AI192" i="1"/>
  <c r="BR192" i="1"/>
  <c r="AD192" i="1"/>
  <c r="BH192" i="1"/>
  <c r="T192" i="1"/>
  <c r="BM192" i="1"/>
  <c r="Y192" i="1"/>
  <c r="O192" i="1"/>
  <c r="AX192" i="1"/>
  <c r="BR266" i="1"/>
  <c r="AD266" i="1"/>
  <c r="AN266" i="1"/>
  <c r="BM266" i="1"/>
  <c r="Y266" i="1"/>
  <c r="AX266" i="1"/>
  <c r="AI266" i="1"/>
  <c r="T266" i="1"/>
  <c r="BC266" i="1"/>
  <c r="AS266" i="1"/>
  <c r="BH266" i="1"/>
  <c r="O266" i="1"/>
  <c r="BH35" i="1"/>
  <c r="T35" i="1"/>
  <c r="BC35" i="1"/>
  <c r="AS35" i="1"/>
  <c r="BM35" i="1"/>
  <c r="AX35" i="1"/>
  <c r="AN35" i="1"/>
  <c r="AI35" i="1"/>
  <c r="O35" i="1"/>
  <c r="Y35" i="1"/>
  <c r="BR35" i="1"/>
  <c r="AD35" i="1"/>
  <c r="BR53" i="1"/>
  <c r="AX53" i="1"/>
  <c r="AD53" i="1"/>
  <c r="BM53" i="1"/>
  <c r="AS53" i="1"/>
  <c r="Y53" i="1"/>
  <c r="BH53" i="1"/>
  <c r="AN53" i="1"/>
  <c r="T53" i="1"/>
  <c r="AI53" i="1"/>
  <c r="BC53" i="1"/>
  <c r="O53" i="1"/>
  <c r="BM84" i="1"/>
  <c r="AS84" i="1"/>
  <c r="Y84" i="1"/>
  <c r="BH84" i="1"/>
  <c r="AN84" i="1"/>
  <c r="T84" i="1"/>
  <c r="BC84" i="1"/>
  <c r="AI84" i="1"/>
  <c r="BR84" i="1"/>
  <c r="AX84" i="1"/>
  <c r="AD84" i="1"/>
  <c r="O84" i="1"/>
  <c r="BM119" i="1"/>
  <c r="BR119" i="1"/>
  <c r="AS119" i="1"/>
  <c r="AN119" i="1"/>
  <c r="AI119" i="1"/>
  <c r="AD119" i="1"/>
  <c r="Y119" i="1"/>
  <c r="BH119" i="1"/>
  <c r="T119" i="1"/>
  <c r="O119" i="1"/>
  <c r="BC119" i="1"/>
  <c r="AX119" i="1"/>
  <c r="BR159" i="1"/>
  <c r="AD159" i="1"/>
  <c r="BC159" i="1"/>
  <c r="AN159" i="1"/>
  <c r="BM159" i="1"/>
  <c r="Y159" i="1"/>
  <c r="AX159" i="1"/>
  <c r="AI159" i="1"/>
  <c r="BH159" i="1"/>
  <c r="T159" i="1"/>
  <c r="AS159" i="1"/>
  <c r="O159" i="1"/>
  <c r="AX215" i="1"/>
  <c r="BH215" i="1"/>
  <c r="T215" i="1"/>
  <c r="BM215" i="1"/>
  <c r="Y215" i="1"/>
  <c r="BR215" i="1"/>
  <c r="AD215" i="1"/>
  <c r="AN215" i="1"/>
  <c r="AI215" i="1"/>
  <c r="AS215" i="1"/>
  <c r="BC215" i="1"/>
  <c r="O215" i="1"/>
  <c r="Y27" i="1"/>
  <c r="BM27" i="1"/>
  <c r="BC27" i="1"/>
  <c r="AS27" i="1"/>
  <c r="AI27" i="1"/>
  <c r="T27" i="1"/>
  <c r="BR27" i="1"/>
  <c r="BH27" i="1"/>
  <c r="AX27" i="1"/>
  <c r="AN27" i="1"/>
  <c r="AD27" i="1"/>
  <c r="O27" i="1"/>
  <c r="T13" i="1"/>
  <c r="BR13" i="1"/>
  <c r="BH13" i="1"/>
  <c r="AX13" i="1"/>
  <c r="AN13" i="1"/>
  <c r="AD13" i="1"/>
  <c r="Y13" i="1"/>
  <c r="O13" i="1"/>
  <c r="AI13" i="1"/>
  <c r="BC13" i="1"/>
  <c r="BM13" i="1"/>
  <c r="AS13" i="1"/>
  <c r="T21" i="1"/>
  <c r="BR21" i="1"/>
  <c r="BH21" i="1"/>
  <c r="AX21" i="1"/>
  <c r="AN21" i="1"/>
  <c r="AD21" i="1"/>
  <c r="Y21" i="1"/>
  <c r="BC21" i="1"/>
  <c r="AI21" i="1"/>
  <c r="BM21" i="1"/>
  <c r="O21" i="1"/>
  <c r="AS21" i="1"/>
  <c r="BR31" i="1"/>
  <c r="BM31" i="1"/>
  <c r="BH31" i="1"/>
  <c r="BC31" i="1"/>
  <c r="AX31" i="1"/>
  <c r="AS31" i="1"/>
  <c r="AN31" i="1"/>
  <c r="AI31" i="1"/>
  <c r="AD31" i="1"/>
  <c r="Y31" i="1"/>
  <c r="T31" i="1"/>
  <c r="O31" i="1"/>
  <c r="BM41" i="1"/>
  <c r="AS41" i="1"/>
  <c r="Y41" i="1"/>
  <c r="BH41" i="1"/>
  <c r="AN41" i="1"/>
  <c r="T41" i="1"/>
  <c r="BC41" i="1"/>
  <c r="AI41" i="1"/>
  <c r="BR41" i="1"/>
  <c r="AD41" i="1"/>
  <c r="O41" i="1"/>
  <c r="AX41" i="1"/>
  <c r="BM49" i="1"/>
  <c r="AS49" i="1"/>
  <c r="Y49" i="1"/>
  <c r="BH49" i="1"/>
  <c r="AN49" i="1"/>
  <c r="T49" i="1"/>
  <c r="BC49" i="1"/>
  <c r="AI49" i="1"/>
  <c r="BR49" i="1"/>
  <c r="AD49" i="1"/>
  <c r="AX49" i="1"/>
  <c r="O49" i="1"/>
  <c r="BH71" i="1"/>
  <c r="AN71" i="1"/>
  <c r="T71" i="1"/>
  <c r="BC71" i="1"/>
  <c r="AI71" i="1"/>
  <c r="BR71" i="1"/>
  <c r="AX71" i="1"/>
  <c r="AD71" i="1"/>
  <c r="Y71" i="1"/>
  <c r="AS71" i="1"/>
  <c r="BM71" i="1"/>
  <c r="O71" i="1"/>
  <c r="BH57" i="1"/>
  <c r="AN57" i="1"/>
  <c r="T57" i="1"/>
  <c r="BC57" i="1"/>
  <c r="AI57" i="1"/>
  <c r="BR57" i="1"/>
  <c r="AX57" i="1"/>
  <c r="AD57" i="1"/>
  <c r="AS57" i="1"/>
  <c r="O57" i="1"/>
  <c r="BM57" i="1"/>
  <c r="Y57" i="1"/>
  <c r="BC80" i="1"/>
  <c r="AI80" i="1"/>
  <c r="BR80" i="1"/>
  <c r="AX80" i="1"/>
  <c r="AD80" i="1"/>
  <c r="BM80" i="1"/>
  <c r="AS80" i="1"/>
  <c r="Y80" i="1"/>
  <c r="BH80" i="1"/>
  <c r="AN80" i="1"/>
  <c r="T80" i="1"/>
  <c r="O80" i="1"/>
  <c r="BR89" i="1"/>
  <c r="BM89" i="1"/>
  <c r="BH89" i="1"/>
  <c r="BC89" i="1"/>
  <c r="AX89" i="1"/>
  <c r="AS89" i="1"/>
  <c r="AN89" i="1"/>
  <c r="AI89" i="1"/>
  <c r="AD89" i="1"/>
  <c r="Y89" i="1"/>
  <c r="T89" i="1"/>
  <c r="O89" i="1"/>
  <c r="BR97" i="1"/>
  <c r="BM97" i="1"/>
  <c r="BH97" i="1"/>
  <c r="BC97" i="1"/>
  <c r="AX97" i="1"/>
  <c r="AS97" i="1"/>
  <c r="AN97" i="1"/>
  <c r="AI97" i="1"/>
  <c r="AD97" i="1"/>
  <c r="Y97" i="1"/>
  <c r="T97" i="1"/>
  <c r="O97" i="1"/>
  <c r="BR105" i="1"/>
  <c r="BM105" i="1"/>
  <c r="BH105" i="1"/>
  <c r="BC105" i="1"/>
  <c r="AX105" i="1"/>
  <c r="AS105" i="1"/>
  <c r="AN105" i="1"/>
  <c r="AI105" i="1"/>
  <c r="AD105" i="1"/>
  <c r="Y105" i="1"/>
  <c r="T105" i="1"/>
  <c r="O105" i="1"/>
  <c r="BR115" i="1"/>
  <c r="BM115" i="1"/>
  <c r="BH115" i="1"/>
  <c r="BC115" i="1"/>
  <c r="AX115" i="1"/>
  <c r="AS115" i="1"/>
  <c r="AN115" i="1"/>
  <c r="AI115" i="1"/>
  <c r="AD115" i="1"/>
  <c r="Y115" i="1"/>
  <c r="T115" i="1"/>
  <c r="O115" i="1"/>
  <c r="BR125" i="1"/>
  <c r="BM125" i="1"/>
  <c r="BH125" i="1"/>
  <c r="BC125" i="1"/>
  <c r="AX125" i="1"/>
  <c r="AS125" i="1"/>
  <c r="AN125" i="1"/>
  <c r="AI125" i="1"/>
  <c r="AD125" i="1"/>
  <c r="Y125" i="1"/>
  <c r="T125" i="1"/>
  <c r="O125" i="1"/>
  <c r="BM136" i="1"/>
  <c r="BC136" i="1"/>
  <c r="AS136" i="1"/>
  <c r="AI136" i="1"/>
  <c r="Y136" i="1"/>
  <c r="AD136" i="1"/>
  <c r="T136" i="1"/>
  <c r="BR136" i="1"/>
  <c r="BH136" i="1"/>
  <c r="AX136" i="1"/>
  <c r="O136" i="1"/>
  <c r="AN136" i="1"/>
  <c r="BM144" i="1"/>
  <c r="BC144" i="1"/>
  <c r="AS144" i="1"/>
  <c r="AI144" i="1"/>
  <c r="Y144" i="1"/>
  <c r="BR144" i="1"/>
  <c r="BH144" i="1"/>
  <c r="AX144" i="1"/>
  <c r="AN144" i="1"/>
  <c r="AD144" i="1"/>
  <c r="T144" i="1"/>
  <c r="O144" i="1"/>
  <c r="BR153" i="1"/>
  <c r="BM153" i="1"/>
  <c r="BH153" i="1"/>
  <c r="BC153" i="1"/>
  <c r="AX153" i="1"/>
  <c r="AS153" i="1"/>
  <c r="AN153" i="1"/>
  <c r="AI153" i="1"/>
  <c r="AD153" i="1"/>
  <c r="Y153" i="1"/>
  <c r="T153" i="1"/>
  <c r="O153" i="1"/>
  <c r="BR163" i="1"/>
  <c r="BM163" i="1"/>
  <c r="BH163" i="1"/>
  <c r="BC163" i="1"/>
  <c r="AX163" i="1"/>
  <c r="AS163" i="1"/>
  <c r="AN163" i="1"/>
  <c r="AI163" i="1"/>
  <c r="AD163" i="1"/>
  <c r="Y163" i="1"/>
  <c r="T163" i="1"/>
  <c r="O163" i="1"/>
  <c r="BR173" i="1"/>
  <c r="BM173" i="1"/>
  <c r="BH173" i="1"/>
  <c r="BC173" i="1"/>
  <c r="AX173" i="1"/>
  <c r="AS173" i="1"/>
  <c r="AN173" i="1"/>
  <c r="AI173" i="1"/>
  <c r="AD173" i="1"/>
  <c r="Y173" i="1"/>
  <c r="T173" i="1"/>
  <c r="O173" i="1"/>
  <c r="BR181" i="1"/>
  <c r="BM181" i="1"/>
  <c r="BH181" i="1"/>
  <c r="BC181" i="1"/>
  <c r="AX181" i="1"/>
  <c r="AS181" i="1"/>
  <c r="AN181" i="1"/>
  <c r="AI181" i="1"/>
  <c r="AD181" i="1"/>
  <c r="Y181" i="1"/>
  <c r="T181" i="1"/>
  <c r="O181" i="1"/>
  <c r="BH191" i="1"/>
  <c r="T191" i="1"/>
  <c r="AX191" i="1"/>
  <c r="AS191" i="1"/>
  <c r="AN191" i="1"/>
  <c r="AI191" i="1"/>
  <c r="BM191" i="1"/>
  <c r="Y191" i="1"/>
  <c r="BR191" i="1"/>
  <c r="AD191" i="1"/>
  <c r="BC191" i="1"/>
  <c r="O191" i="1"/>
  <c r="BC201" i="1"/>
  <c r="AI201" i="1"/>
  <c r="BR201" i="1"/>
  <c r="AX201" i="1"/>
  <c r="AD201" i="1"/>
  <c r="BM201" i="1"/>
  <c r="AS201" i="1"/>
  <c r="Y201" i="1"/>
  <c r="AN201" i="1"/>
  <c r="BH201" i="1"/>
  <c r="T201" i="1"/>
  <c r="O201" i="1"/>
  <c r="BR211" i="1"/>
  <c r="AD211" i="1"/>
  <c r="AN211" i="1"/>
  <c r="AS211" i="1"/>
  <c r="AX211" i="1"/>
  <c r="BH211" i="1"/>
  <c r="T211" i="1"/>
  <c r="BM211" i="1"/>
  <c r="Y211" i="1"/>
  <c r="BC211" i="1"/>
  <c r="AI211" i="1"/>
  <c r="O211" i="1"/>
  <c r="BR219" i="1"/>
  <c r="AD219" i="1"/>
  <c r="AN219" i="1"/>
  <c r="AS219" i="1"/>
  <c r="AX219" i="1"/>
  <c r="BH219" i="1"/>
  <c r="T219" i="1"/>
  <c r="AI219" i="1"/>
  <c r="BC219" i="1"/>
  <c r="BM219" i="1"/>
  <c r="Y219" i="1"/>
  <c r="O219" i="1"/>
  <c r="BR229" i="1"/>
  <c r="BH229" i="1"/>
  <c r="AX229" i="1"/>
  <c r="AN229" i="1"/>
  <c r="AD229" i="1"/>
  <c r="T229" i="1"/>
  <c r="BM229" i="1"/>
  <c r="BC229" i="1"/>
  <c r="AS229" i="1"/>
  <c r="AI229" i="1"/>
  <c r="Y229" i="1"/>
  <c r="O229" i="1"/>
  <c r="BR239" i="1"/>
  <c r="BM239" i="1"/>
  <c r="BH239" i="1"/>
  <c r="BC239" i="1"/>
  <c r="AX239" i="1"/>
  <c r="AS239" i="1"/>
  <c r="AN239" i="1"/>
  <c r="AI239" i="1"/>
  <c r="AD239" i="1"/>
  <c r="Y239" i="1"/>
  <c r="T239" i="1"/>
  <c r="O239" i="1"/>
  <c r="BR265" i="1"/>
  <c r="BM265" i="1"/>
  <c r="BH265" i="1"/>
  <c r="BC265" i="1"/>
  <c r="AX265" i="1"/>
  <c r="AS265" i="1"/>
  <c r="AN265" i="1"/>
  <c r="AI265" i="1"/>
  <c r="AD265" i="1"/>
  <c r="Y265" i="1"/>
  <c r="T265" i="1"/>
  <c r="O265" i="1"/>
  <c r="BR32" i="1"/>
  <c r="BM32" i="1"/>
  <c r="BH32" i="1"/>
  <c r="BC32" i="1"/>
  <c r="AX32" i="1"/>
  <c r="AS32" i="1"/>
  <c r="AN32" i="1"/>
  <c r="AI32" i="1"/>
  <c r="AD32" i="1"/>
  <c r="Y32" i="1"/>
  <c r="T32" i="1"/>
  <c r="O32" i="1"/>
  <c r="BR81" i="1"/>
  <c r="AX81" i="1"/>
  <c r="AD81" i="1"/>
  <c r="BM81" i="1"/>
  <c r="AS81" i="1"/>
  <c r="Y81" i="1"/>
  <c r="BH81" i="1"/>
  <c r="AN81" i="1"/>
  <c r="T81" i="1"/>
  <c r="AI81" i="1"/>
  <c r="BC81" i="1"/>
  <c r="O81" i="1"/>
  <c r="BM116" i="1"/>
  <c r="BH116" i="1"/>
  <c r="BC116" i="1"/>
  <c r="AX116" i="1"/>
  <c r="AS116" i="1"/>
  <c r="AN116" i="1"/>
  <c r="AI116" i="1"/>
  <c r="AD116" i="1"/>
  <c r="Y116" i="1"/>
  <c r="T116" i="1"/>
  <c r="BR116" i="1"/>
  <c r="O116" i="1"/>
  <c r="BR164" i="1"/>
  <c r="BC164" i="1"/>
  <c r="AN164" i="1"/>
  <c r="BM164" i="1"/>
  <c r="Y164" i="1"/>
  <c r="AX164" i="1"/>
  <c r="AI164" i="1"/>
  <c r="BH164" i="1"/>
  <c r="T164" i="1"/>
  <c r="AS164" i="1"/>
  <c r="O164" i="1"/>
  <c r="AD164" i="1"/>
  <c r="AI220" i="1"/>
  <c r="AS220" i="1"/>
  <c r="AX220" i="1"/>
  <c r="BC220" i="1"/>
  <c r="BM220" i="1"/>
  <c r="Y220" i="1"/>
  <c r="AD220" i="1"/>
  <c r="BR220" i="1"/>
  <c r="T220" i="1"/>
  <c r="AN220" i="1"/>
  <c r="BH220" i="1"/>
  <c r="O220" i="1"/>
  <c r="T15" i="1"/>
  <c r="BR15" i="1"/>
  <c r="BH15" i="1"/>
  <c r="AX15" i="1"/>
  <c r="AN15" i="1"/>
  <c r="AD15" i="1"/>
  <c r="Y15" i="1"/>
  <c r="BM15" i="1"/>
  <c r="BC15" i="1"/>
  <c r="AS15" i="1"/>
  <c r="AI15" i="1"/>
  <c r="O15" i="1"/>
  <c r="T23" i="1"/>
  <c r="BR23" i="1"/>
  <c r="BH23" i="1"/>
  <c r="AX23" i="1"/>
  <c r="AN23" i="1"/>
  <c r="AD23" i="1"/>
  <c r="Y23" i="1"/>
  <c r="BM23" i="1"/>
  <c r="BC23" i="1"/>
  <c r="AS23" i="1"/>
  <c r="AI23" i="1"/>
  <c r="O23" i="1"/>
  <c r="BR33" i="1"/>
  <c r="BM33" i="1"/>
  <c r="BH33" i="1"/>
  <c r="BC33" i="1"/>
  <c r="AX33" i="1"/>
  <c r="AS33" i="1"/>
  <c r="AN33" i="1"/>
  <c r="AI33" i="1"/>
  <c r="AD33" i="1"/>
  <c r="Y33" i="1"/>
  <c r="T33" i="1"/>
  <c r="O33" i="1"/>
  <c r="BH43" i="1"/>
  <c r="AN43" i="1"/>
  <c r="T43" i="1"/>
  <c r="BC43" i="1"/>
  <c r="AI43" i="1"/>
  <c r="BR43" i="1"/>
  <c r="AX43" i="1"/>
  <c r="AD43" i="1"/>
  <c r="BM43" i="1"/>
  <c r="Y43" i="1"/>
  <c r="O43" i="1"/>
  <c r="AS43" i="1"/>
  <c r="BC65" i="1"/>
  <c r="AI65" i="1"/>
  <c r="BR65" i="1"/>
  <c r="AX65" i="1"/>
  <c r="AD65" i="1"/>
  <c r="BM65" i="1"/>
  <c r="AS65" i="1"/>
  <c r="Y65" i="1"/>
  <c r="BH65" i="1"/>
  <c r="T65" i="1"/>
  <c r="AN65" i="1"/>
  <c r="O65" i="1"/>
  <c r="BC73" i="1"/>
  <c r="AI73" i="1"/>
  <c r="BR73" i="1"/>
  <c r="AX73" i="1"/>
  <c r="AD73" i="1"/>
  <c r="BM73" i="1"/>
  <c r="AS73" i="1"/>
  <c r="Y73" i="1"/>
  <c r="T73" i="1"/>
  <c r="AN73" i="1"/>
  <c r="O73" i="1"/>
  <c r="BH73" i="1"/>
  <c r="BC59" i="1"/>
  <c r="AI59" i="1"/>
  <c r="BR59" i="1"/>
  <c r="AX59" i="1"/>
  <c r="AD59" i="1"/>
  <c r="BM59" i="1"/>
  <c r="AS59" i="1"/>
  <c r="Y59" i="1"/>
  <c r="AN59" i="1"/>
  <c r="T59" i="1"/>
  <c r="BH59" i="1"/>
  <c r="O59" i="1"/>
  <c r="BR82" i="1"/>
  <c r="AX82" i="1"/>
  <c r="AD82" i="1"/>
  <c r="BM82" i="1"/>
  <c r="AS82" i="1"/>
  <c r="Y82" i="1"/>
  <c r="BH82" i="1"/>
  <c r="AN82" i="1"/>
  <c r="T82" i="1"/>
  <c r="BC82" i="1"/>
  <c r="AI82" i="1"/>
  <c r="O82" i="1"/>
  <c r="BR91" i="1"/>
  <c r="BM91" i="1"/>
  <c r="BH91" i="1"/>
  <c r="BC91" i="1"/>
  <c r="AX91" i="1"/>
  <c r="AS91" i="1"/>
  <c r="AN91" i="1"/>
  <c r="AI91" i="1"/>
  <c r="AD91" i="1"/>
  <c r="Y91" i="1"/>
  <c r="T91" i="1"/>
  <c r="O91" i="1"/>
  <c r="BR99" i="1"/>
  <c r="BM99" i="1"/>
  <c r="BH99" i="1"/>
  <c r="BC99" i="1"/>
  <c r="AX99" i="1"/>
  <c r="AS99" i="1"/>
  <c r="AN99" i="1"/>
  <c r="AI99" i="1"/>
  <c r="AD99" i="1"/>
  <c r="Y99" i="1"/>
  <c r="T99" i="1"/>
  <c r="O99" i="1"/>
  <c r="BR107" i="1"/>
  <c r="BM107" i="1"/>
  <c r="BH107" i="1"/>
  <c r="BC107" i="1"/>
  <c r="AX107" i="1"/>
  <c r="AS107" i="1"/>
  <c r="AN107" i="1"/>
  <c r="AI107" i="1"/>
  <c r="AD107" i="1"/>
  <c r="Y107" i="1"/>
  <c r="T107" i="1"/>
  <c r="O107" i="1"/>
  <c r="BM117" i="1"/>
  <c r="BH117" i="1"/>
  <c r="BC117" i="1"/>
  <c r="AX117" i="1"/>
  <c r="AS117" i="1"/>
  <c r="AN117" i="1"/>
  <c r="AI117" i="1"/>
  <c r="AD117" i="1"/>
  <c r="Y117" i="1"/>
  <c r="T117" i="1"/>
  <c r="BR117" i="1"/>
  <c r="O117" i="1"/>
  <c r="AI127" i="1"/>
  <c r="BH127" i="1"/>
  <c r="T127" i="1"/>
  <c r="AS127" i="1"/>
  <c r="BR127" i="1"/>
  <c r="AD127" i="1"/>
  <c r="BC127" i="1"/>
  <c r="AN127" i="1"/>
  <c r="BM127" i="1"/>
  <c r="Y127" i="1"/>
  <c r="AX127" i="1"/>
  <c r="O127" i="1"/>
  <c r="BR138" i="1"/>
  <c r="BH138" i="1"/>
  <c r="AX138" i="1"/>
  <c r="AN138" i="1"/>
  <c r="AD138" i="1"/>
  <c r="T138" i="1"/>
  <c r="BM138" i="1"/>
  <c r="BC138" i="1"/>
  <c r="AS138" i="1"/>
  <c r="AI138" i="1"/>
  <c r="Y138" i="1"/>
  <c r="O138" i="1"/>
  <c r="BM134" i="1"/>
  <c r="BC134" i="1"/>
  <c r="AS134" i="1"/>
  <c r="AI134" i="1"/>
  <c r="Y134" i="1"/>
  <c r="BR134" i="1"/>
  <c r="BH134" i="1"/>
  <c r="AX134" i="1"/>
  <c r="AN134" i="1"/>
  <c r="AD134" i="1"/>
  <c r="T134" i="1"/>
  <c r="O134" i="1"/>
  <c r="BC155" i="1"/>
  <c r="AN155" i="1"/>
  <c r="BM155" i="1"/>
  <c r="Y155" i="1"/>
  <c r="AX155" i="1"/>
  <c r="AI155" i="1"/>
  <c r="BH155" i="1"/>
  <c r="T155" i="1"/>
  <c r="AS155" i="1"/>
  <c r="AD155" i="1"/>
  <c r="BR155" i="1"/>
  <c r="O155" i="1"/>
  <c r="BR165" i="1"/>
  <c r="AN165" i="1"/>
  <c r="BM165" i="1"/>
  <c r="Y165" i="1"/>
  <c r="AX165" i="1"/>
  <c r="AI165" i="1"/>
  <c r="BH165" i="1"/>
  <c r="T165" i="1"/>
  <c r="AS165" i="1"/>
  <c r="AD165" i="1"/>
  <c r="BC165" i="1"/>
  <c r="O165" i="1"/>
  <c r="BR175" i="1"/>
  <c r="AX175" i="1"/>
  <c r="AD175" i="1"/>
  <c r="BM175" i="1"/>
  <c r="AS175" i="1"/>
  <c r="Y175" i="1"/>
  <c r="AI175" i="1"/>
  <c r="BC175" i="1"/>
  <c r="T175" i="1"/>
  <c r="AN175" i="1"/>
  <c r="BH175" i="1"/>
  <c r="O175" i="1"/>
  <c r="BR183" i="1"/>
  <c r="BM183" i="1"/>
  <c r="AS183" i="1"/>
  <c r="Y183" i="1"/>
  <c r="BC183" i="1"/>
  <c r="AI183" i="1"/>
  <c r="AX183" i="1"/>
  <c r="AD183" i="1"/>
  <c r="T183" i="1"/>
  <c r="AN183" i="1"/>
  <c r="BH183" i="1"/>
  <c r="O183" i="1"/>
  <c r="AX193" i="1"/>
  <c r="AN193" i="1"/>
  <c r="AI193" i="1"/>
  <c r="BR193" i="1"/>
  <c r="AD193" i="1"/>
  <c r="BM193" i="1"/>
  <c r="Y193" i="1"/>
  <c r="AS193" i="1"/>
  <c r="T193" i="1"/>
  <c r="BC193" i="1"/>
  <c r="BH193" i="1"/>
  <c r="O193" i="1"/>
  <c r="BR203" i="1"/>
  <c r="AX203" i="1"/>
  <c r="AD203" i="1"/>
  <c r="BM203" i="1"/>
  <c r="AS203" i="1"/>
  <c r="Y203" i="1"/>
  <c r="BH203" i="1"/>
  <c r="AN203" i="1"/>
  <c r="T203" i="1"/>
  <c r="AI203" i="1"/>
  <c r="BC203" i="1"/>
  <c r="O203" i="1"/>
  <c r="AN213" i="1"/>
  <c r="AX213" i="1"/>
  <c r="BC213" i="1"/>
  <c r="BH213" i="1"/>
  <c r="T213" i="1"/>
  <c r="BR213" i="1"/>
  <c r="AD213" i="1"/>
  <c r="Y213" i="1"/>
  <c r="AS213" i="1"/>
  <c r="BM213" i="1"/>
  <c r="AI213" i="1"/>
  <c r="O213" i="1"/>
  <c r="AN221" i="1"/>
  <c r="AX221" i="1"/>
  <c r="BC221" i="1"/>
  <c r="BH221" i="1"/>
  <c r="T221" i="1"/>
  <c r="BR221" i="1"/>
  <c r="AD221" i="1"/>
  <c r="BM221" i="1"/>
  <c r="AI221" i="1"/>
  <c r="Y221" i="1"/>
  <c r="AS221" i="1"/>
  <c r="O221" i="1"/>
  <c r="BR233" i="1"/>
  <c r="BM233" i="1"/>
  <c r="BH233" i="1"/>
  <c r="BC233" i="1"/>
  <c r="AX233" i="1"/>
  <c r="AS233" i="1"/>
  <c r="AN233" i="1"/>
  <c r="AI233" i="1"/>
  <c r="AD233" i="1"/>
  <c r="Y233" i="1"/>
  <c r="T233" i="1"/>
  <c r="O233" i="1"/>
  <c r="AX257" i="1"/>
  <c r="BH257" i="1"/>
  <c r="T257" i="1"/>
  <c r="AS257" i="1"/>
  <c r="BR257" i="1"/>
  <c r="AD257" i="1"/>
  <c r="AN257" i="1"/>
  <c r="BM257" i="1"/>
  <c r="Y257" i="1"/>
  <c r="BC257" i="1"/>
  <c r="AI257" i="1"/>
  <c r="O257" i="1"/>
  <c r="BR267" i="1"/>
  <c r="BM267" i="1"/>
  <c r="BH267" i="1"/>
  <c r="BC267" i="1"/>
  <c r="AX267" i="1"/>
  <c r="AS267" i="1"/>
  <c r="AN267" i="1"/>
  <c r="AI267" i="1"/>
  <c r="AD267" i="1"/>
  <c r="Y267" i="1"/>
  <c r="T267" i="1"/>
  <c r="O267" i="1"/>
  <c r="BR8" i="1"/>
  <c r="BH8" i="1"/>
  <c r="AX8" i="1"/>
  <c r="AN8" i="1"/>
  <c r="Y8" i="1"/>
  <c r="BM8" i="1"/>
  <c r="BC8" i="1"/>
  <c r="AS8" i="1"/>
  <c r="AI8" i="1"/>
  <c r="AD8" i="1"/>
  <c r="T8" i="1"/>
  <c r="O8" i="1"/>
  <c r="BR16" i="1"/>
  <c r="BH16" i="1"/>
  <c r="AX16" i="1"/>
  <c r="AN16" i="1"/>
  <c r="AD16" i="1"/>
  <c r="Y16" i="1"/>
  <c r="BM16" i="1"/>
  <c r="BC16" i="1"/>
  <c r="AS16" i="1"/>
  <c r="AI16" i="1"/>
  <c r="T16" i="1"/>
  <c r="O16" i="1"/>
  <c r="BR24" i="1"/>
  <c r="BH24" i="1"/>
  <c r="AX24" i="1"/>
  <c r="AN24" i="1"/>
  <c r="AD24" i="1"/>
  <c r="Y24" i="1"/>
  <c r="BM24" i="1"/>
  <c r="BC24" i="1"/>
  <c r="AS24" i="1"/>
  <c r="AI24" i="1"/>
  <c r="T24" i="1"/>
  <c r="O24" i="1"/>
  <c r="BR34" i="1"/>
  <c r="BM34" i="1"/>
  <c r="BH34" i="1"/>
  <c r="BC34" i="1"/>
  <c r="AX34" i="1"/>
  <c r="AS34" i="1"/>
  <c r="AN34" i="1"/>
  <c r="AI34" i="1"/>
  <c r="AD34" i="1"/>
  <c r="Y34" i="1"/>
  <c r="T34" i="1"/>
  <c r="O34" i="1"/>
  <c r="BH44" i="1"/>
  <c r="AN44" i="1"/>
  <c r="T44" i="1"/>
  <c r="BC44" i="1"/>
  <c r="AI44" i="1"/>
  <c r="BR44" i="1"/>
  <c r="AX44" i="1"/>
  <c r="AD44" i="1"/>
  <c r="BM44" i="1"/>
  <c r="AS44" i="1"/>
  <c r="Y44" i="1"/>
  <c r="O44" i="1"/>
  <c r="BC66" i="1"/>
  <c r="AI66" i="1"/>
  <c r="BR66" i="1"/>
  <c r="AX66" i="1"/>
  <c r="AD66" i="1"/>
  <c r="BM66" i="1"/>
  <c r="AS66" i="1"/>
  <c r="Y66" i="1"/>
  <c r="BH66" i="1"/>
  <c r="AN66" i="1"/>
  <c r="T66" i="1"/>
  <c r="O66" i="1"/>
  <c r="BC52" i="1"/>
  <c r="AI52" i="1"/>
  <c r="BR52" i="1"/>
  <c r="AX52" i="1"/>
  <c r="AD52" i="1"/>
  <c r="BM52" i="1"/>
  <c r="AS52" i="1"/>
  <c r="Y52" i="1"/>
  <c r="BH52" i="1"/>
  <c r="AN52" i="1"/>
  <c r="T52" i="1"/>
  <c r="O52" i="1"/>
  <c r="BC60" i="1"/>
  <c r="AI60" i="1"/>
  <c r="BR60" i="1"/>
  <c r="AX60" i="1"/>
  <c r="AD60" i="1"/>
  <c r="BM60" i="1"/>
  <c r="AS60" i="1"/>
  <c r="Y60" i="1"/>
  <c r="BH60" i="1"/>
  <c r="AN60" i="1"/>
  <c r="T60" i="1"/>
  <c r="O60" i="1"/>
  <c r="BM83" i="1"/>
  <c r="AS83" i="1"/>
  <c r="Y83" i="1"/>
  <c r="BH83" i="1"/>
  <c r="AN83" i="1"/>
  <c r="T83" i="1"/>
  <c r="BC83" i="1"/>
  <c r="AI83" i="1"/>
  <c r="AD83" i="1"/>
  <c r="AX83" i="1"/>
  <c r="O83" i="1"/>
  <c r="BR83" i="1"/>
  <c r="BR92" i="1"/>
  <c r="BM92" i="1"/>
  <c r="BH92" i="1"/>
  <c r="BC92" i="1"/>
  <c r="AX92" i="1"/>
  <c r="AS92" i="1"/>
  <c r="AN92" i="1"/>
  <c r="AI92" i="1"/>
  <c r="AD92" i="1"/>
  <c r="Y92" i="1"/>
  <c r="T92" i="1"/>
  <c r="O92" i="1"/>
  <c r="BR100" i="1"/>
  <c r="BM100" i="1"/>
  <c r="BH100" i="1"/>
  <c r="BC100" i="1"/>
  <c r="AX100" i="1"/>
  <c r="AS100" i="1"/>
  <c r="AN100" i="1"/>
  <c r="AI100" i="1"/>
  <c r="AD100" i="1"/>
  <c r="Y100" i="1"/>
  <c r="T100" i="1"/>
  <c r="O100" i="1"/>
  <c r="BR108" i="1"/>
  <c r="BM108" i="1"/>
  <c r="BH108" i="1"/>
  <c r="BC108" i="1"/>
  <c r="AX108" i="1"/>
  <c r="AS108" i="1"/>
  <c r="AN108" i="1"/>
  <c r="AI108" i="1"/>
  <c r="AD108" i="1"/>
  <c r="Y108" i="1"/>
  <c r="T108" i="1"/>
  <c r="O108" i="1"/>
  <c r="BR118" i="1"/>
  <c r="BM118" i="1"/>
  <c r="BH118" i="1"/>
  <c r="BC118" i="1"/>
  <c r="AX118" i="1"/>
  <c r="AS118" i="1"/>
  <c r="AN118" i="1"/>
  <c r="AI118" i="1"/>
  <c r="AD118" i="1"/>
  <c r="Y118" i="1"/>
  <c r="T118" i="1"/>
  <c r="O118" i="1"/>
  <c r="BR128" i="1"/>
  <c r="BM128" i="1"/>
  <c r="BH128" i="1"/>
  <c r="BC128" i="1"/>
  <c r="AX128" i="1"/>
  <c r="AS128" i="1"/>
  <c r="AN128" i="1"/>
  <c r="AI128" i="1"/>
  <c r="AD128" i="1"/>
  <c r="Y128" i="1"/>
  <c r="T128" i="1"/>
  <c r="O128" i="1"/>
  <c r="BM139" i="1"/>
  <c r="BC139" i="1"/>
  <c r="AS139" i="1"/>
  <c r="AI139" i="1"/>
  <c r="Y139" i="1"/>
  <c r="BR139" i="1"/>
  <c r="BH139" i="1"/>
  <c r="AX139" i="1"/>
  <c r="AN139" i="1"/>
  <c r="AD139" i="1"/>
  <c r="O139" i="1"/>
  <c r="T139" i="1"/>
  <c r="BR148" i="1"/>
  <c r="BM148" i="1"/>
  <c r="BH148" i="1"/>
  <c r="BC148" i="1"/>
  <c r="AX148" i="1"/>
  <c r="AS148" i="1"/>
  <c r="AN148" i="1"/>
  <c r="AI148" i="1"/>
  <c r="AD148" i="1"/>
  <c r="Y148" i="1"/>
  <c r="T148" i="1"/>
  <c r="O148" i="1"/>
  <c r="BR158" i="1"/>
  <c r="BM158" i="1"/>
  <c r="BH158" i="1"/>
  <c r="BC158" i="1"/>
  <c r="AX158" i="1"/>
  <c r="AS158" i="1"/>
  <c r="AN158" i="1"/>
  <c r="AI158" i="1"/>
  <c r="AD158" i="1"/>
  <c r="Y158" i="1"/>
  <c r="T158" i="1"/>
  <c r="O158" i="1"/>
  <c r="BH168" i="1"/>
  <c r="AN168" i="1"/>
  <c r="T168" i="1"/>
  <c r="BC168" i="1"/>
  <c r="AI168" i="1"/>
  <c r="AX168" i="1"/>
  <c r="BR168" i="1"/>
  <c r="Y168" i="1"/>
  <c r="AS168" i="1"/>
  <c r="BM168" i="1"/>
  <c r="AD168" i="1"/>
  <c r="O168" i="1"/>
  <c r="BR176" i="1"/>
  <c r="BC176" i="1"/>
  <c r="AI176" i="1"/>
  <c r="BM176" i="1"/>
  <c r="AS176" i="1"/>
  <c r="Y176" i="1"/>
  <c r="BH176" i="1"/>
  <c r="AN176" i="1"/>
  <c r="T176" i="1"/>
  <c r="AD176" i="1"/>
  <c r="AX176" i="1"/>
  <c r="O176" i="1"/>
  <c r="AS186" i="1"/>
  <c r="AI186" i="1"/>
  <c r="BR186" i="1"/>
  <c r="AD186" i="1"/>
  <c r="BM186" i="1"/>
  <c r="Y186" i="1"/>
  <c r="BH186" i="1"/>
  <c r="T186" i="1"/>
  <c r="BC186" i="1"/>
  <c r="AN186" i="1"/>
  <c r="AX186" i="1"/>
  <c r="O186" i="1"/>
  <c r="AS194" i="1"/>
  <c r="AI194" i="1"/>
  <c r="BR194" i="1"/>
  <c r="AD194" i="1"/>
  <c r="BM194" i="1"/>
  <c r="Y194" i="1"/>
  <c r="BH194" i="1"/>
  <c r="T194" i="1"/>
  <c r="AN194" i="1"/>
  <c r="BC194" i="1"/>
  <c r="AX194" i="1"/>
  <c r="O194" i="1"/>
  <c r="BR204" i="1"/>
  <c r="BH204" i="1"/>
  <c r="AN204" i="1"/>
  <c r="T204" i="1"/>
  <c r="BC204" i="1"/>
  <c r="AI204" i="1"/>
  <c r="AD204" i="1"/>
  <c r="AX204" i="1"/>
  <c r="Y204" i="1"/>
  <c r="AS204" i="1"/>
  <c r="BM204" i="1"/>
  <c r="O204" i="1"/>
  <c r="AS214" i="1"/>
  <c r="BC214" i="1"/>
  <c r="BH214" i="1"/>
  <c r="T214" i="1"/>
  <c r="BM214" i="1"/>
  <c r="Y214" i="1"/>
  <c r="AI214" i="1"/>
  <c r="AD214" i="1"/>
  <c r="AX214" i="1"/>
  <c r="BR214" i="1"/>
  <c r="AN214" i="1"/>
  <c r="O214" i="1"/>
  <c r="AS222" i="1"/>
  <c r="BC222" i="1"/>
  <c r="BH222" i="1"/>
  <c r="T222" i="1"/>
  <c r="BM222" i="1"/>
  <c r="Y222" i="1"/>
  <c r="AI222" i="1"/>
  <c r="BR222" i="1"/>
  <c r="AN222" i="1"/>
  <c r="AX222" i="1"/>
  <c r="AD222" i="1"/>
  <c r="O222" i="1"/>
  <c r="BH234" i="1"/>
  <c r="T234" i="1"/>
  <c r="BR234" i="1"/>
  <c r="AD234" i="1"/>
  <c r="BC234" i="1"/>
  <c r="AN234" i="1"/>
  <c r="BM234" i="1"/>
  <c r="Y234" i="1"/>
  <c r="AS234" i="1"/>
  <c r="AI234" i="1"/>
  <c r="AX234" i="1"/>
  <c r="O234" i="1"/>
  <c r="AI258" i="1"/>
  <c r="AS258" i="1"/>
  <c r="BR258" i="1"/>
  <c r="AD258" i="1"/>
  <c r="BC258" i="1"/>
  <c r="BM258" i="1"/>
  <c r="Y258" i="1"/>
  <c r="BH258" i="1"/>
  <c r="T258" i="1"/>
  <c r="AX258" i="1"/>
  <c r="AN258" i="1"/>
  <c r="O258" i="1"/>
  <c r="BR268" i="1"/>
  <c r="BM268" i="1"/>
  <c r="BH268" i="1"/>
  <c r="BC268" i="1"/>
  <c r="AX268" i="1"/>
  <c r="AS268" i="1"/>
  <c r="AN268" i="1"/>
  <c r="AI268" i="1"/>
  <c r="AD268" i="1"/>
  <c r="Y268" i="1"/>
  <c r="T268" i="1"/>
  <c r="O268" i="1"/>
  <c r="H225" i="1"/>
  <c r="H255" i="1"/>
  <c r="H196" i="1"/>
  <c r="H260" i="1"/>
  <c r="H75" i="1"/>
  <c r="H208" i="1"/>
  <c r="H29" i="1"/>
  <c r="H39" i="1"/>
  <c r="H87" i="1"/>
  <c r="H113" i="1"/>
  <c r="H123" i="1"/>
  <c r="H63" i="1"/>
  <c r="H231" i="1"/>
  <c r="H133" i="1"/>
  <c r="H7" i="1"/>
  <c r="H51" i="1"/>
  <c r="H147" i="1"/>
  <c r="H157" i="1"/>
  <c r="H167" i="1"/>
  <c r="H185" i="1"/>
  <c r="I268" i="1"/>
  <c r="I267" i="1"/>
  <c r="I266" i="1"/>
  <c r="I265" i="1"/>
  <c r="I264" i="1"/>
  <c r="I263" i="1"/>
  <c r="I262" i="1"/>
  <c r="I261" i="1"/>
  <c r="G268" i="1"/>
  <c r="G267" i="1"/>
  <c r="G266" i="1"/>
  <c r="G265" i="1"/>
  <c r="G264" i="1"/>
  <c r="G263" i="1"/>
  <c r="G262" i="1"/>
  <c r="G261" i="1"/>
  <c r="I258" i="1"/>
  <c r="I257" i="1"/>
  <c r="I256" i="1"/>
  <c r="G258" i="1"/>
  <c r="G257" i="1"/>
  <c r="G256" i="1"/>
  <c r="I229" i="1"/>
  <c r="I228" i="1"/>
  <c r="I227" i="1"/>
  <c r="I226" i="1"/>
  <c r="G229" i="1"/>
  <c r="G228" i="1"/>
  <c r="G227" i="1"/>
  <c r="G226" i="1"/>
  <c r="I210" i="1"/>
  <c r="I209" i="1"/>
  <c r="I223" i="1"/>
  <c r="I222" i="1"/>
  <c r="I221" i="1"/>
  <c r="I220" i="1"/>
  <c r="I219" i="1"/>
  <c r="I218" i="1"/>
  <c r="I217" i="1"/>
  <c r="I216" i="1"/>
  <c r="I215" i="1"/>
  <c r="I214" i="1"/>
  <c r="I213" i="1"/>
  <c r="I212" i="1"/>
  <c r="I211" i="1"/>
  <c r="G223" i="1"/>
  <c r="G222" i="1"/>
  <c r="G221" i="1"/>
  <c r="G220" i="1"/>
  <c r="G219" i="1"/>
  <c r="G218" i="1"/>
  <c r="G217" i="1"/>
  <c r="G216" i="1"/>
  <c r="G215" i="1"/>
  <c r="G214" i="1"/>
  <c r="G213" i="1"/>
  <c r="G212" i="1"/>
  <c r="G211" i="1"/>
  <c r="G210" i="1"/>
  <c r="G209" i="1"/>
  <c r="I206" i="1"/>
  <c r="I205" i="1"/>
  <c r="I204" i="1"/>
  <c r="I203" i="1"/>
  <c r="I202" i="1"/>
  <c r="I201" i="1"/>
  <c r="I200" i="1"/>
  <c r="I199" i="1"/>
  <c r="I198" i="1"/>
  <c r="I197" i="1"/>
  <c r="G206" i="1"/>
  <c r="G205" i="1"/>
  <c r="G204" i="1"/>
  <c r="G203" i="1"/>
  <c r="G202" i="1"/>
  <c r="G201" i="1"/>
  <c r="G200" i="1"/>
  <c r="G199" i="1"/>
  <c r="G198" i="1"/>
  <c r="G197" i="1"/>
  <c r="I194" i="1"/>
  <c r="I193" i="1"/>
  <c r="I192" i="1"/>
  <c r="I191" i="1"/>
  <c r="I190" i="1"/>
  <c r="I189" i="1"/>
  <c r="I188" i="1"/>
  <c r="I187" i="1"/>
  <c r="I186" i="1"/>
  <c r="G194" i="1"/>
  <c r="G193" i="1"/>
  <c r="G192" i="1"/>
  <c r="G191" i="1"/>
  <c r="G190" i="1"/>
  <c r="G189" i="1"/>
  <c r="G188" i="1"/>
  <c r="G187" i="1"/>
  <c r="G186" i="1"/>
  <c r="I242" i="1"/>
  <c r="I253" i="1"/>
  <c r="I252" i="1"/>
  <c r="I251" i="1"/>
  <c r="I250" i="1"/>
  <c r="I249" i="1"/>
  <c r="I248" i="1"/>
  <c r="I247" i="1"/>
  <c r="I246" i="1"/>
  <c r="I245" i="1"/>
  <c r="I244" i="1"/>
  <c r="I243" i="1"/>
  <c r="G253" i="1"/>
  <c r="G252" i="1"/>
  <c r="G251" i="1"/>
  <c r="G250" i="1"/>
  <c r="G249" i="1"/>
  <c r="G248" i="1"/>
  <c r="G247" i="1"/>
  <c r="G246" i="1"/>
  <c r="G245" i="1"/>
  <c r="G244" i="1"/>
  <c r="G243" i="1"/>
  <c r="G242" i="1"/>
  <c r="I239" i="1"/>
  <c r="I238" i="1"/>
  <c r="I237" i="1"/>
  <c r="I236" i="1"/>
  <c r="I235" i="1"/>
  <c r="I234" i="1"/>
  <c r="I233" i="1"/>
  <c r="I232" i="1"/>
  <c r="G232" i="1"/>
  <c r="G239" i="1"/>
  <c r="G238" i="1"/>
  <c r="G237" i="1"/>
  <c r="G236" i="1"/>
  <c r="G235" i="1"/>
  <c r="G234" i="1"/>
  <c r="G233" i="1"/>
  <c r="I155" i="1"/>
  <c r="I154" i="1"/>
  <c r="I153" i="1"/>
  <c r="I152" i="1"/>
  <c r="I151" i="1"/>
  <c r="I150" i="1"/>
  <c r="I149" i="1"/>
  <c r="I148" i="1"/>
  <c r="G155" i="1"/>
  <c r="G154" i="1"/>
  <c r="G153" i="1"/>
  <c r="G152" i="1"/>
  <c r="G151" i="1"/>
  <c r="G150" i="1"/>
  <c r="G149" i="1"/>
  <c r="G148" i="1"/>
  <c r="I145" i="1"/>
  <c r="I144" i="1"/>
  <c r="I143" i="1"/>
  <c r="I142" i="1"/>
  <c r="I141" i="1"/>
  <c r="I140" i="1"/>
  <c r="I139" i="1"/>
  <c r="I138" i="1"/>
  <c r="I137" i="1"/>
  <c r="I136" i="1"/>
  <c r="I135" i="1"/>
  <c r="I134" i="1"/>
  <c r="G145" i="1"/>
  <c r="G144" i="1"/>
  <c r="G143" i="1"/>
  <c r="G142" i="1"/>
  <c r="G141" i="1"/>
  <c r="G140" i="1"/>
  <c r="G139" i="1"/>
  <c r="G138" i="1"/>
  <c r="G137" i="1"/>
  <c r="G136" i="1"/>
  <c r="G135" i="1"/>
  <c r="G134" i="1"/>
  <c r="I183" i="1"/>
  <c r="I182" i="1"/>
  <c r="I181" i="1"/>
  <c r="I180" i="1"/>
  <c r="I179" i="1"/>
  <c r="I178" i="1"/>
  <c r="I177" i="1"/>
  <c r="I176" i="1"/>
  <c r="I175" i="1"/>
  <c r="I174" i="1"/>
  <c r="I173" i="1"/>
  <c r="I172" i="1"/>
  <c r="I171" i="1"/>
  <c r="I170" i="1"/>
  <c r="I169" i="1"/>
  <c r="I168" i="1"/>
  <c r="G183" i="1"/>
  <c r="G182" i="1"/>
  <c r="G181" i="1"/>
  <c r="G180" i="1"/>
  <c r="G179" i="1"/>
  <c r="G178" i="1"/>
  <c r="G177" i="1"/>
  <c r="G176" i="1"/>
  <c r="G175" i="1"/>
  <c r="G174" i="1"/>
  <c r="G173" i="1"/>
  <c r="G172" i="1"/>
  <c r="G171" i="1"/>
  <c r="G170" i="1"/>
  <c r="G169" i="1"/>
  <c r="G168" i="1"/>
  <c r="I165" i="1"/>
  <c r="I164" i="1"/>
  <c r="I163" i="1"/>
  <c r="I162" i="1"/>
  <c r="I161" i="1"/>
  <c r="I160" i="1"/>
  <c r="I159" i="1"/>
  <c r="I158" i="1"/>
  <c r="G165" i="1"/>
  <c r="G164" i="1"/>
  <c r="G163" i="1"/>
  <c r="G162" i="1"/>
  <c r="G161" i="1"/>
  <c r="G160" i="1"/>
  <c r="G159" i="1"/>
  <c r="G158" i="1"/>
  <c r="I131" i="1"/>
  <c r="I130" i="1"/>
  <c r="I129" i="1"/>
  <c r="I128" i="1"/>
  <c r="I127" i="1"/>
  <c r="I126" i="1"/>
  <c r="I125" i="1"/>
  <c r="I124" i="1"/>
  <c r="G131" i="1"/>
  <c r="G130" i="1"/>
  <c r="G129" i="1"/>
  <c r="G128" i="1"/>
  <c r="G127" i="1"/>
  <c r="G126" i="1"/>
  <c r="G125" i="1"/>
  <c r="G124" i="1"/>
  <c r="I121" i="1"/>
  <c r="I120" i="1"/>
  <c r="I119" i="1"/>
  <c r="I118" i="1"/>
  <c r="I117" i="1"/>
  <c r="I116" i="1"/>
  <c r="I115" i="1"/>
  <c r="I114" i="1"/>
  <c r="G121" i="1"/>
  <c r="G120" i="1"/>
  <c r="G119" i="1"/>
  <c r="G118" i="1"/>
  <c r="G117" i="1"/>
  <c r="G116" i="1"/>
  <c r="G115" i="1"/>
  <c r="G114" i="1"/>
  <c r="I111" i="1"/>
  <c r="I110" i="1"/>
  <c r="I109" i="1"/>
  <c r="I108" i="1"/>
  <c r="I107" i="1"/>
  <c r="I106" i="1"/>
  <c r="I105" i="1"/>
  <c r="I104" i="1"/>
  <c r="I103" i="1"/>
  <c r="I102" i="1"/>
  <c r="I101" i="1"/>
  <c r="I100" i="1"/>
  <c r="I99" i="1"/>
  <c r="I98" i="1"/>
  <c r="I97" i="1"/>
  <c r="I96" i="1"/>
  <c r="I95" i="1"/>
  <c r="I94" i="1"/>
  <c r="I93" i="1"/>
  <c r="I92" i="1"/>
  <c r="I91" i="1"/>
  <c r="I90" i="1"/>
  <c r="I89" i="1"/>
  <c r="I88" i="1"/>
  <c r="G111" i="1"/>
  <c r="G110" i="1"/>
  <c r="G109" i="1"/>
  <c r="G108" i="1"/>
  <c r="G107" i="1"/>
  <c r="G106" i="1"/>
  <c r="G105" i="1"/>
  <c r="G104" i="1"/>
  <c r="G103" i="1"/>
  <c r="G102" i="1"/>
  <c r="G101" i="1"/>
  <c r="G100" i="1"/>
  <c r="G99" i="1"/>
  <c r="G98" i="1"/>
  <c r="G97" i="1"/>
  <c r="G96" i="1"/>
  <c r="G95" i="1"/>
  <c r="G94" i="1"/>
  <c r="G93" i="1"/>
  <c r="G92" i="1"/>
  <c r="G91" i="1"/>
  <c r="G90" i="1"/>
  <c r="G89" i="1"/>
  <c r="G88" i="1"/>
  <c r="I85" i="1"/>
  <c r="I84" i="1"/>
  <c r="I83" i="1"/>
  <c r="I82" i="1"/>
  <c r="I81" i="1"/>
  <c r="I80" i="1"/>
  <c r="I79" i="1"/>
  <c r="I78" i="1"/>
  <c r="I77" i="1"/>
  <c r="I76" i="1"/>
  <c r="G85" i="1"/>
  <c r="G84" i="1"/>
  <c r="G83" i="1"/>
  <c r="G82" i="1"/>
  <c r="G81" i="1"/>
  <c r="G80" i="1"/>
  <c r="G79" i="1"/>
  <c r="G78" i="1"/>
  <c r="G77" i="1"/>
  <c r="G76" i="1"/>
  <c r="I64" i="1"/>
  <c r="I73" i="1"/>
  <c r="I72" i="1"/>
  <c r="I71" i="1"/>
  <c r="I70" i="1"/>
  <c r="I69" i="1"/>
  <c r="I68" i="1"/>
  <c r="I67" i="1"/>
  <c r="I66" i="1"/>
  <c r="I65" i="1"/>
  <c r="G73" i="1"/>
  <c r="G72" i="1"/>
  <c r="G71" i="1"/>
  <c r="G70" i="1"/>
  <c r="G69" i="1"/>
  <c r="G68" i="1"/>
  <c r="G67" i="1"/>
  <c r="G66" i="1"/>
  <c r="G65" i="1"/>
  <c r="G64" i="1"/>
  <c r="I61" i="1"/>
  <c r="I60" i="1"/>
  <c r="I59" i="1"/>
  <c r="I58" i="1"/>
  <c r="I57" i="1"/>
  <c r="I56" i="1"/>
  <c r="I55" i="1"/>
  <c r="I54" i="1"/>
  <c r="I53" i="1"/>
  <c r="I52" i="1"/>
  <c r="G61" i="1"/>
  <c r="G60" i="1"/>
  <c r="G59" i="1"/>
  <c r="G58" i="1"/>
  <c r="G57" i="1"/>
  <c r="G56" i="1"/>
  <c r="G55" i="1"/>
  <c r="G54" i="1"/>
  <c r="G53" i="1"/>
  <c r="G52" i="1"/>
  <c r="I49" i="1"/>
  <c r="I48" i="1"/>
  <c r="I47" i="1"/>
  <c r="I46" i="1"/>
  <c r="I45" i="1"/>
  <c r="I44" i="1"/>
  <c r="I43" i="1"/>
  <c r="I42" i="1"/>
  <c r="I41" i="1"/>
  <c r="I40" i="1"/>
  <c r="G49" i="1"/>
  <c r="G48" i="1"/>
  <c r="G47" i="1"/>
  <c r="G46" i="1"/>
  <c r="G45" i="1"/>
  <c r="G44" i="1"/>
  <c r="G43" i="1"/>
  <c r="G42" i="1"/>
  <c r="G41" i="1"/>
  <c r="G40" i="1"/>
  <c r="I37" i="1"/>
  <c r="I36" i="1"/>
  <c r="I35" i="1"/>
  <c r="I34" i="1"/>
  <c r="I33" i="1"/>
  <c r="I32" i="1"/>
  <c r="I31" i="1"/>
  <c r="I30" i="1"/>
  <c r="I27" i="1"/>
  <c r="I26" i="1"/>
  <c r="I25" i="1"/>
  <c r="I24" i="1"/>
  <c r="I23" i="1"/>
  <c r="I22" i="1"/>
  <c r="I21" i="1"/>
  <c r="I20" i="1"/>
  <c r="I19" i="1"/>
  <c r="I18" i="1"/>
  <c r="I17" i="1"/>
  <c r="I16" i="1"/>
  <c r="I15" i="1"/>
  <c r="I14" i="1"/>
  <c r="I13" i="1"/>
  <c r="I12" i="1"/>
  <c r="I11" i="1"/>
  <c r="I10" i="1"/>
  <c r="I9" i="1"/>
  <c r="I8" i="1"/>
  <c r="G37" i="1"/>
  <c r="G36" i="1"/>
  <c r="G35" i="1"/>
  <c r="G34" i="1"/>
  <c r="G33" i="1"/>
  <c r="G32" i="1"/>
  <c r="G31" i="1"/>
  <c r="G30" i="1"/>
  <c r="AN157" i="1" l="1"/>
  <c r="BH147" i="1"/>
  <c r="AN185" i="1"/>
  <c r="AS157" i="1"/>
  <c r="AI185" i="1"/>
  <c r="BM147" i="1"/>
  <c r="AX185" i="1"/>
  <c r="BR157" i="1"/>
  <c r="BR185" i="1"/>
  <c r="AD167" i="1"/>
  <c r="T167" i="1"/>
  <c r="AS51" i="1"/>
  <c r="Y147" i="1"/>
  <c r="T185" i="1"/>
  <c r="Y167" i="1"/>
  <c r="O157" i="1"/>
  <c r="BC157" i="1"/>
  <c r="AI147" i="1"/>
  <c r="O51" i="1"/>
  <c r="AX51" i="1"/>
  <c r="O7" i="1"/>
  <c r="O133" i="1"/>
  <c r="BC123" i="1"/>
  <c r="AN39" i="1"/>
  <c r="BC208" i="1"/>
  <c r="AD63" i="1"/>
  <c r="BH196" i="1"/>
  <c r="AI133" i="1"/>
  <c r="AD113" i="1"/>
  <c r="BC87" i="1"/>
  <c r="O231" i="1"/>
  <c r="O75" i="1"/>
  <c r="AN225" i="1"/>
  <c r="O260" i="1"/>
  <c r="O196" i="1"/>
  <c r="O255" i="1"/>
  <c r="BH255" i="1"/>
  <c r="BH185" i="1"/>
  <c r="BR167" i="1"/>
  <c r="T157" i="1"/>
  <c r="BH157" i="1"/>
  <c r="AN147" i="1"/>
  <c r="T51" i="1"/>
  <c r="BR51" i="1"/>
  <c r="T7" i="1"/>
  <c r="AX7" i="1"/>
  <c r="T133" i="1"/>
  <c r="AS133" i="1"/>
  <c r="T123" i="1"/>
  <c r="BH123" i="1"/>
  <c r="AI113" i="1"/>
  <c r="T87" i="1"/>
  <c r="BH87" i="1"/>
  <c r="BH39" i="1"/>
  <c r="T29" i="1"/>
  <c r="BH29" i="1"/>
  <c r="AX231" i="1"/>
  <c r="BR231" i="1"/>
  <c r="AX208" i="1"/>
  <c r="AD75" i="1"/>
  <c r="Y75" i="1"/>
  <c r="AX63" i="1"/>
  <c r="BC225" i="1"/>
  <c r="AX225" i="1"/>
  <c r="T260" i="1"/>
  <c r="BH260" i="1"/>
  <c r="BR196" i="1"/>
  <c r="Y196" i="1"/>
  <c r="AX255" i="1"/>
  <c r="AI255" i="1"/>
  <c r="O123" i="1"/>
  <c r="Y185" i="1"/>
  <c r="AX167" i="1"/>
  <c r="Y157" i="1"/>
  <c r="BM157" i="1"/>
  <c r="AS147" i="1"/>
  <c r="AN51" i="1"/>
  <c r="AI51" i="1"/>
  <c r="AD7" i="1"/>
  <c r="BH7" i="1"/>
  <c r="AD133" i="1"/>
  <c r="BC133" i="1"/>
  <c r="Y123" i="1"/>
  <c r="BM123" i="1"/>
  <c r="AN113" i="1"/>
  <c r="Y87" i="1"/>
  <c r="BM87" i="1"/>
  <c r="Y39" i="1"/>
  <c r="Y29" i="1"/>
  <c r="BM29" i="1"/>
  <c r="T231" i="1"/>
  <c r="AS231" i="1"/>
  <c r="AN208" i="1"/>
  <c r="AX75" i="1"/>
  <c r="AS75" i="1"/>
  <c r="BR63" i="1"/>
  <c r="AI225" i="1"/>
  <c r="BH225" i="1"/>
  <c r="Y260" i="1"/>
  <c r="BM260" i="1"/>
  <c r="AX196" i="1"/>
  <c r="AS196" i="1"/>
  <c r="BR255" i="1"/>
  <c r="Y255" i="1"/>
  <c r="O87" i="1"/>
  <c r="O29" i="1"/>
  <c r="AD231" i="1"/>
  <c r="BM185" i="1"/>
  <c r="AI167" i="1"/>
  <c r="AD157" i="1"/>
  <c r="AX147" i="1"/>
  <c r="BH51" i="1"/>
  <c r="BC51" i="1"/>
  <c r="AI7" i="1"/>
  <c r="BR7" i="1"/>
  <c r="AN133" i="1"/>
  <c r="BM133" i="1"/>
  <c r="AD123" i="1"/>
  <c r="BR123" i="1"/>
  <c r="AS113" i="1"/>
  <c r="AD87" i="1"/>
  <c r="BR87" i="1"/>
  <c r="AS39" i="1"/>
  <c r="AD29" i="1"/>
  <c r="BR29" i="1"/>
  <c r="BH231" i="1"/>
  <c r="AI231" i="1"/>
  <c r="AI208" i="1"/>
  <c r="BR75" i="1"/>
  <c r="BM75" i="1"/>
  <c r="AI63" i="1"/>
  <c r="BM225" i="1"/>
  <c r="BR225" i="1"/>
  <c r="AD260" i="1"/>
  <c r="BR260" i="1"/>
  <c r="AD196" i="1"/>
  <c r="BM196" i="1"/>
  <c r="AD255" i="1"/>
  <c r="BM255" i="1"/>
  <c r="BC29" i="1"/>
  <c r="BH75" i="1"/>
  <c r="O225" i="1"/>
  <c r="BC260" i="1"/>
  <c r="O185" i="1"/>
  <c r="AD185" i="1"/>
  <c r="O167" i="1"/>
  <c r="BC167" i="1"/>
  <c r="AI157" i="1"/>
  <c r="O147" i="1"/>
  <c r="BC147" i="1"/>
  <c r="Y51" i="1"/>
  <c r="AS7" i="1"/>
  <c r="AX133" i="1"/>
  <c r="AI123" i="1"/>
  <c r="O113" i="1"/>
  <c r="AX113" i="1"/>
  <c r="AI87" i="1"/>
  <c r="O39" i="1"/>
  <c r="BM39" i="1"/>
  <c r="AI29" i="1"/>
  <c r="Y231" i="1"/>
  <c r="O208" i="1"/>
  <c r="AD208" i="1"/>
  <c r="AI75" i="1"/>
  <c r="O63" i="1"/>
  <c r="BC63" i="1"/>
  <c r="AS225" i="1"/>
  <c r="AI260" i="1"/>
  <c r="AI196" i="1"/>
  <c r="AN255" i="1"/>
  <c r="T147" i="1"/>
  <c r="BC7" i="1"/>
  <c r="BH133" i="1"/>
  <c r="AN123" i="1"/>
  <c r="BR113" i="1"/>
  <c r="BC113" i="1"/>
  <c r="AN87" i="1"/>
  <c r="AI39" i="1"/>
  <c r="AD39" i="1"/>
  <c r="AN29" i="1"/>
  <c r="BM231" i="1"/>
  <c r="BM208" i="1"/>
  <c r="BR208" i="1"/>
  <c r="BC75" i="1"/>
  <c r="Y63" i="1"/>
  <c r="T63" i="1"/>
  <c r="Y225" i="1"/>
  <c r="AN260" i="1"/>
  <c r="BC196" i="1"/>
  <c r="BC255" i="1"/>
  <c r="AN7" i="1"/>
  <c r="BM167" i="1"/>
  <c r="BM51" i="1"/>
  <c r="BM7" i="1"/>
  <c r="BR133" i="1"/>
  <c r="AS123" i="1"/>
  <c r="T113" i="1"/>
  <c r="BH113" i="1"/>
  <c r="AS87" i="1"/>
  <c r="BC39" i="1"/>
  <c r="AX39" i="1"/>
  <c r="AS29" i="1"/>
  <c r="AN231" i="1"/>
  <c r="AS208" i="1"/>
  <c r="T208" i="1"/>
  <c r="T75" i="1"/>
  <c r="AS63" i="1"/>
  <c r="AN63" i="1"/>
  <c r="T225" i="1"/>
  <c r="AS260" i="1"/>
  <c r="T196" i="1"/>
  <c r="AS255" i="1"/>
  <c r="AN167" i="1"/>
  <c r="BC185" i="1"/>
  <c r="AS185" i="1"/>
  <c r="AS167" i="1"/>
  <c r="BH167" i="1"/>
  <c r="AX157" i="1"/>
  <c r="AD147" i="1"/>
  <c r="BR147" i="1"/>
  <c r="AD51" i="1"/>
  <c r="Y7" i="1"/>
  <c r="Y133" i="1"/>
  <c r="AX123" i="1"/>
  <c r="Y113" i="1"/>
  <c r="BM113" i="1"/>
  <c r="AX87" i="1"/>
  <c r="T39" i="1"/>
  <c r="BR39" i="1"/>
  <c r="AX29" i="1"/>
  <c r="BC231" i="1"/>
  <c r="Y208" i="1"/>
  <c r="BH208" i="1"/>
  <c r="AN75" i="1"/>
  <c r="BM63" i="1"/>
  <c r="BH63" i="1"/>
  <c r="AD225" i="1"/>
  <c r="AX260" i="1"/>
  <c r="AN196" i="1"/>
  <c r="T255" i="1"/>
  <c r="I87" i="1"/>
  <c r="I113" i="1"/>
  <c r="I123" i="1"/>
  <c r="I157" i="1"/>
  <c r="G196" i="1"/>
  <c r="G260" i="1"/>
  <c r="I260" i="1"/>
  <c r="I29" i="1"/>
  <c r="I39" i="1"/>
  <c r="I208" i="1"/>
  <c r="I63" i="1"/>
  <c r="I7" i="1"/>
  <c r="I133" i="1"/>
  <c r="I196" i="1"/>
  <c r="G225" i="1"/>
  <c r="G255" i="1"/>
  <c r="I51" i="1"/>
  <c r="I75" i="1"/>
  <c r="I241" i="1"/>
  <c r="I255" i="1"/>
  <c r="I167" i="1"/>
  <c r="I147" i="1"/>
  <c r="I231" i="1"/>
  <c r="I225" i="1"/>
  <c r="I185" i="1"/>
  <c r="G241" i="1"/>
  <c r="G231" i="1"/>
  <c r="G208" i="1"/>
  <c r="G185" i="1"/>
  <c r="G167" i="1"/>
  <c r="G157" i="1"/>
  <c r="G147" i="1"/>
  <c r="G133" i="1"/>
  <c r="G113" i="1"/>
  <c r="G123" i="1"/>
  <c r="G87" i="1"/>
  <c r="G75" i="1"/>
  <c r="G51" i="1"/>
  <c r="G63" i="1"/>
  <c r="G39" i="1"/>
  <c r="G29" i="1"/>
  <c r="G27" i="1"/>
  <c r="G26" i="1"/>
  <c r="G25" i="1"/>
  <c r="G24" i="1"/>
  <c r="G23" i="1"/>
  <c r="G22" i="1"/>
  <c r="G21" i="1"/>
  <c r="G20" i="1"/>
  <c r="G19" i="1"/>
  <c r="G18" i="1"/>
  <c r="G17" i="1"/>
  <c r="G16" i="1"/>
  <c r="G15" i="1"/>
  <c r="G14" i="1"/>
  <c r="G13" i="1"/>
  <c r="G12" i="1"/>
  <c r="G11" i="1"/>
  <c r="G10" i="1"/>
  <c r="G9" i="1"/>
  <c r="I6" i="1"/>
  <c r="G7" i="1" l="1"/>
  <c r="BT74" i="1"/>
  <c r="BO74" i="1"/>
  <c r="BJ74" i="1"/>
  <c r="BE74" i="1"/>
  <c r="AZ74" i="1"/>
  <c r="AU74" i="1"/>
  <c r="AP74" i="1"/>
  <c r="AK74" i="1"/>
  <c r="AF74" i="1"/>
  <c r="V74" i="1"/>
  <c r="AA74" i="1"/>
  <c r="Q74" i="1"/>
  <c r="T74" i="1"/>
  <c r="Y74" i="1"/>
  <c r="O74" i="1"/>
  <c r="AP6" i="1"/>
  <c r="G6" i="2"/>
  <c r="J6" i="2"/>
  <c r="K6" i="2"/>
  <c r="M6" i="2"/>
  <c r="O6" i="2"/>
  <c r="P6" i="2"/>
  <c r="R6" i="2" s="1"/>
  <c r="T6" i="2"/>
  <c r="U6" i="2"/>
  <c r="W6" i="2" s="1"/>
  <c r="Y6" i="2"/>
  <c r="Z6" i="2"/>
  <c r="AB6" i="2" s="1"/>
  <c r="G7" i="2"/>
  <c r="AD7" i="2"/>
  <c r="AE7" i="2" s="1"/>
  <c r="G8" i="2"/>
  <c r="AD8" i="2"/>
  <c r="AE8" i="2" s="1"/>
  <c r="G9" i="2"/>
  <c r="AD9" i="2"/>
  <c r="AE9" i="2" s="1"/>
  <c r="G10" i="2"/>
  <c r="AD10" i="2"/>
  <c r="AE10" i="2" s="1"/>
  <c r="G11" i="2"/>
  <c r="AD11" i="2"/>
  <c r="AE11" i="2" s="1"/>
  <c r="G12" i="2"/>
  <c r="AD12" i="2"/>
  <c r="AE12" i="2" s="1"/>
  <c r="G13" i="2"/>
  <c r="AD13" i="2"/>
  <c r="AE13" i="2" s="1"/>
  <c r="G14" i="2"/>
  <c r="AD14" i="2"/>
  <c r="AE14" i="2" s="1"/>
  <c r="G15" i="2"/>
  <c r="AD15" i="2"/>
  <c r="AE15" i="2" s="1"/>
  <c r="G16" i="2"/>
  <c r="AD16" i="2"/>
  <c r="AE16" i="2" s="1"/>
  <c r="G17" i="2"/>
  <c r="AD17" i="2"/>
  <c r="AE17" i="2" s="1"/>
  <c r="G18" i="2"/>
  <c r="AD18" i="2"/>
  <c r="AE18" i="2" s="1"/>
  <c r="G19" i="2"/>
  <c r="AD19" i="2"/>
  <c r="AE19" i="2" s="1"/>
  <c r="G20" i="2"/>
  <c r="AD20" i="2"/>
  <c r="AE20" i="2" s="1"/>
  <c r="G21" i="2"/>
  <c r="AD21" i="2"/>
  <c r="AE21" i="2" s="1"/>
  <c r="G22" i="2"/>
  <c r="AD22" i="2"/>
  <c r="AE22" i="2" s="1"/>
  <c r="G23" i="2"/>
  <c r="AD23" i="2"/>
  <c r="AE23" i="2" s="1"/>
  <c r="G24" i="2"/>
  <c r="AD24" i="2"/>
  <c r="AE24" i="2" s="1"/>
  <c r="G25" i="2"/>
  <c r="AD25" i="2"/>
  <c r="AE25" i="2" s="1"/>
  <c r="G26" i="2"/>
  <c r="AD26" i="2"/>
  <c r="AE26" i="2" s="1"/>
  <c r="D27" i="2"/>
  <c r="E27" i="2"/>
  <c r="F27" i="2"/>
  <c r="H27" i="2"/>
  <c r="I27" i="2"/>
  <c r="K109" i="1"/>
  <c r="AE109" i="1" s="1"/>
  <c r="K9" i="1"/>
  <c r="BA10" i="1"/>
  <c r="K11" i="1"/>
  <c r="BK11" i="1" s="1"/>
  <c r="K12" i="1"/>
  <c r="BU12" i="1" s="1"/>
  <c r="K13" i="1"/>
  <c r="K14" i="1"/>
  <c r="AO14" i="1" s="1"/>
  <c r="K15" i="1"/>
  <c r="BS15" i="1" s="1"/>
  <c r="K16" i="1"/>
  <c r="BF16" i="1" s="1"/>
  <c r="K17" i="1"/>
  <c r="AB17" i="1" s="1"/>
  <c r="K18" i="1"/>
  <c r="AY18" i="1" s="1"/>
  <c r="K19" i="1"/>
  <c r="K20" i="1"/>
  <c r="Z21" i="1"/>
  <c r="K22" i="1"/>
  <c r="BI22" i="1" s="1"/>
  <c r="K23" i="1"/>
  <c r="BF23" i="1" s="1"/>
  <c r="K24" i="1"/>
  <c r="K25" i="1"/>
  <c r="BF25" i="1" s="1"/>
  <c r="K26" i="1"/>
  <c r="AJ26" i="1" s="1"/>
  <c r="K27" i="1"/>
  <c r="BU27" i="1" s="1"/>
  <c r="BI30" i="1"/>
  <c r="K31" i="1"/>
  <c r="AB31" i="1" s="1"/>
  <c r="K32" i="1"/>
  <c r="AQ32" i="1" s="1"/>
  <c r="K33" i="1"/>
  <c r="BS33" i="1" s="1"/>
  <c r="K34" i="1"/>
  <c r="AB34" i="1" s="1"/>
  <c r="K35" i="1"/>
  <c r="P35" i="1" s="1"/>
  <c r="K36" i="1"/>
  <c r="K37" i="1"/>
  <c r="BS37" i="1" s="1"/>
  <c r="K40" i="1"/>
  <c r="BI40" i="1" s="1"/>
  <c r="K41" i="1"/>
  <c r="BU41" i="1" s="1"/>
  <c r="K42" i="1"/>
  <c r="BA42" i="1" s="1"/>
  <c r="K43" i="1"/>
  <c r="K44" i="1"/>
  <c r="BA44" i="1" s="1"/>
  <c r="K45" i="1"/>
  <c r="AY45" i="1" s="1"/>
  <c r="K46" i="1"/>
  <c r="BI46" i="1" s="1"/>
  <c r="K47" i="1"/>
  <c r="R47" i="1" s="1"/>
  <c r="K48" i="1"/>
  <c r="AT48" i="1" s="1"/>
  <c r="K49" i="1"/>
  <c r="AE49" i="1" s="1"/>
  <c r="K52" i="1"/>
  <c r="BN52" i="1" s="1"/>
  <c r="K53" i="1"/>
  <c r="AY53" i="1" s="1"/>
  <c r="K54" i="1"/>
  <c r="AB54" i="1" s="1"/>
  <c r="K55" i="1"/>
  <c r="BK55" i="1" s="1"/>
  <c r="K56" i="1"/>
  <c r="K57" i="1"/>
  <c r="U57" i="1" s="1"/>
  <c r="K58" i="1"/>
  <c r="Z58" i="1" s="1"/>
  <c r="K59" i="1"/>
  <c r="K60" i="1"/>
  <c r="AE60" i="1" s="1"/>
  <c r="K61" i="1"/>
  <c r="R61" i="1" s="1"/>
  <c r="K64" i="1"/>
  <c r="AJ64" i="1" s="1"/>
  <c r="K65" i="1"/>
  <c r="AV65" i="1" s="1"/>
  <c r="K66" i="1"/>
  <c r="K67" i="1"/>
  <c r="BK67" i="1" s="1"/>
  <c r="K68" i="1"/>
  <c r="BA68" i="1" s="1"/>
  <c r="K69" i="1"/>
  <c r="BU69" i="1" s="1"/>
  <c r="K70" i="1"/>
  <c r="BU70" i="1" s="1"/>
  <c r="K71" i="1"/>
  <c r="BD71" i="1" s="1"/>
  <c r="K72" i="1"/>
  <c r="K73" i="1"/>
  <c r="AQ73" i="1" s="1"/>
  <c r="K76" i="1"/>
  <c r="Z76" i="1" s="1"/>
  <c r="K77" i="1"/>
  <c r="BU77" i="1" s="1"/>
  <c r="K78" i="1"/>
  <c r="BD78" i="1" s="1"/>
  <c r="K79" i="1"/>
  <c r="AJ79" i="1" s="1"/>
  <c r="K80" i="1"/>
  <c r="BN80" i="1" s="1"/>
  <c r="K81" i="1"/>
  <c r="U81" i="1" s="1"/>
  <c r="K82" i="1"/>
  <c r="AJ82" i="1" s="1"/>
  <c r="K83" i="1"/>
  <c r="AQ83" i="1" s="1"/>
  <c r="K84" i="1"/>
  <c r="AO84" i="1" s="1"/>
  <c r="K85" i="1"/>
  <c r="K88" i="1"/>
  <c r="BU88" i="1" s="1"/>
  <c r="K89" i="1"/>
  <c r="BS89" i="1" s="1"/>
  <c r="K90" i="1"/>
  <c r="BN90" i="1" s="1"/>
  <c r="K91" i="1"/>
  <c r="BD91" i="1" s="1"/>
  <c r="K92" i="1"/>
  <c r="BK92" i="1" s="1"/>
  <c r="K93" i="1"/>
  <c r="AV93" i="1" s="1"/>
  <c r="K94" i="1"/>
  <c r="BA94" i="1" s="1"/>
  <c r="K95" i="1"/>
  <c r="K96" i="1"/>
  <c r="AO96" i="1" s="1"/>
  <c r="K97" i="1"/>
  <c r="BD97" i="1" s="1"/>
  <c r="K98" i="1"/>
  <c r="BA98" i="1" s="1"/>
  <c r="K99" i="1"/>
  <c r="AE99" i="1" s="1"/>
  <c r="K100" i="1"/>
  <c r="BA100" i="1" s="1"/>
  <c r="K101" i="1"/>
  <c r="AB101" i="1" s="1"/>
  <c r="K102" i="1"/>
  <c r="BU102" i="1" s="1"/>
  <c r="K103" i="1"/>
  <c r="BD103" i="1" s="1"/>
  <c r="K104" i="1"/>
  <c r="BP104" i="1" s="1"/>
  <c r="K105" i="1"/>
  <c r="K106" i="1"/>
  <c r="BI106" i="1" s="1"/>
  <c r="K107" i="1"/>
  <c r="BP107" i="1" s="1"/>
  <c r="K108" i="1"/>
  <c r="BI108" i="1" s="1"/>
  <c r="K110" i="1"/>
  <c r="AG110" i="1" s="1"/>
  <c r="K111" i="1"/>
  <c r="AY111" i="1" s="1"/>
  <c r="K114" i="1"/>
  <c r="Z114" i="1" s="1"/>
  <c r="K115" i="1"/>
  <c r="BA115" i="1" s="1"/>
  <c r="K116" i="1"/>
  <c r="BK116" i="1" s="1"/>
  <c r="K117" i="1"/>
  <c r="BP117" i="1" s="1"/>
  <c r="K118" i="1"/>
  <c r="BP118" i="1" s="1"/>
  <c r="K119" i="1"/>
  <c r="K121" i="1"/>
  <c r="K124" i="1"/>
  <c r="AE124" i="1" s="1"/>
  <c r="K125" i="1"/>
  <c r="AE125" i="1" s="1"/>
  <c r="K126" i="1"/>
  <c r="K127" i="1"/>
  <c r="BP127" i="1" s="1"/>
  <c r="K128" i="1"/>
  <c r="BD128" i="1" s="1"/>
  <c r="K129" i="1"/>
  <c r="BS129" i="1" s="1"/>
  <c r="K130" i="1"/>
  <c r="U130" i="1" s="1"/>
  <c r="K131" i="1"/>
  <c r="AL131" i="1" s="1"/>
  <c r="K134" i="1"/>
  <c r="AE134" i="1" s="1"/>
  <c r="K135" i="1"/>
  <c r="W135" i="1" s="1"/>
  <c r="K136" i="1"/>
  <c r="R136" i="1" s="1"/>
  <c r="K137" i="1"/>
  <c r="K138" i="1"/>
  <c r="AV138" i="1" s="1"/>
  <c r="K139" i="1"/>
  <c r="U139" i="1" s="1"/>
  <c r="K140" i="1"/>
  <c r="BS140" i="1" s="1"/>
  <c r="K141" i="1"/>
  <c r="K142" i="1"/>
  <c r="BP142" i="1" s="1"/>
  <c r="K143" i="1"/>
  <c r="BF143" i="1" s="1"/>
  <c r="K144" i="1"/>
  <c r="K145" i="1"/>
  <c r="K148" i="1"/>
  <c r="AJ148" i="1" s="1"/>
  <c r="K149" i="1"/>
  <c r="AE149" i="1" s="1"/>
  <c r="K150" i="1"/>
  <c r="BN150" i="1" s="1"/>
  <c r="K151" i="1"/>
  <c r="U151" i="1" s="1"/>
  <c r="K152" i="1"/>
  <c r="AE152" i="1" s="1"/>
  <c r="K153" i="1"/>
  <c r="BN153" i="1" s="1"/>
  <c r="K154" i="1"/>
  <c r="K155" i="1"/>
  <c r="R155" i="1" s="1"/>
  <c r="K158" i="1"/>
  <c r="U158" i="1" s="1"/>
  <c r="K159" i="1"/>
  <c r="Z159" i="1" s="1"/>
  <c r="K160" i="1"/>
  <c r="BP160" i="1" s="1"/>
  <c r="K161" i="1"/>
  <c r="P161" i="1" s="1"/>
  <c r="K162" i="1"/>
  <c r="K163" i="1"/>
  <c r="K164" i="1"/>
  <c r="K165" i="1"/>
  <c r="BK165" i="1" s="1"/>
  <c r="K168" i="1"/>
  <c r="K169" i="1"/>
  <c r="BI169" i="1" s="1"/>
  <c r="K170" i="1"/>
  <c r="AB170" i="1" s="1"/>
  <c r="K171" i="1"/>
  <c r="AT171" i="1" s="1"/>
  <c r="K172" i="1"/>
  <c r="K173" i="1"/>
  <c r="AO173" i="1" s="1"/>
  <c r="K174" i="1"/>
  <c r="BA174" i="1" s="1"/>
  <c r="K175" i="1"/>
  <c r="BF175" i="1" s="1"/>
  <c r="K176" i="1"/>
  <c r="K177" i="1"/>
  <c r="BA177" i="1" s="1"/>
  <c r="K178" i="1"/>
  <c r="R178" i="1" s="1"/>
  <c r="K179" i="1"/>
  <c r="K180" i="1"/>
  <c r="BN180" i="1" s="1"/>
  <c r="K181" i="1"/>
  <c r="BI181" i="1" s="1"/>
  <c r="K182" i="1"/>
  <c r="AT182" i="1" s="1"/>
  <c r="K183" i="1"/>
  <c r="BK183" i="1" s="1"/>
  <c r="K186" i="1"/>
  <c r="BF186" i="1" s="1"/>
  <c r="K187" i="1"/>
  <c r="Z187" i="1" s="1"/>
  <c r="K188" i="1"/>
  <c r="AY188" i="1" s="1"/>
  <c r="K189" i="1"/>
  <c r="BW189" i="1" s="1"/>
  <c r="BX189" i="1" s="1"/>
  <c r="K190" i="1"/>
  <c r="BI190" i="1" s="1"/>
  <c r="K191" i="1"/>
  <c r="AT191" i="1" s="1"/>
  <c r="K192" i="1"/>
  <c r="AE192" i="1" s="1"/>
  <c r="K193" i="1"/>
  <c r="K194" i="1"/>
  <c r="BP194" i="1" s="1"/>
  <c r="K197" i="1"/>
  <c r="K198" i="1"/>
  <c r="K199" i="1"/>
  <c r="BI199" i="1" s="1"/>
  <c r="K200" i="1"/>
  <c r="BU200" i="1" s="1"/>
  <c r="K201" i="1"/>
  <c r="BK201" i="1" s="1"/>
  <c r="K202" i="1"/>
  <c r="K203" i="1"/>
  <c r="BK203" i="1" s="1"/>
  <c r="K204" i="1"/>
  <c r="BP204" i="1" s="1"/>
  <c r="K205" i="1"/>
  <c r="BN205" i="1" s="1"/>
  <c r="K206" i="1"/>
  <c r="BI206" i="1" s="1"/>
  <c r="K209" i="1"/>
  <c r="W209" i="1" s="1"/>
  <c r="K210" i="1"/>
  <c r="W210" i="1" s="1"/>
  <c r="K211" i="1"/>
  <c r="K212" i="1"/>
  <c r="K213" i="1"/>
  <c r="AQ213" i="1" s="1"/>
  <c r="K214" i="1"/>
  <c r="AO214" i="1" s="1"/>
  <c r="K215" i="1"/>
  <c r="K216" i="1"/>
  <c r="BI216" i="1" s="1"/>
  <c r="K217" i="1"/>
  <c r="BD217" i="1" s="1"/>
  <c r="K218" i="1"/>
  <c r="K219" i="1"/>
  <c r="K220" i="1"/>
  <c r="AO220" i="1" s="1"/>
  <c r="K221" i="1"/>
  <c r="Z221" i="1" s="1"/>
  <c r="K222" i="1"/>
  <c r="AT222" i="1" s="1"/>
  <c r="K223" i="1"/>
  <c r="AG223" i="1" s="1"/>
  <c r="K226" i="1"/>
  <c r="BS226" i="1" s="1"/>
  <c r="K227" i="1"/>
  <c r="K228" i="1"/>
  <c r="K229" i="1"/>
  <c r="AO229" i="1" s="1"/>
  <c r="K232" i="1"/>
  <c r="K233" i="1"/>
  <c r="K234" i="1"/>
  <c r="AJ234" i="1" s="1"/>
  <c r="K235" i="1"/>
  <c r="AJ235" i="1" s="1"/>
  <c r="K236" i="1"/>
  <c r="BD236" i="1" s="1"/>
  <c r="K237" i="1"/>
  <c r="BW237" i="1" s="1"/>
  <c r="BX237" i="1" s="1"/>
  <c r="K238" i="1"/>
  <c r="AT238" i="1" s="1"/>
  <c r="K239" i="1"/>
  <c r="AY239" i="1" s="1"/>
  <c r="K242" i="1"/>
  <c r="K243" i="1"/>
  <c r="BN243" i="1" s="1"/>
  <c r="K244" i="1"/>
  <c r="U244" i="1" s="1"/>
  <c r="K245" i="1"/>
  <c r="BD245" i="1" s="1"/>
  <c r="K246" i="1"/>
  <c r="BW246" i="1" s="1"/>
  <c r="BX246" i="1" s="1"/>
  <c r="K247" i="1"/>
  <c r="K248" i="1"/>
  <c r="K249" i="1"/>
  <c r="BD249" i="1" s="1"/>
  <c r="K250" i="1"/>
  <c r="P250" i="1" s="1"/>
  <c r="K251" i="1"/>
  <c r="AO251" i="1" s="1"/>
  <c r="K252" i="1"/>
  <c r="AY252" i="1" s="1"/>
  <c r="K253" i="1"/>
  <c r="AE253" i="1" s="1"/>
  <c r="BS256" i="1"/>
  <c r="K258" i="1"/>
  <c r="W258" i="1" s="1"/>
  <c r="K261" i="1"/>
  <c r="BI261" i="1" s="1"/>
  <c r="K262" i="1"/>
  <c r="AE262" i="1" s="1"/>
  <c r="K263" i="1"/>
  <c r="AQ263" i="1" s="1"/>
  <c r="K264" i="1"/>
  <c r="K265" i="1"/>
  <c r="K266" i="1"/>
  <c r="AB266" i="1" s="1"/>
  <c r="K267" i="1"/>
  <c r="BW267" i="1" s="1"/>
  <c r="BX267" i="1" s="1"/>
  <c r="K268" i="1"/>
  <c r="K8" i="1"/>
  <c r="L6" i="1"/>
  <c r="M6" i="1"/>
  <c r="N6" i="1"/>
  <c r="N259" i="1"/>
  <c r="N254" i="1"/>
  <c r="N240" i="1"/>
  <c r="N230" i="1"/>
  <c r="N224" i="1"/>
  <c r="N207" i="1"/>
  <c r="N195" i="1"/>
  <c r="N184" i="1"/>
  <c r="N166" i="1"/>
  <c r="N156" i="1"/>
  <c r="N146" i="1"/>
  <c r="N132" i="1"/>
  <c r="N122" i="1"/>
  <c r="N112" i="1"/>
  <c r="N86" i="1"/>
  <c r="N74" i="1"/>
  <c r="N62" i="1"/>
  <c r="N50" i="1"/>
  <c r="N38" i="1"/>
  <c r="N28" i="1"/>
  <c r="AV18" i="1"/>
  <c r="L259" i="1"/>
  <c r="M259" i="1"/>
  <c r="L254" i="1"/>
  <c r="M254" i="1"/>
  <c r="L240" i="1"/>
  <c r="M240" i="1"/>
  <c r="L230" i="1"/>
  <c r="M230" i="1"/>
  <c r="L224" i="1"/>
  <c r="M224" i="1"/>
  <c r="L207" i="1"/>
  <c r="M207" i="1"/>
  <c r="L195" i="1"/>
  <c r="M195" i="1"/>
  <c r="L184" i="1"/>
  <c r="M184" i="1"/>
  <c r="L166" i="1"/>
  <c r="M166" i="1"/>
  <c r="J166" i="1"/>
  <c r="J184" i="1"/>
  <c r="L156" i="1"/>
  <c r="M156" i="1"/>
  <c r="L146" i="1"/>
  <c r="M146" i="1"/>
  <c r="L132" i="1"/>
  <c r="M132" i="1"/>
  <c r="L122" i="1"/>
  <c r="M122" i="1"/>
  <c r="L112" i="1"/>
  <c r="L86" i="1"/>
  <c r="M86" i="1"/>
  <c r="L74" i="1"/>
  <c r="M74" i="1"/>
  <c r="L62" i="1"/>
  <c r="M62" i="1"/>
  <c r="L50" i="1"/>
  <c r="M50" i="1"/>
  <c r="L38" i="1"/>
  <c r="M38" i="1"/>
  <c r="L28" i="1"/>
  <c r="M28" i="1"/>
  <c r="H269" i="1"/>
  <c r="G269" i="1"/>
  <c r="AU28" i="1"/>
  <c r="AP28" i="1"/>
  <c r="AK28" i="1"/>
  <c r="AF28" i="1"/>
  <c r="AA28" i="1"/>
  <c r="V28" i="1"/>
  <c r="Q28" i="1"/>
  <c r="AZ28" i="1"/>
  <c r="BE28" i="1"/>
  <c r="BJ28" i="1"/>
  <c r="BO28" i="1"/>
  <c r="BT28" i="1"/>
  <c r="BT38" i="1"/>
  <c r="BO38" i="1"/>
  <c r="BJ38" i="1"/>
  <c r="BE38" i="1"/>
  <c r="AZ38" i="1"/>
  <c r="AU38" i="1"/>
  <c r="AP38" i="1"/>
  <c r="AK38" i="1"/>
  <c r="AF38" i="1"/>
  <c r="AA38" i="1"/>
  <c r="V38" i="1"/>
  <c r="BT50" i="1"/>
  <c r="BO50" i="1"/>
  <c r="BJ50" i="1"/>
  <c r="BE50" i="1"/>
  <c r="AZ50" i="1"/>
  <c r="AU50" i="1"/>
  <c r="AP50" i="1"/>
  <c r="AK50" i="1"/>
  <c r="AF50" i="1"/>
  <c r="AA50" i="1"/>
  <c r="V50" i="1"/>
  <c r="BT62" i="1"/>
  <c r="BO62" i="1"/>
  <c r="BJ62" i="1"/>
  <c r="BE62" i="1"/>
  <c r="AZ62" i="1"/>
  <c r="AU62" i="1"/>
  <c r="AP62" i="1"/>
  <c r="AK62" i="1"/>
  <c r="AF62" i="1"/>
  <c r="AA62" i="1"/>
  <c r="V62" i="1"/>
  <c r="Q62" i="1"/>
  <c r="BT86" i="1"/>
  <c r="BO86" i="1"/>
  <c r="BJ86" i="1"/>
  <c r="AZ86" i="1"/>
  <c r="AU86" i="1"/>
  <c r="AP86" i="1"/>
  <c r="AK86" i="1"/>
  <c r="AF86" i="1"/>
  <c r="AA86" i="1"/>
  <c r="V86" i="1"/>
  <c r="BE86" i="1"/>
  <c r="Q86" i="1"/>
  <c r="BT112" i="1"/>
  <c r="BO112" i="1"/>
  <c r="BJ112" i="1"/>
  <c r="BE112" i="1"/>
  <c r="AZ112" i="1"/>
  <c r="AU112" i="1"/>
  <c r="AP112" i="1"/>
  <c r="AK112" i="1"/>
  <c r="AF112" i="1"/>
  <c r="AA112" i="1"/>
  <c r="V112" i="1"/>
  <c r="Q112" i="1"/>
  <c r="BT146" i="1"/>
  <c r="BO146" i="1"/>
  <c r="BJ146" i="1"/>
  <c r="BE146" i="1"/>
  <c r="AZ146" i="1"/>
  <c r="AU146" i="1"/>
  <c r="AP146" i="1"/>
  <c r="AK146" i="1"/>
  <c r="AF146" i="1"/>
  <c r="AA146" i="1"/>
  <c r="BT156" i="1"/>
  <c r="BO156" i="1"/>
  <c r="BJ156" i="1"/>
  <c r="BE156" i="1"/>
  <c r="AZ156" i="1"/>
  <c r="AU156" i="1"/>
  <c r="AP156" i="1"/>
  <c r="AK156" i="1"/>
  <c r="AF156" i="1"/>
  <c r="AA156" i="1"/>
  <c r="BT166" i="1"/>
  <c r="BO166" i="1"/>
  <c r="BJ166" i="1"/>
  <c r="BE166" i="1"/>
  <c r="AZ166" i="1"/>
  <c r="AU166" i="1"/>
  <c r="AP166" i="1"/>
  <c r="AK166" i="1"/>
  <c r="AF166" i="1"/>
  <c r="AA166" i="1"/>
  <c r="Q166" i="1"/>
  <c r="V166" i="1"/>
  <c r="BT184" i="1"/>
  <c r="BO184" i="1"/>
  <c r="BJ184" i="1"/>
  <c r="BE184" i="1"/>
  <c r="AZ184" i="1"/>
  <c r="AU184" i="1"/>
  <c r="AP184" i="1"/>
  <c r="AK184" i="1"/>
  <c r="AF184" i="1"/>
  <c r="AA184" i="1"/>
  <c r="BT195" i="1"/>
  <c r="BO195" i="1"/>
  <c r="BJ195" i="1"/>
  <c r="BE195" i="1"/>
  <c r="AZ195" i="1"/>
  <c r="AU195" i="1"/>
  <c r="AP195" i="1"/>
  <c r="AK195" i="1"/>
  <c r="AF195" i="1"/>
  <c r="AA195" i="1"/>
  <c r="BT207" i="1"/>
  <c r="BO207" i="1"/>
  <c r="BJ207" i="1"/>
  <c r="BE207" i="1"/>
  <c r="AZ207" i="1"/>
  <c r="AU207" i="1"/>
  <c r="AP207" i="1"/>
  <c r="AK207" i="1"/>
  <c r="AF207" i="1"/>
  <c r="AA207" i="1"/>
  <c r="V207" i="1"/>
  <c r="BT224" i="1"/>
  <c r="BO224" i="1"/>
  <c r="BJ224" i="1"/>
  <c r="BE224" i="1"/>
  <c r="AZ224" i="1"/>
  <c r="AU224" i="1"/>
  <c r="AP224" i="1"/>
  <c r="AK224" i="1"/>
  <c r="AF224" i="1"/>
  <c r="AA224" i="1"/>
  <c r="V224" i="1"/>
  <c r="BT230" i="1"/>
  <c r="BO230" i="1"/>
  <c r="BJ230" i="1"/>
  <c r="BE230" i="1"/>
  <c r="AZ230" i="1"/>
  <c r="AU230" i="1"/>
  <c r="AP230" i="1"/>
  <c r="AK230" i="1"/>
  <c r="AF230" i="1"/>
  <c r="AA230" i="1"/>
  <c r="BT240" i="1"/>
  <c r="BO240" i="1"/>
  <c r="BJ240" i="1"/>
  <c r="BE240" i="1"/>
  <c r="AZ240" i="1"/>
  <c r="AU240" i="1"/>
  <c r="AP240" i="1"/>
  <c r="AK240" i="1"/>
  <c r="AF240" i="1"/>
  <c r="AA240" i="1"/>
  <c r="V240" i="1"/>
  <c r="BT254" i="1"/>
  <c r="BO254" i="1"/>
  <c r="BJ254" i="1"/>
  <c r="BE254" i="1"/>
  <c r="AZ254" i="1"/>
  <c r="AU254" i="1"/>
  <c r="AP254" i="1"/>
  <c r="AK254" i="1"/>
  <c r="AF254" i="1"/>
  <c r="AA254" i="1"/>
  <c r="V254" i="1"/>
  <c r="BT259" i="1"/>
  <c r="BO259" i="1"/>
  <c r="BJ259" i="1"/>
  <c r="BE259" i="1"/>
  <c r="AZ259" i="1"/>
  <c r="AU259" i="1"/>
  <c r="AP259" i="1"/>
  <c r="AK259" i="1"/>
  <c r="AF259" i="1"/>
  <c r="AA259" i="1"/>
  <c r="V259" i="1"/>
  <c r="BJ132" i="1"/>
  <c r="BT132" i="1"/>
  <c r="BO132" i="1"/>
  <c r="BE132" i="1"/>
  <c r="AZ132" i="1"/>
  <c r="AU132" i="1"/>
  <c r="AP132" i="1"/>
  <c r="AK132" i="1"/>
  <c r="AF132" i="1"/>
  <c r="AA132" i="1"/>
  <c r="V132" i="1"/>
  <c r="BT122" i="1"/>
  <c r="BO122" i="1"/>
  <c r="BJ122" i="1"/>
  <c r="BE122" i="1"/>
  <c r="AZ122" i="1"/>
  <c r="AU122" i="1"/>
  <c r="AP122" i="1"/>
  <c r="AK122" i="1"/>
  <c r="AF122" i="1"/>
  <c r="AA122" i="1"/>
  <c r="Q122" i="1"/>
  <c r="V122" i="1"/>
  <c r="V146" i="1"/>
  <c r="V156" i="1"/>
  <c r="V184" i="1"/>
  <c r="V195" i="1"/>
  <c r="V230" i="1"/>
  <c r="Q240" i="1"/>
  <c r="J240" i="1"/>
  <c r="Q254" i="1"/>
  <c r="J254" i="1"/>
  <c r="Q259" i="1"/>
  <c r="J259" i="1"/>
  <c r="Q230" i="1"/>
  <c r="J230" i="1"/>
  <c r="Q224" i="1"/>
  <c r="J224" i="1"/>
  <c r="Q207" i="1"/>
  <c r="J207" i="1"/>
  <c r="Q195" i="1"/>
  <c r="J195" i="1"/>
  <c r="Q184" i="1"/>
  <c r="J86" i="1"/>
  <c r="Q156" i="1"/>
  <c r="J156" i="1"/>
  <c r="Q146" i="1"/>
  <c r="J146" i="1"/>
  <c r="Q132" i="1"/>
  <c r="J132" i="1"/>
  <c r="J122" i="1"/>
  <c r="J112" i="1"/>
  <c r="J74" i="1"/>
  <c r="J62" i="1"/>
  <c r="J50" i="1"/>
  <c r="Q50" i="1"/>
  <c r="Q38" i="1"/>
  <c r="J38" i="1"/>
  <c r="BT6" i="1"/>
  <c r="AK6" i="1"/>
  <c r="AU6" i="1"/>
  <c r="AZ6" i="1"/>
  <c r="BE6" i="1"/>
  <c r="BJ6" i="1"/>
  <c r="BO6" i="1"/>
  <c r="AF6" i="1"/>
  <c r="AA6" i="1"/>
  <c r="AI50" i="1"/>
  <c r="AI62" i="1"/>
  <c r="AI74" i="1"/>
  <c r="AI86" i="1"/>
  <c r="AI112" i="1"/>
  <c r="AI122" i="1"/>
  <c r="AI132" i="1"/>
  <c r="AI146" i="1"/>
  <c r="AI156" i="1"/>
  <c r="AI166" i="1"/>
  <c r="AI184" i="1"/>
  <c r="AI195" i="1"/>
  <c r="AI207" i="1"/>
  <c r="AI224" i="1"/>
  <c r="AI230" i="1"/>
  <c r="AI240" i="1"/>
  <c r="AI254" i="1"/>
  <c r="AI259" i="1"/>
  <c r="AN50" i="1"/>
  <c r="AN62" i="1"/>
  <c r="AN74" i="1"/>
  <c r="AN86" i="1"/>
  <c r="AN112" i="1"/>
  <c r="AN122" i="1"/>
  <c r="AN132" i="1"/>
  <c r="AN146" i="1"/>
  <c r="AN156" i="1"/>
  <c r="AN166" i="1"/>
  <c r="AN184" i="1"/>
  <c r="AN195" i="1"/>
  <c r="AN207" i="1"/>
  <c r="AN224" i="1"/>
  <c r="AN230" i="1"/>
  <c r="AN240" i="1"/>
  <c r="AN254" i="1"/>
  <c r="AN259" i="1"/>
  <c r="AS50" i="1"/>
  <c r="AS62" i="1"/>
  <c r="AS74" i="1"/>
  <c r="AS86" i="1"/>
  <c r="AS112" i="1"/>
  <c r="AS122" i="1"/>
  <c r="AS132" i="1"/>
  <c r="AS146" i="1"/>
  <c r="AS156" i="1"/>
  <c r="AS166" i="1"/>
  <c r="AS184" i="1"/>
  <c r="AS195" i="1"/>
  <c r="AS207" i="1"/>
  <c r="AS224" i="1"/>
  <c r="AS230" i="1"/>
  <c r="AS240" i="1"/>
  <c r="AS254" i="1"/>
  <c r="AS259" i="1"/>
  <c r="AX50" i="1"/>
  <c r="AX62" i="1"/>
  <c r="AX74" i="1"/>
  <c r="AX86" i="1"/>
  <c r="AX112" i="1"/>
  <c r="AX122" i="1"/>
  <c r="AX132" i="1"/>
  <c r="AX146" i="1"/>
  <c r="AX156" i="1"/>
  <c r="AX166" i="1"/>
  <c r="AX184" i="1"/>
  <c r="AX195" i="1"/>
  <c r="AX207" i="1"/>
  <c r="AX224" i="1"/>
  <c r="AX230" i="1"/>
  <c r="AX240" i="1"/>
  <c r="AX254" i="1"/>
  <c r="AX259" i="1"/>
  <c r="BC50" i="1"/>
  <c r="BC62" i="1"/>
  <c r="BC74" i="1"/>
  <c r="BC86" i="1"/>
  <c r="BC112" i="1"/>
  <c r="BC122" i="1"/>
  <c r="BC132" i="1"/>
  <c r="BC146" i="1"/>
  <c r="BC156" i="1"/>
  <c r="BC166" i="1"/>
  <c r="BC184" i="1"/>
  <c r="BC195" i="1"/>
  <c r="BC207" i="1"/>
  <c r="BC224" i="1"/>
  <c r="BC230" i="1"/>
  <c r="BC240" i="1"/>
  <c r="BC254" i="1"/>
  <c r="BC259" i="1"/>
  <c r="BH50" i="1"/>
  <c r="BH62" i="1"/>
  <c r="BH74" i="1"/>
  <c r="BH86" i="1"/>
  <c r="BH112" i="1"/>
  <c r="BH122" i="1"/>
  <c r="BH132" i="1"/>
  <c r="BH146" i="1"/>
  <c r="BH156" i="1"/>
  <c r="BH166" i="1"/>
  <c r="BH184" i="1"/>
  <c r="BH195" i="1"/>
  <c r="BH207" i="1"/>
  <c r="BH224" i="1"/>
  <c r="BH230" i="1"/>
  <c r="BH240" i="1"/>
  <c r="BH254" i="1"/>
  <c r="BH259" i="1"/>
  <c r="BM50" i="1"/>
  <c r="BM62" i="1"/>
  <c r="BM74" i="1"/>
  <c r="BM86" i="1"/>
  <c r="BM112" i="1"/>
  <c r="BM122" i="1"/>
  <c r="BM132" i="1"/>
  <c r="BM146" i="1"/>
  <c r="BM156" i="1"/>
  <c r="BM166" i="1"/>
  <c r="BM184" i="1"/>
  <c r="BM195" i="1"/>
  <c r="BM207" i="1"/>
  <c r="BM224" i="1"/>
  <c r="BM230" i="1"/>
  <c r="BM240" i="1"/>
  <c r="BM254" i="1"/>
  <c r="BM259" i="1"/>
  <c r="BR50" i="1"/>
  <c r="BR62" i="1"/>
  <c r="BR74" i="1"/>
  <c r="BR86" i="1"/>
  <c r="BR112" i="1"/>
  <c r="BR122" i="1"/>
  <c r="BR132" i="1"/>
  <c r="BR146" i="1"/>
  <c r="BR156" i="1"/>
  <c r="BR166" i="1"/>
  <c r="BR184" i="1"/>
  <c r="BR195" i="1"/>
  <c r="BR207" i="1"/>
  <c r="BR224" i="1"/>
  <c r="BR230" i="1"/>
  <c r="BR240" i="1"/>
  <c r="BR254" i="1"/>
  <c r="BR259" i="1"/>
  <c r="BR38" i="1"/>
  <c r="AD50" i="1"/>
  <c r="AD62" i="1"/>
  <c r="AD74" i="1"/>
  <c r="AD86" i="1"/>
  <c r="AD112" i="1"/>
  <c r="AD122" i="1"/>
  <c r="AD132" i="1"/>
  <c r="AD146" i="1"/>
  <c r="AD156" i="1"/>
  <c r="AD166" i="1"/>
  <c r="AD184" i="1"/>
  <c r="AD195" i="1"/>
  <c r="AD207" i="1"/>
  <c r="AD224" i="1"/>
  <c r="AD230" i="1"/>
  <c r="AD240" i="1"/>
  <c r="AD254" i="1"/>
  <c r="AD259" i="1"/>
  <c r="AD38" i="1"/>
  <c r="Y50" i="1"/>
  <c r="Y62" i="1"/>
  <c r="Y86" i="1"/>
  <c r="Y112" i="1"/>
  <c r="Y122" i="1"/>
  <c r="Y132" i="1"/>
  <c r="Y146" i="1"/>
  <c r="Y156" i="1"/>
  <c r="Y166" i="1"/>
  <c r="Y184" i="1"/>
  <c r="Y195" i="1"/>
  <c r="Y207" i="1"/>
  <c r="Y224" i="1"/>
  <c r="Y230" i="1"/>
  <c r="Y240" i="1"/>
  <c r="Y254" i="1"/>
  <c r="Y259" i="1"/>
  <c r="Y38" i="1"/>
  <c r="BM38" i="1"/>
  <c r="BH38" i="1"/>
  <c r="BC38" i="1"/>
  <c r="AX38" i="1"/>
  <c r="AS38" i="1"/>
  <c r="AN38" i="1"/>
  <c r="AI38" i="1"/>
  <c r="T38" i="1"/>
  <c r="O38" i="1"/>
  <c r="O112" i="1"/>
  <c r="O122" i="1"/>
  <c r="O86" i="1"/>
  <c r="O62" i="1"/>
  <c r="T62" i="1" s="1"/>
  <c r="O50" i="1"/>
  <c r="T50" i="1" s="1"/>
  <c r="O259" i="1"/>
  <c r="T259" i="1" s="1"/>
  <c r="O254" i="1"/>
  <c r="T254" i="1" s="1"/>
  <c r="O240" i="1"/>
  <c r="O230" i="1"/>
  <c r="O224" i="1"/>
  <c r="O207" i="1"/>
  <c r="O195" i="1"/>
  <c r="O184" i="1"/>
  <c r="O166" i="1"/>
  <c r="T166" i="1" s="1"/>
  <c r="O156" i="1"/>
  <c r="T156" i="1" s="1"/>
  <c r="O146" i="1"/>
  <c r="O132" i="1"/>
  <c r="J28" i="1"/>
  <c r="J6" i="1"/>
  <c r="AQ84" i="1" l="1"/>
  <c r="P186" i="1"/>
  <c r="BD194" i="1"/>
  <c r="BI222" i="1"/>
  <c r="AV130" i="1"/>
  <c r="AY61" i="1"/>
  <c r="BD81" i="1"/>
  <c r="R162" i="1"/>
  <c r="S162" i="1" s="1"/>
  <c r="P162" i="1"/>
  <c r="BK99" i="1"/>
  <c r="BL99" i="1" s="1"/>
  <c r="BN44" i="1"/>
  <c r="AQ15" i="1"/>
  <c r="AR15" i="1" s="1"/>
  <c r="AB8" i="1"/>
  <c r="AC8" i="1" s="1"/>
  <c r="AT8" i="1"/>
  <c r="AE8" i="1"/>
  <c r="AV8" i="1"/>
  <c r="AW8" i="1" s="1"/>
  <c r="BN8" i="1"/>
  <c r="P8" i="1"/>
  <c r="AG8" i="1"/>
  <c r="AH8" i="1" s="1"/>
  <c r="AY8" i="1"/>
  <c r="BP8" i="1"/>
  <c r="BQ8" i="1" s="1"/>
  <c r="R8" i="1"/>
  <c r="S8" i="1" s="1"/>
  <c r="BA8" i="1"/>
  <c r="BB8" i="1" s="1"/>
  <c r="U8" i="1"/>
  <c r="AJ8" i="1"/>
  <c r="BD8" i="1"/>
  <c r="W8" i="1"/>
  <c r="X8" i="1" s="1"/>
  <c r="AL8" i="1"/>
  <c r="AM8" i="1" s="1"/>
  <c r="BF8" i="1"/>
  <c r="BG8" i="1" s="1"/>
  <c r="AO8" i="1"/>
  <c r="BI8" i="1"/>
  <c r="BK8" i="1"/>
  <c r="BL8" i="1" s="1"/>
  <c r="Z8" i="1"/>
  <c r="AQ8" i="1"/>
  <c r="AR8" i="1" s="1"/>
  <c r="Z9" i="1"/>
  <c r="AT9" i="1"/>
  <c r="BN9" i="1"/>
  <c r="AY9" i="1"/>
  <c r="AG9" i="1"/>
  <c r="AH9" i="1" s="1"/>
  <c r="BA9" i="1"/>
  <c r="BB9" i="1" s="1"/>
  <c r="P9" i="1"/>
  <c r="AJ9" i="1"/>
  <c r="W9" i="1"/>
  <c r="X9" i="1" s="1"/>
  <c r="AB9" i="1"/>
  <c r="AC9" i="1" s="1"/>
  <c r="BP9" i="1"/>
  <c r="BQ9" i="1" s="1"/>
  <c r="AE9" i="1"/>
  <c r="BD9" i="1"/>
  <c r="R9" i="1"/>
  <c r="S9" i="1" s="1"/>
  <c r="AL9" i="1"/>
  <c r="AM9" i="1" s="1"/>
  <c r="BF9" i="1"/>
  <c r="BG9" i="1" s="1"/>
  <c r="AQ9" i="1"/>
  <c r="AR9" i="1" s="1"/>
  <c r="U9" i="1"/>
  <c r="AO9" i="1"/>
  <c r="BI9" i="1"/>
  <c r="BK9" i="1"/>
  <c r="BL9" i="1" s="1"/>
  <c r="AV9" i="1"/>
  <c r="AW9" i="1" s="1"/>
  <c r="P14" i="1"/>
  <c r="Z127" i="1"/>
  <c r="P31" i="1"/>
  <c r="W89" i="1"/>
  <c r="X89" i="1" s="1"/>
  <c r="BU21" i="1"/>
  <c r="BV21" i="1" s="1"/>
  <c r="P32" i="1"/>
  <c r="BK22" i="1"/>
  <c r="BL22" i="1" s="1"/>
  <c r="BU42" i="1"/>
  <c r="BV42" i="1" s="1"/>
  <c r="R52" i="1"/>
  <c r="S52" i="1" s="1"/>
  <c r="AO52" i="1"/>
  <c r="BD98" i="1"/>
  <c r="BD183" i="1"/>
  <c r="BN32" i="1"/>
  <c r="BI60" i="1"/>
  <c r="BF98" i="1"/>
  <c r="BG98" i="1" s="1"/>
  <c r="BS106" i="1"/>
  <c r="AE155" i="1"/>
  <c r="AT165" i="1"/>
  <c r="BN203" i="1"/>
  <c r="AQ183" i="1"/>
  <c r="AR183" i="1" s="1"/>
  <c r="U14" i="1"/>
  <c r="U52" i="1"/>
  <c r="BU90" i="1"/>
  <c r="BV90" i="1" s="1"/>
  <c r="R117" i="1"/>
  <c r="S117" i="1" s="1"/>
  <c r="AJ203" i="1"/>
  <c r="BF213" i="1"/>
  <c r="BG213" i="1" s="1"/>
  <c r="R243" i="1"/>
  <c r="S243" i="1" s="1"/>
  <c r="BS22" i="1"/>
  <c r="BP22" i="1"/>
  <c r="BQ22" i="1" s="1"/>
  <c r="P42" i="1"/>
  <c r="AJ60" i="1"/>
  <c r="BN60" i="1"/>
  <c r="BK98" i="1"/>
  <c r="BS127" i="1"/>
  <c r="BU155" i="1"/>
  <c r="BV155" i="1" s="1"/>
  <c r="BI14" i="1"/>
  <c r="BS80" i="1"/>
  <c r="AY90" i="1"/>
  <c r="U117" i="1"/>
  <c r="AT127" i="1"/>
  <c r="BD165" i="1"/>
  <c r="BS183" i="1"/>
  <c r="BD22" i="1"/>
  <c r="BI52" i="1"/>
  <c r="BA90" i="1"/>
  <c r="U106" i="1"/>
  <c r="BF106" i="1"/>
  <c r="BG106" i="1" s="1"/>
  <c r="P203" i="1"/>
  <c r="P22" i="1"/>
  <c r="AE14" i="1"/>
  <c r="AJ52" i="1"/>
  <c r="BK52" i="1"/>
  <c r="BL52" i="1" s="1"/>
  <c r="P60" i="1"/>
  <c r="Z90" i="1"/>
  <c r="BU98" i="1"/>
  <c r="BV98" i="1" s="1"/>
  <c r="AY127" i="1"/>
  <c r="U155" i="1"/>
  <c r="AY155" i="1"/>
  <c r="AY183" i="1"/>
  <c r="AJ263" i="1"/>
  <c r="BS148" i="1"/>
  <c r="AJ252" i="1"/>
  <c r="AB15" i="1"/>
  <c r="AC15" i="1" s="1"/>
  <c r="BU148" i="1"/>
  <c r="BV148" i="1" s="1"/>
  <c r="Z65" i="1"/>
  <c r="BI65" i="1"/>
  <c r="BI25" i="1"/>
  <c r="AT99" i="1"/>
  <c r="AY130" i="1"/>
  <c r="BA160" i="1"/>
  <c r="BB160" i="1" s="1"/>
  <c r="U23" i="1"/>
  <c r="BA73" i="1"/>
  <c r="BB73" i="1" s="1"/>
  <c r="P80" i="1"/>
  <c r="AE90" i="1"/>
  <c r="BS107" i="1"/>
  <c r="BA130" i="1"/>
  <c r="BB130" i="1" s="1"/>
  <c r="AO138" i="1"/>
  <c r="BK158" i="1"/>
  <c r="BL158" i="1" s="1"/>
  <c r="BA175" i="1"/>
  <c r="BB175" i="1" s="1"/>
  <c r="AT186" i="1"/>
  <c r="W263" i="1"/>
  <c r="X263" i="1" s="1"/>
  <c r="AO22" i="1"/>
  <c r="BK14" i="1"/>
  <c r="BL14" i="1" s="1"/>
  <c r="R60" i="1"/>
  <c r="S60" i="1" s="1"/>
  <c r="BF80" i="1"/>
  <c r="BG80" i="1" s="1"/>
  <c r="AE127" i="1"/>
  <c r="BN221" i="1"/>
  <c r="U22" i="1"/>
  <c r="R35" i="1"/>
  <c r="S35" i="1" s="1"/>
  <c r="AE80" i="1"/>
  <c r="BI80" i="1"/>
  <c r="P98" i="1"/>
  <c r="BS221" i="1"/>
  <c r="AB80" i="1"/>
  <c r="AC80" i="1" s="1"/>
  <c r="AJ83" i="1"/>
  <c r="AJ45" i="1"/>
  <c r="BU45" i="1"/>
  <c r="BV45" i="1" s="1"/>
  <c r="AY73" i="1"/>
  <c r="BN188" i="1"/>
  <c r="AE25" i="1"/>
  <c r="AY55" i="1"/>
  <c r="BF93" i="1"/>
  <c r="BG93" i="1" s="1"/>
  <c r="BF101" i="1"/>
  <c r="BG101" i="1" s="1"/>
  <c r="AE17" i="1"/>
  <c r="U53" i="1"/>
  <c r="BN91" i="1"/>
  <c r="R118" i="1"/>
  <c r="S118" i="1" s="1"/>
  <c r="BF204" i="1"/>
  <c r="BG204" i="1" s="1"/>
  <c r="BU214" i="1"/>
  <c r="BV214" i="1" s="1"/>
  <c r="BK216" i="1"/>
  <c r="BL216" i="1" s="1"/>
  <c r="BS10" i="1"/>
  <c r="BS9" i="1"/>
  <c r="U44" i="1"/>
  <c r="BD178" i="1"/>
  <c r="AE183" i="1"/>
  <c r="BK186" i="1"/>
  <c r="BL186" i="1" s="1"/>
  <c r="Z213" i="1"/>
  <c r="AT221" i="1"/>
  <c r="AG213" i="1"/>
  <c r="AH213" i="1" s="1"/>
  <c r="AB65" i="1"/>
  <c r="AC65" i="1" s="1"/>
  <c r="BF46" i="1"/>
  <c r="BG46" i="1" s="1"/>
  <c r="BP101" i="1"/>
  <c r="BQ101" i="1" s="1"/>
  <c r="AJ53" i="1"/>
  <c r="BS53" i="1"/>
  <c r="AO71" i="1"/>
  <c r="BD83" i="1"/>
  <c r="P91" i="1"/>
  <c r="BD107" i="1"/>
  <c r="BF118" i="1"/>
  <c r="BG118" i="1" s="1"/>
  <c r="Z138" i="1"/>
  <c r="BA204" i="1"/>
  <c r="BB204" i="1" s="1"/>
  <c r="AE222" i="1"/>
  <c r="AY226" i="1"/>
  <c r="BL67" i="1"/>
  <c r="U25" i="1"/>
  <c r="BK17" i="1"/>
  <c r="BL17" i="1" s="1"/>
  <c r="AJ101" i="1"/>
  <c r="P17" i="1"/>
  <c r="AT18" i="1"/>
  <c r="BF18" i="1"/>
  <c r="BG18" i="1" s="1"/>
  <c r="BD45" i="1"/>
  <c r="P15" i="1"/>
  <c r="AT17" i="1"/>
  <c r="BS35" i="1"/>
  <c r="BF17" i="1"/>
  <c r="BG17" i="1" s="1"/>
  <c r="BF45" i="1"/>
  <c r="BG45" i="1" s="1"/>
  <c r="BS73" i="1"/>
  <c r="BF83" i="1"/>
  <c r="BG83" i="1" s="1"/>
  <c r="BU100" i="1"/>
  <c r="BV100" i="1" s="1"/>
  <c r="Z214" i="1"/>
  <c r="BP252" i="1"/>
  <c r="BQ252" i="1" s="1"/>
  <c r="AO17" i="1"/>
  <c r="Z17" i="1"/>
  <c r="BU26" i="1"/>
  <c r="BV26" i="1" s="1"/>
  <c r="BK65" i="1"/>
  <c r="BL65" i="1" s="1"/>
  <c r="AJ73" i="1"/>
  <c r="Z93" i="1"/>
  <c r="BI140" i="1"/>
  <c r="P25" i="1"/>
  <c r="AJ25" i="1"/>
  <c r="BU35" i="1"/>
  <c r="BV35" i="1" s="1"/>
  <c r="R53" i="1"/>
  <c r="S53" i="1" s="1"/>
  <c r="AO53" i="1"/>
  <c r="AE55" i="1"/>
  <c r="AO65" i="1"/>
  <c r="Z71" i="1"/>
  <c r="BP73" i="1"/>
  <c r="BQ73" i="1" s="1"/>
  <c r="BF81" i="1"/>
  <c r="BG81" i="1" s="1"/>
  <c r="BK93" i="1"/>
  <c r="BL93" i="1" s="1"/>
  <c r="BP130" i="1"/>
  <c r="BQ130" i="1" s="1"/>
  <c r="BS194" i="1"/>
  <c r="BD222" i="1"/>
  <c r="AB226" i="1"/>
  <c r="AC226" i="1" s="1"/>
  <c r="Z26" i="1"/>
  <c r="Z140" i="1"/>
  <c r="P26" i="1"/>
  <c r="BS25" i="1"/>
  <c r="BD25" i="1"/>
  <c r="AO10" i="1"/>
  <c r="BU25" i="1"/>
  <c r="BV25" i="1" s="1"/>
  <c r="BA17" i="1"/>
  <c r="BB17" i="1" s="1"/>
  <c r="P45" i="1"/>
  <c r="BP45" i="1"/>
  <c r="BQ45" i="1" s="1"/>
  <c r="BN73" i="1"/>
  <c r="BI93" i="1"/>
  <c r="BN130" i="1"/>
  <c r="BF236" i="1"/>
  <c r="BG236" i="1" s="1"/>
  <c r="Z256" i="1"/>
  <c r="BI256" i="1"/>
  <c r="P23" i="1"/>
  <c r="BS17" i="1"/>
  <c r="AY25" i="1"/>
  <c r="BU17" i="1"/>
  <c r="BV17" i="1" s="1"/>
  <c r="R25" i="1"/>
  <c r="S25" i="1" s="1"/>
  <c r="U45" i="1"/>
  <c r="BA45" i="1"/>
  <c r="BB45" i="1" s="1"/>
  <c r="BS45" i="1"/>
  <c r="BI71" i="1"/>
  <c r="P73" i="1"/>
  <c r="BD101" i="1"/>
  <c r="AE107" i="1"/>
  <c r="U138" i="1"/>
  <c r="AT138" i="1"/>
  <c r="AY160" i="1"/>
  <c r="U170" i="1"/>
  <c r="BA188" i="1"/>
  <c r="BB188" i="1" s="1"/>
  <c r="BI236" i="1"/>
  <c r="R139" i="1"/>
  <c r="S139" i="1" s="1"/>
  <c r="AE204" i="1"/>
  <c r="BQ104" i="1"/>
  <c r="Z25" i="1"/>
  <c r="AY101" i="1"/>
  <c r="BS101" i="1"/>
  <c r="BU109" i="1"/>
  <c r="BV109" i="1" s="1"/>
  <c r="AJ118" i="1"/>
  <c r="AE130" i="1"/>
  <c r="BD130" i="1"/>
  <c r="U148" i="1"/>
  <c r="BI178" i="1"/>
  <c r="AT214" i="1"/>
  <c r="AJ216" i="1"/>
  <c r="Z226" i="1"/>
  <c r="W158" i="1"/>
  <c r="X158" i="1" s="1"/>
  <c r="BU84" i="1"/>
  <c r="BV84" i="1" s="1"/>
  <c r="AY108" i="1"/>
  <c r="BN25" i="1"/>
  <c r="R23" i="1"/>
  <c r="S23" i="1" s="1"/>
  <c r="R45" i="1"/>
  <c r="S45" i="1" s="1"/>
  <c r="AO45" i="1"/>
  <c r="BD53" i="1"/>
  <c r="BP65" i="1"/>
  <c r="BQ65" i="1" s="1"/>
  <c r="U71" i="1"/>
  <c r="AT71" i="1"/>
  <c r="AE73" i="1"/>
  <c r="BU73" i="1"/>
  <c r="BV73" i="1" s="1"/>
  <c r="P83" i="1"/>
  <c r="BS83" i="1"/>
  <c r="AO93" i="1"/>
  <c r="P10" i="1"/>
  <c r="AY17" i="1"/>
  <c r="Z23" i="1"/>
  <c r="BP25" i="1"/>
  <c r="BQ25" i="1" s="1"/>
  <c r="R10" i="1"/>
  <c r="S10" i="1" s="1"/>
  <c r="BN45" i="1"/>
  <c r="BF53" i="1"/>
  <c r="BG53" i="1" s="1"/>
  <c r="U65" i="1"/>
  <c r="AT65" i="1"/>
  <c r="BD73" i="1"/>
  <c r="AJ81" i="1"/>
  <c r="BA83" i="1"/>
  <c r="BB83" i="1" s="1"/>
  <c r="BU83" i="1"/>
  <c r="BV83" i="1" s="1"/>
  <c r="BK91" i="1"/>
  <c r="BL91" i="1" s="1"/>
  <c r="AO98" i="1"/>
  <c r="BA106" i="1"/>
  <c r="BB106" i="1" s="1"/>
  <c r="BU118" i="1"/>
  <c r="BV118" i="1" s="1"/>
  <c r="BK129" i="1"/>
  <c r="BL129" i="1" s="1"/>
  <c r="BI138" i="1"/>
  <c r="BI158" i="1"/>
  <c r="P165" i="1"/>
  <c r="BK175" i="1"/>
  <c r="BL175" i="1" s="1"/>
  <c r="AJ178" i="1"/>
  <c r="BN186" i="1"/>
  <c r="AY194" i="1"/>
  <c r="W243" i="1"/>
  <c r="X243" i="1" s="1"/>
  <c r="AL158" i="1"/>
  <c r="AM158" i="1" s="1"/>
  <c r="BW20" i="1"/>
  <c r="BX20" i="1" s="1"/>
  <c r="BS20" i="1"/>
  <c r="R19" i="1"/>
  <c r="S19" i="1" s="1"/>
  <c r="BN19" i="1"/>
  <c r="BS247" i="1"/>
  <c r="Z247" i="1"/>
  <c r="BW227" i="1"/>
  <c r="BX227" i="1" s="1"/>
  <c r="BA227" i="1"/>
  <c r="BB227" i="1" s="1"/>
  <c r="P227" i="1"/>
  <c r="AL179" i="1"/>
  <c r="AM179" i="1" s="1"/>
  <c r="BA179" i="1"/>
  <c r="BB179" i="1" s="1"/>
  <c r="AJ179" i="1"/>
  <c r="AE179" i="1"/>
  <c r="BW141" i="1"/>
  <c r="BX141" i="1" s="1"/>
  <c r="BN141" i="1"/>
  <c r="AE141" i="1"/>
  <c r="BW121" i="1"/>
  <c r="BX121" i="1" s="1"/>
  <c r="Z121" i="1"/>
  <c r="BA121" i="1"/>
  <c r="BB121" i="1" s="1"/>
  <c r="W121" i="1"/>
  <c r="X121" i="1" s="1"/>
  <c r="BU121" i="1"/>
  <c r="BV121" i="1" s="1"/>
  <c r="BW84" i="1"/>
  <c r="BX84" i="1" s="1"/>
  <c r="BK84" i="1"/>
  <c r="BL84" i="1" s="1"/>
  <c r="U84" i="1"/>
  <c r="AB66" i="1"/>
  <c r="AC66" i="1" s="1"/>
  <c r="BP66" i="1"/>
  <c r="BQ66" i="1" s="1"/>
  <c r="U66" i="1"/>
  <c r="BA66" i="1"/>
  <c r="BB66" i="1" s="1"/>
  <c r="AE66" i="1"/>
  <c r="BS66" i="1"/>
  <c r="AY66" i="1"/>
  <c r="BW46" i="1"/>
  <c r="BX46" i="1" s="1"/>
  <c r="AJ46" i="1"/>
  <c r="R46" i="1"/>
  <c r="S46" i="1" s="1"/>
  <c r="BP46" i="1"/>
  <c r="BQ46" i="1" s="1"/>
  <c r="BA46" i="1"/>
  <c r="BB46" i="1" s="1"/>
  <c r="P46" i="1"/>
  <c r="BK46" i="1"/>
  <c r="BL46" i="1" s="1"/>
  <c r="Z46" i="1"/>
  <c r="AT46" i="1"/>
  <c r="BN46" i="1"/>
  <c r="AY46" i="1"/>
  <c r="AE46" i="1"/>
  <c r="AG26" i="1"/>
  <c r="AH26" i="1" s="1"/>
  <c r="AB26" i="1"/>
  <c r="AC26" i="1" s="1"/>
  <c r="BF26" i="1"/>
  <c r="BG26" i="1" s="1"/>
  <c r="BK26" i="1"/>
  <c r="BL26" i="1" s="1"/>
  <c r="AT26" i="1"/>
  <c r="AO26" i="1"/>
  <c r="R26" i="1"/>
  <c r="S26" i="1" s="1"/>
  <c r="BA26" i="1"/>
  <c r="BB26" i="1" s="1"/>
  <c r="BW18" i="1"/>
  <c r="BX18" i="1" s="1"/>
  <c r="BA18" i="1"/>
  <c r="BB18" i="1" s="1"/>
  <c r="AO18" i="1"/>
  <c r="BS18" i="1"/>
  <c r="P18" i="1"/>
  <c r="R18" i="1"/>
  <c r="S18" i="1" s="1"/>
  <c r="BN18" i="1"/>
  <c r="U18" i="1"/>
  <c r="BP18" i="1"/>
  <c r="BQ18" i="1" s="1"/>
  <c r="BD18" i="1"/>
  <c r="BI18" i="1"/>
  <c r="BU18" i="1"/>
  <c r="BV18" i="1" s="1"/>
  <c r="AE18" i="1"/>
  <c r="AJ18" i="1"/>
  <c r="U10" i="1"/>
  <c r="BD26" i="1"/>
  <c r="BA76" i="1"/>
  <c r="BB76" i="1" s="1"/>
  <c r="AO151" i="1"/>
  <c r="AT10" i="1"/>
  <c r="BN66" i="1"/>
  <c r="BS26" i="1"/>
  <c r="BS46" i="1"/>
  <c r="U26" i="1"/>
  <c r="AY26" i="1"/>
  <c r="P66" i="1"/>
  <c r="AO66" i="1"/>
  <c r="BI121" i="1"/>
  <c r="AY179" i="1"/>
  <c r="BW151" i="1"/>
  <c r="BX151" i="1" s="1"/>
  <c r="Z151" i="1"/>
  <c r="AQ151" i="1"/>
  <c r="AR151" i="1" s="1"/>
  <c r="AG151" i="1"/>
  <c r="AH151" i="1" s="1"/>
  <c r="AG131" i="1"/>
  <c r="AH131" i="1" s="1"/>
  <c r="BK131" i="1"/>
  <c r="BL131" i="1" s="1"/>
  <c r="AT111" i="1"/>
  <c r="BS111" i="1"/>
  <c r="U111" i="1"/>
  <c r="AE111" i="1"/>
  <c r="BW76" i="1"/>
  <c r="BX76" i="1" s="1"/>
  <c r="AT76" i="1"/>
  <c r="R76" i="1"/>
  <c r="S76" i="1" s="1"/>
  <c r="BP76" i="1"/>
  <c r="BQ76" i="1" s="1"/>
  <c r="BN76" i="1"/>
  <c r="AG76" i="1"/>
  <c r="AH76" i="1" s="1"/>
  <c r="BU56" i="1"/>
  <c r="BV56" i="1" s="1"/>
  <c r="AY56" i="1"/>
  <c r="P36" i="1"/>
  <c r="R36" i="1"/>
  <c r="S36" i="1" s="1"/>
  <c r="BS36" i="1"/>
  <c r="BN36" i="1"/>
  <c r="AV10" i="1"/>
  <c r="AW10" i="1" s="1"/>
  <c r="AJ10" i="1"/>
  <c r="BI10" i="1"/>
  <c r="BP10" i="1"/>
  <c r="BQ10" i="1" s="1"/>
  <c r="AE10" i="1"/>
  <c r="BD10" i="1"/>
  <c r="BK10" i="1"/>
  <c r="BL10" i="1" s="1"/>
  <c r="AY10" i="1"/>
  <c r="BF10" i="1"/>
  <c r="BG10" i="1" s="1"/>
  <c r="BU10" i="1"/>
  <c r="BV10" i="1" s="1"/>
  <c r="Z10" i="1"/>
  <c r="BN26" i="1"/>
  <c r="BU111" i="1"/>
  <c r="BV111" i="1" s="1"/>
  <c r="BS151" i="1"/>
  <c r="W36" i="1"/>
  <c r="X36" i="1" s="1"/>
  <c r="Z18" i="1"/>
  <c r="BK18" i="1"/>
  <c r="BL18" i="1" s="1"/>
  <c r="AO46" i="1"/>
  <c r="AJ66" i="1"/>
  <c r="W56" i="1"/>
  <c r="X56" i="1" s="1"/>
  <c r="BN10" i="1"/>
  <c r="AE26" i="1"/>
  <c r="BP26" i="1"/>
  <c r="BQ26" i="1" s="1"/>
  <c r="AT151" i="1"/>
  <c r="BI26" i="1"/>
  <c r="BU36" i="1"/>
  <c r="BV36" i="1" s="1"/>
  <c r="U46" i="1"/>
  <c r="AE56" i="1"/>
  <c r="R66" i="1"/>
  <c r="S66" i="1" s="1"/>
  <c r="BF125" i="1"/>
  <c r="BG125" i="1" s="1"/>
  <c r="BK141" i="1"/>
  <c r="BL141" i="1" s="1"/>
  <c r="AL160" i="1"/>
  <c r="AM160" i="1" s="1"/>
  <c r="BI17" i="1"/>
  <c r="BD17" i="1"/>
  <c r="AO25" i="1"/>
  <c r="BP17" i="1"/>
  <c r="BQ17" i="1" s="1"/>
  <c r="BP44" i="1"/>
  <c r="BQ44" i="1" s="1"/>
  <c r="Z45" i="1"/>
  <c r="AT45" i="1"/>
  <c r="BI45" i="1"/>
  <c r="BD65" i="1"/>
  <c r="BS65" i="1"/>
  <c r="R73" i="1"/>
  <c r="S73" i="1" s="1"/>
  <c r="BF73" i="1"/>
  <c r="BG73" i="1" s="1"/>
  <c r="R83" i="1"/>
  <c r="S83" i="1" s="1"/>
  <c r="AO83" i="1"/>
  <c r="AJ130" i="1"/>
  <c r="BF130" i="1"/>
  <c r="BG130" i="1" s="1"/>
  <c r="BP140" i="1"/>
  <c r="BQ140" i="1" s="1"/>
  <c r="P216" i="1"/>
  <c r="BU226" i="1"/>
  <c r="BV226" i="1" s="1"/>
  <c r="BU256" i="1"/>
  <c r="BV256" i="1" s="1"/>
  <c r="W25" i="1"/>
  <c r="X25" i="1" s="1"/>
  <c r="AG130" i="1"/>
  <c r="AH130" i="1" s="1"/>
  <c r="AJ65" i="1"/>
  <c r="BF65" i="1"/>
  <c r="BG65" i="1" s="1"/>
  <c r="BU65" i="1"/>
  <c r="BV65" i="1" s="1"/>
  <c r="AO73" i="1"/>
  <c r="R82" i="1"/>
  <c r="S82" i="1" s="1"/>
  <c r="BN83" i="1"/>
  <c r="U93" i="1"/>
  <c r="AT93" i="1"/>
  <c r="P101" i="1"/>
  <c r="AO101" i="1"/>
  <c r="BU108" i="1"/>
  <c r="BV108" i="1" s="1"/>
  <c r="P130" i="1"/>
  <c r="AO140" i="1"/>
  <c r="BS178" i="1"/>
  <c r="W206" i="1"/>
  <c r="X206" i="1" s="1"/>
  <c r="AJ17" i="1"/>
  <c r="BN35" i="1"/>
  <c r="BU9" i="1"/>
  <c r="BV9" i="1" s="1"/>
  <c r="BA25" i="1"/>
  <c r="BB25" i="1" s="1"/>
  <c r="BK45" i="1"/>
  <c r="BL45" i="1" s="1"/>
  <c r="U17" i="1"/>
  <c r="BN17" i="1"/>
  <c r="AT25" i="1"/>
  <c r="BK25" i="1"/>
  <c r="BL25" i="1" s="1"/>
  <c r="R17" i="1"/>
  <c r="S17" i="1" s="1"/>
  <c r="AE45" i="1"/>
  <c r="R65" i="1"/>
  <c r="S65" i="1" s="1"/>
  <c r="U73" i="1"/>
  <c r="BD82" i="1"/>
  <c r="U83" i="1"/>
  <c r="BP83" i="1"/>
  <c r="BQ83" i="1" s="1"/>
  <c r="BS93" i="1"/>
  <c r="R101" i="1"/>
  <c r="S101" i="1" s="1"/>
  <c r="BN101" i="1"/>
  <c r="BP110" i="1"/>
  <c r="BQ110" i="1" s="1"/>
  <c r="R130" i="1"/>
  <c r="S130" i="1" s="1"/>
  <c r="BU170" i="1"/>
  <c r="BV170" i="1" s="1"/>
  <c r="BU178" i="1"/>
  <c r="BV178" i="1" s="1"/>
  <c r="R236" i="1"/>
  <c r="S236" i="1" s="1"/>
  <c r="AB165" i="1"/>
  <c r="AC165" i="1" s="1"/>
  <c r="AQ181" i="1"/>
  <c r="AR181" i="1" s="1"/>
  <c r="X258" i="1"/>
  <c r="P11" i="1"/>
  <c r="P30" i="1"/>
  <c r="BK58" i="1"/>
  <c r="BL58" i="1" s="1"/>
  <c r="BS96" i="1"/>
  <c r="BS115" i="1"/>
  <c r="Z11" i="1"/>
  <c r="BD46" i="1"/>
  <c r="BI54" i="1"/>
  <c r="BF66" i="1"/>
  <c r="BG66" i="1" s="1"/>
  <c r="BU66" i="1"/>
  <c r="BV66" i="1" s="1"/>
  <c r="BU76" i="1"/>
  <c r="BV76" i="1" s="1"/>
  <c r="AY84" i="1"/>
  <c r="BS84" i="1"/>
  <c r="AY109" i="1"/>
  <c r="BF111" i="1"/>
  <c r="BG111" i="1" s="1"/>
  <c r="AT131" i="1"/>
  <c r="BU131" i="1"/>
  <c r="BV131" i="1" s="1"/>
  <c r="BN135" i="1"/>
  <c r="BU151" i="1"/>
  <c r="BV151" i="1" s="1"/>
  <c r="R205" i="1"/>
  <c r="S205" i="1" s="1"/>
  <c r="BU247" i="1"/>
  <c r="BV247" i="1" s="1"/>
  <c r="W46" i="1"/>
  <c r="X46" i="1" s="1"/>
  <c r="W179" i="1"/>
  <c r="X179" i="1" s="1"/>
  <c r="AB76" i="1"/>
  <c r="AC76" i="1" s="1"/>
  <c r="BF20" i="1"/>
  <c r="BG20" i="1" s="1"/>
  <c r="AE27" i="1"/>
  <c r="Z27" i="1"/>
  <c r="BU46" i="1"/>
  <c r="BV46" i="1" s="1"/>
  <c r="BI66" i="1"/>
  <c r="AJ76" i="1"/>
  <c r="BI76" i="1"/>
  <c r="AE84" i="1"/>
  <c r="BD84" i="1"/>
  <c r="P94" i="1"/>
  <c r="AO111" i="1"/>
  <c r="BI111" i="1"/>
  <c r="BK121" i="1"/>
  <c r="BL121" i="1" s="1"/>
  <c r="AO129" i="1"/>
  <c r="P141" i="1"/>
  <c r="BF151" i="1"/>
  <c r="BG151" i="1" s="1"/>
  <c r="P179" i="1"/>
  <c r="BN179" i="1"/>
  <c r="BN227" i="1"/>
  <c r="W26" i="1"/>
  <c r="X26" i="1" s="1"/>
  <c r="W66" i="1"/>
  <c r="X66" i="1" s="1"/>
  <c r="AB111" i="1"/>
  <c r="AC111" i="1" s="1"/>
  <c r="R229" i="1"/>
  <c r="S229" i="1" s="1"/>
  <c r="Z66" i="1"/>
  <c r="AT66" i="1"/>
  <c r="P76" i="1"/>
  <c r="BK76" i="1"/>
  <c r="BL76" i="1" s="1"/>
  <c r="BF84" i="1"/>
  <c r="BG84" i="1" s="1"/>
  <c r="BS88" i="1"/>
  <c r="Z131" i="1"/>
  <c r="AY141" i="1"/>
  <c r="R179" i="1"/>
  <c r="S179" i="1" s="1"/>
  <c r="BP179" i="1"/>
  <c r="BQ179" i="1" s="1"/>
  <c r="R267" i="1"/>
  <c r="S267" i="1" s="1"/>
  <c r="BA267" i="1"/>
  <c r="BB267" i="1" s="1"/>
  <c r="W76" i="1"/>
  <c r="X76" i="1" s="1"/>
  <c r="AG111" i="1"/>
  <c r="AH111" i="1" s="1"/>
  <c r="AG227" i="1"/>
  <c r="AH227" i="1" s="1"/>
  <c r="AO40" i="1"/>
  <c r="BN20" i="1"/>
  <c r="BD20" i="1"/>
  <c r="BP67" i="1"/>
  <c r="BQ67" i="1" s="1"/>
  <c r="BU104" i="1"/>
  <c r="BV104" i="1" s="1"/>
  <c r="AE108" i="1"/>
  <c r="P121" i="1"/>
  <c r="AT121" i="1"/>
  <c r="BN121" i="1"/>
  <c r="P129" i="1"/>
  <c r="BI131" i="1"/>
  <c r="BA141" i="1"/>
  <c r="BB141" i="1" s="1"/>
  <c r="BI151" i="1"/>
  <c r="BF247" i="1"/>
  <c r="BG247" i="1" s="1"/>
  <c r="W84" i="1"/>
  <c r="X84" i="1" s="1"/>
  <c r="AB121" i="1"/>
  <c r="AC121" i="1" s="1"/>
  <c r="AL84" i="1"/>
  <c r="AM84" i="1" s="1"/>
  <c r="AT19" i="1"/>
  <c r="R40" i="1"/>
  <c r="S40" i="1" s="1"/>
  <c r="BN58" i="1"/>
  <c r="U96" i="1"/>
  <c r="P104" i="1"/>
  <c r="P153" i="1"/>
  <c r="BF181" i="1"/>
  <c r="BG181" i="1" s="1"/>
  <c r="Z201" i="1"/>
  <c r="P20" i="1"/>
  <c r="BS8" i="1"/>
  <c r="BS12" i="1"/>
  <c r="AO20" i="1"/>
  <c r="AJ20" i="1"/>
  <c r="AE20" i="1"/>
  <c r="BS30" i="1"/>
  <c r="BU8" i="1"/>
  <c r="BV8" i="1" s="1"/>
  <c r="BA40" i="1"/>
  <c r="BB40" i="1" s="1"/>
  <c r="BS40" i="1"/>
  <c r="BI48" i="1"/>
  <c r="AO57" i="1"/>
  <c r="P58" i="1"/>
  <c r="BP58" i="1"/>
  <c r="BQ58" i="1" s="1"/>
  <c r="BF88" i="1"/>
  <c r="BG88" i="1" s="1"/>
  <c r="BP125" i="1"/>
  <c r="BQ125" i="1" s="1"/>
  <c r="R135" i="1"/>
  <c r="S135" i="1" s="1"/>
  <c r="BA135" i="1"/>
  <c r="BB135" i="1" s="1"/>
  <c r="BF190" i="1"/>
  <c r="BG190" i="1" s="1"/>
  <c r="AY227" i="1"/>
  <c r="W229" i="1"/>
  <c r="X229" i="1" s="1"/>
  <c r="AL267" i="1"/>
  <c r="AM267" i="1" s="1"/>
  <c r="AY20" i="1"/>
  <c r="AT96" i="1"/>
  <c r="BS27" i="1"/>
  <c r="AY11" i="1"/>
  <c r="AO19" i="1"/>
  <c r="BN30" i="1"/>
  <c r="AO48" i="1"/>
  <c r="R58" i="1"/>
  <c r="S58" i="1" s="1"/>
  <c r="AT67" i="1"/>
  <c r="BF96" i="1"/>
  <c r="BG96" i="1" s="1"/>
  <c r="AE115" i="1"/>
  <c r="Z124" i="1"/>
  <c r="BD27" i="1"/>
  <c r="Z20" i="1"/>
  <c r="BF40" i="1"/>
  <c r="BG40" i="1" s="1"/>
  <c r="R48" i="1"/>
  <c r="S48" i="1" s="1"/>
  <c r="R67" i="1"/>
  <c r="S67" i="1" s="1"/>
  <c r="BA78" i="1"/>
  <c r="BB78" i="1" s="1"/>
  <c r="BK88" i="1"/>
  <c r="BL88" i="1" s="1"/>
  <c r="BN104" i="1"/>
  <c r="BA134" i="1"/>
  <c r="BB134" i="1" s="1"/>
  <c r="BD135" i="1"/>
  <c r="BU143" i="1"/>
  <c r="BV143" i="1" s="1"/>
  <c r="AJ173" i="1"/>
  <c r="R216" i="1"/>
  <c r="S216" i="1" s="1"/>
  <c r="AJ236" i="1"/>
  <c r="AO237" i="1"/>
  <c r="AO247" i="1"/>
  <c r="AT256" i="1"/>
  <c r="AG170" i="1"/>
  <c r="AH170" i="1" s="1"/>
  <c r="AT20" i="1"/>
  <c r="BA20" i="1"/>
  <c r="BB20" i="1" s="1"/>
  <c r="BN40" i="1"/>
  <c r="BF48" i="1"/>
  <c r="BG48" i="1" s="1"/>
  <c r="U173" i="1"/>
  <c r="BI191" i="1"/>
  <c r="BF229" i="1"/>
  <c r="BG229" i="1" s="1"/>
  <c r="AJ48" i="1"/>
  <c r="AY115" i="1"/>
  <c r="U27" i="1"/>
  <c r="AT58" i="1"/>
  <c r="AY78" i="1"/>
  <c r="BF115" i="1"/>
  <c r="BG115" i="1" s="1"/>
  <c r="P142" i="1"/>
  <c r="Z190" i="1"/>
  <c r="BS237" i="1"/>
  <c r="BI247" i="1"/>
  <c r="BD267" i="1"/>
  <c r="AG181" i="1"/>
  <c r="AH181" i="1" s="1"/>
  <c r="AQ267" i="1"/>
  <c r="AR267" i="1" s="1"/>
  <c r="U20" i="1"/>
  <c r="AT11" i="1"/>
  <c r="BP20" i="1"/>
  <c r="BQ20" i="1" s="1"/>
  <c r="U19" i="1"/>
  <c r="AY27" i="1"/>
  <c r="BU30" i="1"/>
  <c r="BV30" i="1" s="1"/>
  <c r="BP19" i="1"/>
  <c r="BQ19" i="1" s="1"/>
  <c r="BK20" i="1"/>
  <c r="BL20" i="1" s="1"/>
  <c r="BA27" i="1"/>
  <c r="BB27" i="1" s="1"/>
  <c r="R30" i="1"/>
  <c r="S30" i="1" s="1"/>
  <c r="AJ40" i="1"/>
  <c r="AJ96" i="1"/>
  <c r="AJ115" i="1"/>
  <c r="AE153" i="1"/>
  <c r="BA216" i="1"/>
  <c r="BB216" i="1" s="1"/>
  <c r="AE226" i="1"/>
  <c r="AE227" i="1"/>
  <c r="U256" i="1"/>
  <c r="AJ267" i="1"/>
  <c r="AG101" i="1"/>
  <c r="AH101" i="1" s="1"/>
  <c r="AB188" i="1"/>
  <c r="AC188" i="1" s="1"/>
  <c r="AV216" i="1"/>
  <c r="AW216" i="1" s="1"/>
  <c r="BU20" i="1"/>
  <c r="BV20" i="1" s="1"/>
  <c r="AE78" i="1"/>
  <c r="AO88" i="1"/>
  <c r="Z199" i="1"/>
  <c r="BK227" i="1"/>
  <c r="BL227" i="1" s="1"/>
  <c r="U247" i="1"/>
  <c r="AT247" i="1"/>
  <c r="BN249" i="1"/>
  <c r="BS266" i="1"/>
  <c r="AL191" i="1"/>
  <c r="AM191" i="1" s="1"/>
  <c r="BV69" i="1"/>
  <c r="AC31" i="1"/>
  <c r="BS232" i="1"/>
  <c r="AL232" i="1"/>
  <c r="AM232" i="1" s="1"/>
  <c r="BN232" i="1"/>
  <c r="AV144" i="1"/>
  <c r="AW144" i="1" s="1"/>
  <c r="BI144" i="1"/>
  <c r="AE144" i="1"/>
  <c r="BA144" i="1"/>
  <c r="BB144" i="1" s="1"/>
  <c r="BS144" i="1"/>
  <c r="BI105" i="1"/>
  <c r="BF105" i="1"/>
  <c r="BG105" i="1" s="1"/>
  <c r="AE105" i="1"/>
  <c r="AY105" i="1"/>
  <c r="BU105" i="1"/>
  <c r="BV105" i="1" s="1"/>
  <c r="Z105" i="1"/>
  <c r="AT105" i="1"/>
  <c r="R105" i="1"/>
  <c r="S105" i="1" s="1"/>
  <c r="BU13" i="1"/>
  <c r="BV13" i="1" s="1"/>
  <c r="AT13" i="1"/>
  <c r="P13" i="1"/>
  <c r="AB13" i="1"/>
  <c r="AC13" i="1" s="1"/>
  <c r="BN27" i="1"/>
  <c r="BD19" i="1"/>
  <c r="AT27" i="1"/>
  <c r="AE19" i="1"/>
  <c r="BA103" i="1"/>
  <c r="BB103" i="1" s="1"/>
  <c r="W262" i="1"/>
  <c r="X262" i="1" s="1"/>
  <c r="AL144" i="1"/>
  <c r="AM144" i="1" s="1"/>
  <c r="BI13" i="1"/>
  <c r="BP212" i="1"/>
  <c r="BQ212" i="1" s="1"/>
  <c r="BN212" i="1"/>
  <c r="AY212" i="1"/>
  <c r="U174" i="1"/>
  <c r="BS174" i="1"/>
  <c r="BP174" i="1"/>
  <c r="BQ174" i="1" s="1"/>
  <c r="AJ126" i="1"/>
  <c r="BA126" i="1"/>
  <c r="BB126" i="1" s="1"/>
  <c r="AY126" i="1"/>
  <c r="Z126" i="1"/>
  <c r="BU126" i="1"/>
  <c r="BV126" i="1" s="1"/>
  <c r="AT126" i="1"/>
  <c r="BP126" i="1"/>
  <c r="BQ126" i="1" s="1"/>
  <c r="P126" i="1"/>
  <c r="AV79" i="1"/>
  <c r="AW79" i="1" s="1"/>
  <c r="AY79" i="1"/>
  <c r="BU79" i="1"/>
  <c r="BV79" i="1" s="1"/>
  <c r="BS79" i="1"/>
  <c r="R79" i="1"/>
  <c r="S79" i="1" s="1"/>
  <c r="P41" i="1"/>
  <c r="BK41" i="1"/>
  <c r="BL41" i="1" s="1"/>
  <c r="AY41" i="1"/>
  <c r="BU97" i="1"/>
  <c r="BV97" i="1" s="1"/>
  <c r="BK248" i="1"/>
  <c r="BL248" i="1" s="1"/>
  <c r="AE248" i="1"/>
  <c r="AY248" i="1"/>
  <c r="BN248" i="1"/>
  <c r="BS200" i="1"/>
  <c r="AO200" i="1"/>
  <c r="BI200" i="1"/>
  <c r="AB152" i="1"/>
  <c r="AC152" i="1" s="1"/>
  <c r="AL152" i="1"/>
  <c r="AM152" i="1" s="1"/>
  <c r="AT152" i="1"/>
  <c r="BK152" i="1"/>
  <c r="BL152" i="1" s="1"/>
  <c r="BI152" i="1"/>
  <c r="U11" i="1"/>
  <c r="BS19" i="1"/>
  <c r="Z41" i="1"/>
  <c r="BF79" i="1"/>
  <c r="BG79" i="1" s="1"/>
  <c r="BP105" i="1"/>
  <c r="BQ105" i="1" s="1"/>
  <c r="AY152" i="1"/>
  <c r="BF192" i="1"/>
  <c r="BG192" i="1" s="1"/>
  <c r="U200" i="1"/>
  <c r="BK220" i="1"/>
  <c r="BL220" i="1" s="1"/>
  <c r="AB220" i="1"/>
  <c r="AC220" i="1" s="1"/>
  <c r="AY220" i="1"/>
  <c r="BN220" i="1"/>
  <c r="BU182" i="1"/>
  <c r="BV182" i="1" s="1"/>
  <c r="BF182" i="1"/>
  <c r="BG182" i="1" s="1"/>
  <c r="BD182" i="1"/>
  <c r="AQ182" i="1"/>
  <c r="AR182" i="1" s="1"/>
  <c r="U136" i="1"/>
  <c r="AO136" i="1"/>
  <c r="BK136" i="1"/>
  <c r="BL136" i="1" s="1"/>
  <c r="AJ136" i="1"/>
  <c r="BF136" i="1"/>
  <c r="BG136" i="1" s="1"/>
  <c r="AQ136" i="1"/>
  <c r="AR136" i="1" s="1"/>
  <c r="BD136" i="1"/>
  <c r="AG136" i="1"/>
  <c r="AH136" i="1" s="1"/>
  <c r="BU136" i="1"/>
  <c r="BV136" i="1" s="1"/>
  <c r="BN97" i="1"/>
  <c r="R97" i="1"/>
  <c r="S97" i="1" s="1"/>
  <c r="AO97" i="1"/>
  <c r="P97" i="1"/>
  <c r="BK97" i="1"/>
  <c r="BL97" i="1" s="1"/>
  <c r="AJ97" i="1"/>
  <c r="BF97" i="1"/>
  <c r="BG97" i="1" s="1"/>
  <c r="BN69" i="1"/>
  <c r="BK69" i="1"/>
  <c r="BL69" i="1" s="1"/>
  <c r="AE69" i="1"/>
  <c r="BD69" i="1"/>
  <c r="BA69" i="1"/>
  <c r="BB69" i="1" s="1"/>
  <c r="BF49" i="1"/>
  <c r="BG49" i="1" s="1"/>
  <c r="AY49" i="1"/>
  <c r="Z49" i="1"/>
  <c r="BS49" i="1"/>
  <c r="AT49" i="1"/>
  <c r="BN49" i="1"/>
  <c r="BK49" i="1"/>
  <c r="BL49" i="1" s="1"/>
  <c r="AT21" i="1"/>
  <c r="R21" i="1"/>
  <c r="S21" i="1" s="1"/>
  <c r="AE21" i="1"/>
  <c r="P21" i="1"/>
  <c r="AB258" i="1"/>
  <c r="AC258" i="1" s="1"/>
  <c r="BS258" i="1"/>
  <c r="AO258" i="1"/>
  <c r="R258" i="1"/>
  <c r="S258" i="1" s="1"/>
  <c r="BP258" i="1"/>
  <c r="BQ258" i="1" s="1"/>
  <c r="AJ258" i="1"/>
  <c r="BU218" i="1"/>
  <c r="BV218" i="1" s="1"/>
  <c r="BF218" i="1"/>
  <c r="BG218" i="1" s="1"/>
  <c r="BD210" i="1"/>
  <c r="AB210" i="1"/>
  <c r="AC210" i="1" s="1"/>
  <c r="U210" i="1"/>
  <c r="AQ210" i="1"/>
  <c r="AR210" i="1" s="1"/>
  <c r="BU210" i="1"/>
  <c r="BV210" i="1" s="1"/>
  <c r="BS210" i="1"/>
  <c r="AO210" i="1"/>
  <c r="BU190" i="1"/>
  <c r="BV190" i="1" s="1"/>
  <c r="U190" i="1"/>
  <c r="BS190" i="1"/>
  <c r="AT190" i="1"/>
  <c r="AG190" i="1"/>
  <c r="AH190" i="1" s="1"/>
  <c r="AQ162" i="1"/>
  <c r="AR162" i="1" s="1"/>
  <c r="BU162" i="1"/>
  <c r="BV162" i="1" s="1"/>
  <c r="AT162" i="1"/>
  <c r="BI162" i="1"/>
  <c r="AG142" i="1"/>
  <c r="AH142" i="1" s="1"/>
  <c r="BD142" i="1"/>
  <c r="BA142" i="1"/>
  <c r="BB142" i="1" s="1"/>
  <c r="R142" i="1"/>
  <c r="S142" i="1" s="1"/>
  <c r="BN142" i="1"/>
  <c r="AY134" i="1"/>
  <c r="P134" i="1"/>
  <c r="BN134" i="1"/>
  <c r="BK134" i="1"/>
  <c r="BL134" i="1" s="1"/>
  <c r="AB124" i="1"/>
  <c r="AC124" i="1" s="1"/>
  <c r="BP124" i="1"/>
  <c r="BQ124" i="1" s="1"/>
  <c r="AT124" i="1"/>
  <c r="BK124" i="1"/>
  <c r="BL124" i="1" s="1"/>
  <c r="R124" i="1"/>
  <c r="S124" i="1" s="1"/>
  <c r="BI124" i="1"/>
  <c r="AJ124" i="1"/>
  <c r="AY124" i="1"/>
  <c r="BK114" i="1"/>
  <c r="BL114" i="1" s="1"/>
  <c r="R114" i="1"/>
  <c r="S114" i="1" s="1"/>
  <c r="BI114" i="1"/>
  <c r="AJ114" i="1"/>
  <c r="AE114" i="1"/>
  <c r="AY114" i="1"/>
  <c r="BP114" i="1"/>
  <c r="BQ114" i="1" s="1"/>
  <c r="AT114" i="1"/>
  <c r="AY103" i="1"/>
  <c r="BN103" i="1"/>
  <c r="R103" i="1"/>
  <c r="S103" i="1" s="1"/>
  <c r="AB103" i="1"/>
  <c r="AC103" i="1" s="1"/>
  <c r="BK103" i="1"/>
  <c r="BL103" i="1" s="1"/>
  <c r="AG103" i="1"/>
  <c r="AH103" i="1" s="1"/>
  <c r="Z103" i="1"/>
  <c r="W95" i="1"/>
  <c r="X95" i="1" s="1"/>
  <c r="BP95" i="1"/>
  <c r="BQ95" i="1" s="1"/>
  <c r="BN95" i="1"/>
  <c r="U95" i="1"/>
  <c r="AO95" i="1"/>
  <c r="R95" i="1"/>
  <c r="S95" i="1" s="1"/>
  <c r="BF95" i="1"/>
  <c r="BG95" i="1" s="1"/>
  <c r="AJ95" i="1"/>
  <c r="P95" i="1"/>
  <c r="BS95" i="1"/>
  <c r="BA95" i="1"/>
  <c r="BB95" i="1" s="1"/>
  <c r="AE95" i="1"/>
  <c r="BW85" i="1"/>
  <c r="BX85" i="1" s="1"/>
  <c r="BN85" i="1"/>
  <c r="BA85" i="1"/>
  <c r="BB85" i="1" s="1"/>
  <c r="P85" i="1"/>
  <c r="BU85" i="1"/>
  <c r="BV85" i="1" s="1"/>
  <c r="BA77" i="1"/>
  <c r="BB77" i="1" s="1"/>
  <c r="P77" i="1"/>
  <c r="AB67" i="1"/>
  <c r="AC67" i="1" s="1"/>
  <c r="BI67" i="1"/>
  <c r="AJ67" i="1"/>
  <c r="AE67" i="1"/>
  <c r="AY67" i="1"/>
  <c r="AV67" i="1"/>
  <c r="AW67" i="1" s="1"/>
  <c r="Z67" i="1"/>
  <c r="BF57" i="1"/>
  <c r="BG57" i="1" s="1"/>
  <c r="AB57" i="1"/>
  <c r="AC57" i="1" s="1"/>
  <c r="BD57" i="1"/>
  <c r="AE57" i="1"/>
  <c r="BU57" i="1"/>
  <c r="BV57" i="1" s="1"/>
  <c r="BS57" i="1"/>
  <c r="AY57" i="1"/>
  <c r="BS47" i="1"/>
  <c r="BA47" i="1"/>
  <c r="BB47" i="1" s="1"/>
  <c r="AE47" i="1"/>
  <c r="AY47" i="1"/>
  <c r="BN47" i="1"/>
  <c r="BP47" i="1"/>
  <c r="BQ47" i="1" s="1"/>
  <c r="U47" i="1"/>
  <c r="W47" i="1"/>
  <c r="X47" i="1" s="1"/>
  <c r="AO47" i="1"/>
  <c r="AQ47" i="1"/>
  <c r="AR47" i="1" s="1"/>
  <c r="BF47" i="1"/>
  <c r="BG47" i="1" s="1"/>
  <c r="AJ47" i="1"/>
  <c r="P47" i="1"/>
  <c r="BW37" i="1"/>
  <c r="BX37" i="1" s="1"/>
  <c r="BN37" i="1"/>
  <c r="BU37" i="1"/>
  <c r="BV37" i="1" s="1"/>
  <c r="AO27" i="1"/>
  <c r="P27" i="1"/>
  <c r="BF27" i="1"/>
  <c r="BG27" i="1" s="1"/>
  <c r="BP27" i="1"/>
  <c r="BQ27" i="1" s="1"/>
  <c r="BA19" i="1"/>
  <c r="BB19" i="1" s="1"/>
  <c r="BU19" i="1"/>
  <c r="BV19" i="1" s="1"/>
  <c r="Z19" i="1"/>
  <c r="AJ19" i="1"/>
  <c r="AY19" i="1"/>
  <c r="P19" i="1"/>
  <c r="BI19" i="1"/>
  <c r="BF19" i="1"/>
  <c r="BG19" i="1" s="1"/>
  <c r="AO11" i="1"/>
  <c r="BN11" i="1"/>
  <c r="BF11" i="1"/>
  <c r="BG11" i="1" s="1"/>
  <c r="AV11" i="1"/>
  <c r="AW11" i="1" s="1"/>
  <c r="BP11" i="1"/>
  <c r="BQ11" i="1" s="1"/>
  <c r="AE11" i="1"/>
  <c r="BD11" i="1"/>
  <c r="BS11" i="1"/>
  <c r="AQ11" i="1"/>
  <c r="AR11" i="1" s="1"/>
  <c r="R11" i="1"/>
  <c r="S11" i="1" s="1"/>
  <c r="BA11" i="1"/>
  <c r="BB11" i="1" s="1"/>
  <c r="BI11" i="1"/>
  <c r="P37" i="1"/>
  <c r="U13" i="1"/>
  <c r="BI27" i="1"/>
  <c r="AY21" i="1"/>
  <c r="AJ11" i="1"/>
  <c r="BU11" i="1"/>
  <c r="BV11" i="1" s="1"/>
  <c r="R37" i="1"/>
  <c r="S37" i="1" s="1"/>
  <c r="BK57" i="1"/>
  <c r="BL57" i="1" s="1"/>
  <c r="AE126" i="1"/>
  <c r="AT200" i="1"/>
  <c r="U258" i="1"/>
  <c r="AQ19" i="1"/>
  <c r="AR19" i="1" s="1"/>
  <c r="U21" i="1"/>
  <c r="AJ27" i="1"/>
  <c r="BI41" i="1"/>
  <c r="BU47" i="1"/>
  <c r="BV47" i="1" s="1"/>
  <c r="AE79" i="1"/>
  <c r="AY95" i="1"/>
  <c r="AE103" i="1"/>
  <c r="AJ105" i="1"/>
  <c r="AJ142" i="1"/>
  <c r="Z152" i="1"/>
  <c r="AY232" i="1"/>
  <c r="AO164" i="1"/>
  <c r="BK164" i="1"/>
  <c r="BL164" i="1" s="1"/>
  <c r="BF164" i="1"/>
  <c r="BG164" i="1" s="1"/>
  <c r="U164" i="1"/>
  <c r="AT116" i="1"/>
  <c r="BD116" i="1"/>
  <c r="AG116" i="1"/>
  <c r="AH116" i="1" s="1"/>
  <c r="BI116" i="1"/>
  <c r="AT89" i="1"/>
  <c r="U89" i="1"/>
  <c r="BN89" i="1"/>
  <c r="AO89" i="1"/>
  <c r="P89" i="1"/>
  <c r="BK89" i="1"/>
  <c r="BL89" i="1" s="1"/>
  <c r="BA89" i="1"/>
  <c r="BB89" i="1" s="1"/>
  <c r="Z89" i="1"/>
  <c r="BS31" i="1"/>
  <c r="R31" i="1"/>
  <c r="S31" i="1" s="1"/>
  <c r="BD21" i="1"/>
  <c r="P174" i="1"/>
  <c r="AE41" i="1"/>
  <c r="Z162" i="1"/>
  <c r="BK162" i="1"/>
  <c r="BL162" i="1" s="1"/>
  <c r="Z200" i="1"/>
  <c r="U218" i="1"/>
  <c r="BD218" i="1"/>
  <c r="BK238" i="1"/>
  <c r="BL238" i="1" s="1"/>
  <c r="AB142" i="1"/>
  <c r="AC142" i="1" s="1"/>
  <c r="AL220" i="1"/>
  <c r="AM220" i="1" s="1"/>
  <c r="BB177" i="1"/>
  <c r="BD93" i="1"/>
  <c r="BU93" i="1"/>
  <c r="BV93" i="1" s="1"/>
  <c r="R96" i="1"/>
  <c r="S96" i="1" s="1"/>
  <c r="U101" i="1"/>
  <c r="R110" i="1"/>
  <c r="S110" i="1" s="1"/>
  <c r="AT110" i="1"/>
  <c r="BP115" i="1"/>
  <c r="BQ115" i="1" s="1"/>
  <c r="U125" i="1"/>
  <c r="BA125" i="1"/>
  <c r="BB125" i="1" s="1"/>
  <c r="BS130" i="1"/>
  <c r="AE160" i="1"/>
  <c r="BD160" i="1"/>
  <c r="AT170" i="1"/>
  <c r="BS170" i="1"/>
  <c r="BD173" i="1"/>
  <c r="BF178" i="1"/>
  <c r="BG178" i="1" s="1"/>
  <c r="BK188" i="1"/>
  <c r="BL188" i="1" s="1"/>
  <c r="BK191" i="1"/>
  <c r="BL191" i="1" s="1"/>
  <c r="BF226" i="1"/>
  <c r="BG226" i="1" s="1"/>
  <c r="AO236" i="1"/>
  <c r="BA249" i="1"/>
  <c r="BB249" i="1" s="1"/>
  <c r="W101" i="1"/>
  <c r="X101" i="1" s="1"/>
  <c r="AB140" i="1"/>
  <c r="AC140" i="1" s="1"/>
  <c r="AL236" i="1"/>
  <c r="AM236" i="1" s="1"/>
  <c r="AV226" i="1"/>
  <c r="AW226" i="1" s="1"/>
  <c r="AQ178" i="1"/>
  <c r="AR178" i="1" s="1"/>
  <c r="BI201" i="1"/>
  <c r="BS236" i="1"/>
  <c r="BK246" i="1"/>
  <c r="BL246" i="1" s="1"/>
  <c r="AO266" i="1"/>
  <c r="BU266" i="1"/>
  <c r="BV266" i="1" s="1"/>
  <c r="W125" i="1"/>
  <c r="X125" i="1" s="1"/>
  <c r="W226" i="1"/>
  <c r="X226" i="1" s="1"/>
  <c r="AQ236" i="1"/>
  <c r="AR236" i="1" s="1"/>
  <c r="AE101" i="1"/>
  <c r="BA101" i="1"/>
  <c r="BB101" i="1" s="1"/>
  <c r="Z110" i="1"/>
  <c r="AO130" i="1"/>
  <c r="U140" i="1"/>
  <c r="AT140" i="1"/>
  <c r="BN160" i="1"/>
  <c r="Z170" i="1"/>
  <c r="BD170" i="1"/>
  <c r="AO178" i="1"/>
  <c r="P188" i="1"/>
  <c r="BP188" i="1"/>
  <c r="BQ188" i="1" s="1"/>
  <c r="AE201" i="1"/>
  <c r="AE216" i="1"/>
  <c r="BU236" i="1"/>
  <c r="BV236" i="1" s="1"/>
  <c r="AO256" i="1"/>
  <c r="P266" i="1"/>
  <c r="BN267" i="1"/>
  <c r="W236" i="1"/>
  <c r="X236" i="1" s="1"/>
  <c r="AB131" i="1"/>
  <c r="AC131" i="1" s="1"/>
  <c r="AB160" i="1"/>
  <c r="AC160" i="1" s="1"/>
  <c r="AQ188" i="1"/>
  <c r="AR188" i="1" s="1"/>
  <c r="BF170" i="1"/>
  <c r="BG170" i="1" s="1"/>
  <c r="R173" i="1"/>
  <c r="S173" i="1" s="1"/>
  <c r="R188" i="1"/>
  <c r="S188" i="1" s="1"/>
  <c r="R266" i="1"/>
  <c r="S266" i="1" s="1"/>
  <c r="P267" i="1"/>
  <c r="BP267" i="1"/>
  <c r="BQ267" i="1" s="1"/>
  <c r="AB93" i="1"/>
  <c r="AC93" i="1" s="1"/>
  <c r="AL151" i="1"/>
  <c r="AM151" i="1" s="1"/>
  <c r="BP30" i="1"/>
  <c r="BQ30" i="1" s="1"/>
  <c r="BB98" i="1"/>
  <c r="AV177" i="1"/>
  <c r="AW177" i="1" s="1"/>
  <c r="W177" i="1"/>
  <c r="X177" i="1" s="1"/>
  <c r="BS177" i="1"/>
  <c r="AB177" i="1"/>
  <c r="AC177" i="1" s="1"/>
  <c r="BP177" i="1"/>
  <c r="BQ177" i="1" s="1"/>
  <c r="AY177" i="1"/>
  <c r="BN177" i="1"/>
  <c r="U177" i="1"/>
  <c r="R177" i="1"/>
  <c r="S177" i="1" s="1"/>
  <c r="AO177" i="1"/>
  <c r="P177" i="1"/>
  <c r="AY159" i="1"/>
  <c r="AT159" i="1"/>
  <c r="BW119" i="1"/>
  <c r="BX119" i="1" s="1"/>
  <c r="BN119" i="1"/>
  <c r="W100" i="1"/>
  <c r="X100" i="1" s="1"/>
  <c r="BI100" i="1"/>
  <c r="AT100" i="1"/>
  <c r="Z100" i="1"/>
  <c r="BS100" i="1"/>
  <c r="BF100" i="1"/>
  <c r="BG100" i="1" s="1"/>
  <c r="AO100" i="1"/>
  <c r="U100" i="1"/>
  <c r="BP100" i="1"/>
  <c r="BQ100" i="1" s="1"/>
  <c r="AY100" i="1"/>
  <c r="R100" i="1"/>
  <c r="S100" i="1" s="1"/>
  <c r="BN54" i="1"/>
  <c r="BA54" i="1"/>
  <c r="BB54" i="1" s="1"/>
  <c r="P54" i="1"/>
  <c r="BK54" i="1"/>
  <c r="BL54" i="1" s="1"/>
  <c r="AO54" i="1"/>
  <c r="U54" i="1"/>
  <c r="BU54" i="1"/>
  <c r="BV54" i="1" s="1"/>
  <c r="BD54" i="1"/>
  <c r="AJ54" i="1"/>
  <c r="R54" i="1"/>
  <c r="S54" i="1" s="1"/>
  <c r="BA24" i="1"/>
  <c r="BB24" i="1" s="1"/>
  <c r="U24" i="1"/>
  <c r="BF24" i="1"/>
  <c r="BG24" i="1" s="1"/>
  <c r="AQ109" i="1"/>
  <c r="AR109" i="1" s="1"/>
  <c r="AV109" i="1"/>
  <c r="AW109" i="1" s="1"/>
  <c r="BD109" i="1"/>
  <c r="BN109" i="1"/>
  <c r="BA109" i="1"/>
  <c r="BB109" i="1" s="1"/>
  <c r="P109" i="1"/>
  <c r="BP109" i="1"/>
  <c r="BQ109" i="1" s="1"/>
  <c r="BK109" i="1"/>
  <c r="BL109" i="1" s="1"/>
  <c r="BD108" i="1"/>
  <c r="P119" i="1"/>
  <c r="BL201" i="1"/>
  <c r="BP253" i="1"/>
  <c r="BQ253" i="1" s="1"/>
  <c r="AY253" i="1"/>
  <c r="BN253" i="1"/>
  <c r="R253" i="1"/>
  <c r="S253" i="1" s="1"/>
  <c r="BF253" i="1"/>
  <c r="BG253" i="1" s="1"/>
  <c r="AJ253" i="1"/>
  <c r="P253" i="1"/>
  <c r="BA253" i="1"/>
  <c r="BB253" i="1" s="1"/>
  <c r="BS253" i="1"/>
  <c r="BD253" i="1"/>
  <c r="AB197" i="1"/>
  <c r="AC197" i="1" s="1"/>
  <c r="BF197" i="1"/>
  <c r="BG197" i="1" s="1"/>
  <c r="AL197" i="1"/>
  <c r="AM197" i="1" s="1"/>
  <c r="BU197" i="1"/>
  <c r="BV197" i="1" s="1"/>
  <c r="AE197" i="1"/>
  <c r="AG197" i="1"/>
  <c r="AH197" i="1" s="1"/>
  <c r="AT197" i="1"/>
  <c r="U197" i="1"/>
  <c r="BK197" i="1"/>
  <c r="BL197" i="1" s="1"/>
  <c r="AO197" i="1"/>
  <c r="BS197" i="1"/>
  <c r="Z197" i="1"/>
  <c r="BS139" i="1"/>
  <c r="BD139" i="1"/>
  <c r="AJ139" i="1"/>
  <c r="P139" i="1"/>
  <c r="BP139" i="1"/>
  <c r="BQ139" i="1" s="1"/>
  <c r="BA139" i="1"/>
  <c r="BB139" i="1" s="1"/>
  <c r="AE139" i="1"/>
  <c r="AO139" i="1"/>
  <c r="BF139" i="1"/>
  <c r="BG139" i="1" s="1"/>
  <c r="AY139" i="1"/>
  <c r="AL82" i="1"/>
  <c r="AM82" i="1" s="1"/>
  <c r="AB82" i="1"/>
  <c r="AC82" i="1" s="1"/>
  <c r="BN82" i="1"/>
  <c r="BA82" i="1"/>
  <c r="BB82" i="1" s="1"/>
  <c r="P82" i="1"/>
  <c r="BK82" i="1"/>
  <c r="BL82" i="1" s="1"/>
  <c r="BI82" i="1"/>
  <c r="BF82" i="1"/>
  <c r="BG82" i="1" s="1"/>
  <c r="AG82" i="1"/>
  <c r="AH82" i="1" s="1"/>
  <c r="W44" i="1"/>
  <c r="X44" i="1" s="1"/>
  <c r="AY44" i="1"/>
  <c r="AE44" i="1"/>
  <c r="BI44" i="1"/>
  <c r="AT44" i="1"/>
  <c r="Z44" i="1"/>
  <c r="P44" i="1"/>
  <c r="AJ109" i="1"/>
  <c r="BA119" i="1"/>
  <c r="BB119" i="1" s="1"/>
  <c r="AB244" i="1"/>
  <c r="AC244" i="1" s="1"/>
  <c r="BI244" i="1"/>
  <c r="AT244" i="1"/>
  <c r="Z244" i="1"/>
  <c r="AQ244" i="1"/>
  <c r="AR244" i="1" s="1"/>
  <c r="BU244" i="1"/>
  <c r="BV244" i="1" s="1"/>
  <c r="AG244" i="1"/>
  <c r="AH244" i="1" s="1"/>
  <c r="W244" i="1"/>
  <c r="X244" i="1" s="1"/>
  <c r="BP244" i="1"/>
  <c r="BQ244" i="1" s="1"/>
  <c r="BA244" i="1"/>
  <c r="BB244" i="1" s="1"/>
  <c r="AE244" i="1"/>
  <c r="BN244" i="1"/>
  <c r="AY244" i="1"/>
  <c r="BK244" i="1"/>
  <c r="BL244" i="1" s="1"/>
  <c r="P244" i="1"/>
  <c r="BF244" i="1"/>
  <c r="BG244" i="1" s="1"/>
  <c r="AV244" i="1"/>
  <c r="AW244" i="1" s="1"/>
  <c r="BS244" i="1"/>
  <c r="AO244" i="1"/>
  <c r="R244" i="1"/>
  <c r="S244" i="1" s="1"/>
  <c r="AV234" i="1"/>
  <c r="AW234" i="1" s="1"/>
  <c r="Z263" i="1"/>
  <c r="AL263" i="1"/>
  <c r="AM263" i="1" s="1"/>
  <c r="BP263" i="1"/>
  <c r="BQ263" i="1" s="1"/>
  <c r="AT263" i="1"/>
  <c r="AB263" i="1"/>
  <c r="AC263" i="1" s="1"/>
  <c r="BU263" i="1"/>
  <c r="BV263" i="1" s="1"/>
  <c r="BS263" i="1"/>
  <c r="U263" i="1"/>
  <c r="BI263" i="1"/>
  <c r="BF263" i="1"/>
  <c r="BG263" i="1" s="1"/>
  <c r="BD263" i="1"/>
  <c r="AV263" i="1"/>
  <c r="AW263" i="1" s="1"/>
  <c r="R263" i="1"/>
  <c r="S263" i="1" s="1"/>
  <c r="BS203" i="1"/>
  <c r="BF203" i="1"/>
  <c r="BG203" i="1" s="1"/>
  <c r="AO203" i="1"/>
  <c r="U203" i="1"/>
  <c r="BD203" i="1"/>
  <c r="AT203" i="1"/>
  <c r="BI203" i="1"/>
  <c r="R203" i="1"/>
  <c r="S203" i="1" s="1"/>
  <c r="BU203" i="1"/>
  <c r="BV203" i="1" s="1"/>
  <c r="BA203" i="1"/>
  <c r="BB203" i="1" s="1"/>
  <c r="BP203" i="1"/>
  <c r="BQ203" i="1" s="1"/>
  <c r="AV127" i="1"/>
  <c r="AW127" i="1" s="1"/>
  <c r="AB127" i="1"/>
  <c r="AC127" i="1" s="1"/>
  <c r="AQ127" i="1"/>
  <c r="AR127" i="1" s="1"/>
  <c r="W127" i="1"/>
  <c r="X127" i="1" s="1"/>
  <c r="BN127" i="1"/>
  <c r="BA127" i="1"/>
  <c r="BB127" i="1" s="1"/>
  <c r="P127" i="1"/>
  <c r="AG127" i="1"/>
  <c r="AH127" i="1" s="1"/>
  <c r="BI127" i="1"/>
  <c r="BU127" i="1"/>
  <c r="BV127" i="1" s="1"/>
  <c r="BF127" i="1"/>
  <c r="BG127" i="1" s="1"/>
  <c r="BN14" i="1"/>
  <c r="BU44" i="1"/>
  <c r="BV44" i="1" s="1"/>
  <c r="BI53" i="1"/>
  <c r="AY71" i="1"/>
  <c r="R81" i="1"/>
  <c r="S81" i="1" s="1"/>
  <c r="U98" i="1"/>
  <c r="AY99" i="1"/>
  <c r="AO108" i="1"/>
  <c r="AO109" i="1"/>
  <c r="AE138" i="1"/>
  <c r="BB174" i="1"/>
  <c r="BK194" i="1"/>
  <c r="BL194" i="1" s="1"/>
  <c r="BI234" i="1"/>
  <c r="BW242" i="1"/>
  <c r="BX242" i="1" s="1"/>
  <c r="BA242" i="1"/>
  <c r="BB242" i="1" s="1"/>
  <c r="BN242" i="1"/>
  <c r="BN13" i="1"/>
  <c r="AY14" i="1"/>
  <c r="AJ24" i="1"/>
  <c r="R49" i="1"/>
  <c r="S49" i="1" s="1"/>
  <c r="AJ49" i="1"/>
  <c r="Z54" i="1"/>
  <c r="AY54" i="1"/>
  <c r="BS54" i="1"/>
  <c r="BA60" i="1"/>
  <c r="BB60" i="1" s="1"/>
  <c r="AT69" i="1"/>
  <c r="U79" i="1"/>
  <c r="AO79" i="1"/>
  <c r="BI79" i="1"/>
  <c r="BP81" i="1"/>
  <c r="BQ81" i="1" s="1"/>
  <c r="Z82" i="1"/>
  <c r="AT82" i="1"/>
  <c r="BU91" i="1"/>
  <c r="BV91" i="1" s="1"/>
  <c r="BN98" i="1"/>
  <c r="BA99" i="1"/>
  <c r="BB99" i="1" s="1"/>
  <c r="BU99" i="1"/>
  <c r="BV99" i="1" s="1"/>
  <c r="AJ100" i="1"/>
  <c r="BK100" i="1"/>
  <c r="BL100" i="1" s="1"/>
  <c r="P106" i="1"/>
  <c r="BN107" i="1"/>
  <c r="Z118" i="1"/>
  <c r="AT118" i="1"/>
  <c r="R126" i="1"/>
  <c r="S126" i="1" s="1"/>
  <c r="R127" i="1"/>
  <c r="S127" i="1" s="1"/>
  <c r="AJ127" i="1"/>
  <c r="BD127" i="1"/>
  <c r="AE129" i="1"/>
  <c r="BP136" i="1"/>
  <c r="BQ136" i="1" s="1"/>
  <c r="BS138" i="1"/>
  <c r="BN139" i="1"/>
  <c r="BN144" i="1"/>
  <c r="AJ155" i="1"/>
  <c r="BI165" i="1"/>
  <c r="AJ177" i="1"/>
  <c r="U182" i="1"/>
  <c r="BS182" i="1"/>
  <c r="AJ183" i="1"/>
  <c r="Z186" i="1"/>
  <c r="BI197" i="1"/>
  <c r="Z203" i="1"/>
  <c r="AY203" i="1"/>
  <c r="R204" i="1"/>
  <c r="S204" i="1" s="1"/>
  <c r="BI214" i="1"/>
  <c r="AE220" i="1"/>
  <c r="U222" i="1"/>
  <c r="BK234" i="1"/>
  <c r="BL234" i="1" s="1"/>
  <c r="AO263" i="1"/>
  <c r="AG100" i="1"/>
  <c r="AH100" i="1" s="1"/>
  <c r="AL243" i="1"/>
  <c r="AM243" i="1" s="1"/>
  <c r="AQ107" i="1"/>
  <c r="AR107" i="1" s="1"/>
  <c r="P215" i="1"/>
  <c r="AE215" i="1"/>
  <c r="BU187" i="1"/>
  <c r="BV187" i="1" s="1"/>
  <c r="BA187" i="1"/>
  <c r="BB187" i="1" s="1"/>
  <c r="BN187" i="1"/>
  <c r="AT187" i="1"/>
  <c r="BK187" i="1"/>
  <c r="BL187" i="1" s="1"/>
  <c r="AQ187" i="1"/>
  <c r="AR187" i="1" s="1"/>
  <c r="BI187" i="1"/>
  <c r="AE187" i="1"/>
  <c r="P187" i="1"/>
  <c r="AQ169" i="1"/>
  <c r="AR169" i="1" s="1"/>
  <c r="AE169" i="1"/>
  <c r="AV169" i="1"/>
  <c r="AW169" i="1" s="1"/>
  <c r="W129" i="1"/>
  <c r="X129" i="1" s="1"/>
  <c r="BI129" i="1"/>
  <c r="AT129" i="1"/>
  <c r="Z129" i="1"/>
  <c r="BN129" i="1"/>
  <c r="AY129" i="1"/>
  <c r="U129" i="1"/>
  <c r="AG129" i="1"/>
  <c r="AH129" i="1" s="1"/>
  <c r="R129" i="1"/>
  <c r="S129" i="1" s="1"/>
  <c r="BN108" i="1"/>
  <c r="BA108" i="1"/>
  <c r="BB108" i="1" s="1"/>
  <c r="P108" i="1"/>
  <c r="BK108" i="1"/>
  <c r="BL108" i="1" s="1"/>
  <c r="BS108" i="1"/>
  <c r="BP108" i="1"/>
  <c r="BQ108" i="1" s="1"/>
  <c r="BW64" i="1"/>
  <c r="BX64" i="1" s="1"/>
  <c r="R64" i="1"/>
  <c r="S64" i="1" s="1"/>
  <c r="BW16" i="1"/>
  <c r="BX16" i="1" s="1"/>
  <c r="BK16" i="1"/>
  <c r="BL16" i="1" s="1"/>
  <c r="BA16" i="1"/>
  <c r="BB16" i="1" s="1"/>
  <c r="U16" i="1"/>
  <c r="AJ108" i="1"/>
  <c r="W214" i="1"/>
  <c r="X214" i="1" s="1"/>
  <c r="AL148" i="1"/>
  <c r="AM148" i="1" s="1"/>
  <c r="BP175" i="1"/>
  <c r="BQ175" i="1" s="1"/>
  <c r="AJ175" i="1"/>
  <c r="R175" i="1"/>
  <c r="S175" i="1" s="1"/>
  <c r="AY175" i="1"/>
  <c r="AE175" i="1"/>
  <c r="W175" i="1"/>
  <c r="X175" i="1" s="1"/>
  <c r="AO175" i="1"/>
  <c r="P175" i="1"/>
  <c r="BS175" i="1"/>
  <c r="BD175" i="1"/>
  <c r="BU175" i="1"/>
  <c r="BV175" i="1" s="1"/>
  <c r="Z175" i="1"/>
  <c r="AB175" i="1"/>
  <c r="AC175" i="1" s="1"/>
  <c r="BN175" i="1"/>
  <c r="U175" i="1"/>
  <c r="AT175" i="1"/>
  <c r="BW106" i="1"/>
  <c r="BX106" i="1" s="1"/>
  <c r="BU106" i="1"/>
  <c r="BV106" i="1" s="1"/>
  <c r="BD106" i="1"/>
  <c r="BN106" i="1"/>
  <c r="AY106" i="1"/>
  <c r="AE106" i="1"/>
  <c r="BK106" i="1"/>
  <c r="BL106" i="1" s="1"/>
  <c r="AT106" i="1"/>
  <c r="Z106" i="1"/>
  <c r="AJ44" i="1"/>
  <c r="AY60" i="1"/>
  <c r="AE71" i="1"/>
  <c r="AO81" i="1"/>
  <c r="BA91" i="1"/>
  <c r="BB91" i="1" s="1"/>
  <c r="BI109" i="1"/>
  <c r="BA129" i="1"/>
  <c r="BB129" i="1" s="1"/>
  <c r="AT158" i="1"/>
  <c r="BI205" i="1"/>
  <c r="BK212" i="1"/>
  <c r="BL212" i="1" s="1"/>
  <c r="AV212" i="1"/>
  <c r="AW212" i="1" s="1"/>
  <c r="AG212" i="1"/>
  <c r="AH212" i="1" s="1"/>
  <c r="BI212" i="1"/>
  <c r="AT212" i="1"/>
  <c r="Z212" i="1"/>
  <c r="AO212" i="1"/>
  <c r="AB212" i="1"/>
  <c r="AC212" i="1" s="1"/>
  <c r="BU212" i="1"/>
  <c r="BV212" i="1" s="1"/>
  <c r="BD212" i="1"/>
  <c r="AJ212" i="1"/>
  <c r="P212" i="1"/>
  <c r="BF212" i="1"/>
  <c r="BG212" i="1" s="1"/>
  <c r="AE212" i="1"/>
  <c r="BS212" i="1"/>
  <c r="BA212" i="1"/>
  <c r="BB212" i="1" s="1"/>
  <c r="U212" i="1"/>
  <c r="R212" i="1"/>
  <c r="S212" i="1" s="1"/>
  <c r="AL212" i="1"/>
  <c r="AM212" i="1" s="1"/>
  <c r="BP192" i="1"/>
  <c r="BQ192" i="1" s="1"/>
  <c r="AJ192" i="1"/>
  <c r="R192" i="1"/>
  <c r="S192" i="1" s="1"/>
  <c r="BN192" i="1"/>
  <c r="BA192" i="1"/>
  <c r="BB192" i="1" s="1"/>
  <c r="AO192" i="1"/>
  <c r="AG192" i="1"/>
  <c r="AH192" i="1" s="1"/>
  <c r="BU192" i="1"/>
  <c r="BV192" i="1" s="1"/>
  <c r="BD192" i="1"/>
  <c r="AT192" i="1"/>
  <c r="U192" i="1"/>
  <c r="AV192" i="1"/>
  <c r="AW192" i="1" s="1"/>
  <c r="AB192" i="1"/>
  <c r="AC192" i="1" s="1"/>
  <c r="BI192" i="1"/>
  <c r="P192" i="1"/>
  <c r="BS192" i="1"/>
  <c r="AL192" i="1"/>
  <c r="AM192" i="1" s="1"/>
  <c r="BK192" i="1"/>
  <c r="BL192" i="1" s="1"/>
  <c r="AV164" i="1"/>
  <c r="AW164" i="1" s="1"/>
  <c r="BP164" i="1"/>
  <c r="BQ164" i="1" s="1"/>
  <c r="AJ164" i="1"/>
  <c r="R164" i="1"/>
  <c r="S164" i="1" s="1"/>
  <c r="AY164" i="1"/>
  <c r="AE164" i="1"/>
  <c r="BS164" i="1"/>
  <c r="BD164" i="1"/>
  <c r="AB164" i="1"/>
  <c r="AC164" i="1" s="1"/>
  <c r="BN164" i="1"/>
  <c r="BA164" i="1"/>
  <c r="BB164" i="1" s="1"/>
  <c r="Z164" i="1"/>
  <c r="P164" i="1"/>
  <c r="BI164" i="1"/>
  <c r="AL164" i="1"/>
  <c r="AM164" i="1" s="1"/>
  <c r="AG144" i="1"/>
  <c r="AH144" i="1" s="1"/>
  <c r="BU144" i="1"/>
  <c r="BV144" i="1" s="1"/>
  <c r="BD144" i="1"/>
  <c r="AB144" i="1"/>
  <c r="AC144" i="1" s="1"/>
  <c r="BK144" i="1"/>
  <c r="BL144" i="1" s="1"/>
  <c r="AT144" i="1"/>
  <c r="Z144" i="1"/>
  <c r="AO144" i="1"/>
  <c r="U144" i="1"/>
  <c r="R144" i="1"/>
  <c r="S144" i="1" s="1"/>
  <c r="AJ144" i="1"/>
  <c r="BF144" i="1"/>
  <c r="BG144" i="1" s="1"/>
  <c r="AG126" i="1"/>
  <c r="AH126" i="1" s="1"/>
  <c r="BK126" i="1"/>
  <c r="BL126" i="1" s="1"/>
  <c r="BS126" i="1"/>
  <c r="BD126" i="1"/>
  <c r="BN126" i="1"/>
  <c r="BI126" i="1"/>
  <c r="W116" i="1"/>
  <c r="X116" i="1" s="1"/>
  <c r="AV116" i="1"/>
  <c r="AW116" i="1" s="1"/>
  <c r="BS116" i="1"/>
  <c r="BF116" i="1"/>
  <c r="BG116" i="1" s="1"/>
  <c r="AO116" i="1"/>
  <c r="U116" i="1"/>
  <c r="AQ116" i="1"/>
  <c r="AR116" i="1" s="1"/>
  <c r="BP116" i="1"/>
  <c r="BQ116" i="1" s="1"/>
  <c r="AJ116" i="1"/>
  <c r="R116" i="1"/>
  <c r="S116" i="1" s="1"/>
  <c r="BU116" i="1"/>
  <c r="BV116" i="1" s="1"/>
  <c r="AE116" i="1"/>
  <c r="BN116" i="1"/>
  <c r="AY116" i="1"/>
  <c r="Z116" i="1"/>
  <c r="AY97" i="1"/>
  <c r="AE97" i="1"/>
  <c r="BI97" i="1"/>
  <c r="AT97" i="1"/>
  <c r="Z97" i="1"/>
  <c r="BP97" i="1"/>
  <c r="BQ97" i="1" s="1"/>
  <c r="BA97" i="1"/>
  <c r="BB97" i="1" s="1"/>
  <c r="AV89" i="1"/>
  <c r="AW89" i="1" s="1"/>
  <c r="AG89" i="1"/>
  <c r="AH89" i="1" s="1"/>
  <c r="AB89" i="1"/>
  <c r="AC89" i="1" s="1"/>
  <c r="BP89" i="1"/>
  <c r="BQ89" i="1" s="1"/>
  <c r="AJ89" i="1"/>
  <c r="R89" i="1"/>
  <c r="S89" i="1" s="1"/>
  <c r="AY89" i="1"/>
  <c r="AE89" i="1"/>
  <c r="BI89" i="1"/>
  <c r="BU89" i="1"/>
  <c r="BV89" i="1" s="1"/>
  <c r="BF89" i="1"/>
  <c r="BG89" i="1" s="1"/>
  <c r="W79" i="1"/>
  <c r="X79" i="1" s="1"/>
  <c r="AG79" i="1"/>
  <c r="AH79" i="1" s="1"/>
  <c r="BD79" i="1"/>
  <c r="BN79" i="1"/>
  <c r="BA79" i="1"/>
  <c r="BB79" i="1" s="1"/>
  <c r="P79" i="1"/>
  <c r="BP79" i="1"/>
  <c r="BQ79" i="1" s="1"/>
  <c r="BK79" i="1"/>
  <c r="BL79" i="1" s="1"/>
  <c r="AV49" i="1"/>
  <c r="AW49" i="1" s="1"/>
  <c r="AB49" i="1"/>
  <c r="AC49" i="1" s="1"/>
  <c r="BU49" i="1"/>
  <c r="BV49" i="1" s="1"/>
  <c r="BD49" i="1"/>
  <c r="BP49" i="1"/>
  <c r="BQ49" i="1" s="1"/>
  <c r="BA49" i="1"/>
  <c r="BB49" i="1" s="1"/>
  <c r="P49" i="1"/>
  <c r="AG49" i="1"/>
  <c r="AH49" i="1" s="1"/>
  <c r="AQ41" i="1"/>
  <c r="AR41" i="1" s="1"/>
  <c r="AG41" i="1"/>
  <c r="AH41" i="1" s="1"/>
  <c r="W41" i="1"/>
  <c r="X41" i="1" s="1"/>
  <c r="AV41" i="1"/>
  <c r="AW41" i="1" s="1"/>
  <c r="BS41" i="1"/>
  <c r="BF41" i="1"/>
  <c r="BG41" i="1" s="1"/>
  <c r="AO41" i="1"/>
  <c r="U41" i="1"/>
  <c r="BP41" i="1"/>
  <c r="BQ41" i="1" s="1"/>
  <c r="AJ41" i="1"/>
  <c r="R41" i="1"/>
  <c r="S41" i="1" s="1"/>
  <c r="BD41" i="1"/>
  <c r="BA41" i="1"/>
  <c r="BB41" i="1" s="1"/>
  <c r="Z31" i="1"/>
  <c r="AQ31" i="1"/>
  <c r="AR31" i="1" s="1"/>
  <c r="AL31" i="1"/>
  <c r="AM31" i="1" s="1"/>
  <c r="BN31" i="1"/>
  <c r="AT31" i="1"/>
  <c r="AY31" i="1"/>
  <c r="W31" i="1"/>
  <c r="X31" i="1" s="1"/>
  <c r="AB21" i="1"/>
  <c r="AC21" i="1" s="1"/>
  <c r="BF21" i="1"/>
  <c r="BG21" i="1" s="1"/>
  <c r="BA21" i="1"/>
  <c r="BB21" i="1" s="1"/>
  <c r="BK21" i="1"/>
  <c r="BL21" i="1" s="1"/>
  <c r="BP21" i="1"/>
  <c r="BQ21" i="1" s="1"/>
  <c r="AJ21" i="1"/>
  <c r="AO21" i="1"/>
  <c r="BN21" i="1"/>
  <c r="BS21" i="1"/>
  <c r="AQ13" i="1"/>
  <c r="AR13" i="1" s="1"/>
  <c r="W13" i="1"/>
  <c r="X13" i="1" s="1"/>
  <c r="R13" i="1"/>
  <c r="S13" i="1" s="1"/>
  <c r="AG13" i="1"/>
  <c r="AH13" i="1" s="1"/>
  <c r="BF13" i="1"/>
  <c r="BG13" i="1" s="1"/>
  <c r="Z13" i="1"/>
  <c r="AE13" i="1"/>
  <c r="AJ13" i="1"/>
  <c r="AY13" i="1"/>
  <c r="BD13" i="1"/>
  <c r="BA13" i="1"/>
  <c r="BB13" i="1" s="1"/>
  <c r="BK13" i="1"/>
  <c r="BL13" i="1" s="1"/>
  <c r="AO13" i="1"/>
  <c r="BI21" i="1"/>
  <c r="AT41" i="1"/>
  <c r="R71" i="1"/>
  <c r="S71" i="1" s="1"/>
  <c r="AJ71" i="1"/>
  <c r="Z80" i="1"/>
  <c r="AY80" i="1"/>
  <c r="BS82" i="1"/>
  <c r="BD89" i="1"/>
  <c r="AT90" i="1"/>
  <c r="AE91" i="1"/>
  <c r="U97" i="1"/>
  <c r="Z98" i="1"/>
  <c r="U105" i="1"/>
  <c r="AO105" i="1"/>
  <c r="R106" i="1"/>
  <c r="S106" i="1" s="1"/>
  <c r="AO106" i="1"/>
  <c r="Z107" i="1"/>
  <c r="AY107" i="1"/>
  <c r="Z108" i="1"/>
  <c r="AT108" i="1"/>
  <c r="Z109" i="1"/>
  <c r="AT109" i="1"/>
  <c r="P116" i="1"/>
  <c r="BF126" i="1"/>
  <c r="BG126" i="1" s="1"/>
  <c r="BD129" i="1"/>
  <c r="BU129" i="1"/>
  <c r="BV129" i="1" s="1"/>
  <c r="R138" i="1"/>
  <c r="S138" i="1" s="1"/>
  <c r="AJ138" i="1"/>
  <c r="BD138" i="1"/>
  <c r="BU138" i="1"/>
  <c r="BV138" i="1" s="1"/>
  <c r="P144" i="1"/>
  <c r="BP144" i="1"/>
  <c r="BQ144" i="1" s="1"/>
  <c r="BA182" i="1"/>
  <c r="BB182" i="1" s="1"/>
  <c r="AY187" i="1"/>
  <c r="AY192" i="1"/>
  <c r="AJ205" i="1"/>
  <c r="AJ244" i="1"/>
  <c r="U253" i="1"/>
  <c r="AQ97" i="1"/>
  <c r="AR97" i="1" s="1"/>
  <c r="BP265" i="1"/>
  <c r="BQ265" i="1" s="1"/>
  <c r="BA265" i="1"/>
  <c r="BB265" i="1" s="1"/>
  <c r="AB265" i="1"/>
  <c r="AC265" i="1" s="1"/>
  <c r="AY265" i="1"/>
  <c r="BD265" i="1"/>
  <c r="AJ265" i="1"/>
  <c r="BP235" i="1"/>
  <c r="BQ235" i="1" s="1"/>
  <c r="AY235" i="1"/>
  <c r="AG235" i="1"/>
  <c r="AH235" i="1" s="1"/>
  <c r="BN235" i="1"/>
  <c r="U235" i="1"/>
  <c r="AO235" i="1"/>
  <c r="P235" i="1"/>
  <c r="BF235" i="1"/>
  <c r="BG235" i="1" s="1"/>
  <c r="BA235" i="1"/>
  <c r="BB235" i="1" s="1"/>
  <c r="BS235" i="1"/>
  <c r="R235" i="1"/>
  <c r="S235" i="1" s="1"/>
  <c r="BA205" i="1"/>
  <c r="BB205" i="1" s="1"/>
  <c r="AE205" i="1"/>
  <c r="BK205" i="1"/>
  <c r="BL205" i="1" s="1"/>
  <c r="P205" i="1"/>
  <c r="BP205" i="1"/>
  <c r="BQ205" i="1" s="1"/>
  <c r="AT205" i="1"/>
  <c r="W205" i="1"/>
  <c r="X205" i="1" s="1"/>
  <c r="AY205" i="1"/>
  <c r="BK24" i="1"/>
  <c r="BL24" i="1" s="1"/>
  <c r="R108" i="1"/>
  <c r="S108" i="1" s="1"/>
  <c r="R109" i="1"/>
  <c r="S109" i="1" s="1"/>
  <c r="BF109" i="1"/>
  <c r="BG109" i="1" s="1"/>
  <c r="AY197" i="1"/>
  <c r="AB253" i="1"/>
  <c r="AC253" i="1" s="1"/>
  <c r="W252" i="1"/>
  <c r="X252" i="1" s="1"/>
  <c r="BS252" i="1"/>
  <c r="BF252" i="1"/>
  <c r="BG252" i="1" s="1"/>
  <c r="AO252" i="1"/>
  <c r="U252" i="1"/>
  <c r="BD252" i="1"/>
  <c r="BK252" i="1"/>
  <c r="BL252" i="1" s="1"/>
  <c r="AV252" i="1"/>
  <c r="AW252" i="1" s="1"/>
  <c r="BI252" i="1"/>
  <c r="R252" i="1"/>
  <c r="S252" i="1" s="1"/>
  <c r="AQ252" i="1"/>
  <c r="AR252" i="1" s="1"/>
  <c r="P252" i="1"/>
  <c r="Z252" i="1"/>
  <c r="BN252" i="1"/>
  <c r="BA252" i="1"/>
  <c r="BB252" i="1" s="1"/>
  <c r="AE252" i="1"/>
  <c r="BU252" i="1"/>
  <c r="BV252" i="1" s="1"/>
  <c r="AT252" i="1"/>
  <c r="BS234" i="1"/>
  <c r="BF234" i="1"/>
  <c r="BG234" i="1" s="1"/>
  <c r="AO234" i="1"/>
  <c r="U234" i="1"/>
  <c r="BD234" i="1"/>
  <c r="BN234" i="1"/>
  <c r="Z234" i="1"/>
  <c r="AB234" i="1"/>
  <c r="AC234" i="1" s="1"/>
  <c r="AT234" i="1"/>
  <c r="BU234" i="1"/>
  <c r="BV234" i="1" s="1"/>
  <c r="BA234" i="1"/>
  <c r="BB234" i="1" s="1"/>
  <c r="AY234" i="1"/>
  <c r="AL234" i="1"/>
  <c r="AM234" i="1" s="1"/>
  <c r="BP234" i="1"/>
  <c r="BQ234" i="1" s="1"/>
  <c r="R234" i="1"/>
  <c r="S234" i="1" s="1"/>
  <c r="P234" i="1"/>
  <c r="AG222" i="1"/>
  <c r="AH222" i="1" s="1"/>
  <c r="BP222" i="1"/>
  <c r="BQ222" i="1" s="1"/>
  <c r="AJ222" i="1"/>
  <c r="R222" i="1"/>
  <c r="S222" i="1" s="1"/>
  <c r="W222" i="1"/>
  <c r="X222" i="1" s="1"/>
  <c r="BN222" i="1"/>
  <c r="BA222" i="1"/>
  <c r="BB222" i="1" s="1"/>
  <c r="P222" i="1"/>
  <c r="AL222" i="1"/>
  <c r="AM222" i="1" s="1"/>
  <c r="AB222" i="1"/>
  <c r="AC222" i="1" s="1"/>
  <c r="AY222" i="1"/>
  <c r="Z222" i="1"/>
  <c r="BK222" i="1"/>
  <c r="BL222" i="1" s="1"/>
  <c r="BS222" i="1"/>
  <c r="BF222" i="1"/>
  <c r="BG222" i="1" s="1"/>
  <c r="BU222" i="1"/>
  <c r="BV222" i="1" s="1"/>
  <c r="AV214" i="1"/>
  <c r="AW214" i="1" s="1"/>
  <c r="BD214" i="1"/>
  <c r="BP214" i="1"/>
  <c r="BQ214" i="1" s="1"/>
  <c r="AJ214" i="1"/>
  <c r="R214" i="1"/>
  <c r="S214" i="1" s="1"/>
  <c r="AQ214" i="1"/>
  <c r="AR214" i="1" s="1"/>
  <c r="BS214" i="1"/>
  <c r="BN214" i="1"/>
  <c r="AY214" i="1"/>
  <c r="BK214" i="1"/>
  <c r="BL214" i="1" s="1"/>
  <c r="U214" i="1"/>
  <c r="P214" i="1"/>
  <c r="AE214" i="1"/>
  <c r="BA214" i="1"/>
  <c r="BB214" i="1" s="1"/>
  <c r="AL204" i="1"/>
  <c r="AM204" i="1" s="1"/>
  <c r="BI204" i="1"/>
  <c r="AT204" i="1"/>
  <c r="Z204" i="1"/>
  <c r="W204" i="1"/>
  <c r="X204" i="1" s="1"/>
  <c r="BU204" i="1"/>
  <c r="BV204" i="1" s="1"/>
  <c r="AO204" i="1"/>
  <c r="BS204" i="1"/>
  <c r="BD204" i="1"/>
  <c r="AJ204" i="1"/>
  <c r="P204" i="1"/>
  <c r="BN204" i="1"/>
  <c r="BK204" i="1"/>
  <c r="BL204" i="1" s="1"/>
  <c r="W194" i="1"/>
  <c r="X194" i="1" s="1"/>
  <c r="AG194" i="1"/>
  <c r="AH194" i="1" s="1"/>
  <c r="BI194" i="1"/>
  <c r="AT194" i="1"/>
  <c r="Z194" i="1"/>
  <c r="BU194" i="1"/>
  <c r="BV194" i="1" s="1"/>
  <c r="AO194" i="1"/>
  <c r="BF194" i="1"/>
  <c r="BG194" i="1" s="1"/>
  <c r="AJ194" i="1"/>
  <c r="P194" i="1"/>
  <c r="AE194" i="1"/>
  <c r="BA194" i="1"/>
  <c r="BB194" i="1" s="1"/>
  <c r="U194" i="1"/>
  <c r="AV194" i="1"/>
  <c r="AW194" i="1" s="1"/>
  <c r="BN194" i="1"/>
  <c r="R194" i="1"/>
  <c r="S194" i="1" s="1"/>
  <c r="AL194" i="1"/>
  <c r="AM194" i="1" s="1"/>
  <c r="BD186" i="1"/>
  <c r="AB186" i="1"/>
  <c r="AC186" i="1" s="1"/>
  <c r="AQ186" i="1"/>
  <c r="AR186" i="1" s="1"/>
  <c r="BI186" i="1"/>
  <c r="AO186" i="1"/>
  <c r="U186" i="1"/>
  <c r="BS186" i="1"/>
  <c r="AJ186" i="1"/>
  <c r="R186" i="1"/>
  <c r="S186" i="1" s="1"/>
  <c r="W186" i="1"/>
  <c r="X186" i="1" s="1"/>
  <c r="BU186" i="1"/>
  <c r="BV186" i="1" s="1"/>
  <c r="AE186" i="1"/>
  <c r="BA186" i="1"/>
  <c r="BB186" i="1" s="1"/>
  <c r="BW168" i="1"/>
  <c r="BX168" i="1" s="1"/>
  <c r="AT168" i="1"/>
  <c r="AQ158" i="1"/>
  <c r="AR158" i="1" s="1"/>
  <c r="BP158" i="1"/>
  <c r="BQ158" i="1" s="1"/>
  <c r="AJ158" i="1"/>
  <c r="P158" i="1"/>
  <c r="AY158" i="1"/>
  <c r="AE158" i="1"/>
  <c r="AB158" i="1"/>
  <c r="AC158" i="1" s="1"/>
  <c r="AO158" i="1"/>
  <c r="BS158" i="1"/>
  <c r="BD158" i="1"/>
  <c r="AG158" i="1"/>
  <c r="AH158" i="1" s="1"/>
  <c r="BU158" i="1"/>
  <c r="BV158" i="1" s="1"/>
  <c r="Z158" i="1"/>
  <c r="BA158" i="1"/>
  <c r="BB158" i="1" s="1"/>
  <c r="AB148" i="1"/>
  <c r="AC148" i="1" s="1"/>
  <c r="AV148" i="1"/>
  <c r="AW148" i="1" s="1"/>
  <c r="AY148" i="1"/>
  <c r="AE148" i="1"/>
  <c r="BI148" i="1"/>
  <c r="AT148" i="1"/>
  <c r="Z148" i="1"/>
  <c r="P148" i="1"/>
  <c r="BP148" i="1"/>
  <c r="BQ148" i="1" s="1"/>
  <c r="BA148" i="1"/>
  <c r="BB148" i="1" s="1"/>
  <c r="BK148" i="1"/>
  <c r="BL148" i="1" s="1"/>
  <c r="AO148" i="1"/>
  <c r="R148" i="1"/>
  <c r="S148" i="1" s="1"/>
  <c r="AG138" i="1"/>
  <c r="AH138" i="1" s="1"/>
  <c r="W138" i="1"/>
  <c r="X138" i="1" s="1"/>
  <c r="BK138" i="1"/>
  <c r="BL138" i="1" s="1"/>
  <c r="BP138" i="1"/>
  <c r="BQ138" i="1" s="1"/>
  <c r="BA138" i="1"/>
  <c r="BB138" i="1" s="1"/>
  <c r="P138" i="1"/>
  <c r="AG118" i="1"/>
  <c r="AH118" i="1" s="1"/>
  <c r="AB118" i="1"/>
  <c r="AC118" i="1" s="1"/>
  <c r="BD118" i="1"/>
  <c r="BN118" i="1"/>
  <c r="BA118" i="1"/>
  <c r="BB118" i="1" s="1"/>
  <c r="P118" i="1"/>
  <c r="W118" i="1"/>
  <c r="X118" i="1" s="1"/>
  <c r="BK118" i="1"/>
  <c r="BL118" i="1" s="1"/>
  <c r="AB107" i="1"/>
  <c r="AC107" i="1" s="1"/>
  <c r="AL107" i="1"/>
  <c r="AM107" i="1" s="1"/>
  <c r="BK107" i="1"/>
  <c r="BL107" i="1" s="1"/>
  <c r="BU107" i="1"/>
  <c r="BV107" i="1" s="1"/>
  <c r="BF107" i="1"/>
  <c r="BG107" i="1" s="1"/>
  <c r="AO107" i="1"/>
  <c r="U107" i="1"/>
  <c r="AJ107" i="1"/>
  <c r="R107" i="1"/>
  <c r="S107" i="1" s="1"/>
  <c r="AV99" i="1"/>
  <c r="AW99" i="1" s="1"/>
  <c r="W99" i="1"/>
  <c r="X99" i="1" s="1"/>
  <c r="AG99" i="1"/>
  <c r="AH99" i="1" s="1"/>
  <c r="BS99" i="1"/>
  <c r="BF99" i="1"/>
  <c r="BG99" i="1" s="1"/>
  <c r="AO99" i="1"/>
  <c r="U99" i="1"/>
  <c r="BP99" i="1"/>
  <c r="BQ99" i="1" s="1"/>
  <c r="AJ99" i="1"/>
  <c r="R99" i="1"/>
  <c r="S99" i="1" s="1"/>
  <c r="BI99" i="1"/>
  <c r="P99" i="1"/>
  <c r="AL91" i="1"/>
  <c r="AM91" i="1" s="1"/>
  <c r="AB91" i="1"/>
  <c r="AC91" i="1" s="1"/>
  <c r="W91" i="1"/>
  <c r="X91" i="1" s="1"/>
  <c r="AQ91" i="1"/>
  <c r="AR91" i="1" s="1"/>
  <c r="BI91" i="1"/>
  <c r="AT91" i="1"/>
  <c r="Z91" i="1"/>
  <c r="BS91" i="1"/>
  <c r="BF91" i="1"/>
  <c r="BG91" i="1" s="1"/>
  <c r="AO91" i="1"/>
  <c r="U91" i="1"/>
  <c r="R91" i="1"/>
  <c r="S91" i="1" s="1"/>
  <c r="AV91" i="1"/>
  <c r="AW91" i="1" s="1"/>
  <c r="AJ91" i="1"/>
  <c r="BW81" i="1"/>
  <c r="BX81" i="1" s="1"/>
  <c r="BK81" i="1"/>
  <c r="BL81" i="1" s="1"/>
  <c r="BU81" i="1"/>
  <c r="BV81" i="1" s="1"/>
  <c r="BN81" i="1"/>
  <c r="AY81" i="1"/>
  <c r="AE81" i="1"/>
  <c r="BI81" i="1"/>
  <c r="AT81" i="1"/>
  <c r="Z81" i="1"/>
  <c r="AL71" i="1"/>
  <c r="AM71" i="1" s="1"/>
  <c r="W71" i="1"/>
  <c r="X71" i="1" s="1"/>
  <c r="BN71" i="1"/>
  <c r="BA71" i="1"/>
  <c r="BB71" i="1" s="1"/>
  <c r="P71" i="1"/>
  <c r="BK71" i="1"/>
  <c r="BL71" i="1" s="1"/>
  <c r="BS71" i="1"/>
  <c r="BP71" i="1"/>
  <c r="BQ71" i="1" s="1"/>
  <c r="BP61" i="1"/>
  <c r="BQ61" i="1" s="1"/>
  <c r="AJ61" i="1"/>
  <c r="AE61" i="1"/>
  <c r="BK53" i="1"/>
  <c r="BL53" i="1" s="1"/>
  <c r="BU53" i="1"/>
  <c r="BV53" i="1" s="1"/>
  <c r="AE43" i="1"/>
  <c r="AY43" i="1"/>
  <c r="AG23" i="1"/>
  <c r="AH23" i="1" s="1"/>
  <c r="BD23" i="1"/>
  <c r="BS23" i="1"/>
  <c r="AY23" i="1"/>
  <c r="BK23" i="1"/>
  <c r="BL23" i="1" s="1"/>
  <c r="BP23" i="1"/>
  <c r="BQ23" i="1" s="1"/>
  <c r="AJ23" i="1"/>
  <c r="AO23" i="1"/>
  <c r="AV15" i="1"/>
  <c r="AW15" i="1" s="1"/>
  <c r="W15" i="1"/>
  <c r="X15" i="1" s="1"/>
  <c r="BU15" i="1"/>
  <c r="BV15" i="1" s="1"/>
  <c r="R15" i="1"/>
  <c r="S15" i="1" s="1"/>
  <c r="AO15" i="1"/>
  <c r="AT15" i="1"/>
  <c r="AY15" i="1"/>
  <c r="BI15" i="1"/>
  <c r="BN15" i="1"/>
  <c r="BF15" i="1"/>
  <c r="BG15" i="1" s="1"/>
  <c r="Z15" i="1"/>
  <c r="AE15" i="1"/>
  <c r="AJ15" i="1"/>
  <c r="AL15" i="1"/>
  <c r="AM15" i="1" s="1"/>
  <c r="AJ16" i="1"/>
  <c r="AE23" i="1"/>
  <c r="BA15" i="1"/>
  <c r="BB15" i="1" s="1"/>
  <c r="BD44" i="1"/>
  <c r="BS44" i="1"/>
  <c r="AT54" i="1"/>
  <c r="BP54" i="1"/>
  <c r="BQ54" i="1" s="1"/>
  <c r="P81" i="1"/>
  <c r="U82" i="1"/>
  <c r="AO82" i="1"/>
  <c r="AY91" i="1"/>
  <c r="BP91" i="1"/>
  <c r="BQ91" i="1" s="1"/>
  <c r="BN99" i="1"/>
  <c r="AE100" i="1"/>
  <c r="BD100" i="1"/>
  <c r="P107" i="1"/>
  <c r="BI107" i="1"/>
  <c r="BF108" i="1"/>
  <c r="BG108" i="1" s="1"/>
  <c r="U118" i="1"/>
  <c r="AO118" i="1"/>
  <c r="BI118" i="1"/>
  <c r="BP129" i="1"/>
  <c r="BQ129" i="1" s="1"/>
  <c r="BN138" i="1"/>
  <c r="BK139" i="1"/>
  <c r="BL139" i="1" s="1"/>
  <c r="BD148" i="1"/>
  <c r="R158" i="1"/>
  <c r="S158" i="1" s="1"/>
  <c r="AE177" i="1"/>
  <c r="BD177" i="1"/>
  <c r="BP186" i="1"/>
  <c r="BQ186" i="1" s="1"/>
  <c r="Z205" i="1"/>
  <c r="BF214" i="1"/>
  <c r="BG214" i="1" s="1"/>
  <c r="AO222" i="1"/>
  <c r="BD235" i="1"/>
  <c r="BD244" i="1"/>
  <c r="AB252" i="1"/>
  <c r="AC252" i="1" s="1"/>
  <c r="BP251" i="1"/>
  <c r="BQ251" i="1" s="1"/>
  <c r="AJ251" i="1"/>
  <c r="R251" i="1"/>
  <c r="S251" i="1" s="1"/>
  <c r="AB251" i="1"/>
  <c r="AC251" i="1" s="1"/>
  <c r="BN251" i="1"/>
  <c r="BA251" i="1"/>
  <c r="BB251" i="1" s="1"/>
  <c r="P251" i="1"/>
  <c r="AV251" i="1"/>
  <c r="AW251" i="1" s="1"/>
  <c r="BK251" i="1"/>
  <c r="BL251" i="1" s="1"/>
  <c r="AT251" i="1"/>
  <c r="W251" i="1"/>
  <c r="X251" i="1" s="1"/>
  <c r="BI251" i="1"/>
  <c r="U251" i="1"/>
  <c r="BD251" i="1"/>
  <c r="AE251" i="1"/>
  <c r="BU251" i="1"/>
  <c r="BV251" i="1" s="1"/>
  <c r="AY251" i="1"/>
  <c r="Z251" i="1"/>
  <c r="BF251" i="1"/>
  <c r="BG251" i="1" s="1"/>
  <c r="AQ251" i="1"/>
  <c r="AR251" i="1" s="1"/>
  <c r="AQ243" i="1"/>
  <c r="AR243" i="1" s="1"/>
  <c r="BS243" i="1"/>
  <c r="BF243" i="1"/>
  <c r="BG243" i="1" s="1"/>
  <c r="AO243" i="1"/>
  <c r="U243" i="1"/>
  <c r="BD243" i="1"/>
  <c r="BU243" i="1"/>
  <c r="BV243" i="1" s="1"/>
  <c r="AB243" i="1"/>
  <c r="AC243" i="1" s="1"/>
  <c r="BA243" i="1"/>
  <c r="BB243" i="1" s="1"/>
  <c r="AE243" i="1"/>
  <c r="BK243" i="1"/>
  <c r="BL243" i="1" s="1"/>
  <c r="P243" i="1"/>
  <c r="AG243" i="1"/>
  <c r="AH243" i="1" s="1"/>
  <c r="BP243" i="1"/>
  <c r="BQ243" i="1" s="1"/>
  <c r="AT243" i="1"/>
  <c r="BI243" i="1"/>
  <c r="Z243" i="1"/>
  <c r="AY243" i="1"/>
  <c r="W221" i="1"/>
  <c r="X221" i="1" s="1"/>
  <c r="AY221" i="1"/>
  <c r="AE221" i="1"/>
  <c r="BK221" i="1"/>
  <c r="BL221" i="1" s="1"/>
  <c r="BP221" i="1"/>
  <c r="BQ221" i="1" s="1"/>
  <c r="BA221" i="1"/>
  <c r="BB221" i="1" s="1"/>
  <c r="AG221" i="1"/>
  <c r="AH221" i="1" s="1"/>
  <c r="R221" i="1"/>
  <c r="S221" i="1" s="1"/>
  <c r="BU221" i="1"/>
  <c r="BV221" i="1" s="1"/>
  <c r="BD221" i="1"/>
  <c r="AL221" i="1"/>
  <c r="AM221" i="1" s="1"/>
  <c r="BI221" i="1"/>
  <c r="P221" i="1"/>
  <c r="BF221" i="1"/>
  <c r="BG221" i="1" s="1"/>
  <c r="AB221" i="1"/>
  <c r="AC221" i="1" s="1"/>
  <c r="AO221" i="1"/>
  <c r="AJ221" i="1"/>
  <c r="AV213" i="1"/>
  <c r="AW213" i="1" s="1"/>
  <c r="AL213" i="1"/>
  <c r="AM213" i="1" s="1"/>
  <c r="BN213" i="1"/>
  <c r="BA213" i="1"/>
  <c r="BB213" i="1" s="1"/>
  <c r="P213" i="1"/>
  <c r="AY213" i="1"/>
  <c r="AE213" i="1"/>
  <c r="R213" i="1"/>
  <c r="S213" i="1" s="1"/>
  <c r="BS213" i="1"/>
  <c r="BD213" i="1"/>
  <c r="BK213" i="1"/>
  <c r="BL213" i="1" s="1"/>
  <c r="AO213" i="1"/>
  <c r="AJ213" i="1"/>
  <c r="BU213" i="1"/>
  <c r="BV213" i="1" s="1"/>
  <c r="U213" i="1"/>
  <c r="BP213" i="1"/>
  <c r="BQ213" i="1" s="1"/>
  <c r="BW193" i="1"/>
  <c r="BX193" i="1" s="1"/>
  <c r="BI193" i="1"/>
  <c r="Z193" i="1"/>
  <c r="AT193" i="1"/>
  <c r="BW183" i="1"/>
  <c r="BX183" i="1" s="1"/>
  <c r="AL183" i="1"/>
  <c r="AM183" i="1" s="1"/>
  <c r="AG183" i="1"/>
  <c r="AH183" i="1" s="1"/>
  <c r="AB183" i="1"/>
  <c r="AC183" i="1" s="1"/>
  <c r="BN183" i="1"/>
  <c r="BA183" i="1"/>
  <c r="BB183" i="1" s="1"/>
  <c r="P183" i="1"/>
  <c r="BU183" i="1"/>
  <c r="BV183" i="1" s="1"/>
  <c r="BF183" i="1"/>
  <c r="BG183" i="1" s="1"/>
  <c r="AV183" i="1"/>
  <c r="AW183" i="1" s="1"/>
  <c r="AT183" i="1"/>
  <c r="Z183" i="1"/>
  <c r="W183" i="1"/>
  <c r="X183" i="1" s="1"/>
  <c r="BI183" i="1"/>
  <c r="AO183" i="1"/>
  <c r="U183" i="1"/>
  <c r="BP183" i="1"/>
  <c r="BQ183" i="1" s="1"/>
  <c r="R183" i="1"/>
  <c r="S183" i="1" s="1"/>
  <c r="AV165" i="1"/>
  <c r="AW165" i="1" s="1"/>
  <c r="AL165" i="1"/>
  <c r="AM165" i="1" s="1"/>
  <c r="BS165" i="1"/>
  <c r="BF165" i="1"/>
  <c r="BG165" i="1" s="1"/>
  <c r="AO165" i="1"/>
  <c r="U165" i="1"/>
  <c r="BP165" i="1"/>
  <c r="BQ165" i="1" s="1"/>
  <c r="AJ165" i="1"/>
  <c r="R165" i="1"/>
  <c r="S165" i="1" s="1"/>
  <c r="BU165" i="1"/>
  <c r="BV165" i="1" s="1"/>
  <c r="AE165" i="1"/>
  <c r="BN165" i="1"/>
  <c r="AY165" i="1"/>
  <c r="Z165" i="1"/>
  <c r="BA165" i="1"/>
  <c r="BB165" i="1" s="1"/>
  <c r="AV155" i="1"/>
  <c r="AW155" i="1" s="1"/>
  <c r="AG155" i="1"/>
  <c r="AH155" i="1" s="1"/>
  <c r="AQ155" i="1"/>
  <c r="AR155" i="1" s="1"/>
  <c r="BN155" i="1"/>
  <c r="BA155" i="1"/>
  <c r="BB155" i="1" s="1"/>
  <c r="P155" i="1"/>
  <c r="BK155" i="1"/>
  <c r="BL155" i="1" s="1"/>
  <c r="BI155" i="1"/>
  <c r="BF155" i="1"/>
  <c r="BG155" i="1" s="1"/>
  <c r="BS155" i="1"/>
  <c r="AT155" i="1"/>
  <c r="Z155" i="1"/>
  <c r="AJ117" i="1"/>
  <c r="BF117" i="1"/>
  <c r="BG117" i="1" s="1"/>
  <c r="BW98" i="1"/>
  <c r="BX98" i="1" s="1"/>
  <c r="BP98" i="1"/>
  <c r="BQ98" i="1" s="1"/>
  <c r="AJ98" i="1"/>
  <c r="R98" i="1"/>
  <c r="S98" i="1" s="1"/>
  <c r="AY98" i="1"/>
  <c r="AE98" i="1"/>
  <c r="BI98" i="1"/>
  <c r="BW90" i="1"/>
  <c r="BX90" i="1" s="1"/>
  <c r="BS90" i="1"/>
  <c r="BF90" i="1"/>
  <c r="BG90" i="1" s="1"/>
  <c r="AO90" i="1"/>
  <c r="U90" i="1"/>
  <c r="BP90" i="1"/>
  <c r="BQ90" i="1" s="1"/>
  <c r="AJ90" i="1"/>
  <c r="R90" i="1"/>
  <c r="S90" i="1" s="1"/>
  <c r="BI90" i="1"/>
  <c r="P90" i="1"/>
  <c r="BD90" i="1"/>
  <c r="BU80" i="1"/>
  <c r="BV80" i="1" s="1"/>
  <c r="BD80" i="1"/>
  <c r="AO80" i="1"/>
  <c r="U80" i="1"/>
  <c r="AL80" i="1"/>
  <c r="AM80" i="1" s="1"/>
  <c r="AG80" i="1"/>
  <c r="AH80" i="1" s="1"/>
  <c r="AJ80" i="1"/>
  <c r="R80" i="1"/>
  <c r="S80" i="1" s="1"/>
  <c r="AG60" i="1"/>
  <c r="AH60" i="1" s="1"/>
  <c r="BU60" i="1"/>
  <c r="BV60" i="1" s="1"/>
  <c r="BD60" i="1"/>
  <c r="BK60" i="1"/>
  <c r="BL60" i="1" s="1"/>
  <c r="AT60" i="1"/>
  <c r="Z60" i="1"/>
  <c r="AO60" i="1"/>
  <c r="U60" i="1"/>
  <c r="BU52" i="1"/>
  <c r="BV52" i="1" s="1"/>
  <c r="BD52" i="1"/>
  <c r="AB52" i="1"/>
  <c r="AC52" i="1" s="1"/>
  <c r="BS52" i="1"/>
  <c r="BF52" i="1"/>
  <c r="BG52" i="1" s="1"/>
  <c r="BP52" i="1"/>
  <c r="BQ52" i="1" s="1"/>
  <c r="BA52" i="1"/>
  <c r="BB52" i="1" s="1"/>
  <c r="P52" i="1"/>
  <c r="BW42" i="1"/>
  <c r="BX42" i="1" s="1"/>
  <c r="W42" i="1"/>
  <c r="X42" i="1" s="1"/>
  <c r="AB32" i="1"/>
  <c r="AC32" i="1" s="1"/>
  <c r="AO32" i="1"/>
  <c r="W32" i="1"/>
  <c r="X32" i="1" s="1"/>
  <c r="U32" i="1"/>
  <c r="BS32" i="1"/>
  <c r="BU32" i="1"/>
  <c r="BV32" i="1" s="1"/>
  <c r="R22" i="1"/>
  <c r="S22" i="1" s="1"/>
  <c r="BA22" i="1"/>
  <c r="BB22" i="1" s="1"/>
  <c r="BF22" i="1"/>
  <c r="BG22" i="1" s="1"/>
  <c r="BU22" i="1"/>
  <c r="BV22" i="1" s="1"/>
  <c r="Z22" i="1"/>
  <c r="AE22" i="1"/>
  <c r="AT22" i="1"/>
  <c r="BW14" i="1"/>
  <c r="BX14" i="1" s="1"/>
  <c r="AV14" i="1"/>
  <c r="AW14" i="1" s="1"/>
  <c r="AQ14" i="1"/>
  <c r="AR14" i="1" s="1"/>
  <c r="W14" i="1"/>
  <c r="X14" i="1" s="1"/>
  <c r="AG14" i="1"/>
  <c r="AH14" i="1" s="1"/>
  <c r="AL14" i="1"/>
  <c r="AM14" i="1" s="1"/>
  <c r="AB14" i="1"/>
  <c r="AC14" i="1" s="1"/>
  <c r="BA14" i="1"/>
  <c r="BB14" i="1" s="1"/>
  <c r="BD14" i="1"/>
  <c r="BS14" i="1"/>
  <c r="BU14" i="1"/>
  <c r="BV14" i="1" s="1"/>
  <c r="BP14" i="1"/>
  <c r="BQ14" i="1" s="1"/>
  <c r="AT14" i="1"/>
  <c r="BI23" i="1"/>
  <c r="AT23" i="1"/>
  <c r="AJ14" i="1"/>
  <c r="BF44" i="1"/>
  <c r="BG44" i="1" s="1"/>
  <c r="Z52" i="1"/>
  <c r="AT52" i="1"/>
  <c r="Z53" i="1"/>
  <c r="AT53" i="1"/>
  <c r="BP60" i="1"/>
  <c r="BQ60" i="1" s="1"/>
  <c r="BP64" i="1"/>
  <c r="BQ64" i="1" s="1"/>
  <c r="BU71" i="1"/>
  <c r="BV71" i="1" s="1"/>
  <c r="AT80" i="1"/>
  <c r="BK80" i="1"/>
  <c r="BL80" i="1" s="1"/>
  <c r="BP82" i="1"/>
  <c r="BQ82" i="1" s="1"/>
  <c r="BK90" i="1"/>
  <c r="BL90" i="1" s="1"/>
  <c r="AT98" i="1"/>
  <c r="Z99" i="1"/>
  <c r="AJ106" i="1"/>
  <c r="AT107" i="1"/>
  <c r="U108" i="1"/>
  <c r="U109" i="1"/>
  <c r="AY138" i="1"/>
  <c r="BF148" i="1"/>
  <c r="BG148" i="1" s="1"/>
  <c r="BD155" i="1"/>
  <c r="BN158" i="1"/>
  <c r="BF177" i="1"/>
  <c r="BG177" i="1" s="1"/>
  <c r="AY186" i="1"/>
  <c r="BI213" i="1"/>
  <c r="U221" i="1"/>
  <c r="AE234" i="1"/>
  <c r="AE235" i="1"/>
  <c r="BS251" i="1"/>
  <c r="AO253" i="1"/>
  <c r="AE265" i="1"/>
  <c r="AV80" i="1"/>
  <c r="AW80" i="1" s="1"/>
  <c r="AL262" i="1"/>
  <c r="AM262" i="1" s="1"/>
  <c r="BP262" i="1"/>
  <c r="BQ262" i="1" s="1"/>
  <c r="AY262" i="1"/>
  <c r="BN262" i="1"/>
  <c r="R262" i="1"/>
  <c r="S262" i="1" s="1"/>
  <c r="BF262" i="1"/>
  <c r="BG262" i="1" s="1"/>
  <c r="AJ262" i="1"/>
  <c r="P262" i="1"/>
  <c r="AQ262" i="1"/>
  <c r="AR262" i="1" s="1"/>
  <c r="BS262" i="1"/>
  <c r="AO262" i="1"/>
  <c r="BD262" i="1"/>
  <c r="BA262" i="1"/>
  <c r="BB262" i="1" s="1"/>
  <c r="U262" i="1"/>
  <c r="BI232" i="1"/>
  <c r="AT232" i="1"/>
  <c r="Z232" i="1"/>
  <c r="BU232" i="1"/>
  <c r="BV232" i="1" s="1"/>
  <c r="AB232" i="1"/>
  <c r="AC232" i="1" s="1"/>
  <c r="AO232" i="1"/>
  <c r="BF232" i="1"/>
  <c r="BG232" i="1" s="1"/>
  <c r="R232" i="1"/>
  <c r="S232" i="1" s="1"/>
  <c r="AJ232" i="1"/>
  <c r="BD232" i="1"/>
  <c r="AE232" i="1"/>
  <c r="AV232" i="1"/>
  <c r="AW232" i="1" s="1"/>
  <c r="BA232" i="1"/>
  <c r="BB232" i="1" s="1"/>
  <c r="U232" i="1"/>
  <c r="P232" i="1"/>
  <c r="BP232" i="1"/>
  <c r="BQ232" i="1" s="1"/>
  <c r="BI220" i="1"/>
  <c r="AT220" i="1"/>
  <c r="Z220" i="1"/>
  <c r="BU220" i="1"/>
  <c r="BV220" i="1" s="1"/>
  <c r="W220" i="1"/>
  <c r="X220" i="1" s="1"/>
  <c r="BF220" i="1"/>
  <c r="BG220" i="1" s="1"/>
  <c r="R220" i="1"/>
  <c r="S220" i="1" s="1"/>
  <c r="BS220" i="1"/>
  <c r="BD220" i="1"/>
  <c r="AJ220" i="1"/>
  <c r="P220" i="1"/>
  <c r="BA220" i="1"/>
  <c r="BB220" i="1" s="1"/>
  <c r="U220" i="1"/>
  <c r="BP220" i="1"/>
  <c r="BQ220" i="1" s="1"/>
  <c r="AB182" i="1"/>
  <c r="AC182" i="1" s="1"/>
  <c r="AG182" i="1"/>
  <c r="AH182" i="1" s="1"/>
  <c r="BK182" i="1"/>
  <c r="BL182" i="1" s="1"/>
  <c r="W182" i="1"/>
  <c r="X182" i="1" s="1"/>
  <c r="AJ182" i="1"/>
  <c r="R182" i="1"/>
  <c r="S182" i="1" s="1"/>
  <c r="BN182" i="1"/>
  <c r="AY182" i="1"/>
  <c r="AE182" i="1"/>
  <c r="BP182" i="1"/>
  <c r="BQ182" i="1" s="1"/>
  <c r="BI182" i="1"/>
  <c r="AO182" i="1"/>
  <c r="P182" i="1"/>
  <c r="AV174" i="1"/>
  <c r="AW174" i="1" s="1"/>
  <c r="AB174" i="1"/>
  <c r="AC174" i="1" s="1"/>
  <c r="W174" i="1"/>
  <c r="X174" i="1" s="1"/>
  <c r="AY174" i="1"/>
  <c r="AE174" i="1"/>
  <c r="BI174" i="1"/>
  <c r="AT174" i="1"/>
  <c r="Z174" i="1"/>
  <c r="BK174" i="1"/>
  <c r="BL174" i="1" s="1"/>
  <c r="AO174" i="1"/>
  <c r="R174" i="1"/>
  <c r="S174" i="1" s="1"/>
  <c r="BU174" i="1"/>
  <c r="BV174" i="1" s="1"/>
  <c r="BF174" i="1"/>
  <c r="BG174" i="1" s="1"/>
  <c r="AJ174" i="1"/>
  <c r="BN174" i="1"/>
  <c r="BD174" i="1"/>
  <c r="BW154" i="1"/>
  <c r="BX154" i="1" s="1"/>
  <c r="P154" i="1"/>
  <c r="W136" i="1"/>
  <c r="X136" i="1" s="1"/>
  <c r="BN136" i="1"/>
  <c r="BA136" i="1"/>
  <c r="BB136" i="1" s="1"/>
  <c r="P136" i="1"/>
  <c r="BI136" i="1"/>
  <c r="AY136" i="1"/>
  <c r="AE136" i="1"/>
  <c r="AT136" i="1"/>
  <c r="Z136" i="1"/>
  <c r="AV136" i="1"/>
  <c r="AW136" i="1" s="1"/>
  <c r="AQ105" i="1"/>
  <c r="AR105" i="1" s="1"/>
  <c r="AL105" i="1"/>
  <c r="AM105" i="1" s="1"/>
  <c r="AG105" i="1"/>
  <c r="AH105" i="1" s="1"/>
  <c r="BD105" i="1"/>
  <c r="AB105" i="1"/>
  <c r="AC105" i="1" s="1"/>
  <c r="BN105" i="1"/>
  <c r="BA105" i="1"/>
  <c r="BB105" i="1" s="1"/>
  <c r="P105" i="1"/>
  <c r="BS105" i="1"/>
  <c r="W105" i="1"/>
  <c r="X105" i="1" s="1"/>
  <c r="AB69" i="1"/>
  <c r="AC69" i="1" s="1"/>
  <c r="AQ69" i="1"/>
  <c r="AR69" i="1" s="1"/>
  <c r="AG69" i="1"/>
  <c r="AH69" i="1" s="1"/>
  <c r="W69" i="1"/>
  <c r="X69" i="1" s="1"/>
  <c r="AL69" i="1"/>
  <c r="AM69" i="1" s="1"/>
  <c r="BS69" i="1"/>
  <c r="BF69" i="1"/>
  <c r="BG69" i="1" s="1"/>
  <c r="AO69" i="1"/>
  <c r="U69" i="1"/>
  <c r="BP69" i="1"/>
  <c r="BQ69" i="1" s="1"/>
  <c r="AJ69" i="1"/>
  <c r="R69" i="1"/>
  <c r="S69" i="1" s="1"/>
  <c r="BI69" i="1"/>
  <c r="P69" i="1"/>
  <c r="BS13" i="1"/>
  <c r="BN23" i="1"/>
  <c r="AJ22" i="1"/>
  <c r="Z14" i="1"/>
  <c r="BU31" i="1"/>
  <c r="BV31" i="1" s="1"/>
  <c r="BP15" i="1"/>
  <c r="BQ15" i="1" s="1"/>
  <c r="BF14" i="1"/>
  <c r="BG14" i="1" s="1"/>
  <c r="BA23" i="1"/>
  <c r="BB23" i="1" s="1"/>
  <c r="R14" i="1"/>
  <c r="S14" i="1" s="1"/>
  <c r="BN41" i="1"/>
  <c r="BN42" i="1"/>
  <c r="R44" i="1"/>
  <c r="S44" i="1" s="1"/>
  <c r="AO44" i="1"/>
  <c r="BK44" i="1"/>
  <c r="BL44" i="1" s="1"/>
  <c r="AE52" i="1"/>
  <c r="AY52" i="1"/>
  <c r="AE53" i="1"/>
  <c r="BN53" i="1"/>
  <c r="BS60" i="1"/>
  <c r="U15" i="1"/>
  <c r="BN22" i="1"/>
  <c r="BD15" i="1"/>
  <c r="AY22" i="1"/>
  <c r="BP13" i="1"/>
  <c r="BQ13" i="1" s="1"/>
  <c r="BU23" i="1"/>
  <c r="BV23" i="1" s="1"/>
  <c r="BK15" i="1"/>
  <c r="BL15" i="1" s="1"/>
  <c r="R32" i="1"/>
  <c r="S32" i="1" s="1"/>
  <c r="U49" i="1"/>
  <c r="AO49" i="1"/>
  <c r="BI49" i="1"/>
  <c r="P53" i="1"/>
  <c r="BA53" i="1"/>
  <c r="BB53" i="1" s="1"/>
  <c r="BP53" i="1"/>
  <c r="BQ53" i="1" s="1"/>
  <c r="AE54" i="1"/>
  <c r="BF54" i="1"/>
  <c r="BG54" i="1" s="1"/>
  <c r="BF60" i="1"/>
  <c r="BG60" i="1" s="1"/>
  <c r="Z69" i="1"/>
  <c r="AY69" i="1"/>
  <c r="BF71" i="1"/>
  <c r="BG71" i="1" s="1"/>
  <c r="Z79" i="1"/>
  <c r="AT79" i="1"/>
  <c r="BA80" i="1"/>
  <c r="BB80" i="1" s="1"/>
  <c r="BP80" i="1"/>
  <c r="BQ80" i="1" s="1"/>
  <c r="BA81" i="1"/>
  <c r="BB81" i="1" s="1"/>
  <c r="BS81" i="1"/>
  <c r="AE82" i="1"/>
  <c r="AY82" i="1"/>
  <c r="BU82" i="1"/>
  <c r="BV82" i="1" s="1"/>
  <c r="BS97" i="1"/>
  <c r="BS98" i="1"/>
  <c r="BD99" i="1"/>
  <c r="P100" i="1"/>
  <c r="BN100" i="1"/>
  <c r="BK105" i="1"/>
  <c r="BL105" i="1" s="1"/>
  <c r="BP106" i="1"/>
  <c r="BQ106" i="1" s="1"/>
  <c r="BA107" i="1"/>
  <c r="BB107" i="1" s="1"/>
  <c r="BS109" i="1"/>
  <c r="BA116" i="1"/>
  <c r="BB116" i="1" s="1"/>
  <c r="AO117" i="1"/>
  <c r="BS117" i="1"/>
  <c r="AE118" i="1"/>
  <c r="AY118" i="1"/>
  <c r="BS118" i="1"/>
  <c r="BU119" i="1"/>
  <c r="BV119" i="1" s="1"/>
  <c r="U126" i="1"/>
  <c r="AO126" i="1"/>
  <c r="U127" i="1"/>
  <c r="AO127" i="1"/>
  <c r="BK127" i="1"/>
  <c r="BL127" i="1" s="1"/>
  <c r="AJ129" i="1"/>
  <c r="BF129" i="1"/>
  <c r="BG129" i="1" s="1"/>
  <c r="BS136" i="1"/>
  <c r="BF138" i="1"/>
  <c r="BG138" i="1" s="1"/>
  <c r="AY144" i="1"/>
  <c r="BN148" i="1"/>
  <c r="AO155" i="1"/>
  <c r="BP155" i="1"/>
  <c r="BQ155" i="1" s="1"/>
  <c r="BF158" i="1"/>
  <c r="BG158" i="1" s="1"/>
  <c r="AT164" i="1"/>
  <c r="BU164" i="1"/>
  <c r="BV164" i="1" s="1"/>
  <c r="BI175" i="1"/>
  <c r="Z182" i="1"/>
  <c r="Z192" i="1"/>
  <c r="AE203" i="1"/>
  <c r="U204" i="1"/>
  <c r="AY204" i="1"/>
  <c r="AT213" i="1"/>
  <c r="BK232" i="1"/>
  <c r="BL232" i="1" s="1"/>
  <c r="AJ243" i="1"/>
  <c r="W164" i="1"/>
  <c r="X164" i="1" s="1"/>
  <c r="AB155" i="1"/>
  <c r="AC155" i="1" s="1"/>
  <c r="AB262" i="1"/>
  <c r="AC262" i="1" s="1"/>
  <c r="AQ212" i="1"/>
  <c r="AR212" i="1" s="1"/>
  <c r="AV108" i="1"/>
  <c r="AW108" i="1" s="1"/>
  <c r="BS261" i="1"/>
  <c r="AT261" i="1"/>
  <c r="U261" i="1"/>
  <c r="W261" i="1"/>
  <c r="X261" i="1" s="1"/>
  <c r="BF261" i="1"/>
  <c r="BG261" i="1" s="1"/>
  <c r="Z261" i="1"/>
  <c r="BU261" i="1"/>
  <c r="BV261" i="1" s="1"/>
  <c r="AO261" i="1"/>
  <c r="R249" i="1"/>
  <c r="S249" i="1" s="1"/>
  <c r="AV249" i="1"/>
  <c r="AW249" i="1" s="1"/>
  <c r="BP249" i="1"/>
  <c r="BQ249" i="1" s="1"/>
  <c r="P249" i="1"/>
  <c r="AJ249" i="1"/>
  <c r="BS229" i="1"/>
  <c r="U229" i="1"/>
  <c r="AJ229" i="1"/>
  <c r="AG229" i="1"/>
  <c r="AH229" i="1" s="1"/>
  <c r="BD229" i="1"/>
  <c r="BP229" i="1"/>
  <c r="BQ229" i="1" s="1"/>
  <c r="AV201" i="1"/>
  <c r="AW201" i="1" s="1"/>
  <c r="AB201" i="1"/>
  <c r="AC201" i="1" s="1"/>
  <c r="AT201" i="1"/>
  <c r="AY201" i="1"/>
  <c r="AE191" i="1"/>
  <c r="AY191" i="1"/>
  <c r="Z191" i="1"/>
  <c r="AB181" i="1"/>
  <c r="AC181" i="1" s="1"/>
  <c r="AV181" i="1"/>
  <c r="AW181" i="1" s="1"/>
  <c r="W181" i="1"/>
  <c r="X181" i="1" s="1"/>
  <c r="BU181" i="1"/>
  <c r="BV181" i="1" s="1"/>
  <c r="BS181" i="1"/>
  <c r="AT181" i="1"/>
  <c r="U181" i="1"/>
  <c r="AO181" i="1"/>
  <c r="AB173" i="1"/>
  <c r="AC173" i="1" s="1"/>
  <c r="BF173" i="1"/>
  <c r="BG173" i="1" s="1"/>
  <c r="AB153" i="1"/>
  <c r="AC153" i="1" s="1"/>
  <c r="BP153" i="1"/>
  <c r="BQ153" i="1" s="1"/>
  <c r="R153" i="1"/>
  <c r="S153" i="1" s="1"/>
  <c r="AJ153" i="1"/>
  <c r="AY153" i="1"/>
  <c r="AO143" i="1"/>
  <c r="BS143" i="1"/>
  <c r="BP135" i="1"/>
  <c r="BQ135" i="1" s="1"/>
  <c r="P135" i="1"/>
  <c r="AJ135" i="1"/>
  <c r="AY125" i="1"/>
  <c r="BN125" i="1"/>
  <c r="AO125" i="1"/>
  <c r="AJ125" i="1"/>
  <c r="P125" i="1"/>
  <c r="BN115" i="1"/>
  <c r="U115" i="1"/>
  <c r="R115" i="1"/>
  <c r="S115" i="1" s="1"/>
  <c r="AV104" i="1"/>
  <c r="AW104" i="1" s="1"/>
  <c r="AJ104" i="1"/>
  <c r="W104" i="1"/>
  <c r="X104" i="1" s="1"/>
  <c r="BD104" i="1"/>
  <c r="BD96" i="1"/>
  <c r="Z96" i="1"/>
  <c r="AB88" i="1"/>
  <c r="AC88" i="1" s="1"/>
  <c r="AG88" i="1"/>
  <c r="AH88" i="1" s="1"/>
  <c r="BD88" i="1"/>
  <c r="AG78" i="1"/>
  <c r="AH78" i="1" s="1"/>
  <c r="AB78" i="1"/>
  <c r="AC78" i="1" s="1"/>
  <c r="BI58" i="1"/>
  <c r="AJ58" i="1"/>
  <c r="BU58" i="1"/>
  <c r="BV58" i="1" s="1"/>
  <c r="BP48" i="1"/>
  <c r="BQ48" i="1" s="1"/>
  <c r="Z48" i="1"/>
  <c r="AQ48" i="1"/>
  <c r="AR48" i="1" s="1"/>
  <c r="BK48" i="1"/>
  <c r="BL48" i="1" s="1"/>
  <c r="U48" i="1"/>
  <c r="AG40" i="1"/>
  <c r="AH40" i="1" s="1"/>
  <c r="AB40" i="1"/>
  <c r="AC40" i="1" s="1"/>
  <c r="BP40" i="1"/>
  <c r="BQ40" i="1" s="1"/>
  <c r="AY40" i="1"/>
  <c r="AE40" i="1"/>
  <c r="AT40" i="1"/>
  <c r="Z40" i="1"/>
  <c r="AO30" i="1"/>
  <c r="AB30" i="1"/>
  <c r="AC30" i="1" s="1"/>
  <c r="AT30" i="1"/>
  <c r="AV30" i="1"/>
  <c r="AW30" i="1" s="1"/>
  <c r="BI20" i="1"/>
  <c r="R20" i="1"/>
  <c r="S20" i="1" s="1"/>
  <c r="BS48" i="1"/>
  <c r="BA58" i="1"/>
  <c r="BB58" i="1" s="1"/>
  <c r="BK78" i="1"/>
  <c r="BL78" i="1" s="1"/>
  <c r="U88" i="1"/>
  <c r="BI96" i="1"/>
  <c r="R104" i="1"/>
  <c r="S104" i="1" s="1"/>
  <c r="BA104" i="1"/>
  <c r="BB104" i="1" s="1"/>
  <c r="P115" i="1"/>
  <c r="AO115" i="1"/>
  <c r="BA153" i="1"/>
  <c r="BB153" i="1" s="1"/>
  <c r="BP173" i="1"/>
  <c r="BQ173" i="1" s="1"/>
  <c r="BU40" i="1"/>
  <c r="BV40" i="1" s="1"/>
  <c r="BD48" i="1"/>
  <c r="P68" i="1"/>
  <c r="P78" i="1"/>
  <c r="BN78" i="1"/>
  <c r="BP96" i="1"/>
  <c r="BQ96" i="1" s="1"/>
  <c r="R125" i="1"/>
  <c r="S125" i="1" s="1"/>
  <c r="U143" i="1"/>
  <c r="BD143" i="1"/>
  <c r="BS173" i="1"/>
  <c r="Z181" i="1"/>
  <c r="AQ229" i="1"/>
  <c r="AR229" i="1" s="1"/>
  <c r="AL153" i="1"/>
  <c r="AM153" i="1" s="1"/>
  <c r="Z30" i="1"/>
  <c r="AW18" i="1"/>
  <c r="AC266" i="1"/>
  <c r="AC101" i="1"/>
  <c r="BV200" i="1"/>
  <c r="BF258" i="1"/>
  <c r="BG258" i="1" s="1"/>
  <c r="BD258" i="1"/>
  <c r="AV248" i="1"/>
  <c r="AW248" i="1" s="1"/>
  <c r="BA248" i="1"/>
  <c r="BB248" i="1" s="1"/>
  <c r="P248" i="1"/>
  <c r="AL238" i="1"/>
  <c r="AM238" i="1" s="1"/>
  <c r="AY238" i="1"/>
  <c r="Z238" i="1"/>
  <c r="BI238" i="1"/>
  <c r="AE238" i="1"/>
  <c r="BA228" i="1"/>
  <c r="BB228" i="1" s="1"/>
  <c r="P228" i="1"/>
  <c r="AL218" i="1"/>
  <c r="AM218" i="1" s="1"/>
  <c r="BS218" i="1"/>
  <c r="AO218" i="1"/>
  <c r="AV210" i="1"/>
  <c r="AW210" i="1" s="1"/>
  <c r="BF210" i="1"/>
  <c r="BG210" i="1" s="1"/>
  <c r="AV200" i="1"/>
  <c r="AW200" i="1" s="1"/>
  <c r="BF200" i="1"/>
  <c r="BG200" i="1" s="1"/>
  <c r="AL190" i="1"/>
  <c r="AM190" i="1" s="1"/>
  <c r="AO190" i="1"/>
  <c r="AQ190" i="1"/>
  <c r="AR190" i="1" s="1"/>
  <c r="AQ27" i="1"/>
  <c r="AR27" i="1" s="1"/>
  <c r="W27" i="1"/>
  <c r="X27" i="1" s="1"/>
  <c r="AG11" i="1"/>
  <c r="AH11" i="1" s="1"/>
  <c r="AB11" i="1"/>
  <c r="AC11" i="1" s="1"/>
  <c r="BQ117" i="1"/>
  <c r="AR73" i="1"/>
  <c r="S61" i="1"/>
  <c r="BL116" i="1"/>
  <c r="BB10" i="1"/>
  <c r="X135" i="1"/>
  <c r="AC170" i="1"/>
  <c r="AY266" i="1"/>
  <c r="AE266" i="1"/>
  <c r="AQ266" i="1"/>
  <c r="AR266" i="1" s="1"/>
  <c r="W266" i="1"/>
  <c r="X266" i="1" s="1"/>
  <c r="BK266" i="1"/>
  <c r="BL266" i="1" s="1"/>
  <c r="BI266" i="1"/>
  <c r="AT266" i="1"/>
  <c r="Z266" i="1"/>
  <c r="BA266" i="1"/>
  <c r="BB266" i="1" s="1"/>
  <c r="AL266" i="1"/>
  <c r="AM266" i="1" s="1"/>
  <c r="BP266" i="1"/>
  <c r="BQ266" i="1" s="1"/>
  <c r="U266" i="1"/>
  <c r="AV266" i="1"/>
  <c r="AW266" i="1" s="1"/>
  <c r="BN266" i="1"/>
  <c r="BW256" i="1"/>
  <c r="BX256" i="1" s="1"/>
  <c r="AV256" i="1"/>
  <c r="AW256" i="1" s="1"/>
  <c r="AQ256" i="1"/>
  <c r="AR256" i="1" s="1"/>
  <c r="AL256" i="1"/>
  <c r="AM256" i="1" s="1"/>
  <c r="W256" i="1"/>
  <c r="X256" i="1" s="1"/>
  <c r="BK256" i="1"/>
  <c r="BL256" i="1" s="1"/>
  <c r="BP256" i="1"/>
  <c r="BQ256" i="1" s="1"/>
  <c r="BA256" i="1"/>
  <c r="BB256" i="1" s="1"/>
  <c r="P256" i="1"/>
  <c r="BN256" i="1"/>
  <c r="AY256" i="1"/>
  <c r="AE256" i="1"/>
  <c r="BW236" i="1"/>
  <c r="BX236" i="1" s="1"/>
  <c r="AB236" i="1"/>
  <c r="AC236" i="1" s="1"/>
  <c r="AV236" i="1"/>
  <c r="AW236" i="1" s="1"/>
  <c r="BN236" i="1"/>
  <c r="BA236" i="1"/>
  <c r="BB236" i="1" s="1"/>
  <c r="P236" i="1"/>
  <c r="AY236" i="1"/>
  <c r="AE236" i="1"/>
  <c r="BK236" i="1"/>
  <c r="BL236" i="1" s="1"/>
  <c r="BW226" i="1"/>
  <c r="BX226" i="1" s="1"/>
  <c r="AL226" i="1"/>
  <c r="AM226" i="1" s="1"/>
  <c r="AG226" i="1"/>
  <c r="AH226" i="1" s="1"/>
  <c r="BD226" i="1"/>
  <c r="BP226" i="1"/>
  <c r="BQ226" i="1" s="1"/>
  <c r="AJ226" i="1"/>
  <c r="R226" i="1"/>
  <c r="S226" i="1" s="1"/>
  <c r="BN226" i="1"/>
  <c r="BA226" i="1"/>
  <c r="BB226" i="1" s="1"/>
  <c r="P226" i="1"/>
  <c r="BW216" i="1"/>
  <c r="BX216" i="1" s="1"/>
  <c r="AL216" i="1"/>
  <c r="AM216" i="1" s="1"/>
  <c r="AG216" i="1"/>
  <c r="AH216" i="1" s="1"/>
  <c r="AB216" i="1"/>
  <c r="AC216" i="1" s="1"/>
  <c r="AQ216" i="1"/>
  <c r="AR216" i="1" s="1"/>
  <c r="BU216" i="1"/>
  <c r="BV216" i="1" s="1"/>
  <c r="W216" i="1"/>
  <c r="X216" i="1" s="1"/>
  <c r="BS216" i="1"/>
  <c r="BF216" i="1"/>
  <c r="BG216" i="1" s="1"/>
  <c r="AO216" i="1"/>
  <c r="U216" i="1"/>
  <c r="BD216" i="1"/>
  <c r="BW206" i="1"/>
  <c r="BX206" i="1" s="1"/>
  <c r="AB206" i="1"/>
  <c r="AC206" i="1" s="1"/>
  <c r="AT206" i="1"/>
  <c r="BW188" i="1"/>
  <c r="BX188" i="1" s="1"/>
  <c r="W188" i="1"/>
  <c r="X188" i="1" s="1"/>
  <c r="AL188" i="1"/>
  <c r="AM188" i="1" s="1"/>
  <c r="AG188" i="1"/>
  <c r="AH188" i="1" s="1"/>
  <c r="BI188" i="1"/>
  <c r="AT188" i="1"/>
  <c r="Z188" i="1"/>
  <c r="BU188" i="1"/>
  <c r="BV188" i="1" s="1"/>
  <c r="BS188" i="1"/>
  <c r="BF188" i="1"/>
  <c r="BG188" i="1" s="1"/>
  <c r="AO188" i="1"/>
  <c r="U188" i="1"/>
  <c r="BW178" i="1"/>
  <c r="BX178" i="1" s="1"/>
  <c r="AB178" i="1"/>
  <c r="AC178" i="1" s="1"/>
  <c r="W178" i="1"/>
  <c r="X178" i="1" s="1"/>
  <c r="AL178" i="1"/>
  <c r="AM178" i="1" s="1"/>
  <c r="AG178" i="1"/>
  <c r="AH178" i="1" s="1"/>
  <c r="AV178" i="1"/>
  <c r="AW178" i="1" s="1"/>
  <c r="BN178" i="1"/>
  <c r="BA178" i="1"/>
  <c r="BB178" i="1" s="1"/>
  <c r="P178" i="1"/>
  <c r="AY178" i="1"/>
  <c r="AE178" i="1"/>
  <c r="BK178" i="1"/>
  <c r="BL178" i="1" s="1"/>
  <c r="BW170" i="1"/>
  <c r="BX170" i="1" s="1"/>
  <c r="AV170" i="1"/>
  <c r="AW170" i="1" s="1"/>
  <c r="AQ170" i="1"/>
  <c r="AR170" i="1" s="1"/>
  <c r="AL170" i="1"/>
  <c r="AM170" i="1" s="1"/>
  <c r="BP170" i="1"/>
  <c r="BQ170" i="1" s="1"/>
  <c r="AJ170" i="1"/>
  <c r="R170" i="1"/>
  <c r="S170" i="1" s="1"/>
  <c r="BN170" i="1"/>
  <c r="BA170" i="1"/>
  <c r="BB170" i="1" s="1"/>
  <c r="P170" i="1"/>
  <c r="AY170" i="1"/>
  <c r="AE170" i="1"/>
  <c r="BW160" i="1"/>
  <c r="BX160" i="1" s="1"/>
  <c r="AQ160" i="1"/>
  <c r="AR160" i="1" s="1"/>
  <c r="BI160" i="1"/>
  <c r="AT160" i="1"/>
  <c r="Z160" i="1"/>
  <c r="BU160" i="1"/>
  <c r="BV160" i="1" s="1"/>
  <c r="AG160" i="1"/>
  <c r="AH160" i="1" s="1"/>
  <c r="BS160" i="1"/>
  <c r="BF160" i="1"/>
  <c r="BG160" i="1" s="1"/>
  <c r="AO160" i="1"/>
  <c r="U160" i="1"/>
  <c r="BW150" i="1"/>
  <c r="BX150" i="1" s="1"/>
  <c r="AQ150" i="1"/>
  <c r="AR150" i="1" s="1"/>
  <c r="AL150" i="1"/>
  <c r="AM150" i="1" s="1"/>
  <c r="BD150" i="1"/>
  <c r="BA150" i="1"/>
  <c r="BB150" i="1" s="1"/>
  <c r="P150" i="1"/>
  <c r="AG140" i="1"/>
  <c r="AH140" i="1" s="1"/>
  <c r="BN140" i="1"/>
  <c r="BA140" i="1"/>
  <c r="BB140" i="1" s="1"/>
  <c r="P140" i="1"/>
  <c r="AY140" i="1"/>
  <c r="AE140" i="1"/>
  <c r="W140" i="1"/>
  <c r="X140" i="1" s="1"/>
  <c r="BK140" i="1"/>
  <c r="BL140" i="1" s="1"/>
  <c r="BW130" i="1"/>
  <c r="BX130" i="1" s="1"/>
  <c r="AQ130" i="1"/>
  <c r="AR130" i="1" s="1"/>
  <c r="AL130" i="1"/>
  <c r="AM130" i="1" s="1"/>
  <c r="BW101" i="1"/>
  <c r="BX101" i="1" s="1"/>
  <c r="AQ101" i="1"/>
  <c r="AR101" i="1" s="1"/>
  <c r="AV101" i="1"/>
  <c r="AW101" i="1" s="1"/>
  <c r="BW93" i="1"/>
  <c r="BX93" i="1" s="1"/>
  <c r="AG93" i="1"/>
  <c r="AH93" i="1" s="1"/>
  <c r="W93" i="1"/>
  <c r="X93" i="1" s="1"/>
  <c r="BW83" i="1"/>
  <c r="BX83" i="1" s="1"/>
  <c r="AV83" i="1"/>
  <c r="AW83" i="1" s="1"/>
  <c r="W83" i="1"/>
  <c r="X83" i="1" s="1"/>
  <c r="AG83" i="1"/>
  <c r="AH83" i="1" s="1"/>
  <c r="BW73" i="1"/>
  <c r="BX73" i="1" s="1"/>
  <c r="AL73" i="1"/>
  <c r="AM73" i="1" s="1"/>
  <c r="W73" i="1"/>
  <c r="X73" i="1" s="1"/>
  <c r="AB73" i="1"/>
  <c r="AC73" i="1" s="1"/>
  <c r="AV73" i="1"/>
  <c r="AW73" i="1" s="1"/>
  <c r="AG73" i="1"/>
  <c r="AH73" i="1" s="1"/>
  <c r="AW65" i="1"/>
  <c r="W45" i="1"/>
  <c r="X45" i="1" s="1"/>
  <c r="AB45" i="1"/>
  <c r="AC45" i="1" s="1"/>
  <c r="AG45" i="1"/>
  <c r="AH45" i="1" s="1"/>
  <c r="BW35" i="1"/>
  <c r="BX35" i="1" s="1"/>
  <c r="AB35" i="1"/>
  <c r="AC35" i="1" s="1"/>
  <c r="AG35" i="1"/>
  <c r="AH35" i="1" s="1"/>
  <c r="W35" i="1"/>
  <c r="X35" i="1" s="1"/>
  <c r="AV25" i="1"/>
  <c r="AW25" i="1" s="1"/>
  <c r="AB25" i="1"/>
  <c r="AC25" i="1" s="1"/>
  <c r="AL25" i="1"/>
  <c r="AM25" i="1" s="1"/>
  <c r="AG25" i="1"/>
  <c r="AH25" i="1" s="1"/>
  <c r="BW17" i="1"/>
  <c r="BX17" i="1" s="1"/>
  <c r="AL17" i="1"/>
  <c r="AM17" i="1" s="1"/>
  <c r="W17" i="1"/>
  <c r="X17" i="1" s="1"/>
  <c r="AG17" i="1"/>
  <c r="AH17" i="1" s="1"/>
  <c r="AQ17" i="1"/>
  <c r="AR17" i="1" s="1"/>
  <c r="AV17" i="1"/>
  <c r="AW17" i="1" s="1"/>
  <c r="BW9" i="1"/>
  <c r="BX9" i="1" s="1"/>
  <c r="BB115" i="1"/>
  <c r="BG25" i="1"/>
  <c r="BV77" i="1"/>
  <c r="S47" i="1"/>
  <c r="AE65" i="1"/>
  <c r="AY65" i="1"/>
  <c r="Z73" i="1"/>
  <c r="AT73" i="1"/>
  <c r="BI73" i="1"/>
  <c r="Z83" i="1"/>
  <c r="AT83" i="1"/>
  <c r="BI83" i="1"/>
  <c r="AE93" i="1"/>
  <c r="AY93" i="1"/>
  <c r="BL98" i="1"/>
  <c r="BU101" i="1"/>
  <c r="BV101" i="1" s="1"/>
  <c r="BU130" i="1"/>
  <c r="BV130" i="1" s="1"/>
  <c r="BD140" i="1"/>
  <c r="BU140" i="1"/>
  <c r="BV140" i="1" s="1"/>
  <c r="AJ160" i="1"/>
  <c r="U178" i="1"/>
  <c r="AE188" i="1"/>
  <c r="AT216" i="1"/>
  <c r="AO226" i="1"/>
  <c r="BI226" i="1"/>
  <c r="U236" i="1"/>
  <c r="BD256" i="1"/>
  <c r="BD266" i="1"/>
  <c r="AB83" i="1"/>
  <c r="AC83" i="1" s="1"/>
  <c r="AB130" i="1"/>
  <c r="AC130" i="1" s="1"/>
  <c r="AB256" i="1"/>
  <c r="AC256" i="1" s="1"/>
  <c r="AQ93" i="1"/>
  <c r="AR93" i="1" s="1"/>
  <c r="AL140" i="1"/>
  <c r="AM140" i="1" s="1"/>
  <c r="BW265" i="1"/>
  <c r="BX265" i="1" s="1"/>
  <c r="AQ265" i="1"/>
  <c r="AR265" i="1" s="1"/>
  <c r="W265" i="1"/>
  <c r="X265" i="1" s="1"/>
  <c r="BI265" i="1"/>
  <c r="AT265" i="1"/>
  <c r="Z265" i="1"/>
  <c r="BU265" i="1"/>
  <c r="BV265" i="1" s="1"/>
  <c r="AG265" i="1"/>
  <c r="AH265" i="1" s="1"/>
  <c r="BS265" i="1"/>
  <c r="BF265" i="1"/>
  <c r="BG265" i="1" s="1"/>
  <c r="AO265" i="1"/>
  <c r="U265" i="1"/>
  <c r="AL265" i="1"/>
  <c r="AM265" i="1" s="1"/>
  <c r="BN265" i="1"/>
  <c r="AV265" i="1"/>
  <c r="AW265" i="1" s="1"/>
  <c r="R265" i="1"/>
  <c r="S265" i="1" s="1"/>
  <c r="BK265" i="1"/>
  <c r="BL265" i="1" s="1"/>
  <c r="P265" i="1"/>
  <c r="BW253" i="1"/>
  <c r="BX253" i="1" s="1"/>
  <c r="AV253" i="1"/>
  <c r="AW253" i="1" s="1"/>
  <c r="AQ253" i="1"/>
  <c r="AR253" i="1" s="1"/>
  <c r="W253" i="1"/>
  <c r="X253" i="1" s="1"/>
  <c r="AG253" i="1"/>
  <c r="AH253" i="1" s="1"/>
  <c r="AL253" i="1"/>
  <c r="AM253" i="1" s="1"/>
  <c r="BK253" i="1"/>
  <c r="BL253" i="1" s="1"/>
  <c r="BI253" i="1"/>
  <c r="AT253" i="1"/>
  <c r="Z253" i="1"/>
  <c r="BU253" i="1"/>
  <c r="BV253" i="1" s="1"/>
  <c r="BW235" i="1"/>
  <c r="BX235" i="1" s="1"/>
  <c r="AV235" i="1"/>
  <c r="AW235" i="1" s="1"/>
  <c r="AQ235" i="1"/>
  <c r="AR235" i="1" s="1"/>
  <c r="BK235" i="1"/>
  <c r="BL235" i="1" s="1"/>
  <c r="AB235" i="1"/>
  <c r="AC235" i="1" s="1"/>
  <c r="BI235" i="1"/>
  <c r="AT235" i="1"/>
  <c r="Z235" i="1"/>
  <c r="AL235" i="1"/>
  <c r="AM235" i="1" s="1"/>
  <c r="W235" i="1"/>
  <c r="X235" i="1" s="1"/>
  <c r="BU235" i="1"/>
  <c r="BV235" i="1" s="1"/>
  <c r="BW223" i="1"/>
  <c r="BX223" i="1" s="1"/>
  <c r="W223" i="1"/>
  <c r="X223" i="1" s="1"/>
  <c r="AY223" i="1"/>
  <c r="AL205" i="1"/>
  <c r="AM205" i="1" s="1"/>
  <c r="AB205" i="1"/>
  <c r="AC205" i="1" s="1"/>
  <c r="BU205" i="1"/>
  <c r="BV205" i="1" s="1"/>
  <c r="BS205" i="1"/>
  <c r="BF205" i="1"/>
  <c r="BG205" i="1" s="1"/>
  <c r="AO205" i="1"/>
  <c r="U205" i="1"/>
  <c r="BD205" i="1"/>
  <c r="W197" i="1"/>
  <c r="X197" i="1" s="1"/>
  <c r="BD197" i="1"/>
  <c r="BP197" i="1"/>
  <c r="BQ197" i="1" s="1"/>
  <c r="AJ197" i="1"/>
  <c r="R197" i="1"/>
  <c r="S197" i="1" s="1"/>
  <c r="BN197" i="1"/>
  <c r="BA197" i="1"/>
  <c r="BB197" i="1" s="1"/>
  <c r="P197" i="1"/>
  <c r="BS187" i="1"/>
  <c r="BF187" i="1"/>
  <c r="BG187" i="1" s="1"/>
  <c r="AO187" i="1"/>
  <c r="U187" i="1"/>
  <c r="W187" i="1"/>
  <c r="X187" i="1" s="1"/>
  <c r="BD187" i="1"/>
  <c r="AB187" i="1"/>
  <c r="AC187" i="1" s="1"/>
  <c r="BP187" i="1"/>
  <c r="BQ187" i="1" s="1"/>
  <c r="AJ187" i="1"/>
  <c r="R187" i="1"/>
  <c r="S187" i="1" s="1"/>
  <c r="BW177" i="1"/>
  <c r="BX177" i="1" s="1"/>
  <c r="AL177" i="1"/>
  <c r="AM177" i="1" s="1"/>
  <c r="AG177" i="1"/>
  <c r="AH177" i="1" s="1"/>
  <c r="AQ177" i="1"/>
  <c r="AR177" i="1" s="1"/>
  <c r="BK177" i="1"/>
  <c r="BL177" i="1" s="1"/>
  <c r="BI177" i="1"/>
  <c r="AT177" i="1"/>
  <c r="Z177" i="1"/>
  <c r="BU177" i="1"/>
  <c r="BV177" i="1" s="1"/>
  <c r="AB169" i="1"/>
  <c r="AC169" i="1" s="1"/>
  <c r="AY169" i="1"/>
  <c r="Z169" i="1"/>
  <c r="W169" i="1"/>
  <c r="X169" i="1" s="1"/>
  <c r="AT169" i="1"/>
  <c r="BW159" i="1"/>
  <c r="BX159" i="1" s="1"/>
  <c r="BI159" i="1"/>
  <c r="AE159" i="1"/>
  <c r="AG149" i="1"/>
  <c r="AH149" i="1" s="1"/>
  <c r="AY149" i="1"/>
  <c r="BW139" i="1"/>
  <c r="BX139" i="1" s="1"/>
  <c r="AG139" i="1"/>
  <c r="AH139" i="1" s="1"/>
  <c r="AB139" i="1"/>
  <c r="AC139" i="1" s="1"/>
  <c r="W139" i="1"/>
  <c r="X139" i="1" s="1"/>
  <c r="BI139" i="1"/>
  <c r="AT139" i="1"/>
  <c r="Z139" i="1"/>
  <c r="BU139" i="1"/>
  <c r="BV139" i="1" s="1"/>
  <c r="AQ129" i="1"/>
  <c r="AR129" i="1" s="1"/>
  <c r="AB129" i="1"/>
  <c r="AC129" i="1" s="1"/>
  <c r="AG108" i="1"/>
  <c r="AH108" i="1" s="1"/>
  <c r="W108" i="1"/>
  <c r="X108" i="1" s="1"/>
  <c r="AB108" i="1"/>
  <c r="AC108" i="1" s="1"/>
  <c r="BW100" i="1"/>
  <c r="BX100" i="1" s="1"/>
  <c r="AQ100" i="1"/>
  <c r="AR100" i="1" s="1"/>
  <c r="AL100" i="1"/>
  <c r="AM100" i="1" s="1"/>
  <c r="AB100" i="1"/>
  <c r="AC100" i="1" s="1"/>
  <c r="AV100" i="1"/>
  <c r="AW100" i="1" s="1"/>
  <c r="BW82" i="1"/>
  <c r="BX82" i="1" s="1"/>
  <c r="W82" i="1"/>
  <c r="X82" i="1" s="1"/>
  <c r="AQ82" i="1"/>
  <c r="AR82" i="1" s="1"/>
  <c r="AV82" i="1"/>
  <c r="AW82" i="1" s="1"/>
  <c r="AL54" i="1"/>
  <c r="AM54" i="1" s="1"/>
  <c r="AG54" i="1"/>
  <c r="AH54" i="1" s="1"/>
  <c r="AV54" i="1"/>
  <c r="AW54" i="1" s="1"/>
  <c r="W54" i="1"/>
  <c r="X54" i="1" s="1"/>
  <c r="BW44" i="1"/>
  <c r="BX44" i="1" s="1"/>
  <c r="AB44" i="1"/>
  <c r="AC44" i="1" s="1"/>
  <c r="AG44" i="1"/>
  <c r="AH44" i="1" s="1"/>
  <c r="AC34" i="1"/>
  <c r="BW109" i="1"/>
  <c r="BX109" i="1" s="1"/>
  <c r="AB109" i="1"/>
  <c r="AC109" i="1" s="1"/>
  <c r="W109" i="1"/>
  <c r="X109" i="1" s="1"/>
  <c r="BH269" i="1"/>
  <c r="BB44" i="1"/>
  <c r="BV70" i="1"/>
  <c r="P65" i="1"/>
  <c r="BA65" i="1"/>
  <c r="BB65" i="1" s="1"/>
  <c r="BN65" i="1"/>
  <c r="BK73" i="1"/>
  <c r="BL73" i="1" s="1"/>
  <c r="BK83" i="1"/>
  <c r="BL83" i="1" s="1"/>
  <c r="P93" i="1"/>
  <c r="BA93" i="1"/>
  <c r="BB93" i="1" s="1"/>
  <c r="BN93" i="1"/>
  <c r="Z101" i="1"/>
  <c r="AT101" i="1"/>
  <c r="BI101" i="1"/>
  <c r="BI110" i="1"/>
  <c r="BQ118" i="1"/>
  <c r="Z130" i="1"/>
  <c r="AT130" i="1"/>
  <c r="BI130" i="1"/>
  <c r="AJ140" i="1"/>
  <c r="BF140" i="1"/>
  <c r="BG140" i="1" s="1"/>
  <c r="P160" i="1"/>
  <c r="BK160" i="1"/>
  <c r="BL160" i="1" s="1"/>
  <c r="AO170" i="1"/>
  <c r="BI170" i="1"/>
  <c r="AT178" i="1"/>
  <c r="BP178" i="1"/>
  <c r="BQ178" i="1" s="1"/>
  <c r="BD188" i="1"/>
  <c r="Z216" i="1"/>
  <c r="BN216" i="1"/>
  <c r="U226" i="1"/>
  <c r="BK226" i="1"/>
  <c r="BL226" i="1" s="1"/>
  <c r="AT236" i="1"/>
  <c r="BP236" i="1"/>
  <c r="BQ236" i="1" s="1"/>
  <c r="AJ256" i="1"/>
  <c r="BF256" i="1"/>
  <c r="BG256" i="1" s="1"/>
  <c r="BF266" i="1"/>
  <c r="BG266" i="1" s="1"/>
  <c r="W130" i="1"/>
  <c r="X130" i="1" s="1"/>
  <c r="W160" i="1"/>
  <c r="X160" i="1" s="1"/>
  <c r="AG236" i="1"/>
  <c r="AH236" i="1" s="1"/>
  <c r="AG256" i="1"/>
  <c r="AH256" i="1" s="1"/>
  <c r="AV188" i="1"/>
  <c r="AW188" i="1" s="1"/>
  <c r="AV160" i="1"/>
  <c r="AW160" i="1" s="1"/>
  <c r="AV150" i="1"/>
  <c r="AW150" i="1" s="1"/>
  <c r="AL83" i="1"/>
  <c r="AM83" i="1" s="1"/>
  <c r="AL101" i="1"/>
  <c r="AM101" i="1" s="1"/>
  <c r="AE83" i="1"/>
  <c r="AY83" i="1"/>
  <c r="R93" i="1"/>
  <c r="S93" i="1" s="1"/>
  <c r="AJ93" i="1"/>
  <c r="BP93" i="1"/>
  <c r="BQ93" i="1" s="1"/>
  <c r="BK101" i="1"/>
  <c r="BL101" i="1" s="1"/>
  <c r="AJ110" i="1"/>
  <c r="BK130" i="1"/>
  <c r="BL130" i="1" s="1"/>
  <c r="R140" i="1"/>
  <c r="S140" i="1" s="1"/>
  <c r="R160" i="1"/>
  <c r="S160" i="1" s="1"/>
  <c r="BK170" i="1"/>
  <c r="BL170" i="1" s="1"/>
  <c r="Z178" i="1"/>
  <c r="AJ188" i="1"/>
  <c r="AY216" i="1"/>
  <c r="BP216" i="1"/>
  <c r="BQ216" i="1" s="1"/>
  <c r="AT226" i="1"/>
  <c r="Z236" i="1"/>
  <c r="R256" i="1"/>
  <c r="S256" i="1" s="1"/>
  <c r="AJ266" i="1"/>
  <c r="W170" i="1"/>
  <c r="X170" i="1" s="1"/>
  <c r="AC54" i="1"/>
  <c r="AQ226" i="1"/>
  <c r="AR226" i="1" s="1"/>
  <c r="AR213" i="1"/>
  <c r="AL93" i="1"/>
  <c r="AM93" i="1" s="1"/>
  <c r="BG143" i="1"/>
  <c r="S155" i="1"/>
  <c r="AM131" i="1"/>
  <c r="BW264" i="1"/>
  <c r="BX264" i="1" s="1"/>
  <c r="BD264" i="1"/>
  <c r="BW252" i="1"/>
  <c r="BX252" i="1" s="1"/>
  <c r="AG252" i="1"/>
  <c r="AH252" i="1" s="1"/>
  <c r="AL252" i="1"/>
  <c r="AM252" i="1" s="1"/>
  <c r="BW244" i="1"/>
  <c r="BX244" i="1" s="1"/>
  <c r="AL244" i="1"/>
  <c r="AM244" i="1" s="1"/>
  <c r="BW234" i="1"/>
  <c r="BX234" i="1" s="1"/>
  <c r="AQ234" i="1"/>
  <c r="AR234" i="1" s="1"/>
  <c r="AG234" i="1"/>
  <c r="AH234" i="1" s="1"/>
  <c r="W234" i="1"/>
  <c r="X234" i="1" s="1"/>
  <c r="BW222" i="1"/>
  <c r="BX222" i="1" s="1"/>
  <c r="AQ222" i="1"/>
  <c r="AR222" i="1" s="1"/>
  <c r="AV222" i="1"/>
  <c r="AW222" i="1" s="1"/>
  <c r="BW214" i="1"/>
  <c r="BX214" i="1" s="1"/>
  <c r="AL214" i="1"/>
  <c r="AM214" i="1" s="1"/>
  <c r="AG214" i="1"/>
  <c r="AH214" i="1" s="1"/>
  <c r="AB214" i="1"/>
  <c r="AC214" i="1" s="1"/>
  <c r="BW204" i="1"/>
  <c r="BX204" i="1" s="1"/>
  <c r="AV204" i="1"/>
  <c r="AW204" i="1" s="1"/>
  <c r="AG204" i="1"/>
  <c r="AH204" i="1" s="1"/>
  <c r="AB204" i="1"/>
  <c r="AC204" i="1" s="1"/>
  <c r="AQ204" i="1"/>
  <c r="AR204" i="1" s="1"/>
  <c r="BW186" i="1"/>
  <c r="BX186" i="1" s="1"/>
  <c r="AL186" i="1"/>
  <c r="AM186" i="1" s="1"/>
  <c r="AG186" i="1"/>
  <c r="AH186" i="1" s="1"/>
  <c r="AV186" i="1"/>
  <c r="AW186" i="1" s="1"/>
  <c r="BW158" i="1"/>
  <c r="BX158" i="1" s="1"/>
  <c r="AV158" i="1"/>
  <c r="AW158" i="1" s="1"/>
  <c r="BW148" i="1"/>
  <c r="BX148" i="1" s="1"/>
  <c r="AQ148" i="1"/>
  <c r="AR148" i="1" s="1"/>
  <c r="AG148" i="1"/>
  <c r="AH148" i="1" s="1"/>
  <c r="W148" i="1"/>
  <c r="X148" i="1" s="1"/>
  <c r="AQ138" i="1"/>
  <c r="AR138" i="1" s="1"/>
  <c r="AB138" i="1"/>
  <c r="AC138" i="1" s="1"/>
  <c r="BW107" i="1"/>
  <c r="BX107" i="1" s="1"/>
  <c r="AG107" i="1"/>
  <c r="AH107" i="1" s="1"/>
  <c r="W107" i="1"/>
  <c r="X107" i="1" s="1"/>
  <c r="AV107" i="1"/>
  <c r="AW107" i="1" s="1"/>
  <c r="BW99" i="1"/>
  <c r="BX99" i="1" s="1"/>
  <c r="AQ99" i="1"/>
  <c r="AR99" i="1" s="1"/>
  <c r="AL99" i="1"/>
  <c r="AM99" i="1" s="1"/>
  <c r="AB99" i="1"/>
  <c r="AC99" i="1" s="1"/>
  <c r="BW91" i="1"/>
  <c r="BX91" i="1" s="1"/>
  <c r="AG91" i="1"/>
  <c r="AH91" i="1" s="1"/>
  <c r="AB23" i="1"/>
  <c r="AC23" i="1" s="1"/>
  <c r="AQ23" i="1"/>
  <c r="AR23" i="1" s="1"/>
  <c r="AL23" i="1"/>
  <c r="AM23" i="1" s="1"/>
  <c r="W23" i="1"/>
  <c r="X23" i="1" s="1"/>
  <c r="BW15" i="1"/>
  <c r="BX15" i="1" s="1"/>
  <c r="AG15" i="1"/>
  <c r="AH15" i="1" s="1"/>
  <c r="BL183" i="1"/>
  <c r="BW263" i="1"/>
  <c r="BX263" i="1" s="1"/>
  <c r="BN263" i="1"/>
  <c r="BA263" i="1"/>
  <c r="BB263" i="1" s="1"/>
  <c r="P263" i="1"/>
  <c r="AG263" i="1"/>
  <c r="AH263" i="1" s="1"/>
  <c r="AY263" i="1"/>
  <c r="AE263" i="1"/>
  <c r="BK263" i="1"/>
  <c r="BL263" i="1" s="1"/>
  <c r="BW251" i="1"/>
  <c r="BX251" i="1" s="1"/>
  <c r="AG251" i="1"/>
  <c r="AH251" i="1" s="1"/>
  <c r="AL251" i="1"/>
  <c r="AM251" i="1" s="1"/>
  <c r="BW243" i="1"/>
  <c r="BX243" i="1" s="1"/>
  <c r="AV243" i="1"/>
  <c r="AW243" i="1" s="1"/>
  <c r="BW221" i="1"/>
  <c r="BX221" i="1" s="1"/>
  <c r="AQ221" i="1"/>
  <c r="AR221" i="1" s="1"/>
  <c r="AV221" i="1"/>
  <c r="AW221" i="1" s="1"/>
  <c r="BW213" i="1"/>
  <c r="BX213" i="1" s="1"/>
  <c r="AB213" i="1"/>
  <c r="AC213" i="1" s="1"/>
  <c r="W213" i="1"/>
  <c r="X213" i="1" s="1"/>
  <c r="AQ203" i="1"/>
  <c r="AR203" i="1" s="1"/>
  <c r="W203" i="1"/>
  <c r="X203" i="1" s="1"/>
  <c r="BW175" i="1"/>
  <c r="BX175" i="1" s="1"/>
  <c r="AL175" i="1"/>
  <c r="AM175" i="1" s="1"/>
  <c r="AG175" i="1"/>
  <c r="AH175" i="1" s="1"/>
  <c r="AQ175" i="1"/>
  <c r="AR175" i="1" s="1"/>
  <c r="AV175" i="1"/>
  <c r="AW175" i="1" s="1"/>
  <c r="BW165" i="1"/>
  <c r="BX165" i="1" s="1"/>
  <c r="W165" i="1"/>
  <c r="X165" i="1" s="1"/>
  <c r="AG165" i="1"/>
  <c r="AH165" i="1" s="1"/>
  <c r="AQ165" i="1"/>
  <c r="AR165" i="1" s="1"/>
  <c r="BW155" i="1"/>
  <c r="BX155" i="1" s="1"/>
  <c r="AL155" i="1"/>
  <c r="AM155" i="1" s="1"/>
  <c r="W155" i="1"/>
  <c r="X155" i="1" s="1"/>
  <c r="BW127" i="1"/>
  <c r="BX127" i="1" s="1"/>
  <c r="AL127" i="1"/>
  <c r="AM127" i="1" s="1"/>
  <c r="BW80" i="1"/>
  <c r="BX80" i="1" s="1"/>
  <c r="W80" i="1"/>
  <c r="X80" i="1" s="1"/>
  <c r="AQ80" i="1"/>
  <c r="AR80" i="1" s="1"/>
  <c r="AG52" i="1"/>
  <c r="AH52" i="1" s="1"/>
  <c r="W52" i="1"/>
  <c r="X52" i="1" s="1"/>
  <c r="AY32" i="1"/>
  <c r="Z32" i="1"/>
  <c r="BP32" i="1"/>
  <c r="BQ32" i="1" s="1"/>
  <c r="AG32" i="1"/>
  <c r="AH32" i="1" s="1"/>
  <c r="BQ142" i="1"/>
  <c r="BQ194" i="1"/>
  <c r="AP269" i="1"/>
  <c r="AG168" i="1"/>
  <c r="AH168" i="1" s="1"/>
  <c r="BW262" i="1"/>
  <c r="BX262" i="1" s="1"/>
  <c r="AG262" i="1"/>
  <c r="AH262" i="1" s="1"/>
  <c r="BK262" i="1"/>
  <c r="BL262" i="1" s="1"/>
  <c r="BI262" i="1"/>
  <c r="AT262" i="1"/>
  <c r="Z262" i="1"/>
  <c r="AV262" i="1"/>
  <c r="AW262" i="1" s="1"/>
  <c r="BU262" i="1"/>
  <c r="BV262" i="1" s="1"/>
  <c r="BW232" i="1"/>
  <c r="BX232" i="1" s="1"/>
  <c r="AQ232" i="1"/>
  <c r="AR232" i="1" s="1"/>
  <c r="AG232" i="1"/>
  <c r="AH232" i="1" s="1"/>
  <c r="W232" i="1"/>
  <c r="X232" i="1" s="1"/>
  <c r="BW220" i="1"/>
  <c r="BX220" i="1" s="1"/>
  <c r="AQ220" i="1"/>
  <c r="AR220" i="1" s="1"/>
  <c r="AV220" i="1"/>
  <c r="AW220" i="1" s="1"/>
  <c r="AG220" i="1"/>
  <c r="AH220" i="1" s="1"/>
  <c r="BW212" i="1"/>
  <c r="BX212" i="1" s="1"/>
  <c r="W212" i="1"/>
  <c r="X212" i="1" s="1"/>
  <c r="BW202" i="1"/>
  <c r="BX202" i="1" s="1"/>
  <c r="BD202" i="1"/>
  <c r="BW192" i="1"/>
  <c r="BX192" i="1" s="1"/>
  <c r="AQ192" i="1"/>
  <c r="AR192" i="1" s="1"/>
  <c r="W192" i="1"/>
  <c r="X192" i="1" s="1"/>
  <c r="BW164" i="1"/>
  <c r="BX164" i="1" s="1"/>
  <c r="AG164" i="1"/>
  <c r="AH164" i="1" s="1"/>
  <c r="AQ164" i="1"/>
  <c r="AR164" i="1" s="1"/>
  <c r="BW144" i="1"/>
  <c r="BX144" i="1" s="1"/>
  <c r="W144" i="1"/>
  <c r="X144" i="1" s="1"/>
  <c r="AQ144" i="1"/>
  <c r="AR144" i="1" s="1"/>
  <c r="BW136" i="1"/>
  <c r="BX136" i="1" s="1"/>
  <c r="AB136" i="1"/>
  <c r="AC136" i="1" s="1"/>
  <c r="AL136" i="1"/>
  <c r="AM136" i="1" s="1"/>
  <c r="AB126" i="1"/>
  <c r="AC126" i="1" s="1"/>
  <c r="W126" i="1"/>
  <c r="X126" i="1" s="1"/>
  <c r="BW116" i="1"/>
  <c r="BX116" i="1" s="1"/>
  <c r="AL116" i="1"/>
  <c r="AM116" i="1" s="1"/>
  <c r="AB116" i="1"/>
  <c r="AC116" i="1" s="1"/>
  <c r="BW105" i="1"/>
  <c r="BX105" i="1" s="1"/>
  <c r="AV105" i="1"/>
  <c r="AW105" i="1" s="1"/>
  <c r="AL97" i="1"/>
  <c r="AM97" i="1" s="1"/>
  <c r="AB97" i="1"/>
  <c r="AC97" i="1" s="1"/>
  <c r="AG97" i="1"/>
  <c r="AH97" i="1" s="1"/>
  <c r="W97" i="1"/>
  <c r="X97" i="1" s="1"/>
  <c r="BW79" i="1"/>
  <c r="BX79" i="1" s="1"/>
  <c r="AB79" i="1"/>
  <c r="AC79" i="1" s="1"/>
  <c r="BW49" i="1"/>
  <c r="BX49" i="1" s="1"/>
  <c r="AQ49" i="1"/>
  <c r="AR49" i="1" s="1"/>
  <c r="W49" i="1"/>
  <c r="X49" i="1" s="1"/>
  <c r="AL49" i="1"/>
  <c r="AM49" i="1" s="1"/>
  <c r="BW41" i="1"/>
  <c r="BX41" i="1" s="1"/>
  <c r="AB41" i="1"/>
  <c r="AC41" i="1" s="1"/>
  <c r="AL41" i="1"/>
  <c r="AM41" i="1" s="1"/>
  <c r="BP31" i="1"/>
  <c r="BQ31" i="1" s="1"/>
  <c r="AG31" i="1"/>
  <c r="AH31" i="1" s="1"/>
  <c r="AE31" i="1"/>
  <c r="BA31" i="1"/>
  <c r="BB31" i="1" s="1"/>
  <c r="AL21" i="1"/>
  <c r="AM21" i="1" s="1"/>
  <c r="W21" i="1"/>
  <c r="X21" i="1" s="1"/>
  <c r="AG21" i="1"/>
  <c r="AH21" i="1" s="1"/>
  <c r="X210" i="1"/>
  <c r="BW261" i="1"/>
  <c r="BX261" i="1" s="1"/>
  <c r="AL261" i="1"/>
  <c r="AM261" i="1" s="1"/>
  <c r="BD261" i="1"/>
  <c r="BP261" i="1"/>
  <c r="BQ261" i="1" s="1"/>
  <c r="AJ261" i="1"/>
  <c r="R261" i="1"/>
  <c r="S261" i="1" s="1"/>
  <c r="AQ261" i="1"/>
  <c r="AR261" i="1" s="1"/>
  <c r="BN261" i="1"/>
  <c r="BA261" i="1"/>
  <c r="BB261" i="1" s="1"/>
  <c r="P261" i="1"/>
  <c r="AB261" i="1"/>
  <c r="AC261" i="1" s="1"/>
  <c r="AY261" i="1"/>
  <c r="AE261" i="1"/>
  <c r="AV261" i="1"/>
  <c r="AW261" i="1" s="1"/>
  <c r="BK261" i="1"/>
  <c r="BL261" i="1" s="1"/>
  <c r="BW249" i="1"/>
  <c r="BX249" i="1" s="1"/>
  <c r="AY249" i="1"/>
  <c r="AE249" i="1"/>
  <c r="AB249" i="1"/>
  <c r="AC249" i="1" s="1"/>
  <c r="BK249" i="1"/>
  <c r="BL249" i="1" s="1"/>
  <c r="AG249" i="1"/>
  <c r="AH249" i="1" s="1"/>
  <c r="W249" i="1"/>
  <c r="X249" i="1" s="1"/>
  <c r="BI249" i="1"/>
  <c r="AT249" i="1"/>
  <c r="Z249" i="1"/>
  <c r="AQ249" i="1"/>
  <c r="AR249" i="1" s="1"/>
  <c r="BU249" i="1"/>
  <c r="BV249" i="1" s="1"/>
  <c r="AL249" i="1"/>
  <c r="AM249" i="1" s="1"/>
  <c r="BS249" i="1"/>
  <c r="BF249" i="1"/>
  <c r="BG249" i="1" s="1"/>
  <c r="AO249" i="1"/>
  <c r="U249" i="1"/>
  <c r="AB239" i="1"/>
  <c r="AC239" i="1" s="1"/>
  <c r="BW239" i="1"/>
  <c r="BX239" i="1" s="1"/>
  <c r="AE239" i="1"/>
  <c r="BW229" i="1"/>
  <c r="BX229" i="1" s="1"/>
  <c r="BN229" i="1"/>
  <c r="BA229" i="1"/>
  <c r="BB229" i="1" s="1"/>
  <c r="P229" i="1"/>
  <c r="AV229" i="1"/>
  <c r="AW229" i="1" s="1"/>
  <c r="AB229" i="1"/>
  <c r="AC229" i="1" s="1"/>
  <c r="AY229" i="1"/>
  <c r="AE229" i="1"/>
  <c r="BK229" i="1"/>
  <c r="BL229" i="1" s="1"/>
  <c r="AL229" i="1"/>
  <c r="AM229" i="1" s="1"/>
  <c r="BI229" i="1"/>
  <c r="AT229" i="1"/>
  <c r="Z229" i="1"/>
  <c r="BU229" i="1"/>
  <c r="BV229" i="1" s="1"/>
  <c r="BW219" i="1"/>
  <c r="BX219" i="1" s="1"/>
  <c r="BI219" i="1"/>
  <c r="Z219" i="1"/>
  <c r="AT219" i="1"/>
  <c r="BW211" i="1"/>
  <c r="BX211" i="1" s="1"/>
  <c r="BI211" i="1"/>
  <c r="Z211" i="1"/>
  <c r="AT211" i="1"/>
  <c r="BW201" i="1"/>
  <c r="BX201" i="1" s="1"/>
  <c r="AL201" i="1"/>
  <c r="AM201" i="1" s="1"/>
  <c r="BU201" i="1"/>
  <c r="BV201" i="1" s="1"/>
  <c r="BS201" i="1"/>
  <c r="BF201" i="1"/>
  <c r="BG201" i="1" s="1"/>
  <c r="AO201" i="1"/>
  <c r="U201" i="1"/>
  <c r="AQ201" i="1"/>
  <c r="AR201" i="1" s="1"/>
  <c r="BD201" i="1"/>
  <c r="AG201" i="1"/>
  <c r="AH201" i="1" s="1"/>
  <c r="W201" i="1"/>
  <c r="X201" i="1" s="1"/>
  <c r="BP201" i="1"/>
  <c r="BQ201" i="1" s="1"/>
  <c r="AJ201" i="1"/>
  <c r="R201" i="1"/>
  <c r="S201" i="1" s="1"/>
  <c r="BN201" i="1"/>
  <c r="BA201" i="1"/>
  <c r="BB201" i="1" s="1"/>
  <c r="P201" i="1"/>
  <c r="BW191" i="1"/>
  <c r="BX191" i="1" s="1"/>
  <c r="AG191" i="1"/>
  <c r="AH191" i="1" s="1"/>
  <c r="BU191" i="1"/>
  <c r="BV191" i="1" s="1"/>
  <c r="BS191" i="1"/>
  <c r="BF191" i="1"/>
  <c r="BG191" i="1" s="1"/>
  <c r="AO191" i="1"/>
  <c r="U191" i="1"/>
  <c r="BD191" i="1"/>
  <c r="AV191" i="1"/>
  <c r="AW191" i="1" s="1"/>
  <c r="BP191" i="1"/>
  <c r="BQ191" i="1" s="1"/>
  <c r="AJ191" i="1"/>
  <c r="R191" i="1"/>
  <c r="S191" i="1" s="1"/>
  <c r="W191" i="1"/>
  <c r="X191" i="1" s="1"/>
  <c r="BN191" i="1"/>
  <c r="BA191" i="1"/>
  <c r="BB191" i="1" s="1"/>
  <c r="P191" i="1"/>
  <c r="BW181" i="1"/>
  <c r="BX181" i="1" s="1"/>
  <c r="AL181" i="1"/>
  <c r="AM181" i="1" s="1"/>
  <c r="BD181" i="1"/>
  <c r="BP181" i="1"/>
  <c r="BQ181" i="1" s="1"/>
  <c r="AJ181" i="1"/>
  <c r="R181" i="1"/>
  <c r="S181" i="1" s="1"/>
  <c r="BN181" i="1"/>
  <c r="BA181" i="1"/>
  <c r="BB181" i="1" s="1"/>
  <c r="P181" i="1"/>
  <c r="AY181" i="1"/>
  <c r="AE181" i="1"/>
  <c r="BK181" i="1"/>
  <c r="BL181" i="1" s="1"/>
  <c r="BW173" i="1"/>
  <c r="BX173" i="1" s="1"/>
  <c r="AG173" i="1"/>
  <c r="AH173" i="1" s="1"/>
  <c r="BN173" i="1"/>
  <c r="BA173" i="1"/>
  <c r="BB173" i="1" s="1"/>
  <c r="P173" i="1"/>
  <c r="W173" i="1"/>
  <c r="X173" i="1" s="1"/>
  <c r="AY173" i="1"/>
  <c r="AE173" i="1"/>
  <c r="AV173" i="1"/>
  <c r="AW173" i="1" s="1"/>
  <c r="BK173" i="1"/>
  <c r="BL173" i="1" s="1"/>
  <c r="AQ173" i="1"/>
  <c r="AR173" i="1" s="1"/>
  <c r="AL173" i="1"/>
  <c r="AM173" i="1" s="1"/>
  <c r="BI173" i="1"/>
  <c r="AT173" i="1"/>
  <c r="Z173" i="1"/>
  <c r="BU173" i="1"/>
  <c r="BV173" i="1" s="1"/>
  <c r="BS163" i="1"/>
  <c r="BW163" i="1"/>
  <c r="BX163" i="1" s="1"/>
  <c r="AO163" i="1"/>
  <c r="BD163" i="1"/>
  <c r="BW153" i="1"/>
  <c r="BX153" i="1" s="1"/>
  <c r="BK153" i="1"/>
  <c r="BL153" i="1" s="1"/>
  <c r="AQ153" i="1"/>
  <c r="AR153" i="1" s="1"/>
  <c r="AG153" i="1"/>
  <c r="AH153" i="1" s="1"/>
  <c r="BI153" i="1"/>
  <c r="AT153" i="1"/>
  <c r="Z153" i="1"/>
  <c r="W153" i="1"/>
  <c r="X153" i="1" s="1"/>
  <c r="BU153" i="1"/>
  <c r="BV153" i="1" s="1"/>
  <c r="AV153" i="1"/>
  <c r="AW153" i="1" s="1"/>
  <c r="BS153" i="1"/>
  <c r="BF153" i="1"/>
  <c r="BG153" i="1" s="1"/>
  <c r="AO153" i="1"/>
  <c r="U153" i="1"/>
  <c r="BD153" i="1"/>
  <c r="AV143" i="1"/>
  <c r="AW143" i="1" s="1"/>
  <c r="BW143" i="1"/>
  <c r="BX143" i="1" s="1"/>
  <c r="BP143" i="1"/>
  <c r="BQ143" i="1" s="1"/>
  <c r="AJ143" i="1"/>
  <c r="R143" i="1"/>
  <c r="S143" i="1" s="1"/>
  <c r="BN143" i="1"/>
  <c r="BA143" i="1"/>
  <c r="BB143" i="1" s="1"/>
  <c r="P143" i="1"/>
  <c r="AY143" i="1"/>
  <c r="AE143" i="1"/>
  <c r="W143" i="1"/>
  <c r="X143" i="1" s="1"/>
  <c r="BK143" i="1"/>
  <c r="BL143" i="1" s="1"/>
  <c r="BI143" i="1"/>
  <c r="AT143" i="1"/>
  <c r="Z143" i="1"/>
  <c r="AQ135" i="1"/>
  <c r="AR135" i="1" s="1"/>
  <c r="BW135" i="1"/>
  <c r="BX135" i="1" s="1"/>
  <c r="AY135" i="1"/>
  <c r="AE135" i="1"/>
  <c r="AB135" i="1"/>
  <c r="AC135" i="1" s="1"/>
  <c r="AG135" i="1"/>
  <c r="AH135" i="1" s="1"/>
  <c r="BK135" i="1"/>
  <c r="BL135" i="1" s="1"/>
  <c r="BI135" i="1"/>
  <c r="AT135" i="1"/>
  <c r="Z135" i="1"/>
  <c r="BU135" i="1"/>
  <c r="BV135" i="1" s="1"/>
  <c r="BS135" i="1"/>
  <c r="BF135" i="1"/>
  <c r="BG135" i="1" s="1"/>
  <c r="AO135" i="1"/>
  <c r="U135" i="1"/>
  <c r="BW125" i="1"/>
  <c r="BX125" i="1" s="1"/>
  <c r="AB125" i="1"/>
  <c r="AC125" i="1" s="1"/>
  <c r="BK125" i="1"/>
  <c r="BL125" i="1" s="1"/>
  <c r="AG125" i="1"/>
  <c r="AH125" i="1" s="1"/>
  <c r="BI125" i="1"/>
  <c r="AT125" i="1"/>
  <c r="Z125" i="1"/>
  <c r="AL125" i="1"/>
  <c r="AM125" i="1" s="1"/>
  <c r="BU125" i="1"/>
  <c r="BV125" i="1" s="1"/>
  <c r="AV125" i="1"/>
  <c r="AW125" i="1" s="1"/>
  <c r="BS125" i="1"/>
  <c r="BD125" i="1"/>
  <c r="BW115" i="1"/>
  <c r="BX115" i="1" s="1"/>
  <c r="BK115" i="1"/>
  <c r="BL115" i="1" s="1"/>
  <c r="BI115" i="1"/>
  <c r="AT115" i="1"/>
  <c r="Z115" i="1"/>
  <c r="BU115" i="1"/>
  <c r="BV115" i="1" s="1"/>
  <c r="BD115" i="1"/>
  <c r="BW104" i="1"/>
  <c r="BX104" i="1" s="1"/>
  <c r="AG104" i="1"/>
  <c r="AH104" i="1" s="1"/>
  <c r="AB104" i="1"/>
  <c r="AC104" i="1" s="1"/>
  <c r="AY104" i="1"/>
  <c r="AE104" i="1"/>
  <c r="AL104" i="1"/>
  <c r="AM104" i="1" s="1"/>
  <c r="BK104" i="1"/>
  <c r="BL104" i="1" s="1"/>
  <c r="BI104" i="1"/>
  <c r="AT104" i="1"/>
  <c r="Z104" i="1"/>
  <c r="AQ104" i="1"/>
  <c r="AR104" i="1" s="1"/>
  <c r="BS104" i="1"/>
  <c r="BF104" i="1"/>
  <c r="BG104" i="1" s="1"/>
  <c r="AO104" i="1"/>
  <c r="U104" i="1"/>
  <c r="AQ96" i="1"/>
  <c r="AR96" i="1" s="1"/>
  <c r="BW96" i="1"/>
  <c r="BX96" i="1" s="1"/>
  <c r="BN96" i="1"/>
  <c r="BA96" i="1"/>
  <c r="BB96" i="1" s="1"/>
  <c r="P96" i="1"/>
  <c r="AV96" i="1"/>
  <c r="AW96" i="1" s="1"/>
  <c r="AY96" i="1"/>
  <c r="AE96" i="1"/>
  <c r="BK96" i="1"/>
  <c r="BL96" i="1" s="1"/>
  <c r="BU96" i="1"/>
  <c r="BV96" i="1" s="1"/>
  <c r="BW88" i="1"/>
  <c r="BX88" i="1" s="1"/>
  <c r="BP88" i="1"/>
  <c r="BQ88" i="1" s="1"/>
  <c r="AJ88" i="1"/>
  <c r="R88" i="1"/>
  <c r="S88" i="1" s="1"/>
  <c r="AL88" i="1"/>
  <c r="AM88" i="1" s="1"/>
  <c r="BN88" i="1"/>
  <c r="BA88" i="1"/>
  <c r="BB88" i="1" s="1"/>
  <c r="P88" i="1"/>
  <c r="AY88" i="1"/>
  <c r="AE88" i="1"/>
  <c r="W88" i="1"/>
  <c r="X88" i="1" s="1"/>
  <c r="AQ88" i="1"/>
  <c r="AR88" i="1" s="1"/>
  <c r="BI88" i="1"/>
  <c r="AT88" i="1"/>
  <c r="Z88" i="1"/>
  <c r="AV88" i="1"/>
  <c r="AW88" i="1" s="1"/>
  <c r="BW78" i="1"/>
  <c r="BX78" i="1" s="1"/>
  <c r="W78" i="1"/>
  <c r="X78" i="1" s="1"/>
  <c r="BI78" i="1"/>
  <c r="AT78" i="1"/>
  <c r="Z78" i="1"/>
  <c r="AL78" i="1"/>
  <c r="AM78" i="1" s="1"/>
  <c r="BU78" i="1"/>
  <c r="BV78" i="1" s="1"/>
  <c r="BS78" i="1"/>
  <c r="BF78" i="1"/>
  <c r="BG78" i="1" s="1"/>
  <c r="AO78" i="1"/>
  <c r="U78" i="1"/>
  <c r="AQ78" i="1"/>
  <c r="AR78" i="1" s="1"/>
  <c r="BP78" i="1"/>
  <c r="BQ78" i="1" s="1"/>
  <c r="AJ78" i="1"/>
  <c r="R78" i="1"/>
  <c r="S78" i="1" s="1"/>
  <c r="AV78" i="1"/>
  <c r="AW78" i="1" s="1"/>
  <c r="BU68" i="1"/>
  <c r="BV68" i="1" s="1"/>
  <c r="BW68" i="1"/>
  <c r="BX68" i="1" s="1"/>
  <c r="BN68" i="1"/>
  <c r="BW58" i="1"/>
  <c r="BX58" i="1" s="1"/>
  <c r="AB58" i="1"/>
  <c r="AC58" i="1" s="1"/>
  <c r="W58" i="1"/>
  <c r="X58" i="1" s="1"/>
  <c r="BS58" i="1"/>
  <c r="BF58" i="1"/>
  <c r="BG58" i="1" s="1"/>
  <c r="AO58" i="1"/>
  <c r="U58" i="1"/>
  <c r="AL58" i="1"/>
  <c r="AM58" i="1" s="1"/>
  <c r="BD58" i="1"/>
  <c r="AQ58" i="1"/>
  <c r="AR58" i="1" s="1"/>
  <c r="AG58" i="1"/>
  <c r="AH58" i="1" s="1"/>
  <c r="AY58" i="1"/>
  <c r="AE58" i="1"/>
  <c r="AV58" i="1"/>
  <c r="AW58" i="1" s="1"/>
  <c r="AL48" i="1"/>
  <c r="AM48" i="1" s="1"/>
  <c r="BW48" i="1"/>
  <c r="BX48" i="1" s="1"/>
  <c r="W48" i="1"/>
  <c r="X48" i="1" s="1"/>
  <c r="BN48" i="1"/>
  <c r="BA48" i="1"/>
  <c r="BB48" i="1" s="1"/>
  <c r="P48" i="1"/>
  <c r="AV48" i="1"/>
  <c r="AW48" i="1" s="1"/>
  <c r="AY48" i="1"/>
  <c r="AE48" i="1"/>
  <c r="AG48" i="1"/>
  <c r="AH48" i="1" s="1"/>
  <c r="AB48" i="1"/>
  <c r="AC48" i="1" s="1"/>
  <c r="BU48" i="1"/>
  <c r="BV48" i="1" s="1"/>
  <c r="AL40" i="1"/>
  <c r="AM40" i="1" s="1"/>
  <c r="BW40" i="1"/>
  <c r="BX40" i="1" s="1"/>
  <c r="BD40" i="1"/>
  <c r="P40" i="1"/>
  <c r="W40" i="1"/>
  <c r="X40" i="1" s="1"/>
  <c r="AQ40" i="1"/>
  <c r="AR40" i="1" s="1"/>
  <c r="BK40" i="1"/>
  <c r="BL40" i="1" s="1"/>
  <c r="U40" i="1"/>
  <c r="BW30" i="1"/>
  <c r="BX30" i="1" s="1"/>
  <c r="BK30" i="1"/>
  <c r="BL30" i="1" s="1"/>
  <c r="AQ30" i="1"/>
  <c r="AR30" i="1" s="1"/>
  <c r="AE30" i="1"/>
  <c r="AY30" i="1"/>
  <c r="BF30" i="1"/>
  <c r="BG30" i="1" s="1"/>
  <c r="W30" i="1"/>
  <c r="X30" i="1" s="1"/>
  <c r="BA30" i="1"/>
  <c r="BB30" i="1" s="1"/>
  <c r="AJ30" i="1"/>
  <c r="U30" i="1"/>
  <c r="BD30" i="1"/>
  <c r="AG30" i="1"/>
  <c r="AH30" i="1" s="1"/>
  <c r="BF12" i="1"/>
  <c r="BG12" i="1" s="1"/>
  <c r="BW12" i="1"/>
  <c r="BX12" i="1" s="1"/>
  <c r="BE269" i="1"/>
  <c r="BV12" i="1"/>
  <c r="BG16" i="1"/>
  <c r="BB42" i="1"/>
  <c r="BV102" i="1"/>
  <c r="AT268" i="1"/>
  <c r="BW268" i="1"/>
  <c r="BX268" i="1" s="1"/>
  <c r="BW258" i="1"/>
  <c r="BX258" i="1" s="1"/>
  <c r="AQ258" i="1"/>
  <c r="AR258" i="1" s="1"/>
  <c r="BN258" i="1"/>
  <c r="BA258" i="1"/>
  <c r="BB258" i="1" s="1"/>
  <c r="P258" i="1"/>
  <c r="AY258" i="1"/>
  <c r="AE258" i="1"/>
  <c r="AL258" i="1"/>
  <c r="AM258" i="1" s="1"/>
  <c r="BK258" i="1"/>
  <c r="BL258" i="1" s="1"/>
  <c r="AV258" i="1"/>
  <c r="AW258" i="1" s="1"/>
  <c r="BI258" i="1"/>
  <c r="AT258" i="1"/>
  <c r="Z258" i="1"/>
  <c r="AG258" i="1"/>
  <c r="AH258" i="1" s="1"/>
  <c r="BU258" i="1"/>
  <c r="BV258" i="1" s="1"/>
  <c r="BW248" i="1"/>
  <c r="BX248" i="1" s="1"/>
  <c r="AB248" i="1"/>
  <c r="AC248" i="1" s="1"/>
  <c r="BI248" i="1"/>
  <c r="AT248" i="1"/>
  <c r="Z248" i="1"/>
  <c r="AG248" i="1"/>
  <c r="AH248" i="1" s="1"/>
  <c r="W248" i="1"/>
  <c r="X248" i="1" s="1"/>
  <c r="BU248" i="1"/>
  <c r="BV248" i="1" s="1"/>
  <c r="AQ248" i="1"/>
  <c r="AR248" i="1" s="1"/>
  <c r="BS248" i="1"/>
  <c r="BF248" i="1"/>
  <c r="BG248" i="1" s="1"/>
  <c r="AO248" i="1"/>
  <c r="U248" i="1"/>
  <c r="AL248" i="1"/>
  <c r="AM248" i="1" s="1"/>
  <c r="BD248" i="1"/>
  <c r="BP248" i="1"/>
  <c r="BQ248" i="1" s="1"/>
  <c r="AJ248" i="1"/>
  <c r="R248" i="1"/>
  <c r="S248" i="1" s="1"/>
  <c r="BW238" i="1"/>
  <c r="BX238" i="1" s="1"/>
  <c r="AB238" i="1"/>
  <c r="AC238" i="1" s="1"/>
  <c r="BU238" i="1"/>
  <c r="BV238" i="1" s="1"/>
  <c r="AQ238" i="1"/>
  <c r="AR238" i="1" s="1"/>
  <c r="BS238" i="1"/>
  <c r="BF238" i="1"/>
  <c r="BG238" i="1" s="1"/>
  <c r="AO238" i="1"/>
  <c r="U238" i="1"/>
  <c r="AV238" i="1"/>
  <c r="AW238" i="1" s="1"/>
  <c r="W238" i="1"/>
  <c r="X238" i="1" s="1"/>
  <c r="BD238" i="1"/>
  <c r="AG238" i="1"/>
  <c r="AH238" i="1" s="1"/>
  <c r="BP238" i="1"/>
  <c r="BQ238" i="1" s="1"/>
  <c r="AJ238" i="1"/>
  <c r="R238" i="1"/>
  <c r="S238" i="1" s="1"/>
  <c r="BN238" i="1"/>
  <c r="BA238" i="1"/>
  <c r="BB238" i="1" s="1"/>
  <c r="P238" i="1"/>
  <c r="BW228" i="1"/>
  <c r="BX228" i="1" s="1"/>
  <c r="BN228" i="1"/>
  <c r="AQ228" i="1"/>
  <c r="AR228" i="1" s="1"/>
  <c r="BW218" i="1"/>
  <c r="BX218" i="1" s="1"/>
  <c r="AG218" i="1"/>
  <c r="AH218" i="1" s="1"/>
  <c r="BP218" i="1"/>
  <c r="BQ218" i="1" s="1"/>
  <c r="AJ218" i="1"/>
  <c r="R218" i="1"/>
  <c r="S218" i="1" s="1"/>
  <c r="BN218" i="1"/>
  <c r="BA218" i="1"/>
  <c r="BB218" i="1" s="1"/>
  <c r="P218" i="1"/>
  <c r="AQ218" i="1"/>
  <c r="AR218" i="1" s="1"/>
  <c r="AB218" i="1"/>
  <c r="AC218" i="1" s="1"/>
  <c r="AY218" i="1"/>
  <c r="AE218" i="1"/>
  <c r="AV218" i="1"/>
  <c r="AW218" i="1" s="1"/>
  <c r="BK218" i="1"/>
  <c r="BL218" i="1" s="1"/>
  <c r="W218" i="1"/>
  <c r="X218" i="1" s="1"/>
  <c r="BI218" i="1"/>
  <c r="AT218" i="1"/>
  <c r="Z218" i="1"/>
  <c r="BW210" i="1"/>
  <c r="BX210" i="1" s="1"/>
  <c r="BP210" i="1"/>
  <c r="BQ210" i="1" s="1"/>
  <c r="AJ210" i="1"/>
  <c r="R210" i="1"/>
  <c r="S210" i="1" s="1"/>
  <c r="BN210" i="1"/>
  <c r="BA210" i="1"/>
  <c r="BB210" i="1" s="1"/>
  <c r="P210" i="1"/>
  <c r="AL210" i="1"/>
  <c r="AM210" i="1" s="1"/>
  <c r="AY210" i="1"/>
  <c r="AE210" i="1"/>
  <c r="AG210" i="1"/>
  <c r="AH210" i="1" s="1"/>
  <c r="BK210" i="1"/>
  <c r="BL210" i="1" s="1"/>
  <c r="BI210" i="1"/>
  <c r="AT210" i="1"/>
  <c r="Z210" i="1"/>
  <c r="BW200" i="1"/>
  <c r="BX200" i="1" s="1"/>
  <c r="BD200" i="1"/>
  <c r="AQ200" i="1"/>
  <c r="AR200" i="1" s="1"/>
  <c r="BP200" i="1"/>
  <c r="BQ200" i="1" s="1"/>
  <c r="AJ200" i="1"/>
  <c r="R200" i="1"/>
  <c r="S200" i="1" s="1"/>
  <c r="AG200" i="1"/>
  <c r="AH200" i="1" s="1"/>
  <c r="W200" i="1"/>
  <c r="X200" i="1" s="1"/>
  <c r="BN200" i="1"/>
  <c r="BA200" i="1"/>
  <c r="BB200" i="1" s="1"/>
  <c r="P200" i="1"/>
  <c r="AY200" i="1"/>
  <c r="AE200" i="1"/>
  <c r="AB200" i="1"/>
  <c r="AC200" i="1" s="1"/>
  <c r="BK200" i="1"/>
  <c r="BL200" i="1" s="1"/>
  <c r="BW190" i="1"/>
  <c r="BX190" i="1" s="1"/>
  <c r="BD190" i="1"/>
  <c r="BP190" i="1"/>
  <c r="BQ190" i="1" s="1"/>
  <c r="AJ190" i="1"/>
  <c r="R190" i="1"/>
  <c r="S190" i="1" s="1"/>
  <c r="AV190" i="1"/>
  <c r="AW190" i="1" s="1"/>
  <c r="BN190" i="1"/>
  <c r="BA190" i="1"/>
  <c r="BB190" i="1" s="1"/>
  <c r="P190" i="1"/>
  <c r="W190" i="1"/>
  <c r="X190" i="1" s="1"/>
  <c r="AY190" i="1"/>
  <c r="AE190" i="1"/>
  <c r="AB190" i="1"/>
  <c r="AC190" i="1" s="1"/>
  <c r="BK190" i="1"/>
  <c r="BL190" i="1" s="1"/>
  <c r="P180" i="1"/>
  <c r="BW180" i="1"/>
  <c r="BX180" i="1" s="1"/>
  <c r="BA180" i="1"/>
  <c r="BB180" i="1" s="1"/>
  <c r="BW172" i="1"/>
  <c r="BX172" i="1" s="1"/>
  <c r="Z172" i="1"/>
  <c r="AV162" i="1"/>
  <c r="AW162" i="1" s="1"/>
  <c r="BW162" i="1"/>
  <c r="BX162" i="1" s="1"/>
  <c r="BS162" i="1"/>
  <c r="BF162" i="1"/>
  <c r="BG162" i="1" s="1"/>
  <c r="AO162" i="1"/>
  <c r="U162" i="1"/>
  <c r="BD162" i="1"/>
  <c r="AG162" i="1"/>
  <c r="AH162" i="1" s="1"/>
  <c r="AB162" i="1"/>
  <c r="AC162" i="1" s="1"/>
  <c r="BP162" i="1"/>
  <c r="BQ162" i="1" s="1"/>
  <c r="AJ162" i="1"/>
  <c r="BN162" i="1"/>
  <c r="BA162" i="1"/>
  <c r="BB162" i="1" s="1"/>
  <c r="AL162" i="1"/>
  <c r="AM162" i="1" s="1"/>
  <c r="W162" i="1"/>
  <c r="X162" i="1" s="1"/>
  <c r="AY162" i="1"/>
  <c r="AE162" i="1"/>
  <c r="BW152" i="1"/>
  <c r="BX152" i="1" s="1"/>
  <c r="AQ152" i="1"/>
  <c r="AR152" i="1" s="1"/>
  <c r="AG152" i="1"/>
  <c r="AH152" i="1" s="1"/>
  <c r="BU152" i="1"/>
  <c r="BV152" i="1" s="1"/>
  <c r="W152" i="1"/>
  <c r="X152" i="1" s="1"/>
  <c r="BS152" i="1"/>
  <c r="BF152" i="1"/>
  <c r="BG152" i="1" s="1"/>
  <c r="AO152" i="1"/>
  <c r="U152" i="1"/>
  <c r="AV152" i="1"/>
  <c r="AW152" i="1" s="1"/>
  <c r="BD152" i="1"/>
  <c r="BP152" i="1"/>
  <c r="BQ152" i="1" s="1"/>
  <c r="AJ152" i="1"/>
  <c r="R152" i="1"/>
  <c r="S152" i="1" s="1"/>
  <c r="BN152" i="1"/>
  <c r="BA152" i="1"/>
  <c r="BB152" i="1" s="1"/>
  <c r="P152" i="1"/>
  <c r="AQ142" i="1"/>
  <c r="AR142" i="1" s="1"/>
  <c r="BW142" i="1"/>
  <c r="BX142" i="1" s="1"/>
  <c r="AY142" i="1"/>
  <c r="AE142" i="1"/>
  <c r="BK142" i="1"/>
  <c r="BL142" i="1" s="1"/>
  <c r="W142" i="1"/>
  <c r="X142" i="1" s="1"/>
  <c r="BI142" i="1"/>
  <c r="AT142" i="1"/>
  <c r="Z142" i="1"/>
  <c r="BU142" i="1"/>
  <c r="BV142" i="1" s="1"/>
  <c r="BS142" i="1"/>
  <c r="BF142" i="1"/>
  <c r="BG142" i="1" s="1"/>
  <c r="AO142" i="1"/>
  <c r="U142" i="1"/>
  <c r="BW134" i="1"/>
  <c r="BX134" i="1" s="1"/>
  <c r="AB134" i="1"/>
  <c r="AC134" i="1" s="1"/>
  <c r="AG134" i="1"/>
  <c r="AH134" i="1" s="1"/>
  <c r="BI134" i="1"/>
  <c r="AT134" i="1"/>
  <c r="Z134" i="1"/>
  <c r="BU134" i="1"/>
  <c r="BV134" i="1" s="1"/>
  <c r="AV134" i="1"/>
  <c r="AW134" i="1" s="1"/>
  <c r="BS134" i="1"/>
  <c r="BF134" i="1"/>
  <c r="BG134" i="1" s="1"/>
  <c r="AO134" i="1"/>
  <c r="U134" i="1"/>
  <c r="BD134" i="1"/>
  <c r="W134" i="1"/>
  <c r="X134" i="1" s="1"/>
  <c r="BP134" i="1"/>
  <c r="BQ134" i="1" s="1"/>
  <c r="AJ134" i="1"/>
  <c r="R134" i="1"/>
  <c r="S134" i="1" s="1"/>
  <c r="BW124" i="1"/>
  <c r="BX124" i="1" s="1"/>
  <c r="AG124" i="1"/>
  <c r="AH124" i="1" s="1"/>
  <c r="BU124" i="1"/>
  <c r="BV124" i="1" s="1"/>
  <c r="BS124" i="1"/>
  <c r="BF124" i="1"/>
  <c r="BG124" i="1" s="1"/>
  <c r="AO124" i="1"/>
  <c r="U124" i="1"/>
  <c r="BD124" i="1"/>
  <c r="BN124" i="1"/>
  <c r="BA124" i="1"/>
  <c r="BB124" i="1" s="1"/>
  <c r="P124" i="1"/>
  <c r="AV114" i="1"/>
  <c r="AW114" i="1" s="1"/>
  <c r="BW114" i="1"/>
  <c r="BX114" i="1" s="1"/>
  <c r="BU114" i="1"/>
  <c r="BV114" i="1" s="1"/>
  <c r="BS114" i="1"/>
  <c r="BF114" i="1"/>
  <c r="BG114" i="1" s="1"/>
  <c r="AO114" i="1"/>
  <c r="U114" i="1"/>
  <c r="AL114" i="1"/>
  <c r="AM114" i="1" s="1"/>
  <c r="BD114" i="1"/>
  <c r="W114" i="1"/>
  <c r="X114" i="1" s="1"/>
  <c r="BN114" i="1"/>
  <c r="BA114" i="1"/>
  <c r="BB114" i="1" s="1"/>
  <c r="P114" i="1"/>
  <c r="BW103" i="1"/>
  <c r="BX103" i="1" s="1"/>
  <c r="AL103" i="1"/>
  <c r="AM103" i="1" s="1"/>
  <c r="BI103" i="1"/>
  <c r="AT103" i="1"/>
  <c r="BU103" i="1"/>
  <c r="BV103" i="1" s="1"/>
  <c r="U103" i="1"/>
  <c r="BS103" i="1"/>
  <c r="BF103" i="1"/>
  <c r="BG103" i="1" s="1"/>
  <c r="AO103" i="1"/>
  <c r="AQ103" i="1"/>
  <c r="AR103" i="1" s="1"/>
  <c r="W103" i="1"/>
  <c r="X103" i="1" s="1"/>
  <c r="BP103" i="1"/>
  <c r="BQ103" i="1" s="1"/>
  <c r="AJ103" i="1"/>
  <c r="P103" i="1"/>
  <c r="AV103" i="1"/>
  <c r="AW103" i="1" s="1"/>
  <c r="AQ95" i="1"/>
  <c r="AR95" i="1" s="1"/>
  <c r="BW95" i="1"/>
  <c r="BX95" i="1" s="1"/>
  <c r="BK95" i="1"/>
  <c r="BL95" i="1" s="1"/>
  <c r="BI95" i="1"/>
  <c r="AT95" i="1"/>
  <c r="Z95" i="1"/>
  <c r="AG95" i="1"/>
  <c r="AH95" i="1" s="1"/>
  <c r="AB95" i="1"/>
  <c r="AC95" i="1" s="1"/>
  <c r="BU95" i="1"/>
  <c r="BV95" i="1" s="1"/>
  <c r="BD95" i="1"/>
  <c r="BD77" i="1"/>
  <c r="BW77" i="1"/>
  <c r="BX77" i="1" s="1"/>
  <c r="BN77" i="1"/>
  <c r="AQ67" i="1"/>
  <c r="AR67" i="1" s="1"/>
  <c r="BW67" i="1"/>
  <c r="BX67" i="1" s="1"/>
  <c r="W67" i="1"/>
  <c r="X67" i="1" s="1"/>
  <c r="BU67" i="1"/>
  <c r="BV67" i="1" s="1"/>
  <c r="BS67" i="1"/>
  <c r="BF67" i="1"/>
  <c r="BG67" i="1" s="1"/>
  <c r="AO67" i="1"/>
  <c r="U67" i="1"/>
  <c r="AG67" i="1"/>
  <c r="AH67" i="1" s="1"/>
  <c r="BD67" i="1"/>
  <c r="AL67" i="1"/>
  <c r="AM67" i="1" s="1"/>
  <c r="BN67" i="1"/>
  <c r="BA67" i="1"/>
  <c r="BB67" i="1" s="1"/>
  <c r="P67" i="1"/>
  <c r="AQ57" i="1"/>
  <c r="AR57" i="1" s="1"/>
  <c r="BW57" i="1"/>
  <c r="BX57" i="1" s="1"/>
  <c r="BP57" i="1"/>
  <c r="BQ57" i="1" s="1"/>
  <c r="AJ57" i="1"/>
  <c r="R57" i="1"/>
  <c r="S57" i="1" s="1"/>
  <c r="BN57" i="1"/>
  <c r="BA57" i="1"/>
  <c r="BB57" i="1" s="1"/>
  <c r="P57" i="1"/>
  <c r="BI57" i="1"/>
  <c r="AT57" i="1"/>
  <c r="Z57" i="1"/>
  <c r="BW47" i="1"/>
  <c r="BX47" i="1" s="1"/>
  <c r="AV47" i="1"/>
  <c r="AW47" i="1" s="1"/>
  <c r="BK47" i="1"/>
  <c r="BL47" i="1" s="1"/>
  <c r="AL47" i="1"/>
  <c r="AM47" i="1" s="1"/>
  <c r="AG47" i="1"/>
  <c r="AH47" i="1" s="1"/>
  <c r="BI47" i="1"/>
  <c r="AT47" i="1"/>
  <c r="Z47" i="1"/>
  <c r="AB47" i="1"/>
  <c r="AC47" i="1" s="1"/>
  <c r="BD47" i="1"/>
  <c r="BW27" i="1"/>
  <c r="BX27" i="1" s="1"/>
  <c r="AB27" i="1"/>
  <c r="AC27" i="1" s="1"/>
  <c r="R27" i="1"/>
  <c r="S27" i="1" s="1"/>
  <c r="BK27" i="1"/>
  <c r="BL27" i="1" s="1"/>
  <c r="AG27" i="1"/>
  <c r="AH27" i="1" s="1"/>
  <c r="AV27" i="1"/>
  <c r="AW27" i="1" s="1"/>
  <c r="AL27" i="1"/>
  <c r="AM27" i="1" s="1"/>
  <c r="BW19" i="1"/>
  <c r="BX19" i="1" s="1"/>
  <c r="AL19" i="1"/>
  <c r="AM19" i="1" s="1"/>
  <c r="BK19" i="1"/>
  <c r="BL19" i="1" s="1"/>
  <c r="AV19" i="1"/>
  <c r="AW19" i="1" s="1"/>
  <c r="W19" i="1"/>
  <c r="X19" i="1" s="1"/>
  <c r="AG19" i="1"/>
  <c r="AH19" i="1" s="1"/>
  <c r="AB19" i="1"/>
  <c r="AC19" i="1" s="1"/>
  <c r="BW11" i="1"/>
  <c r="BX11" i="1" s="1"/>
  <c r="AL11" i="1"/>
  <c r="AM11" i="1" s="1"/>
  <c r="W11" i="1"/>
  <c r="X11" i="1" s="1"/>
  <c r="BL11" i="1"/>
  <c r="BG23" i="1"/>
  <c r="AS269" i="1"/>
  <c r="AU269" i="1"/>
  <c r="BB68" i="1"/>
  <c r="BB94" i="1"/>
  <c r="X209" i="1"/>
  <c r="AL30" i="1"/>
  <c r="AM30" i="1" s="1"/>
  <c r="AQ114" i="1"/>
  <c r="AR114" i="1" s="1"/>
  <c r="AW130" i="1"/>
  <c r="AQ134" i="1"/>
  <c r="AR134" i="1" s="1"/>
  <c r="BM269" i="1"/>
  <c r="BO269" i="1"/>
  <c r="BG186" i="1"/>
  <c r="AR84" i="1"/>
  <c r="BV27" i="1"/>
  <c r="BV88" i="1"/>
  <c r="BB90" i="1"/>
  <c r="BR269" i="1"/>
  <c r="AB191" i="1"/>
  <c r="AC191" i="1" s="1"/>
  <c r="AL200" i="1"/>
  <c r="AM200" i="1" s="1"/>
  <c r="AG261" i="1"/>
  <c r="AH261" i="1" s="1"/>
  <c r="AQ191" i="1"/>
  <c r="AR191" i="1" s="1"/>
  <c r="AV40" i="1"/>
  <c r="AW40" i="1" s="1"/>
  <c r="AR83" i="1"/>
  <c r="S6" i="2"/>
  <c r="W257" i="1"/>
  <c r="X257" i="1" s="1"/>
  <c r="BW257" i="1"/>
  <c r="BX257" i="1" s="1"/>
  <c r="AG247" i="1"/>
  <c r="AH247" i="1" s="1"/>
  <c r="BW247" i="1"/>
  <c r="BX247" i="1" s="1"/>
  <c r="AQ217" i="1"/>
  <c r="AR217" i="1" s="1"/>
  <c r="BW217" i="1"/>
  <c r="BX217" i="1" s="1"/>
  <c r="AB209" i="1"/>
  <c r="AC209" i="1" s="1"/>
  <c r="BW209" i="1"/>
  <c r="BX209" i="1" s="1"/>
  <c r="W199" i="1"/>
  <c r="X199" i="1" s="1"/>
  <c r="BW199" i="1"/>
  <c r="BX199" i="1" s="1"/>
  <c r="AQ179" i="1"/>
  <c r="AR179" i="1" s="1"/>
  <c r="BW179" i="1"/>
  <c r="BX179" i="1" s="1"/>
  <c r="BU171" i="1"/>
  <c r="BV171" i="1" s="1"/>
  <c r="BW171" i="1"/>
  <c r="BX171" i="1" s="1"/>
  <c r="AQ161" i="1"/>
  <c r="AR161" i="1" s="1"/>
  <c r="BW161" i="1"/>
  <c r="BX161" i="1" s="1"/>
  <c r="AQ131" i="1"/>
  <c r="AR131" i="1" s="1"/>
  <c r="BW131" i="1"/>
  <c r="BX131" i="1" s="1"/>
  <c r="AL111" i="1"/>
  <c r="AM111" i="1" s="1"/>
  <c r="BW111" i="1"/>
  <c r="BX111" i="1" s="1"/>
  <c r="AQ102" i="1"/>
  <c r="AR102" i="1" s="1"/>
  <c r="BW102" i="1"/>
  <c r="BX102" i="1" s="1"/>
  <c r="BK94" i="1"/>
  <c r="BL94" i="1" s="1"/>
  <c r="BW94" i="1"/>
  <c r="BX94" i="1" s="1"/>
  <c r="AV66" i="1"/>
  <c r="AW66" i="1" s="1"/>
  <c r="BW66" i="1"/>
  <c r="BX66" i="1" s="1"/>
  <c r="BN56" i="1"/>
  <c r="BW56" i="1"/>
  <c r="BX56" i="1" s="1"/>
  <c r="AT36" i="1"/>
  <c r="BW36" i="1"/>
  <c r="BX36" i="1" s="1"/>
  <c r="AV26" i="1"/>
  <c r="AW26" i="1" s="1"/>
  <c r="BW26" i="1"/>
  <c r="BX26" i="1" s="1"/>
  <c r="AQ10" i="1"/>
  <c r="AR10" i="1" s="1"/>
  <c r="BW10" i="1"/>
  <c r="BX10" i="1" s="1"/>
  <c r="BL55" i="1"/>
  <c r="BK66" i="1"/>
  <c r="BL66" i="1" s="1"/>
  <c r="AE76" i="1"/>
  <c r="AY76" i="1"/>
  <c r="Z84" i="1"/>
  <c r="AT84" i="1"/>
  <c r="BI84" i="1"/>
  <c r="P102" i="1"/>
  <c r="BA102" i="1"/>
  <c r="BB102" i="1" s="1"/>
  <c r="BQ107" i="1"/>
  <c r="Z111" i="1"/>
  <c r="BK111" i="1"/>
  <c r="BL111" i="1" s="1"/>
  <c r="AE121" i="1"/>
  <c r="AY121" i="1"/>
  <c r="AE131" i="1"/>
  <c r="AY131" i="1"/>
  <c r="R141" i="1"/>
  <c r="S141" i="1" s="1"/>
  <c r="AJ141" i="1"/>
  <c r="BP141" i="1"/>
  <c r="BQ141" i="1" s="1"/>
  <c r="BK151" i="1"/>
  <c r="BL151" i="1" s="1"/>
  <c r="BQ160" i="1"/>
  <c r="BD179" i="1"/>
  <c r="BL203" i="1"/>
  <c r="BN209" i="1"/>
  <c r="R227" i="1"/>
  <c r="S227" i="1" s="1"/>
  <c r="AJ227" i="1"/>
  <c r="BP227" i="1"/>
  <c r="BQ227" i="1" s="1"/>
  <c r="BK247" i="1"/>
  <c r="BL247" i="1" s="1"/>
  <c r="U267" i="1"/>
  <c r="AO267" i="1"/>
  <c r="BF267" i="1"/>
  <c r="BG267" i="1" s="1"/>
  <c r="BS267" i="1"/>
  <c r="AB10" i="1"/>
  <c r="AC10" i="1" s="1"/>
  <c r="W227" i="1"/>
  <c r="X227" i="1" s="1"/>
  <c r="W267" i="1"/>
  <c r="X267" i="1" s="1"/>
  <c r="AG10" i="1"/>
  <c r="AH10" i="1" s="1"/>
  <c r="AG84" i="1"/>
  <c r="AH84" i="1" s="1"/>
  <c r="AH110" i="1"/>
  <c r="AB151" i="1"/>
  <c r="AC151" i="1" s="1"/>
  <c r="AB179" i="1"/>
  <c r="AC179" i="1" s="1"/>
  <c r="AG179" i="1"/>
  <c r="AH179" i="1" s="1"/>
  <c r="AH223" i="1"/>
  <c r="AR263" i="1"/>
  <c r="AQ18" i="1"/>
  <c r="AR18" i="1" s="1"/>
  <c r="AV56" i="1"/>
  <c r="AW56" i="1" s="1"/>
  <c r="AV76" i="1"/>
  <c r="AW76" i="1" s="1"/>
  <c r="AW138" i="1"/>
  <c r="AG266" i="1"/>
  <c r="AH266" i="1" s="1"/>
  <c r="BW266" i="1"/>
  <c r="BX266" i="1" s="1"/>
  <c r="AO198" i="1"/>
  <c r="BW198" i="1"/>
  <c r="BX198" i="1" s="1"/>
  <c r="AQ140" i="1"/>
  <c r="AR140" i="1" s="1"/>
  <c r="BW140" i="1"/>
  <c r="BX140" i="1" s="1"/>
  <c r="AY110" i="1"/>
  <c r="BW110" i="1"/>
  <c r="BX110" i="1" s="1"/>
  <c r="AG65" i="1"/>
  <c r="AH65" i="1" s="1"/>
  <c r="BW65" i="1"/>
  <c r="BX65" i="1" s="1"/>
  <c r="BU55" i="1"/>
  <c r="BV55" i="1" s="1"/>
  <c r="BW55" i="1"/>
  <c r="BX55" i="1" s="1"/>
  <c r="AV45" i="1"/>
  <c r="AW45" i="1" s="1"/>
  <c r="BW45" i="1"/>
  <c r="BX45" i="1" s="1"/>
  <c r="AQ25" i="1"/>
  <c r="AR25" i="1" s="1"/>
  <c r="BW25" i="1"/>
  <c r="BX25" i="1" s="1"/>
  <c r="P131" i="1"/>
  <c r="BA131" i="1"/>
  <c r="BB131" i="1" s="1"/>
  <c r="BN131" i="1"/>
  <c r="BD141" i="1"/>
  <c r="AE151" i="1"/>
  <c r="AY151" i="1"/>
  <c r="BL165" i="1"/>
  <c r="S178" i="1"/>
  <c r="U179" i="1"/>
  <c r="AO179" i="1"/>
  <c r="BF179" i="1"/>
  <c r="BG179" i="1" s="1"/>
  <c r="BS179" i="1"/>
  <c r="BQ204" i="1"/>
  <c r="BD227" i="1"/>
  <c r="U237" i="1"/>
  <c r="AE247" i="1"/>
  <c r="AY247" i="1"/>
  <c r="BU267" i="1"/>
  <c r="BV267" i="1" s="1"/>
  <c r="W10" i="1"/>
  <c r="X10" i="1" s="1"/>
  <c r="AB84" i="1"/>
  <c r="AC84" i="1" s="1"/>
  <c r="AQ227" i="1"/>
  <c r="AR227" i="1" s="1"/>
  <c r="AL66" i="1"/>
  <c r="AM66" i="1" s="1"/>
  <c r="AV111" i="1"/>
  <c r="AW111" i="1" s="1"/>
  <c r="W245" i="1"/>
  <c r="X245" i="1" s="1"/>
  <c r="BW245" i="1"/>
  <c r="BX245" i="1" s="1"/>
  <c r="BN215" i="1"/>
  <c r="BW215" i="1"/>
  <c r="BX215" i="1" s="1"/>
  <c r="AQ205" i="1"/>
  <c r="AR205" i="1" s="1"/>
  <c r="BW205" i="1"/>
  <c r="BX205" i="1" s="1"/>
  <c r="AQ197" i="1"/>
  <c r="AR197" i="1" s="1"/>
  <c r="BW197" i="1"/>
  <c r="BX197" i="1" s="1"/>
  <c r="AV187" i="1"/>
  <c r="AW187" i="1" s="1"/>
  <c r="BW187" i="1"/>
  <c r="BX187" i="1" s="1"/>
  <c r="AL169" i="1"/>
  <c r="AM169" i="1" s="1"/>
  <c r="BW169" i="1"/>
  <c r="BX169" i="1" s="1"/>
  <c r="AQ149" i="1"/>
  <c r="AR149" i="1" s="1"/>
  <c r="BW149" i="1"/>
  <c r="BX149" i="1" s="1"/>
  <c r="AL129" i="1"/>
  <c r="AM129" i="1" s="1"/>
  <c r="BW129" i="1"/>
  <c r="BX129" i="1" s="1"/>
  <c r="AL108" i="1"/>
  <c r="AM108" i="1" s="1"/>
  <c r="BW108" i="1"/>
  <c r="BX108" i="1" s="1"/>
  <c r="AV92" i="1"/>
  <c r="AW92" i="1" s="1"/>
  <c r="BW92" i="1"/>
  <c r="BX92" i="1" s="1"/>
  <c r="R72" i="1"/>
  <c r="S72" i="1" s="1"/>
  <c r="BW72" i="1"/>
  <c r="BX72" i="1" s="1"/>
  <c r="AQ54" i="1"/>
  <c r="AR54" i="1" s="1"/>
  <c r="BW54" i="1"/>
  <c r="BX54" i="1" s="1"/>
  <c r="U34" i="1"/>
  <c r="BW34" i="1"/>
  <c r="BX34" i="1" s="1"/>
  <c r="Z24" i="1"/>
  <c r="BW24" i="1"/>
  <c r="BX24" i="1" s="1"/>
  <c r="N6" i="2"/>
  <c r="BN94" i="1"/>
  <c r="BA111" i="1"/>
  <c r="BB111" i="1" s="1"/>
  <c r="BN111" i="1"/>
  <c r="R121" i="1"/>
  <c r="S121" i="1" s="1"/>
  <c r="AJ121" i="1"/>
  <c r="BP121" i="1"/>
  <c r="BQ121" i="1" s="1"/>
  <c r="R131" i="1"/>
  <c r="S131" i="1" s="1"/>
  <c r="AJ131" i="1"/>
  <c r="BP131" i="1"/>
  <c r="BQ131" i="1" s="1"/>
  <c r="U141" i="1"/>
  <c r="AO141" i="1"/>
  <c r="BF141" i="1"/>
  <c r="BG141" i="1" s="1"/>
  <c r="BS141" i="1"/>
  <c r="P151" i="1"/>
  <c r="BA151" i="1"/>
  <c r="BB151" i="1" s="1"/>
  <c r="BN151" i="1"/>
  <c r="Z171" i="1"/>
  <c r="BU179" i="1"/>
  <c r="BV179" i="1" s="1"/>
  <c r="AT199" i="1"/>
  <c r="U227" i="1"/>
  <c r="AO227" i="1"/>
  <c r="BF227" i="1"/>
  <c r="BG227" i="1" s="1"/>
  <c r="BS227" i="1"/>
  <c r="BF237" i="1"/>
  <c r="BG237" i="1" s="1"/>
  <c r="P247" i="1"/>
  <c r="BA247" i="1"/>
  <c r="BB247" i="1" s="1"/>
  <c r="BN247" i="1"/>
  <c r="Z267" i="1"/>
  <c r="AT267" i="1"/>
  <c r="BI267" i="1"/>
  <c r="AB18" i="1"/>
  <c r="AC18" i="1" s="1"/>
  <c r="W111" i="1"/>
  <c r="X111" i="1" s="1"/>
  <c r="W131" i="1"/>
  <c r="X131" i="1" s="1"/>
  <c r="AG18" i="1"/>
  <c r="AH18" i="1" s="1"/>
  <c r="AL227" i="1"/>
  <c r="AM227" i="1" s="1"/>
  <c r="AG267" i="1"/>
  <c r="AH267" i="1" s="1"/>
  <c r="AR32" i="1"/>
  <c r="AJ36" i="1"/>
  <c r="AQ76" i="1"/>
  <c r="AR76" i="1" s="1"/>
  <c r="AB194" i="1"/>
  <c r="AC194" i="1" s="1"/>
  <c r="BW194" i="1"/>
  <c r="BX194" i="1" s="1"/>
  <c r="AB176" i="1"/>
  <c r="AC176" i="1" s="1"/>
  <c r="BW176" i="1"/>
  <c r="BX176" i="1" s="1"/>
  <c r="AL138" i="1"/>
  <c r="AM138" i="1" s="1"/>
  <c r="BW138" i="1"/>
  <c r="BX138" i="1" s="1"/>
  <c r="BS128" i="1"/>
  <c r="BW128" i="1"/>
  <c r="BX128" i="1" s="1"/>
  <c r="AL118" i="1"/>
  <c r="AM118" i="1" s="1"/>
  <c r="BW118" i="1"/>
  <c r="BX118" i="1" s="1"/>
  <c r="AV71" i="1"/>
  <c r="AW71" i="1" s="1"/>
  <c r="BW71" i="1"/>
  <c r="BX71" i="1" s="1"/>
  <c r="BD61" i="1"/>
  <c r="BW61" i="1"/>
  <c r="BX61" i="1" s="1"/>
  <c r="AV53" i="1"/>
  <c r="AW53" i="1" s="1"/>
  <c r="BW53" i="1"/>
  <c r="BX53" i="1" s="1"/>
  <c r="AL43" i="1"/>
  <c r="AM43" i="1" s="1"/>
  <c r="BW43" i="1"/>
  <c r="BX43" i="1" s="1"/>
  <c r="P33" i="1"/>
  <c r="BW33" i="1"/>
  <c r="BX33" i="1" s="1"/>
  <c r="AV23" i="1"/>
  <c r="AW23" i="1" s="1"/>
  <c r="BW23" i="1"/>
  <c r="BX23" i="1" s="1"/>
  <c r="BD76" i="1"/>
  <c r="P84" i="1"/>
  <c r="BA84" i="1"/>
  <c r="BB84" i="1" s="1"/>
  <c r="BN84" i="1"/>
  <c r="P111" i="1"/>
  <c r="AJ111" i="1"/>
  <c r="BP111" i="1"/>
  <c r="BQ111" i="1" s="1"/>
  <c r="BD121" i="1"/>
  <c r="BQ127" i="1"/>
  <c r="BD131" i="1"/>
  <c r="BU141" i="1"/>
  <c r="BV141" i="1" s="1"/>
  <c r="R151" i="1"/>
  <c r="S151" i="1" s="1"/>
  <c r="AJ151" i="1"/>
  <c r="BP151" i="1"/>
  <c r="BQ151" i="1" s="1"/>
  <c r="BI171" i="1"/>
  <c r="BG175" i="1"/>
  <c r="Z179" i="1"/>
  <c r="AT179" i="1"/>
  <c r="BI179" i="1"/>
  <c r="BU227" i="1"/>
  <c r="BV227" i="1" s="1"/>
  <c r="R247" i="1"/>
  <c r="S247" i="1" s="1"/>
  <c r="AJ247" i="1"/>
  <c r="BP247" i="1"/>
  <c r="BQ247" i="1" s="1"/>
  <c r="BK267" i="1"/>
  <c r="BL267" i="1" s="1"/>
  <c r="W18" i="1"/>
  <c r="X18" i="1" s="1"/>
  <c r="AC17" i="1"/>
  <c r="AG66" i="1"/>
  <c r="AH66" i="1" s="1"/>
  <c r="AG121" i="1"/>
  <c r="AH121" i="1" s="1"/>
  <c r="AV267" i="1"/>
  <c r="AW267" i="1" s="1"/>
  <c r="AV171" i="1"/>
  <c r="AW171" i="1" s="1"/>
  <c r="AV151" i="1"/>
  <c r="AW151" i="1" s="1"/>
  <c r="AV84" i="1"/>
  <c r="AW84" i="1" s="1"/>
  <c r="AT233" i="1"/>
  <c r="BW233" i="1"/>
  <c r="BX233" i="1" s="1"/>
  <c r="AL203" i="1"/>
  <c r="AM203" i="1" s="1"/>
  <c r="BW203" i="1"/>
  <c r="BX203" i="1" s="1"/>
  <c r="BN145" i="1"/>
  <c r="BW145" i="1"/>
  <c r="BX145" i="1" s="1"/>
  <c r="P137" i="1"/>
  <c r="BW137" i="1"/>
  <c r="BX137" i="1" s="1"/>
  <c r="AQ117" i="1"/>
  <c r="AR117" i="1" s="1"/>
  <c r="BW117" i="1"/>
  <c r="BX117" i="1" s="1"/>
  <c r="AB70" i="1"/>
  <c r="AC70" i="1" s="1"/>
  <c r="BW70" i="1"/>
  <c r="BX70" i="1" s="1"/>
  <c r="AQ60" i="1"/>
  <c r="AR60" i="1" s="1"/>
  <c r="BW60" i="1"/>
  <c r="BX60" i="1" s="1"/>
  <c r="AL52" i="1"/>
  <c r="AM52" i="1" s="1"/>
  <c r="BW52" i="1"/>
  <c r="BX52" i="1" s="1"/>
  <c r="BI32" i="1"/>
  <c r="BW32" i="1"/>
  <c r="BX32" i="1" s="1"/>
  <c r="AQ22" i="1"/>
  <c r="AR22" i="1" s="1"/>
  <c r="BW22" i="1"/>
  <c r="BX22" i="1" s="1"/>
  <c r="BV41" i="1"/>
  <c r="BD66" i="1"/>
  <c r="U76" i="1"/>
  <c r="AO76" i="1"/>
  <c r="BF76" i="1"/>
  <c r="BG76" i="1" s="1"/>
  <c r="BS76" i="1"/>
  <c r="R84" i="1"/>
  <c r="S84" i="1" s="1"/>
  <c r="AJ84" i="1"/>
  <c r="BP84" i="1"/>
  <c r="BQ84" i="1" s="1"/>
  <c r="BL92" i="1"/>
  <c r="BU94" i="1"/>
  <c r="BV94" i="1" s="1"/>
  <c r="BB100" i="1"/>
  <c r="BN102" i="1"/>
  <c r="R111" i="1"/>
  <c r="S111" i="1" s="1"/>
  <c r="BD111" i="1"/>
  <c r="U121" i="1"/>
  <c r="AO121" i="1"/>
  <c r="BF121" i="1"/>
  <c r="BG121" i="1" s="1"/>
  <c r="BS121" i="1"/>
  <c r="U131" i="1"/>
  <c r="AO131" i="1"/>
  <c r="BF131" i="1"/>
  <c r="BG131" i="1" s="1"/>
  <c r="BS131" i="1"/>
  <c r="S136" i="1"/>
  <c r="Z141" i="1"/>
  <c r="AT141" i="1"/>
  <c r="BI141" i="1"/>
  <c r="BD151" i="1"/>
  <c r="BK179" i="1"/>
  <c r="BL179" i="1" s="1"/>
  <c r="P209" i="1"/>
  <c r="BA209" i="1"/>
  <c r="BB209" i="1" s="1"/>
  <c r="Z227" i="1"/>
  <c r="AT227" i="1"/>
  <c r="BI227" i="1"/>
  <c r="BD247" i="1"/>
  <c r="AE267" i="1"/>
  <c r="AY267" i="1"/>
  <c r="W151" i="1"/>
  <c r="X151" i="1" s="1"/>
  <c r="AB227" i="1"/>
  <c r="AC227" i="1" s="1"/>
  <c r="AB267" i="1"/>
  <c r="AC267" i="1" s="1"/>
  <c r="AV227" i="1"/>
  <c r="AW227" i="1" s="1"/>
  <c r="AL76" i="1"/>
  <c r="AM76" i="1" s="1"/>
  <c r="AQ111" i="1"/>
  <c r="AR111" i="1" s="1"/>
  <c r="AW93" i="1"/>
  <c r="BN250" i="1"/>
  <c r="BW250" i="1"/>
  <c r="BX250" i="1" s="1"/>
  <c r="AL182" i="1"/>
  <c r="AM182" i="1" s="1"/>
  <c r="BW182" i="1"/>
  <c r="BX182" i="1" s="1"/>
  <c r="AG174" i="1"/>
  <c r="AH174" i="1" s="1"/>
  <c r="BW174" i="1"/>
  <c r="BX174" i="1" s="1"/>
  <c r="AV126" i="1"/>
  <c r="AW126" i="1" s="1"/>
  <c r="BW126" i="1"/>
  <c r="BX126" i="1" s="1"/>
  <c r="AV97" i="1"/>
  <c r="AW97" i="1" s="1"/>
  <c r="BW97" i="1"/>
  <c r="BX97" i="1" s="1"/>
  <c r="AL89" i="1"/>
  <c r="AM89" i="1" s="1"/>
  <c r="BW89" i="1"/>
  <c r="BX89" i="1" s="1"/>
  <c r="AV69" i="1"/>
  <c r="AW69" i="1" s="1"/>
  <c r="BW69" i="1"/>
  <c r="BX69" i="1" s="1"/>
  <c r="BK59" i="1"/>
  <c r="BL59" i="1" s="1"/>
  <c r="BW59" i="1"/>
  <c r="BX59" i="1" s="1"/>
  <c r="U31" i="1"/>
  <c r="BW31" i="1"/>
  <c r="BX31" i="1" s="1"/>
  <c r="AV21" i="1"/>
  <c r="AW21" i="1" s="1"/>
  <c r="BW21" i="1"/>
  <c r="BX21" i="1" s="1"/>
  <c r="AV13" i="1"/>
  <c r="AW13" i="1" s="1"/>
  <c r="BW13" i="1"/>
  <c r="BX13" i="1" s="1"/>
  <c r="G27" i="2"/>
  <c r="BJ269" i="1"/>
  <c r="K259" i="1"/>
  <c r="BW259" i="1" s="1"/>
  <c r="BD257" i="1"/>
  <c r="AB257" i="1"/>
  <c r="AC257" i="1" s="1"/>
  <c r="U257" i="1"/>
  <c r="AO257" i="1"/>
  <c r="BF257" i="1"/>
  <c r="BG257" i="1" s="1"/>
  <c r="BS257" i="1"/>
  <c r="AQ257" i="1"/>
  <c r="AR257" i="1" s="1"/>
  <c r="K254" i="1"/>
  <c r="AT254" i="1" s="1"/>
  <c r="AV257" i="1"/>
  <c r="AW257" i="1" s="1"/>
  <c r="BU257" i="1"/>
  <c r="BV257" i="1" s="1"/>
  <c r="Z257" i="1"/>
  <c r="AT257" i="1"/>
  <c r="BI257" i="1"/>
  <c r="AG257" i="1"/>
  <c r="AH257" i="1" s="1"/>
  <c r="BK257" i="1"/>
  <c r="BL257" i="1" s="1"/>
  <c r="AE257" i="1"/>
  <c r="AY257" i="1"/>
  <c r="P257" i="1"/>
  <c r="BA257" i="1"/>
  <c r="BB257" i="1" s="1"/>
  <c r="BN257" i="1"/>
  <c r="AL257" i="1"/>
  <c r="AM257" i="1" s="1"/>
  <c r="R257" i="1"/>
  <c r="S257" i="1" s="1"/>
  <c r="AJ257" i="1"/>
  <c r="BP257" i="1"/>
  <c r="BQ257" i="1" s="1"/>
  <c r="AQ247" i="1"/>
  <c r="AR247" i="1" s="1"/>
  <c r="AL247" i="1"/>
  <c r="AM247" i="1" s="1"/>
  <c r="W247" i="1"/>
  <c r="X247" i="1" s="1"/>
  <c r="AV247" i="1"/>
  <c r="AW247" i="1" s="1"/>
  <c r="AB247" i="1"/>
  <c r="AC247" i="1" s="1"/>
  <c r="U245" i="1"/>
  <c r="AO245" i="1"/>
  <c r="BF245" i="1"/>
  <c r="BG245" i="1" s="1"/>
  <c r="BS245" i="1"/>
  <c r="AQ245" i="1"/>
  <c r="AR245" i="1" s="1"/>
  <c r="BU245" i="1"/>
  <c r="BV245" i="1" s="1"/>
  <c r="AL245" i="1"/>
  <c r="AM245" i="1" s="1"/>
  <c r="K240" i="1"/>
  <c r="AT240" i="1" s="1"/>
  <c r="Z245" i="1"/>
  <c r="AT245" i="1"/>
  <c r="BI245" i="1"/>
  <c r="AB245" i="1"/>
  <c r="AC245" i="1" s="1"/>
  <c r="BK245" i="1"/>
  <c r="BL245" i="1" s="1"/>
  <c r="AG245" i="1"/>
  <c r="AH245" i="1" s="1"/>
  <c r="AV245" i="1"/>
  <c r="AW245" i="1" s="1"/>
  <c r="AE245" i="1"/>
  <c r="AY245" i="1"/>
  <c r="P245" i="1"/>
  <c r="BA245" i="1"/>
  <c r="BB245" i="1" s="1"/>
  <c r="BN245" i="1"/>
  <c r="R245" i="1"/>
  <c r="S245" i="1" s="1"/>
  <c r="AJ245" i="1"/>
  <c r="BP245" i="1"/>
  <c r="BQ245" i="1" s="1"/>
  <c r="Z233" i="1"/>
  <c r="K224" i="1"/>
  <c r="BD224" i="1" s="1"/>
  <c r="P239" i="1"/>
  <c r="BA239" i="1"/>
  <c r="BB239" i="1" s="1"/>
  <c r="BN239" i="1"/>
  <c r="W239" i="1"/>
  <c r="X239" i="1" s="1"/>
  <c r="AQ239" i="1"/>
  <c r="AR239" i="1" s="1"/>
  <c r="AV239" i="1"/>
  <c r="AW239" i="1" s="1"/>
  <c r="R239" i="1"/>
  <c r="S239" i="1" s="1"/>
  <c r="AJ239" i="1"/>
  <c r="BP239" i="1"/>
  <c r="BQ239" i="1" s="1"/>
  <c r="BD239" i="1"/>
  <c r="AL239" i="1"/>
  <c r="AM239" i="1" s="1"/>
  <c r="U239" i="1"/>
  <c r="AO239" i="1"/>
  <c r="BF239" i="1"/>
  <c r="BG239" i="1" s="1"/>
  <c r="BS239" i="1"/>
  <c r="BU239" i="1"/>
  <c r="BV239" i="1" s="1"/>
  <c r="AG239" i="1"/>
  <c r="AH239" i="1" s="1"/>
  <c r="Z239" i="1"/>
  <c r="AT239" i="1"/>
  <c r="BI239" i="1"/>
  <c r="BK239" i="1"/>
  <c r="BL239" i="1" s="1"/>
  <c r="K230" i="1"/>
  <c r="AV230" i="1" s="1"/>
  <c r="AW230" i="1" s="1"/>
  <c r="U217" i="1"/>
  <c r="AO217" i="1"/>
  <c r="BF217" i="1"/>
  <c r="BG217" i="1" s="1"/>
  <c r="BS217" i="1"/>
  <c r="AG217" i="1"/>
  <c r="AH217" i="1" s="1"/>
  <c r="BU217" i="1"/>
  <c r="BV217" i="1" s="1"/>
  <c r="Z217" i="1"/>
  <c r="AT217" i="1"/>
  <c r="BI217" i="1"/>
  <c r="AL217" i="1"/>
  <c r="AM217" i="1" s="1"/>
  <c r="BK217" i="1"/>
  <c r="BL217" i="1" s="1"/>
  <c r="AE217" i="1"/>
  <c r="AY217" i="1"/>
  <c r="AV217" i="1"/>
  <c r="AW217" i="1" s="1"/>
  <c r="P217" i="1"/>
  <c r="BA217" i="1"/>
  <c r="BB217" i="1" s="1"/>
  <c r="BN217" i="1"/>
  <c r="AB217" i="1"/>
  <c r="AC217" i="1" s="1"/>
  <c r="R217" i="1"/>
  <c r="S217" i="1" s="1"/>
  <c r="AJ217" i="1"/>
  <c r="BP217" i="1"/>
  <c r="BQ217" i="1" s="1"/>
  <c r="W217" i="1"/>
  <c r="X217" i="1" s="1"/>
  <c r="R209" i="1"/>
  <c r="S209" i="1" s="1"/>
  <c r="AJ209" i="1"/>
  <c r="BP209" i="1"/>
  <c r="BQ209" i="1" s="1"/>
  <c r="AV209" i="1"/>
  <c r="AW209" i="1" s="1"/>
  <c r="BD209" i="1"/>
  <c r="U209" i="1"/>
  <c r="AO209" i="1"/>
  <c r="BF209" i="1"/>
  <c r="BG209" i="1" s="1"/>
  <c r="BS209" i="1"/>
  <c r="AG209" i="1"/>
  <c r="AH209" i="1" s="1"/>
  <c r="BU209" i="1"/>
  <c r="BV209" i="1" s="1"/>
  <c r="AQ209" i="1"/>
  <c r="AR209" i="1" s="1"/>
  <c r="Z209" i="1"/>
  <c r="AT209" i="1"/>
  <c r="BI209" i="1"/>
  <c r="BK209" i="1"/>
  <c r="BL209" i="1" s="1"/>
  <c r="AL209" i="1"/>
  <c r="AM209" i="1" s="1"/>
  <c r="AE209" i="1"/>
  <c r="AY209" i="1"/>
  <c r="K207" i="1"/>
  <c r="BI207" i="1" s="1"/>
  <c r="AV205" i="1"/>
  <c r="AW205" i="1" s="1"/>
  <c r="AG205" i="1"/>
  <c r="AH205" i="1" s="1"/>
  <c r="AV203" i="1"/>
  <c r="AW203" i="1" s="1"/>
  <c r="AG203" i="1"/>
  <c r="AH203" i="1" s="1"/>
  <c r="AB203" i="1"/>
  <c r="AC203" i="1" s="1"/>
  <c r="BK199" i="1"/>
  <c r="BL199" i="1" s="1"/>
  <c r="AG199" i="1"/>
  <c r="AH199" i="1" s="1"/>
  <c r="AE199" i="1"/>
  <c r="AY199" i="1"/>
  <c r="P199" i="1"/>
  <c r="BA199" i="1"/>
  <c r="BB199" i="1" s="1"/>
  <c r="BN199" i="1"/>
  <c r="AV199" i="1"/>
  <c r="AW199" i="1" s="1"/>
  <c r="R199" i="1"/>
  <c r="S199" i="1" s="1"/>
  <c r="AJ199" i="1"/>
  <c r="BP199" i="1"/>
  <c r="BQ199" i="1" s="1"/>
  <c r="AB199" i="1"/>
  <c r="AC199" i="1" s="1"/>
  <c r="BD199" i="1"/>
  <c r="AQ199" i="1"/>
  <c r="AR199" i="1" s="1"/>
  <c r="U199" i="1"/>
  <c r="AO199" i="1"/>
  <c r="BF199" i="1"/>
  <c r="BG199" i="1" s="1"/>
  <c r="BS199" i="1"/>
  <c r="AL199" i="1"/>
  <c r="AM199" i="1" s="1"/>
  <c r="BU199" i="1"/>
  <c r="BV199" i="1" s="1"/>
  <c r="AV197" i="1"/>
  <c r="AW197" i="1" s="1"/>
  <c r="K195" i="1"/>
  <c r="BW195" i="1" s="1"/>
  <c r="N269" i="1"/>
  <c r="AQ194" i="1"/>
  <c r="AR194" i="1" s="1"/>
  <c r="AL187" i="1"/>
  <c r="AM187" i="1" s="1"/>
  <c r="AG187" i="1"/>
  <c r="AH187" i="1" s="1"/>
  <c r="K184" i="1"/>
  <c r="BW184" i="1" s="1"/>
  <c r="BK169" i="1"/>
  <c r="BL169" i="1" s="1"/>
  <c r="P169" i="1"/>
  <c r="BA169" i="1"/>
  <c r="BB169" i="1" s="1"/>
  <c r="BN169" i="1"/>
  <c r="R169" i="1"/>
  <c r="S169" i="1" s="1"/>
  <c r="AJ169" i="1"/>
  <c r="BP169" i="1"/>
  <c r="BQ169" i="1" s="1"/>
  <c r="BD169" i="1"/>
  <c r="U169" i="1"/>
  <c r="AO169" i="1"/>
  <c r="BF169" i="1"/>
  <c r="BG169" i="1" s="1"/>
  <c r="BS169" i="1"/>
  <c r="BU169" i="1"/>
  <c r="BV169" i="1" s="1"/>
  <c r="AG169" i="1"/>
  <c r="AH169" i="1" s="1"/>
  <c r="BK171" i="1"/>
  <c r="BL171" i="1" s="1"/>
  <c r="AE171" i="1"/>
  <c r="AY171" i="1"/>
  <c r="W171" i="1"/>
  <c r="X171" i="1" s="1"/>
  <c r="P171" i="1"/>
  <c r="BA171" i="1"/>
  <c r="BB171" i="1" s="1"/>
  <c r="BN171" i="1"/>
  <c r="AB171" i="1"/>
  <c r="AC171" i="1" s="1"/>
  <c r="AG171" i="1"/>
  <c r="AH171" i="1" s="1"/>
  <c r="R171" i="1"/>
  <c r="S171" i="1" s="1"/>
  <c r="AJ171" i="1"/>
  <c r="BP171" i="1"/>
  <c r="BQ171" i="1" s="1"/>
  <c r="AL171" i="1"/>
  <c r="AM171" i="1" s="1"/>
  <c r="BD171" i="1"/>
  <c r="U171" i="1"/>
  <c r="AO171" i="1"/>
  <c r="BF171" i="1"/>
  <c r="BG171" i="1" s="1"/>
  <c r="BS171" i="1"/>
  <c r="AQ171" i="1"/>
  <c r="AR171" i="1" s="1"/>
  <c r="AL174" i="1"/>
  <c r="AM174" i="1" s="1"/>
  <c r="AQ174" i="1"/>
  <c r="AR174" i="1" s="1"/>
  <c r="AV182" i="1"/>
  <c r="AW182" i="1" s="1"/>
  <c r="AV179" i="1"/>
  <c r="AW179" i="1" s="1"/>
  <c r="K166" i="1"/>
  <c r="BW166" i="1" s="1"/>
  <c r="AE161" i="1"/>
  <c r="W161" i="1"/>
  <c r="X161" i="1" s="1"/>
  <c r="AY161" i="1"/>
  <c r="BA161" i="1"/>
  <c r="BB161" i="1" s="1"/>
  <c r="BN161" i="1"/>
  <c r="AL161" i="1"/>
  <c r="AM161" i="1" s="1"/>
  <c r="R161" i="1"/>
  <c r="S161" i="1" s="1"/>
  <c r="AJ161" i="1"/>
  <c r="BP161" i="1"/>
  <c r="BQ161" i="1" s="1"/>
  <c r="AB161" i="1"/>
  <c r="AC161" i="1" s="1"/>
  <c r="BD161" i="1"/>
  <c r="K156" i="1"/>
  <c r="BW156" i="1" s="1"/>
  <c r="U161" i="1"/>
  <c r="AO161" i="1"/>
  <c r="BF161" i="1"/>
  <c r="BG161" i="1" s="1"/>
  <c r="BS161" i="1"/>
  <c r="AG161" i="1"/>
  <c r="AH161" i="1" s="1"/>
  <c r="BU161" i="1"/>
  <c r="BV161" i="1" s="1"/>
  <c r="AV161" i="1"/>
  <c r="AW161" i="1" s="1"/>
  <c r="Z161" i="1"/>
  <c r="AT161" i="1"/>
  <c r="BI161" i="1"/>
  <c r="BK161" i="1"/>
  <c r="BL161" i="1" s="1"/>
  <c r="AL149" i="1"/>
  <c r="AM149" i="1" s="1"/>
  <c r="P149" i="1"/>
  <c r="BA149" i="1"/>
  <c r="BB149" i="1" s="1"/>
  <c r="BN149" i="1"/>
  <c r="R149" i="1"/>
  <c r="S149" i="1" s="1"/>
  <c r="AJ149" i="1"/>
  <c r="BP149" i="1"/>
  <c r="BQ149" i="1" s="1"/>
  <c r="AB149" i="1"/>
  <c r="AC149" i="1" s="1"/>
  <c r="BD149" i="1"/>
  <c r="U149" i="1"/>
  <c r="AO149" i="1"/>
  <c r="BF149" i="1"/>
  <c r="BG149" i="1" s="1"/>
  <c r="BS149" i="1"/>
  <c r="BU149" i="1"/>
  <c r="BV149" i="1" s="1"/>
  <c r="W149" i="1"/>
  <c r="X149" i="1" s="1"/>
  <c r="Z149" i="1"/>
  <c r="AT149" i="1"/>
  <c r="BI149" i="1"/>
  <c r="AV149" i="1"/>
  <c r="AW149" i="1" s="1"/>
  <c r="BK149" i="1"/>
  <c r="BL149" i="1" s="1"/>
  <c r="K146" i="1"/>
  <c r="BW146" i="1" s="1"/>
  <c r="AG143" i="1"/>
  <c r="AH143" i="1" s="1"/>
  <c r="AB143" i="1"/>
  <c r="AC143" i="1" s="1"/>
  <c r="AV140" i="1"/>
  <c r="AW140" i="1" s="1"/>
  <c r="P145" i="1"/>
  <c r="AV135" i="1"/>
  <c r="AW135" i="1" s="1"/>
  <c r="K132" i="1"/>
  <c r="BF132" i="1" s="1"/>
  <c r="BG132" i="1" s="1"/>
  <c r="AQ126" i="1"/>
  <c r="AR126" i="1" s="1"/>
  <c r="K122" i="1"/>
  <c r="BW122" i="1" s="1"/>
  <c r="X6" i="2"/>
  <c r="AC6" i="2"/>
  <c r="AD6" i="2"/>
  <c r="AE6" i="2" s="1"/>
  <c r="BD117" i="1"/>
  <c r="BU117" i="1"/>
  <c r="BV117" i="1" s="1"/>
  <c r="Z117" i="1"/>
  <c r="AT117" i="1"/>
  <c r="BI117" i="1"/>
  <c r="BK117" i="1"/>
  <c r="BL117" i="1" s="1"/>
  <c r="AB117" i="1"/>
  <c r="AC117" i="1" s="1"/>
  <c r="AE117" i="1"/>
  <c r="AY117" i="1"/>
  <c r="W117" i="1"/>
  <c r="X117" i="1" s="1"/>
  <c r="P117" i="1"/>
  <c r="BA117" i="1"/>
  <c r="BB117" i="1" s="1"/>
  <c r="BN117" i="1"/>
  <c r="AG117" i="1"/>
  <c r="AH117" i="1" s="1"/>
  <c r="AQ118" i="1"/>
  <c r="AR118" i="1" s="1"/>
  <c r="AV118" i="1"/>
  <c r="AW118" i="1" s="1"/>
  <c r="AL117" i="1"/>
  <c r="AM117" i="1" s="1"/>
  <c r="AG114" i="1"/>
  <c r="AH114" i="1" s="1"/>
  <c r="AB114" i="1"/>
  <c r="AC114" i="1" s="1"/>
  <c r="K74" i="1"/>
  <c r="BW74" i="1" s="1"/>
  <c r="W96" i="1"/>
  <c r="X96" i="1" s="1"/>
  <c r="AB96" i="1"/>
  <c r="AC96" i="1" s="1"/>
  <c r="AG96" i="1"/>
  <c r="AH96" i="1" s="1"/>
  <c r="AE92" i="1"/>
  <c r="AY92" i="1"/>
  <c r="W92" i="1"/>
  <c r="X92" i="1" s="1"/>
  <c r="P92" i="1"/>
  <c r="BA92" i="1"/>
  <c r="BB92" i="1" s="1"/>
  <c r="BN92" i="1"/>
  <c r="AB92" i="1"/>
  <c r="AC92" i="1" s="1"/>
  <c r="AL92" i="1"/>
  <c r="AM92" i="1" s="1"/>
  <c r="R92" i="1"/>
  <c r="S92" i="1" s="1"/>
  <c r="AJ92" i="1"/>
  <c r="BP92" i="1"/>
  <c r="BQ92" i="1" s="1"/>
  <c r="BD92" i="1"/>
  <c r="AG92" i="1"/>
  <c r="AH92" i="1" s="1"/>
  <c r="U92" i="1"/>
  <c r="AO92" i="1"/>
  <c r="BF92" i="1"/>
  <c r="BG92" i="1" s="1"/>
  <c r="BS92" i="1"/>
  <c r="BU92" i="1"/>
  <c r="BV92" i="1" s="1"/>
  <c r="Z92" i="1"/>
  <c r="AT92" i="1"/>
  <c r="BI92" i="1"/>
  <c r="AL96" i="1"/>
  <c r="AM96" i="1" s="1"/>
  <c r="K86" i="1"/>
  <c r="AQ86" i="1" s="1"/>
  <c r="AR86" i="1" s="1"/>
  <c r="BP34" i="1"/>
  <c r="BQ34" i="1" s="1"/>
  <c r="R34" i="1"/>
  <c r="S34" i="1" s="1"/>
  <c r="BA34" i="1"/>
  <c r="BB34" i="1" s="1"/>
  <c r="BD34" i="1"/>
  <c r="AO34" i="1"/>
  <c r="AE34" i="1"/>
  <c r="AL34" i="1"/>
  <c r="AM34" i="1" s="1"/>
  <c r="AY34" i="1"/>
  <c r="Z34" i="1"/>
  <c r="P34" i="1"/>
  <c r="BU34" i="1"/>
  <c r="BV34" i="1" s="1"/>
  <c r="BS34" i="1"/>
  <c r="BF34" i="1"/>
  <c r="BG34" i="1" s="1"/>
  <c r="BN34" i="1"/>
  <c r="W34" i="1"/>
  <c r="X34" i="1" s="1"/>
  <c r="AV34" i="1"/>
  <c r="AW34" i="1" s="1"/>
  <c r="BK34" i="1"/>
  <c r="BL34" i="1" s="1"/>
  <c r="AJ34" i="1"/>
  <c r="AQ34" i="1"/>
  <c r="AR34" i="1" s="1"/>
  <c r="AG34" i="1"/>
  <c r="AH34" i="1" s="1"/>
  <c r="BI34" i="1"/>
  <c r="AT34" i="1"/>
  <c r="AB36" i="1"/>
  <c r="AC36" i="1" s="1"/>
  <c r="AG36" i="1"/>
  <c r="AH36" i="1" s="1"/>
  <c r="BK36" i="1"/>
  <c r="BL36" i="1" s="1"/>
  <c r="U36" i="1"/>
  <c r="BD36" i="1"/>
  <c r="AL36" i="1"/>
  <c r="AM36" i="1" s="1"/>
  <c r="K28" i="1"/>
  <c r="BF28" i="1" s="1"/>
  <c r="BG28" i="1" s="1"/>
  <c r="AQ35" i="1"/>
  <c r="AR35" i="1" s="1"/>
  <c r="AL45" i="1"/>
  <c r="AM45" i="1" s="1"/>
  <c r="AV43" i="1"/>
  <c r="AW43" i="1" s="1"/>
  <c r="P43" i="1"/>
  <c r="BA43" i="1"/>
  <c r="BB43" i="1" s="1"/>
  <c r="BN43" i="1"/>
  <c r="W43" i="1"/>
  <c r="X43" i="1" s="1"/>
  <c r="R43" i="1"/>
  <c r="S43" i="1" s="1"/>
  <c r="AJ43" i="1"/>
  <c r="BP43" i="1"/>
  <c r="BQ43" i="1" s="1"/>
  <c r="AQ43" i="1"/>
  <c r="AR43" i="1" s="1"/>
  <c r="BD43" i="1"/>
  <c r="AB43" i="1"/>
  <c r="AC43" i="1" s="1"/>
  <c r="U43" i="1"/>
  <c r="AO43" i="1"/>
  <c r="BF43" i="1"/>
  <c r="BG43" i="1" s="1"/>
  <c r="BS43" i="1"/>
  <c r="BU43" i="1"/>
  <c r="BV43" i="1" s="1"/>
  <c r="AG43" i="1"/>
  <c r="AH43" i="1" s="1"/>
  <c r="Z43" i="1"/>
  <c r="AT43" i="1"/>
  <c r="BI43" i="1"/>
  <c r="BK43" i="1"/>
  <c r="BL43" i="1" s="1"/>
  <c r="K38" i="1"/>
  <c r="BK38" i="1" s="1"/>
  <c r="BL38" i="1" s="1"/>
  <c r="AQ44" i="1"/>
  <c r="AR44" i="1" s="1"/>
  <c r="AQ66" i="1"/>
  <c r="AR66" i="1" s="1"/>
  <c r="AB71" i="1"/>
  <c r="AC71" i="1" s="1"/>
  <c r="Z70" i="1"/>
  <c r="AT70" i="1"/>
  <c r="BI70" i="1"/>
  <c r="AG70" i="1"/>
  <c r="AH70" i="1" s="1"/>
  <c r="BK70" i="1"/>
  <c r="BL70" i="1" s="1"/>
  <c r="AE70" i="1"/>
  <c r="AY70" i="1"/>
  <c r="W70" i="1"/>
  <c r="X70" i="1" s="1"/>
  <c r="AQ70" i="1"/>
  <c r="AR70" i="1" s="1"/>
  <c r="P70" i="1"/>
  <c r="BA70" i="1"/>
  <c r="BB70" i="1" s="1"/>
  <c r="BN70" i="1"/>
  <c r="R70" i="1"/>
  <c r="S70" i="1" s="1"/>
  <c r="AJ70" i="1"/>
  <c r="BP70" i="1"/>
  <c r="BQ70" i="1" s="1"/>
  <c r="BD70" i="1"/>
  <c r="AL70" i="1"/>
  <c r="AM70" i="1" s="1"/>
  <c r="U70" i="1"/>
  <c r="AO70" i="1"/>
  <c r="BF70" i="1"/>
  <c r="BG70" i="1" s="1"/>
  <c r="BS70" i="1"/>
  <c r="BP72" i="1"/>
  <c r="BQ72" i="1" s="1"/>
  <c r="BK72" i="1"/>
  <c r="BL72" i="1" s="1"/>
  <c r="AJ72" i="1"/>
  <c r="AQ71" i="1"/>
  <c r="AR71" i="1" s="1"/>
  <c r="AG71" i="1"/>
  <c r="AH71" i="1" s="1"/>
  <c r="W68" i="1"/>
  <c r="X68" i="1" s="1"/>
  <c r="AQ65" i="1"/>
  <c r="AR65" i="1" s="1"/>
  <c r="AL65" i="1"/>
  <c r="AM65" i="1" s="1"/>
  <c r="W65" i="1"/>
  <c r="X65" i="1" s="1"/>
  <c r="K62" i="1"/>
  <c r="BN62" i="1" s="1"/>
  <c r="BI64" i="1"/>
  <c r="U61" i="1"/>
  <c r="AO61" i="1"/>
  <c r="BF61" i="1"/>
  <c r="BG61" i="1" s="1"/>
  <c r="BS61" i="1"/>
  <c r="BU61" i="1"/>
  <c r="BV61" i="1" s="1"/>
  <c r="Z61" i="1"/>
  <c r="AT61" i="1"/>
  <c r="BI61" i="1"/>
  <c r="BK61" i="1"/>
  <c r="BL61" i="1" s="1"/>
  <c r="P61" i="1"/>
  <c r="BA61" i="1"/>
  <c r="BB61" i="1" s="1"/>
  <c r="BN61" i="1"/>
  <c r="AB60" i="1"/>
  <c r="AC60" i="1" s="1"/>
  <c r="W60" i="1"/>
  <c r="X60" i="1" s="1"/>
  <c r="AG59" i="1"/>
  <c r="AH59" i="1" s="1"/>
  <c r="BD59" i="1"/>
  <c r="AV59" i="1"/>
  <c r="AW59" i="1" s="1"/>
  <c r="W57" i="1"/>
  <c r="X57" i="1" s="1"/>
  <c r="AG57" i="1"/>
  <c r="AH57" i="1" s="1"/>
  <c r="AQ56" i="1"/>
  <c r="AR56" i="1" s="1"/>
  <c r="AG53" i="1"/>
  <c r="AH53" i="1" s="1"/>
  <c r="AB53" i="1"/>
  <c r="AC53" i="1" s="1"/>
  <c r="W53" i="1"/>
  <c r="X53" i="1" s="1"/>
  <c r="AL57" i="1"/>
  <c r="AM57" i="1" s="1"/>
  <c r="AV57" i="1"/>
  <c r="AW57" i="1" s="1"/>
  <c r="R56" i="1"/>
  <c r="S56" i="1" s="1"/>
  <c r="AJ56" i="1"/>
  <c r="BP56" i="1"/>
  <c r="BQ56" i="1" s="1"/>
  <c r="BD56" i="1"/>
  <c r="AL56" i="1"/>
  <c r="AM56" i="1" s="1"/>
  <c r="U56" i="1"/>
  <c r="AO56" i="1"/>
  <c r="BF56" i="1"/>
  <c r="BG56" i="1" s="1"/>
  <c r="BS56" i="1"/>
  <c r="Z56" i="1"/>
  <c r="AT56" i="1"/>
  <c r="BI56" i="1"/>
  <c r="AB56" i="1"/>
  <c r="AC56" i="1" s="1"/>
  <c r="BK56" i="1"/>
  <c r="BL56" i="1" s="1"/>
  <c r="AG56" i="1"/>
  <c r="AH56" i="1" s="1"/>
  <c r="P56" i="1"/>
  <c r="BA56" i="1"/>
  <c r="BB56" i="1" s="1"/>
  <c r="K50" i="1"/>
  <c r="BS50" i="1" s="1"/>
  <c r="AV52" i="1"/>
  <c r="AW52" i="1" s="1"/>
  <c r="AQ52" i="1"/>
  <c r="AR52" i="1" s="1"/>
  <c r="W61" i="1"/>
  <c r="X61" i="1" s="1"/>
  <c r="AG61" i="1"/>
  <c r="AH61" i="1" s="1"/>
  <c r="AB61" i="1"/>
  <c r="AC61" i="1" s="1"/>
  <c r="AV61" i="1"/>
  <c r="AW61" i="1" s="1"/>
  <c r="AV60" i="1"/>
  <c r="AW60" i="1" s="1"/>
  <c r="AL60" i="1"/>
  <c r="AM60" i="1" s="1"/>
  <c r="AL32" i="1"/>
  <c r="AM32" i="1" s="1"/>
  <c r="AT32" i="1"/>
  <c r="AJ32" i="1"/>
  <c r="BA32" i="1"/>
  <c r="BB32" i="1" s="1"/>
  <c r="BK32" i="1"/>
  <c r="BL32" i="1" s="1"/>
  <c r="BD32" i="1"/>
  <c r="AE32" i="1"/>
  <c r="AV32" i="1"/>
  <c r="AW32" i="1" s="1"/>
  <c r="BF32" i="1"/>
  <c r="BG32" i="1" s="1"/>
  <c r="L269" i="1"/>
  <c r="Z36" i="1"/>
  <c r="AQ36" i="1"/>
  <c r="AR36" i="1" s="1"/>
  <c r="AV36" i="1"/>
  <c r="AW36" i="1" s="1"/>
  <c r="BI36" i="1"/>
  <c r="AY36" i="1"/>
  <c r="BF36" i="1"/>
  <c r="BG36" i="1" s="1"/>
  <c r="BP36" i="1"/>
  <c r="BQ36" i="1" s="1"/>
  <c r="AO36" i="1"/>
  <c r="AE36" i="1"/>
  <c r="BA36" i="1"/>
  <c r="BB36" i="1" s="1"/>
  <c r="AQ26" i="1"/>
  <c r="AR26" i="1" s="1"/>
  <c r="AL13" i="1"/>
  <c r="AM13" i="1" s="1"/>
  <c r="BN12" i="1"/>
  <c r="AJ12" i="1"/>
  <c r="BI12" i="1"/>
  <c r="BD12" i="1"/>
  <c r="AE12" i="1"/>
  <c r="U12" i="1"/>
  <c r="Z12" i="1"/>
  <c r="BK12" i="1"/>
  <c r="BL12" i="1" s="1"/>
  <c r="BA12" i="1"/>
  <c r="BB12" i="1" s="1"/>
  <c r="AY12" i="1"/>
  <c r="R12" i="1"/>
  <c r="S12" i="1" s="1"/>
  <c r="AT12" i="1"/>
  <c r="AO12" i="1"/>
  <c r="BP12" i="1"/>
  <c r="BQ12" i="1" s="1"/>
  <c r="P12" i="1"/>
  <c r="AL22" i="1"/>
  <c r="AM22" i="1" s="1"/>
  <c r="AV22" i="1"/>
  <c r="AW22" i="1" s="1"/>
  <c r="W22" i="1"/>
  <c r="X22" i="1" s="1"/>
  <c r="AB22" i="1"/>
  <c r="AC22" i="1" s="1"/>
  <c r="AG22" i="1"/>
  <c r="AH22" i="1" s="1"/>
  <c r="AQ21" i="1"/>
  <c r="AR21" i="1" s="1"/>
  <c r="AL109" i="1"/>
  <c r="AM109" i="1" s="1"/>
  <c r="AG109" i="1"/>
  <c r="AH109" i="1" s="1"/>
  <c r="AV242" i="1"/>
  <c r="AW242" i="1" s="1"/>
  <c r="AL242" i="1"/>
  <c r="AM242" i="1" s="1"/>
  <c r="BK242" i="1"/>
  <c r="BL242" i="1" s="1"/>
  <c r="BI242" i="1"/>
  <c r="AT242" i="1"/>
  <c r="Z242" i="1"/>
  <c r="AG242" i="1"/>
  <c r="AH242" i="1" s="1"/>
  <c r="BU242" i="1"/>
  <c r="BV242" i="1" s="1"/>
  <c r="AQ242" i="1"/>
  <c r="AR242" i="1" s="1"/>
  <c r="BS242" i="1"/>
  <c r="BF242" i="1"/>
  <c r="BG242" i="1" s="1"/>
  <c r="AO242" i="1"/>
  <c r="U242" i="1"/>
  <c r="BD242" i="1"/>
  <c r="AB242" i="1"/>
  <c r="AC242" i="1" s="1"/>
  <c r="W242" i="1"/>
  <c r="X242" i="1" s="1"/>
  <c r="BP242" i="1"/>
  <c r="BQ242" i="1" s="1"/>
  <c r="AJ242" i="1"/>
  <c r="R242" i="1"/>
  <c r="S242" i="1" s="1"/>
  <c r="AV223" i="1"/>
  <c r="AW223" i="1" s="1"/>
  <c r="BI223" i="1"/>
  <c r="AT223" i="1"/>
  <c r="Z223" i="1"/>
  <c r="AL223" i="1"/>
  <c r="AM223" i="1" s="1"/>
  <c r="BU223" i="1"/>
  <c r="BV223" i="1" s="1"/>
  <c r="BS223" i="1"/>
  <c r="BF223" i="1"/>
  <c r="BG223" i="1" s="1"/>
  <c r="AO223" i="1"/>
  <c r="U223" i="1"/>
  <c r="AQ223" i="1"/>
  <c r="AR223" i="1" s="1"/>
  <c r="AB223" i="1"/>
  <c r="AC223" i="1" s="1"/>
  <c r="BD223" i="1"/>
  <c r="BP223" i="1"/>
  <c r="BQ223" i="1" s="1"/>
  <c r="AJ223" i="1"/>
  <c r="R223" i="1"/>
  <c r="S223" i="1" s="1"/>
  <c r="BN223" i="1"/>
  <c r="BA223" i="1"/>
  <c r="BB223" i="1" s="1"/>
  <c r="P223" i="1"/>
  <c r="BS206" i="1"/>
  <c r="BF206" i="1"/>
  <c r="BG206" i="1" s="1"/>
  <c r="AO206" i="1"/>
  <c r="U206" i="1"/>
  <c r="BD206" i="1"/>
  <c r="BP206" i="1"/>
  <c r="BQ206" i="1" s="1"/>
  <c r="AJ206" i="1"/>
  <c r="R206" i="1"/>
  <c r="S206" i="1" s="1"/>
  <c r="BN206" i="1"/>
  <c r="BA206" i="1"/>
  <c r="BB206" i="1" s="1"/>
  <c r="P206" i="1"/>
  <c r="AL206" i="1"/>
  <c r="AM206" i="1" s="1"/>
  <c r="AY206" i="1"/>
  <c r="AE206" i="1"/>
  <c r="AV206" i="1"/>
  <c r="AW206" i="1" s="1"/>
  <c r="AG206" i="1"/>
  <c r="AH206" i="1" s="1"/>
  <c r="BK206" i="1"/>
  <c r="BL206" i="1" s="1"/>
  <c r="AQ189" i="1"/>
  <c r="AR189" i="1" s="1"/>
  <c r="AV189" i="1"/>
  <c r="AW189" i="1" s="1"/>
  <c r="AL189" i="1"/>
  <c r="AM189" i="1" s="1"/>
  <c r="BU189" i="1"/>
  <c r="BV189" i="1" s="1"/>
  <c r="AG189" i="1"/>
  <c r="AH189" i="1" s="1"/>
  <c r="BS189" i="1"/>
  <c r="BF189" i="1"/>
  <c r="BG189" i="1" s="1"/>
  <c r="AO189" i="1"/>
  <c r="U189" i="1"/>
  <c r="AB189" i="1"/>
  <c r="AC189" i="1" s="1"/>
  <c r="BD189" i="1"/>
  <c r="W189" i="1"/>
  <c r="X189" i="1" s="1"/>
  <c r="BP189" i="1"/>
  <c r="BQ189" i="1" s="1"/>
  <c r="AJ189" i="1"/>
  <c r="R189" i="1"/>
  <c r="S189" i="1" s="1"/>
  <c r="BN189" i="1"/>
  <c r="BA189" i="1"/>
  <c r="BB189" i="1" s="1"/>
  <c r="P189" i="1"/>
  <c r="AY189" i="1"/>
  <c r="AE189" i="1"/>
  <c r="AB172" i="1"/>
  <c r="AC172" i="1" s="1"/>
  <c r="BU172" i="1"/>
  <c r="BV172" i="1" s="1"/>
  <c r="BS172" i="1"/>
  <c r="BF172" i="1"/>
  <c r="BG172" i="1" s="1"/>
  <c r="AO172" i="1"/>
  <c r="U172" i="1"/>
  <c r="AL172" i="1"/>
  <c r="AM172" i="1" s="1"/>
  <c r="AG172" i="1"/>
  <c r="AH172" i="1" s="1"/>
  <c r="BD172" i="1"/>
  <c r="W172" i="1"/>
  <c r="X172" i="1" s="1"/>
  <c r="BP172" i="1"/>
  <c r="BQ172" i="1" s="1"/>
  <c r="AJ172" i="1"/>
  <c r="R172" i="1"/>
  <c r="S172" i="1" s="1"/>
  <c r="AQ172" i="1"/>
  <c r="AR172" i="1" s="1"/>
  <c r="BN172" i="1"/>
  <c r="BA172" i="1"/>
  <c r="BB172" i="1" s="1"/>
  <c r="P172" i="1"/>
  <c r="AY172" i="1"/>
  <c r="AE172" i="1"/>
  <c r="AY154" i="1"/>
  <c r="AE154" i="1"/>
  <c r="BK154" i="1"/>
  <c r="BL154" i="1" s="1"/>
  <c r="W154" i="1"/>
  <c r="X154" i="1" s="1"/>
  <c r="BI154" i="1"/>
  <c r="AT154" i="1"/>
  <c r="Z154" i="1"/>
  <c r="BU154" i="1"/>
  <c r="BV154" i="1" s="1"/>
  <c r="AV154" i="1"/>
  <c r="AW154" i="1" s="1"/>
  <c r="AQ154" i="1"/>
  <c r="AR154" i="1" s="1"/>
  <c r="AL154" i="1"/>
  <c r="AM154" i="1" s="1"/>
  <c r="BS154" i="1"/>
  <c r="BF154" i="1"/>
  <c r="BG154" i="1" s="1"/>
  <c r="AO154" i="1"/>
  <c r="U154" i="1"/>
  <c r="AB154" i="1"/>
  <c r="AC154" i="1" s="1"/>
  <c r="BD154" i="1"/>
  <c r="AV137" i="1"/>
  <c r="AW137" i="1" s="1"/>
  <c r="AY137" i="1"/>
  <c r="AE137" i="1"/>
  <c r="AQ137" i="1"/>
  <c r="AR137" i="1" s="1"/>
  <c r="BK137" i="1"/>
  <c r="BL137" i="1" s="1"/>
  <c r="AL137" i="1"/>
  <c r="AM137" i="1" s="1"/>
  <c r="AB137" i="1"/>
  <c r="AC137" i="1" s="1"/>
  <c r="BI137" i="1"/>
  <c r="AT137" i="1"/>
  <c r="Z137" i="1"/>
  <c r="BU137" i="1"/>
  <c r="BV137" i="1" s="1"/>
  <c r="BS137" i="1"/>
  <c r="BF137" i="1"/>
  <c r="BG137" i="1" s="1"/>
  <c r="AO137" i="1"/>
  <c r="U137" i="1"/>
  <c r="AG137" i="1"/>
  <c r="AH137" i="1" s="1"/>
  <c r="BD137" i="1"/>
  <c r="AV119" i="1"/>
  <c r="AW119" i="1" s="1"/>
  <c r="AB119" i="1"/>
  <c r="AC119" i="1" s="1"/>
  <c r="AG119" i="1"/>
  <c r="AH119" i="1" s="1"/>
  <c r="W119" i="1"/>
  <c r="X119" i="1" s="1"/>
  <c r="AL119" i="1"/>
  <c r="AM119" i="1" s="1"/>
  <c r="AQ119" i="1"/>
  <c r="AR119" i="1" s="1"/>
  <c r="AG102" i="1"/>
  <c r="AH102" i="1" s="1"/>
  <c r="AV102" i="1"/>
  <c r="AW102" i="1" s="1"/>
  <c r="W102" i="1"/>
  <c r="X102" i="1" s="1"/>
  <c r="AL102" i="1"/>
  <c r="AM102" i="1" s="1"/>
  <c r="AB102" i="1"/>
  <c r="AC102" i="1" s="1"/>
  <c r="W85" i="1"/>
  <c r="X85" i="1" s="1"/>
  <c r="AV85" i="1"/>
  <c r="AW85" i="1" s="1"/>
  <c r="AQ85" i="1"/>
  <c r="AR85" i="1" s="1"/>
  <c r="AL85" i="1"/>
  <c r="AM85" i="1" s="1"/>
  <c r="AG85" i="1"/>
  <c r="AH85" i="1" s="1"/>
  <c r="AV68" i="1"/>
  <c r="AW68" i="1" s="1"/>
  <c r="AB68" i="1"/>
  <c r="AC68" i="1" s="1"/>
  <c r="AG68" i="1"/>
  <c r="AH68" i="1" s="1"/>
  <c r="AQ59" i="1"/>
  <c r="AR59" i="1" s="1"/>
  <c r="AL59" i="1"/>
  <c r="AM59" i="1" s="1"/>
  <c r="W59" i="1"/>
  <c r="X59" i="1" s="1"/>
  <c r="AB59" i="1"/>
  <c r="AC59" i="1" s="1"/>
  <c r="AB42" i="1"/>
  <c r="AC42" i="1" s="1"/>
  <c r="AL42" i="1"/>
  <c r="AM42" i="1" s="1"/>
  <c r="AV42" i="1"/>
  <c r="AW42" i="1" s="1"/>
  <c r="AQ42" i="1"/>
  <c r="AR42" i="1" s="1"/>
  <c r="AG42" i="1"/>
  <c r="AH42" i="1" s="1"/>
  <c r="AL16" i="1"/>
  <c r="AM16" i="1" s="1"/>
  <c r="AQ16" i="1"/>
  <c r="AR16" i="1" s="1"/>
  <c r="AB16" i="1"/>
  <c r="AC16" i="1" s="1"/>
  <c r="AG16" i="1"/>
  <c r="AH16" i="1" s="1"/>
  <c r="AO16" i="1"/>
  <c r="BP24" i="1"/>
  <c r="BQ24" i="1" s="1"/>
  <c r="AJ42" i="1"/>
  <c r="AO59" i="1"/>
  <c r="BS59" i="1"/>
  <c r="AT68" i="1"/>
  <c r="R77" i="1"/>
  <c r="S77" i="1" s="1"/>
  <c r="BP77" i="1"/>
  <c r="BQ77" i="1" s="1"/>
  <c r="R85" i="1"/>
  <c r="S85" i="1" s="1"/>
  <c r="BP85" i="1"/>
  <c r="BQ85" i="1" s="1"/>
  <c r="Z94" i="1"/>
  <c r="BI94" i="1"/>
  <c r="AT102" i="1"/>
  <c r="BK110" i="1"/>
  <c r="BL110" i="1" s="1"/>
  <c r="AT119" i="1"/>
  <c r="U128" i="1"/>
  <c r="R137" i="1"/>
  <c r="S137" i="1" s="1"/>
  <c r="R154" i="1"/>
  <c r="S154" i="1" s="1"/>
  <c r="AT172" i="1"/>
  <c r="Z189" i="1"/>
  <c r="BN24" i="1"/>
  <c r="BN16" i="1"/>
  <c r="Z16" i="1"/>
  <c r="BD42" i="1"/>
  <c r="BU59" i="1"/>
  <c r="BV59" i="1" s="1"/>
  <c r="BK68" i="1"/>
  <c r="BL68" i="1" s="1"/>
  <c r="BD85" i="1"/>
  <c r="BK102" i="1"/>
  <c r="BL102" i="1" s="1"/>
  <c r="AE110" i="1"/>
  <c r="BK119" i="1"/>
  <c r="BL119" i="1" s="1"/>
  <c r="BA137" i="1"/>
  <c r="BB137" i="1" s="1"/>
  <c r="AJ145" i="1"/>
  <c r="BA154" i="1"/>
  <c r="BB154" i="1" s="1"/>
  <c r="BI189" i="1"/>
  <c r="P242" i="1"/>
  <c r="AJ250" i="1"/>
  <c r="W16" i="1"/>
  <c r="X16" i="1" s="1"/>
  <c r="AB268" i="1"/>
  <c r="AC268" i="1" s="1"/>
  <c r="AG268" i="1"/>
  <c r="AH268" i="1" s="1"/>
  <c r="BU268" i="1"/>
  <c r="BV268" i="1" s="1"/>
  <c r="AL268" i="1"/>
  <c r="AM268" i="1" s="1"/>
  <c r="W268" i="1"/>
  <c r="X268" i="1" s="1"/>
  <c r="BS268" i="1"/>
  <c r="BF268" i="1"/>
  <c r="BG268" i="1" s="1"/>
  <c r="AO268" i="1"/>
  <c r="U268" i="1"/>
  <c r="AQ268" i="1"/>
  <c r="AR268" i="1" s="1"/>
  <c r="BD268" i="1"/>
  <c r="AV268" i="1"/>
  <c r="AW268" i="1" s="1"/>
  <c r="BP268" i="1"/>
  <c r="BQ268" i="1" s="1"/>
  <c r="AJ268" i="1"/>
  <c r="R268" i="1"/>
  <c r="S268" i="1" s="1"/>
  <c r="BN268" i="1"/>
  <c r="BA268" i="1"/>
  <c r="BB268" i="1" s="1"/>
  <c r="P268" i="1"/>
  <c r="AY268" i="1"/>
  <c r="AE268" i="1"/>
  <c r="AL250" i="1"/>
  <c r="AM250" i="1" s="1"/>
  <c r="AY250" i="1"/>
  <c r="AE250" i="1"/>
  <c r="AG250" i="1"/>
  <c r="AH250" i="1" s="1"/>
  <c r="BK250" i="1"/>
  <c r="BL250" i="1" s="1"/>
  <c r="AQ250" i="1"/>
  <c r="AR250" i="1" s="1"/>
  <c r="BI250" i="1"/>
  <c r="AT250" i="1"/>
  <c r="Z250" i="1"/>
  <c r="BU250" i="1"/>
  <c r="BV250" i="1" s="1"/>
  <c r="AB250" i="1"/>
  <c r="AC250" i="1" s="1"/>
  <c r="W250" i="1"/>
  <c r="X250" i="1" s="1"/>
  <c r="BS250" i="1"/>
  <c r="BF250" i="1"/>
  <c r="BG250" i="1" s="1"/>
  <c r="AO250" i="1"/>
  <c r="U250" i="1"/>
  <c r="BD250" i="1"/>
  <c r="AG233" i="1"/>
  <c r="AH233" i="1" s="1"/>
  <c r="AL233" i="1"/>
  <c r="AM233" i="1" s="1"/>
  <c r="BU233" i="1"/>
  <c r="BV233" i="1" s="1"/>
  <c r="AV233" i="1"/>
  <c r="AW233" i="1" s="1"/>
  <c r="AQ233" i="1"/>
  <c r="AR233" i="1" s="1"/>
  <c r="W233" i="1"/>
  <c r="X233" i="1" s="1"/>
  <c r="BS233" i="1"/>
  <c r="BF233" i="1"/>
  <c r="BG233" i="1" s="1"/>
  <c r="AO233" i="1"/>
  <c r="U233" i="1"/>
  <c r="BD233" i="1"/>
  <c r="BP233" i="1"/>
  <c r="BQ233" i="1" s="1"/>
  <c r="AJ233" i="1"/>
  <c r="R233" i="1"/>
  <c r="S233" i="1" s="1"/>
  <c r="BN233" i="1"/>
  <c r="BA233" i="1"/>
  <c r="BB233" i="1" s="1"/>
  <c r="P233" i="1"/>
  <c r="AY233" i="1"/>
  <c r="AE233" i="1"/>
  <c r="AG215" i="1"/>
  <c r="AH215" i="1" s="1"/>
  <c r="BK215" i="1"/>
  <c r="BL215" i="1" s="1"/>
  <c r="AV215" i="1"/>
  <c r="AW215" i="1" s="1"/>
  <c r="BI215" i="1"/>
  <c r="AT215" i="1"/>
  <c r="Z215" i="1"/>
  <c r="AL215" i="1"/>
  <c r="AM215" i="1" s="1"/>
  <c r="BU215" i="1"/>
  <c r="BV215" i="1" s="1"/>
  <c r="BS215" i="1"/>
  <c r="BF215" i="1"/>
  <c r="BG215" i="1" s="1"/>
  <c r="AO215" i="1"/>
  <c r="U215" i="1"/>
  <c r="AQ215" i="1"/>
  <c r="AR215" i="1" s="1"/>
  <c r="AB215" i="1"/>
  <c r="AC215" i="1" s="1"/>
  <c r="BD215" i="1"/>
  <c r="BP215" i="1"/>
  <c r="BQ215" i="1" s="1"/>
  <c r="AJ215" i="1"/>
  <c r="R215" i="1"/>
  <c r="S215" i="1" s="1"/>
  <c r="AQ198" i="1"/>
  <c r="AR198" i="1" s="1"/>
  <c r="AB198" i="1"/>
  <c r="AC198" i="1" s="1"/>
  <c r="W198" i="1"/>
  <c r="X198" i="1" s="1"/>
  <c r="BP198" i="1"/>
  <c r="BQ198" i="1" s="1"/>
  <c r="AJ198" i="1"/>
  <c r="R198" i="1"/>
  <c r="S198" i="1" s="1"/>
  <c r="BN198" i="1"/>
  <c r="BA198" i="1"/>
  <c r="BB198" i="1" s="1"/>
  <c r="P198" i="1"/>
  <c r="AY198" i="1"/>
  <c r="AE198" i="1"/>
  <c r="BK198" i="1"/>
  <c r="BL198" i="1" s="1"/>
  <c r="BI198" i="1"/>
  <c r="AT198" i="1"/>
  <c r="Z198" i="1"/>
  <c r="AL198" i="1"/>
  <c r="AM198" i="1" s="1"/>
  <c r="BU198" i="1"/>
  <c r="BV198" i="1" s="1"/>
  <c r="BK180" i="1"/>
  <c r="BL180" i="1" s="1"/>
  <c r="AL180" i="1"/>
  <c r="AM180" i="1" s="1"/>
  <c r="AG180" i="1"/>
  <c r="AH180" i="1" s="1"/>
  <c r="BI180" i="1"/>
  <c r="AT180" i="1"/>
  <c r="Z180" i="1"/>
  <c r="W180" i="1"/>
  <c r="X180" i="1" s="1"/>
  <c r="BU180" i="1"/>
  <c r="BV180" i="1" s="1"/>
  <c r="AQ180" i="1"/>
  <c r="AR180" i="1" s="1"/>
  <c r="BS180" i="1"/>
  <c r="BF180" i="1"/>
  <c r="BG180" i="1" s="1"/>
  <c r="AO180" i="1"/>
  <c r="U180" i="1"/>
  <c r="BD180" i="1"/>
  <c r="AV180" i="1"/>
  <c r="AW180" i="1" s="1"/>
  <c r="BP180" i="1"/>
  <c r="BQ180" i="1" s="1"/>
  <c r="AJ180" i="1"/>
  <c r="R180" i="1"/>
  <c r="S180" i="1" s="1"/>
  <c r="AL163" i="1"/>
  <c r="AM163" i="1" s="1"/>
  <c r="BP163" i="1"/>
  <c r="BQ163" i="1" s="1"/>
  <c r="AJ163" i="1"/>
  <c r="R163" i="1"/>
  <c r="S163" i="1" s="1"/>
  <c r="AQ163" i="1"/>
  <c r="AR163" i="1" s="1"/>
  <c r="AG163" i="1"/>
  <c r="AH163" i="1" s="1"/>
  <c r="BN163" i="1"/>
  <c r="BA163" i="1"/>
  <c r="BB163" i="1" s="1"/>
  <c r="P163" i="1"/>
  <c r="AV163" i="1"/>
  <c r="AW163" i="1" s="1"/>
  <c r="W163" i="1"/>
  <c r="X163" i="1" s="1"/>
  <c r="AY163" i="1"/>
  <c r="AE163" i="1"/>
  <c r="BK163" i="1"/>
  <c r="BL163" i="1" s="1"/>
  <c r="BI163" i="1"/>
  <c r="AT163" i="1"/>
  <c r="Z163" i="1"/>
  <c r="BU163" i="1"/>
  <c r="BV163" i="1" s="1"/>
  <c r="AQ145" i="1"/>
  <c r="AR145" i="1" s="1"/>
  <c r="AL145" i="1"/>
  <c r="AM145" i="1" s="1"/>
  <c r="AY145" i="1"/>
  <c r="AE145" i="1"/>
  <c r="AB145" i="1"/>
  <c r="AC145" i="1" s="1"/>
  <c r="BK145" i="1"/>
  <c r="BL145" i="1" s="1"/>
  <c r="BI145" i="1"/>
  <c r="AT145" i="1"/>
  <c r="Z145" i="1"/>
  <c r="BU145" i="1"/>
  <c r="BV145" i="1" s="1"/>
  <c r="AG145" i="1"/>
  <c r="AH145" i="1" s="1"/>
  <c r="BS145" i="1"/>
  <c r="BF145" i="1"/>
  <c r="BG145" i="1" s="1"/>
  <c r="AO145" i="1"/>
  <c r="U145" i="1"/>
  <c r="AV145" i="1"/>
  <c r="AW145" i="1" s="1"/>
  <c r="BD145" i="1"/>
  <c r="AL128" i="1"/>
  <c r="AM128" i="1" s="1"/>
  <c r="AQ128" i="1"/>
  <c r="AR128" i="1" s="1"/>
  <c r="BP128" i="1"/>
  <c r="BQ128" i="1" s="1"/>
  <c r="AJ128" i="1"/>
  <c r="R128" i="1"/>
  <c r="S128" i="1" s="1"/>
  <c r="AG128" i="1"/>
  <c r="AH128" i="1" s="1"/>
  <c r="AB128" i="1"/>
  <c r="AC128" i="1" s="1"/>
  <c r="BN128" i="1"/>
  <c r="BA128" i="1"/>
  <c r="BB128" i="1" s="1"/>
  <c r="AV128" i="1"/>
  <c r="AW128" i="1" s="1"/>
  <c r="W128" i="1"/>
  <c r="X128" i="1" s="1"/>
  <c r="AY128" i="1"/>
  <c r="AE128" i="1"/>
  <c r="BI128" i="1"/>
  <c r="BU128" i="1"/>
  <c r="BV128" i="1" s="1"/>
  <c r="AV110" i="1"/>
  <c r="AW110" i="1" s="1"/>
  <c r="W110" i="1"/>
  <c r="X110" i="1" s="1"/>
  <c r="AL110" i="1"/>
  <c r="AM110" i="1" s="1"/>
  <c r="AB110" i="1"/>
  <c r="AC110" i="1" s="1"/>
  <c r="AQ110" i="1"/>
  <c r="AR110" i="1" s="1"/>
  <c r="AQ94" i="1"/>
  <c r="AR94" i="1" s="1"/>
  <c r="AG94" i="1"/>
  <c r="AH94" i="1" s="1"/>
  <c r="AV94" i="1"/>
  <c r="AW94" i="1" s="1"/>
  <c r="AL94" i="1"/>
  <c r="AM94" i="1" s="1"/>
  <c r="AB94" i="1"/>
  <c r="AC94" i="1" s="1"/>
  <c r="AB77" i="1"/>
  <c r="AC77" i="1" s="1"/>
  <c r="W77" i="1"/>
  <c r="X77" i="1" s="1"/>
  <c r="AV77" i="1"/>
  <c r="AW77" i="1" s="1"/>
  <c r="AQ77" i="1"/>
  <c r="AR77" i="1" s="1"/>
  <c r="AL77" i="1"/>
  <c r="AM77" i="1" s="1"/>
  <c r="U33" i="1"/>
  <c r="AO33" i="1"/>
  <c r="BI33" i="1"/>
  <c r="BK33" i="1"/>
  <c r="BL33" i="1" s="1"/>
  <c r="AV33" i="1"/>
  <c r="AW33" i="1" s="1"/>
  <c r="AJ33" i="1"/>
  <c r="BD33" i="1"/>
  <c r="BP33" i="1"/>
  <c r="BQ33" i="1" s="1"/>
  <c r="W33" i="1"/>
  <c r="X33" i="1" s="1"/>
  <c r="AB33" i="1"/>
  <c r="AC33" i="1" s="1"/>
  <c r="AE33" i="1"/>
  <c r="AY33" i="1"/>
  <c r="BA33" i="1"/>
  <c r="BB33" i="1" s="1"/>
  <c r="AL33" i="1"/>
  <c r="AM33" i="1" s="1"/>
  <c r="Z33" i="1"/>
  <c r="AT33" i="1"/>
  <c r="BF33" i="1"/>
  <c r="BG33" i="1" s="1"/>
  <c r="AG33" i="1"/>
  <c r="AH33" i="1" s="1"/>
  <c r="AQ24" i="1"/>
  <c r="AR24" i="1" s="1"/>
  <c r="AV24" i="1"/>
  <c r="AW24" i="1" s="1"/>
  <c r="AG24" i="1"/>
  <c r="AH24" i="1" s="1"/>
  <c r="AB24" i="1"/>
  <c r="AC24" i="1" s="1"/>
  <c r="AL24" i="1"/>
  <c r="AM24" i="1" s="1"/>
  <c r="W24" i="1"/>
  <c r="X24" i="1" s="1"/>
  <c r="AO24" i="1"/>
  <c r="BN33" i="1"/>
  <c r="BP16" i="1"/>
  <c r="BQ16" i="1" s="1"/>
  <c r="R33" i="1"/>
  <c r="S33" i="1" s="1"/>
  <c r="R42" i="1"/>
  <c r="S42" i="1" s="1"/>
  <c r="BP42" i="1"/>
  <c r="BQ42" i="1" s="1"/>
  <c r="U59" i="1"/>
  <c r="BF59" i="1"/>
  <c r="BG59" i="1" s="1"/>
  <c r="Z68" i="1"/>
  <c r="BI68" i="1"/>
  <c r="AJ77" i="1"/>
  <c r="AJ85" i="1"/>
  <c r="AT94" i="1"/>
  <c r="Z102" i="1"/>
  <c r="BI102" i="1"/>
  <c r="Z119" i="1"/>
  <c r="BI119" i="1"/>
  <c r="AT128" i="1"/>
  <c r="W94" i="1"/>
  <c r="X94" i="1" s="1"/>
  <c r="P24" i="1"/>
  <c r="P16" i="1"/>
  <c r="AY24" i="1"/>
  <c r="AY16" i="1"/>
  <c r="R24" i="1"/>
  <c r="S24" i="1" s="1"/>
  <c r="R16" i="1"/>
  <c r="S16" i="1" s="1"/>
  <c r="U42" i="1"/>
  <c r="AO42" i="1"/>
  <c r="BF42" i="1"/>
  <c r="BG42" i="1" s="1"/>
  <c r="BS42" i="1"/>
  <c r="Z59" i="1"/>
  <c r="AT59" i="1"/>
  <c r="BI59" i="1"/>
  <c r="AE68" i="1"/>
  <c r="AY68" i="1"/>
  <c r="U77" i="1"/>
  <c r="AO77" i="1"/>
  <c r="BF77" i="1"/>
  <c r="BG77" i="1" s="1"/>
  <c r="BS77" i="1"/>
  <c r="U85" i="1"/>
  <c r="AO85" i="1"/>
  <c r="BF85" i="1"/>
  <c r="BG85" i="1" s="1"/>
  <c r="BS85" i="1"/>
  <c r="AE94" i="1"/>
  <c r="AY94" i="1"/>
  <c r="AE102" i="1"/>
  <c r="AY102" i="1"/>
  <c r="P110" i="1"/>
  <c r="BA110" i="1"/>
  <c r="BB110" i="1" s="1"/>
  <c r="BN110" i="1"/>
  <c r="AE119" i="1"/>
  <c r="AY119" i="1"/>
  <c r="Z128" i="1"/>
  <c r="BP145" i="1"/>
  <c r="BQ145" i="1" s="1"/>
  <c r="U163" i="1"/>
  <c r="AY180" i="1"/>
  <c r="BK189" i="1"/>
  <c r="BL189" i="1" s="1"/>
  <c r="BS198" i="1"/>
  <c r="BU206" i="1"/>
  <c r="BV206" i="1" s="1"/>
  <c r="AE223" i="1"/>
  <c r="BK223" i="1"/>
  <c r="BL223" i="1" s="1"/>
  <c r="AY242" i="1"/>
  <c r="BP250" i="1"/>
  <c r="BQ250" i="1" s="1"/>
  <c r="AG77" i="1"/>
  <c r="AH77" i="1" s="1"/>
  <c r="BI24" i="1"/>
  <c r="AT42" i="1"/>
  <c r="AY59" i="1"/>
  <c r="AJ68" i="1"/>
  <c r="Z77" i="1"/>
  <c r="BI85" i="1"/>
  <c r="AJ94" i="1"/>
  <c r="BD110" i="1"/>
  <c r="AJ119" i="1"/>
  <c r="BF128" i="1"/>
  <c r="BG128" i="1" s="1"/>
  <c r="R145" i="1"/>
  <c r="S145" i="1" s="1"/>
  <c r="BF163" i="1"/>
  <c r="BG163" i="1" s="1"/>
  <c r="BI172" i="1"/>
  <c r="U198" i="1"/>
  <c r="AY215" i="1"/>
  <c r="BI233" i="1"/>
  <c r="R250" i="1"/>
  <c r="S250" i="1" s="1"/>
  <c r="Z268" i="1"/>
  <c r="W137" i="1"/>
  <c r="X137" i="1" s="1"/>
  <c r="AB85" i="1"/>
  <c r="AC85" i="1" s="1"/>
  <c r="AG154" i="1"/>
  <c r="AH154" i="1" s="1"/>
  <c r="AB163" i="1"/>
  <c r="AC163" i="1" s="1"/>
  <c r="AB180" i="1"/>
  <c r="AC180" i="1" s="1"/>
  <c r="AG198" i="1"/>
  <c r="AH198" i="1" s="1"/>
  <c r="AB233" i="1"/>
  <c r="AC233" i="1" s="1"/>
  <c r="AV250" i="1"/>
  <c r="AW250" i="1" s="1"/>
  <c r="AV198" i="1"/>
  <c r="AW198" i="1" s="1"/>
  <c r="AQ33" i="1"/>
  <c r="AR33" i="1" s="1"/>
  <c r="BU16" i="1"/>
  <c r="BV16" i="1" s="1"/>
  <c r="BI42" i="1"/>
  <c r="AE59" i="1"/>
  <c r="BP68" i="1"/>
  <c r="BQ68" i="1" s="1"/>
  <c r="BI77" i="1"/>
  <c r="AT85" i="1"/>
  <c r="BP94" i="1"/>
  <c r="BQ94" i="1" s="1"/>
  <c r="R102" i="1"/>
  <c r="S102" i="1" s="1"/>
  <c r="BP102" i="1"/>
  <c r="BQ102" i="1" s="1"/>
  <c r="BP119" i="1"/>
  <c r="BQ119" i="1" s="1"/>
  <c r="AT24" i="1"/>
  <c r="AT16" i="1"/>
  <c r="BK42" i="1"/>
  <c r="BL42" i="1" s="1"/>
  <c r="P59" i="1"/>
  <c r="BA59" i="1"/>
  <c r="BB59" i="1" s="1"/>
  <c r="BN59" i="1"/>
  <c r="BD68" i="1"/>
  <c r="BK77" i="1"/>
  <c r="BL77" i="1" s="1"/>
  <c r="BK85" i="1"/>
  <c r="BL85" i="1" s="1"/>
  <c r="BD94" i="1"/>
  <c r="BD102" i="1"/>
  <c r="U110" i="1"/>
  <c r="AO110" i="1"/>
  <c r="BF110" i="1"/>
  <c r="BG110" i="1" s="1"/>
  <c r="BS110" i="1"/>
  <c r="BD119" i="1"/>
  <c r="AJ137" i="1"/>
  <c r="BN137" i="1"/>
  <c r="BA145" i="1"/>
  <c r="BB145" i="1" s="1"/>
  <c r="AJ154" i="1"/>
  <c r="BN154" i="1"/>
  <c r="BK172" i="1"/>
  <c r="BL172" i="1" s="1"/>
  <c r="AE180" i="1"/>
  <c r="AT189" i="1"/>
  <c r="BD198" i="1"/>
  <c r="BA215" i="1"/>
  <c r="BB215" i="1" s="1"/>
  <c r="BK233" i="1"/>
  <c r="BL233" i="1" s="1"/>
  <c r="AE242" i="1"/>
  <c r="BA250" i="1"/>
  <c r="BB250" i="1" s="1"/>
  <c r="BI268" i="1"/>
  <c r="W145" i="1"/>
  <c r="X145" i="1" s="1"/>
  <c r="AV172" i="1"/>
  <c r="AW172" i="1" s="1"/>
  <c r="AL68" i="1"/>
  <c r="AM68" i="1" s="1"/>
  <c r="AQ68" i="1"/>
  <c r="AR68" i="1" s="1"/>
  <c r="BI16" i="1"/>
  <c r="BU24" i="1"/>
  <c r="BV24" i="1" s="1"/>
  <c r="Z42" i="1"/>
  <c r="R68" i="1"/>
  <c r="S68" i="1" s="1"/>
  <c r="AT77" i="1"/>
  <c r="Z85" i="1"/>
  <c r="R94" i="1"/>
  <c r="S94" i="1" s="1"/>
  <c r="AJ102" i="1"/>
  <c r="R119" i="1"/>
  <c r="S119" i="1" s="1"/>
  <c r="BS24" i="1"/>
  <c r="BS16" i="1"/>
  <c r="BD24" i="1"/>
  <c r="BD16" i="1"/>
  <c r="AE24" i="1"/>
  <c r="AE16" i="1"/>
  <c r="BU33" i="1"/>
  <c r="BV33" i="1" s="1"/>
  <c r="AE42" i="1"/>
  <c r="AY42" i="1"/>
  <c r="R59" i="1"/>
  <c r="S59" i="1" s="1"/>
  <c r="AJ59" i="1"/>
  <c r="BP59" i="1"/>
  <c r="BQ59" i="1" s="1"/>
  <c r="U68" i="1"/>
  <c r="AO68" i="1"/>
  <c r="BF68" i="1"/>
  <c r="BG68" i="1" s="1"/>
  <c r="BS68" i="1"/>
  <c r="AE77" i="1"/>
  <c r="AY77" i="1"/>
  <c r="AE85" i="1"/>
  <c r="AY85" i="1"/>
  <c r="U94" i="1"/>
  <c r="AO94" i="1"/>
  <c r="BF94" i="1"/>
  <c r="BG94" i="1" s="1"/>
  <c r="BS94" i="1"/>
  <c r="U102" i="1"/>
  <c r="AO102" i="1"/>
  <c r="BF102" i="1"/>
  <c r="BG102" i="1" s="1"/>
  <c r="BS102" i="1"/>
  <c r="BU110" i="1"/>
  <c r="BV110" i="1" s="1"/>
  <c r="U119" i="1"/>
  <c r="AO119" i="1"/>
  <c r="BF119" i="1"/>
  <c r="BG119" i="1" s="1"/>
  <c r="BS119" i="1"/>
  <c r="P128" i="1"/>
  <c r="AO128" i="1"/>
  <c r="BK128" i="1"/>
  <c r="BL128" i="1" s="1"/>
  <c r="BP137" i="1"/>
  <c r="BQ137" i="1" s="1"/>
  <c r="BP154" i="1"/>
  <c r="BQ154" i="1" s="1"/>
  <c r="BF198" i="1"/>
  <c r="BG198" i="1" s="1"/>
  <c r="Z206" i="1"/>
  <c r="BK268" i="1"/>
  <c r="BL268" i="1" s="1"/>
  <c r="W215" i="1"/>
  <c r="X215" i="1" s="1"/>
  <c r="AQ206" i="1"/>
  <c r="AR206" i="1" s="1"/>
  <c r="AV31" i="1"/>
  <c r="AW31" i="1" s="1"/>
  <c r="BK31" i="1"/>
  <c r="BL31" i="1" s="1"/>
  <c r="BD31" i="1"/>
  <c r="AJ31" i="1"/>
  <c r="AQ45" i="1"/>
  <c r="AR45" i="1" s="1"/>
  <c r="AL95" i="1"/>
  <c r="AM95" i="1" s="1"/>
  <c r="AQ92" i="1"/>
  <c r="AR92" i="1" s="1"/>
  <c r="AV117" i="1"/>
  <c r="AW117" i="1" s="1"/>
  <c r="AL126" i="1"/>
  <c r="AM126" i="1" s="1"/>
  <c r="AV131" i="1"/>
  <c r="AW131" i="1" s="1"/>
  <c r="AL143" i="1"/>
  <c r="AM143" i="1" s="1"/>
  <c r="AQ143" i="1"/>
  <c r="AR143" i="1" s="1"/>
  <c r="BF31" i="1"/>
  <c r="BG31" i="1" s="1"/>
  <c r="BI31" i="1"/>
  <c r="AO31" i="1"/>
  <c r="AQ108" i="1"/>
  <c r="AR108" i="1" s="1"/>
  <c r="AQ89" i="1"/>
  <c r="AR89" i="1" s="1"/>
  <c r="AV95" i="1"/>
  <c r="AW95" i="1" s="1"/>
  <c r="AV129" i="1"/>
  <c r="AW129" i="1" s="1"/>
  <c r="AL135" i="1"/>
  <c r="AM135" i="1" s="1"/>
  <c r="AV16" i="1"/>
  <c r="AW16" i="1" s="1"/>
  <c r="K6" i="1"/>
  <c r="P55" i="1"/>
  <c r="BA55" i="1"/>
  <c r="BB55" i="1" s="1"/>
  <c r="BN55" i="1"/>
  <c r="U64" i="1"/>
  <c r="AO64" i="1"/>
  <c r="BF64" i="1"/>
  <c r="BG64" i="1" s="1"/>
  <c r="BS64" i="1"/>
  <c r="U72" i="1"/>
  <c r="AO72" i="1"/>
  <c r="BF72" i="1"/>
  <c r="BG72" i="1" s="1"/>
  <c r="BS72" i="1"/>
  <c r="AV46" i="1"/>
  <c r="AW46" i="1" s="1"/>
  <c r="AQ46" i="1"/>
  <c r="AR46" i="1" s="1"/>
  <c r="AL46" i="1"/>
  <c r="AM46" i="1" s="1"/>
  <c r="AG46" i="1"/>
  <c r="AH46" i="1" s="1"/>
  <c r="AB46" i="1"/>
  <c r="AC46" i="1" s="1"/>
  <c r="BU159" i="1"/>
  <c r="BV159" i="1" s="1"/>
  <c r="BS159" i="1"/>
  <c r="BF159" i="1"/>
  <c r="BG159" i="1" s="1"/>
  <c r="AO159" i="1"/>
  <c r="U159" i="1"/>
  <c r="BD159" i="1"/>
  <c r="BP159" i="1"/>
  <c r="BQ159" i="1" s="1"/>
  <c r="AJ159" i="1"/>
  <c r="R159" i="1"/>
  <c r="S159" i="1" s="1"/>
  <c r="AV159" i="1"/>
  <c r="AW159" i="1" s="1"/>
  <c r="AQ159" i="1"/>
  <c r="AR159" i="1" s="1"/>
  <c r="AL159" i="1"/>
  <c r="AM159" i="1" s="1"/>
  <c r="BN159" i="1"/>
  <c r="BA159" i="1"/>
  <c r="BB159" i="1" s="1"/>
  <c r="P159" i="1"/>
  <c r="AG159" i="1"/>
  <c r="AH159" i="1" s="1"/>
  <c r="AB159" i="1"/>
  <c r="AC159" i="1" s="1"/>
  <c r="BK159" i="1"/>
  <c r="BL159" i="1" s="1"/>
  <c r="R55" i="1"/>
  <c r="S55" i="1" s="1"/>
  <c r="AJ55" i="1"/>
  <c r="BP55" i="1"/>
  <c r="BQ55" i="1" s="1"/>
  <c r="BU64" i="1"/>
  <c r="BV64" i="1" s="1"/>
  <c r="BU72" i="1"/>
  <c r="BV72" i="1" s="1"/>
  <c r="Z168" i="1"/>
  <c r="AY168" i="1"/>
  <c r="AG176" i="1"/>
  <c r="AH176" i="1" s="1"/>
  <c r="AV64" i="1"/>
  <c r="AW64" i="1" s="1"/>
  <c r="AG12" i="1"/>
  <c r="AH12" i="1" s="1"/>
  <c r="AV12" i="1"/>
  <c r="AW12" i="1" s="1"/>
  <c r="AL12" i="1"/>
  <c r="AM12" i="1" s="1"/>
  <c r="W12" i="1"/>
  <c r="X12" i="1" s="1"/>
  <c r="AQ12" i="1"/>
  <c r="AR12" i="1" s="1"/>
  <c r="AB12" i="1"/>
  <c r="AC12" i="1" s="1"/>
  <c r="AG20" i="1"/>
  <c r="AH20" i="1" s="1"/>
  <c r="AV20" i="1"/>
  <c r="AW20" i="1" s="1"/>
  <c r="AL20" i="1"/>
  <c r="AM20" i="1" s="1"/>
  <c r="W20" i="1"/>
  <c r="X20" i="1" s="1"/>
  <c r="AQ20" i="1"/>
  <c r="AR20" i="1" s="1"/>
  <c r="AB20" i="1"/>
  <c r="AC20" i="1" s="1"/>
  <c r="W37" i="1"/>
  <c r="X37" i="1" s="1"/>
  <c r="AV37" i="1"/>
  <c r="AW37" i="1" s="1"/>
  <c r="AL37" i="1"/>
  <c r="AM37" i="1" s="1"/>
  <c r="AG37" i="1"/>
  <c r="AH37" i="1" s="1"/>
  <c r="AB37" i="1"/>
  <c r="AC37" i="1" s="1"/>
  <c r="U37" i="1"/>
  <c r="Z37" i="1"/>
  <c r="AE37" i="1"/>
  <c r="AJ37" i="1"/>
  <c r="AO37" i="1"/>
  <c r="AT37" i="1"/>
  <c r="AY37" i="1"/>
  <c r="BD37" i="1"/>
  <c r="BI37" i="1"/>
  <c r="BP37" i="1"/>
  <c r="BQ37" i="1" s="1"/>
  <c r="BK37" i="1"/>
  <c r="BL37" i="1" s="1"/>
  <c r="BF37" i="1"/>
  <c r="BG37" i="1" s="1"/>
  <c r="BA37" i="1"/>
  <c r="BB37" i="1" s="1"/>
  <c r="AQ37" i="1"/>
  <c r="AR37" i="1" s="1"/>
  <c r="AY150" i="1"/>
  <c r="AE150" i="1"/>
  <c r="BK150" i="1"/>
  <c r="BL150" i="1" s="1"/>
  <c r="BI150" i="1"/>
  <c r="AT150" i="1"/>
  <c r="Z150" i="1"/>
  <c r="BU150" i="1"/>
  <c r="BV150" i="1" s="1"/>
  <c r="BS150" i="1"/>
  <c r="BF150" i="1"/>
  <c r="BG150" i="1" s="1"/>
  <c r="AO150" i="1"/>
  <c r="U150" i="1"/>
  <c r="W150" i="1"/>
  <c r="X150" i="1" s="1"/>
  <c r="BP150" i="1"/>
  <c r="BQ150" i="1" s="1"/>
  <c r="AJ150" i="1"/>
  <c r="R150" i="1"/>
  <c r="S150" i="1" s="1"/>
  <c r="AG150" i="1"/>
  <c r="AH150" i="1" s="1"/>
  <c r="AB150" i="1"/>
  <c r="AC150" i="1" s="1"/>
  <c r="AY264" i="1"/>
  <c r="AE264" i="1"/>
  <c r="AV264" i="1"/>
  <c r="AW264" i="1" s="1"/>
  <c r="AQ264" i="1"/>
  <c r="AR264" i="1" s="1"/>
  <c r="AL264" i="1"/>
  <c r="AM264" i="1" s="1"/>
  <c r="AG264" i="1"/>
  <c r="AH264" i="1" s="1"/>
  <c r="AB264" i="1"/>
  <c r="AC264" i="1" s="1"/>
  <c r="BK264" i="1"/>
  <c r="BL264" i="1" s="1"/>
  <c r="W264" i="1"/>
  <c r="X264" i="1" s="1"/>
  <c r="BI264" i="1"/>
  <c r="AT264" i="1"/>
  <c r="Z264" i="1"/>
  <c r="BU264" i="1"/>
  <c r="BV264" i="1" s="1"/>
  <c r="BS264" i="1"/>
  <c r="BF264" i="1"/>
  <c r="BG264" i="1" s="1"/>
  <c r="AO264" i="1"/>
  <c r="U264" i="1"/>
  <c r="BP264" i="1"/>
  <c r="BQ264" i="1" s="1"/>
  <c r="AJ264" i="1"/>
  <c r="R264" i="1"/>
  <c r="S264" i="1" s="1"/>
  <c r="BN264" i="1"/>
  <c r="BA264" i="1"/>
  <c r="BB264" i="1" s="1"/>
  <c r="P264" i="1"/>
  <c r="BD64" i="1"/>
  <c r="BD72" i="1"/>
  <c r="BU168" i="1"/>
  <c r="BV168" i="1" s="1"/>
  <c r="BS168" i="1"/>
  <c r="BF168" i="1"/>
  <c r="BG168" i="1" s="1"/>
  <c r="AO168" i="1"/>
  <c r="U168" i="1"/>
  <c r="BD168" i="1"/>
  <c r="AV168" i="1"/>
  <c r="AW168" i="1" s="1"/>
  <c r="AQ168" i="1"/>
  <c r="AR168" i="1" s="1"/>
  <c r="AL168" i="1"/>
  <c r="AM168" i="1" s="1"/>
  <c r="BP168" i="1"/>
  <c r="BQ168" i="1" s="1"/>
  <c r="AJ168" i="1"/>
  <c r="R168" i="1"/>
  <c r="S168" i="1" s="1"/>
  <c r="W168" i="1"/>
  <c r="X168" i="1" s="1"/>
  <c r="BN168" i="1"/>
  <c r="BA168" i="1"/>
  <c r="BB168" i="1" s="1"/>
  <c r="P168" i="1"/>
  <c r="BK168" i="1"/>
  <c r="BL168" i="1" s="1"/>
  <c r="BD55" i="1"/>
  <c r="Z64" i="1"/>
  <c r="AT64" i="1"/>
  <c r="Z72" i="1"/>
  <c r="AT72" i="1"/>
  <c r="BI72" i="1"/>
  <c r="AY176" i="1"/>
  <c r="AB168" i="1"/>
  <c r="AC168" i="1" s="1"/>
  <c r="AV72" i="1"/>
  <c r="AW72" i="1" s="1"/>
  <c r="W124" i="1"/>
  <c r="X124" i="1" s="1"/>
  <c r="AV124" i="1"/>
  <c r="AW124" i="1" s="1"/>
  <c r="AQ124" i="1"/>
  <c r="AR124" i="1" s="1"/>
  <c r="AL124" i="1"/>
  <c r="AM124" i="1" s="1"/>
  <c r="AG141" i="1"/>
  <c r="AH141" i="1" s="1"/>
  <c r="AV141" i="1"/>
  <c r="AW141" i="1" s="1"/>
  <c r="AL141" i="1"/>
  <c r="AM141" i="1" s="1"/>
  <c r="W141" i="1"/>
  <c r="X141" i="1" s="1"/>
  <c r="AB141" i="1"/>
  <c r="AC141" i="1" s="1"/>
  <c r="AQ141" i="1"/>
  <c r="AR141" i="1" s="1"/>
  <c r="BS246" i="1"/>
  <c r="BF246" i="1"/>
  <c r="BG246" i="1" s="1"/>
  <c r="AO246" i="1"/>
  <c r="U246" i="1"/>
  <c r="BD246" i="1"/>
  <c r="AL246" i="1"/>
  <c r="AM246" i="1" s="1"/>
  <c r="AB246" i="1"/>
  <c r="AC246" i="1" s="1"/>
  <c r="BP246" i="1"/>
  <c r="BQ246" i="1" s="1"/>
  <c r="AJ246" i="1"/>
  <c r="R246" i="1"/>
  <c r="S246" i="1" s="1"/>
  <c r="AV246" i="1"/>
  <c r="AW246" i="1" s="1"/>
  <c r="BN246" i="1"/>
  <c r="BA246" i="1"/>
  <c r="BB246" i="1" s="1"/>
  <c r="P246" i="1"/>
  <c r="AY246" i="1"/>
  <c r="AE246" i="1"/>
  <c r="AQ246" i="1"/>
  <c r="AR246" i="1" s="1"/>
  <c r="AG246" i="1"/>
  <c r="AH246" i="1" s="1"/>
  <c r="W246" i="1"/>
  <c r="X246" i="1" s="1"/>
  <c r="BI246" i="1"/>
  <c r="AT246" i="1"/>
  <c r="Z246" i="1"/>
  <c r="BU246" i="1"/>
  <c r="BV246" i="1" s="1"/>
  <c r="AL64" i="1"/>
  <c r="AM64" i="1" s="1"/>
  <c r="AB64" i="1"/>
  <c r="AC64" i="1" s="1"/>
  <c r="W64" i="1"/>
  <c r="X64" i="1" s="1"/>
  <c r="AG64" i="1"/>
  <c r="AH64" i="1" s="1"/>
  <c r="AQ64" i="1"/>
  <c r="AR64" i="1" s="1"/>
  <c r="U55" i="1"/>
  <c r="AO55" i="1"/>
  <c r="BF55" i="1"/>
  <c r="BG55" i="1" s="1"/>
  <c r="BS55" i="1"/>
  <c r="BK64" i="1"/>
  <c r="BL64" i="1" s="1"/>
  <c r="AE168" i="1"/>
  <c r="AV115" i="1"/>
  <c r="AW115" i="1" s="1"/>
  <c r="AQ115" i="1"/>
  <c r="AR115" i="1" s="1"/>
  <c r="AL115" i="1"/>
  <c r="AM115" i="1" s="1"/>
  <c r="W115" i="1"/>
  <c r="X115" i="1" s="1"/>
  <c r="AG115" i="1"/>
  <c r="AH115" i="1" s="1"/>
  <c r="AB115" i="1"/>
  <c r="AC115" i="1" s="1"/>
  <c r="BN237" i="1"/>
  <c r="BA237" i="1"/>
  <c r="BB237" i="1" s="1"/>
  <c r="P237" i="1"/>
  <c r="AY237" i="1"/>
  <c r="AE237" i="1"/>
  <c r="BK237" i="1"/>
  <c r="BL237" i="1" s="1"/>
  <c r="W237" i="1"/>
  <c r="X237" i="1" s="1"/>
  <c r="BI237" i="1"/>
  <c r="AT237" i="1"/>
  <c r="Z237" i="1"/>
  <c r="AV237" i="1"/>
  <c r="AW237" i="1" s="1"/>
  <c r="BU237" i="1"/>
  <c r="BV237" i="1" s="1"/>
  <c r="BD237" i="1"/>
  <c r="AQ237" i="1"/>
  <c r="AR237" i="1" s="1"/>
  <c r="AL237" i="1"/>
  <c r="AM237" i="1" s="1"/>
  <c r="AG237" i="1"/>
  <c r="AH237" i="1" s="1"/>
  <c r="AB237" i="1"/>
  <c r="AC237" i="1" s="1"/>
  <c r="BP237" i="1"/>
  <c r="BQ237" i="1" s="1"/>
  <c r="AJ237" i="1"/>
  <c r="R237" i="1"/>
  <c r="S237" i="1" s="1"/>
  <c r="AL72" i="1"/>
  <c r="AM72" i="1" s="1"/>
  <c r="AB72" i="1"/>
  <c r="AC72" i="1" s="1"/>
  <c r="W72" i="1"/>
  <c r="X72" i="1" s="1"/>
  <c r="AG72" i="1"/>
  <c r="AH72" i="1" s="1"/>
  <c r="AQ72" i="1"/>
  <c r="AR72" i="1" s="1"/>
  <c r="AL202" i="1"/>
  <c r="AM202" i="1" s="1"/>
  <c r="AY202" i="1"/>
  <c r="AE202" i="1"/>
  <c r="BK202" i="1"/>
  <c r="BL202" i="1" s="1"/>
  <c r="AV202" i="1"/>
  <c r="AW202" i="1" s="1"/>
  <c r="BI202" i="1"/>
  <c r="AT202" i="1"/>
  <c r="Z202" i="1"/>
  <c r="AG202" i="1"/>
  <c r="AH202" i="1" s="1"/>
  <c r="BU202" i="1"/>
  <c r="BV202" i="1" s="1"/>
  <c r="AQ202" i="1"/>
  <c r="AR202" i="1" s="1"/>
  <c r="BS202" i="1"/>
  <c r="BF202" i="1"/>
  <c r="BG202" i="1" s="1"/>
  <c r="AO202" i="1"/>
  <c r="U202" i="1"/>
  <c r="W202" i="1"/>
  <c r="X202" i="1" s="1"/>
  <c r="BP202" i="1"/>
  <c r="BQ202" i="1" s="1"/>
  <c r="AJ202" i="1"/>
  <c r="R202" i="1"/>
  <c r="S202" i="1" s="1"/>
  <c r="AB202" i="1"/>
  <c r="AC202" i="1" s="1"/>
  <c r="BN202" i="1"/>
  <c r="BA202" i="1"/>
  <c r="BB202" i="1" s="1"/>
  <c r="P202" i="1"/>
  <c r="AE64" i="1"/>
  <c r="AY64" i="1"/>
  <c r="AE72" i="1"/>
  <c r="AY72" i="1"/>
  <c r="BI168" i="1"/>
  <c r="AV90" i="1"/>
  <c r="AW90" i="1" s="1"/>
  <c r="AQ90" i="1"/>
  <c r="AR90" i="1" s="1"/>
  <c r="AL90" i="1"/>
  <c r="AM90" i="1" s="1"/>
  <c r="W90" i="1"/>
  <c r="X90" i="1" s="1"/>
  <c r="AG90" i="1"/>
  <c r="AH90" i="1" s="1"/>
  <c r="AB90" i="1"/>
  <c r="AC90" i="1" s="1"/>
  <c r="AV98" i="1"/>
  <c r="AW98" i="1" s="1"/>
  <c r="AQ98" i="1"/>
  <c r="AR98" i="1" s="1"/>
  <c r="AL98" i="1"/>
  <c r="AM98" i="1" s="1"/>
  <c r="W98" i="1"/>
  <c r="X98" i="1" s="1"/>
  <c r="AG98" i="1"/>
  <c r="AH98" i="1" s="1"/>
  <c r="AB98" i="1"/>
  <c r="AC98" i="1" s="1"/>
  <c r="AV106" i="1"/>
  <c r="AW106" i="1" s="1"/>
  <c r="AQ106" i="1"/>
  <c r="AR106" i="1" s="1"/>
  <c r="AL106" i="1"/>
  <c r="AM106" i="1" s="1"/>
  <c r="W106" i="1"/>
  <c r="X106" i="1" s="1"/>
  <c r="AG106" i="1"/>
  <c r="AH106" i="1" s="1"/>
  <c r="AB106" i="1"/>
  <c r="AC106" i="1" s="1"/>
  <c r="AG228" i="1"/>
  <c r="AH228" i="1" s="1"/>
  <c r="W228" i="1"/>
  <c r="X228" i="1" s="1"/>
  <c r="BI228" i="1"/>
  <c r="AT228" i="1"/>
  <c r="Z228" i="1"/>
  <c r="AV228" i="1"/>
  <c r="AW228" i="1" s="1"/>
  <c r="BU228" i="1"/>
  <c r="BV228" i="1" s="1"/>
  <c r="BS228" i="1"/>
  <c r="BF228" i="1"/>
  <c r="BG228" i="1" s="1"/>
  <c r="AO228" i="1"/>
  <c r="U228" i="1"/>
  <c r="BD228" i="1"/>
  <c r="AL228" i="1"/>
  <c r="AM228" i="1" s="1"/>
  <c r="AB228" i="1"/>
  <c r="AC228" i="1" s="1"/>
  <c r="BP228" i="1"/>
  <c r="BQ228" i="1" s="1"/>
  <c r="AJ228" i="1"/>
  <c r="R228" i="1"/>
  <c r="S228" i="1" s="1"/>
  <c r="AY228" i="1"/>
  <c r="AE228" i="1"/>
  <c r="BK228" i="1"/>
  <c r="BL228" i="1" s="1"/>
  <c r="AQ55" i="1"/>
  <c r="AR55" i="1" s="1"/>
  <c r="AB55" i="1"/>
  <c r="AC55" i="1" s="1"/>
  <c r="W55" i="1"/>
  <c r="X55" i="1" s="1"/>
  <c r="AV55" i="1"/>
  <c r="AW55" i="1" s="1"/>
  <c r="AG55" i="1"/>
  <c r="AH55" i="1" s="1"/>
  <c r="AL55" i="1"/>
  <c r="AM55" i="1" s="1"/>
  <c r="BU176" i="1"/>
  <c r="BV176" i="1" s="1"/>
  <c r="BS176" i="1"/>
  <c r="BF176" i="1"/>
  <c r="BG176" i="1" s="1"/>
  <c r="AO176" i="1"/>
  <c r="U176" i="1"/>
  <c r="BD176" i="1"/>
  <c r="AV176" i="1"/>
  <c r="AW176" i="1" s="1"/>
  <c r="AQ176" i="1"/>
  <c r="AR176" i="1" s="1"/>
  <c r="AL176" i="1"/>
  <c r="AM176" i="1" s="1"/>
  <c r="BP176" i="1"/>
  <c r="BQ176" i="1" s="1"/>
  <c r="AJ176" i="1"/>
  <c r="R176" i="1"/>
  <c r="S176" i="1" s="1"/>
  <c r="W176" i="1"/>
  <c r="X176" i="1" s="1"/>
  <c r="BN176" i="1"/>
  <c r="BA176" i="1"/>
  <c r="BB176" i="1" s="1"/>
  <c r="P176" i="1"/>
  <c r="BK176" i="1"/>
  <c r="BL176" i="1" s="1"/>
  <c r="BI176" i="1"/>
  <c r="AT176" i="1"/>
  <c r="Z176" i="1"/>
  <c r="BD193" i="1"/>
  <c r="BP193" i="1"/>
  <c r="BQ193" i="1" s="1"/>
  <c r="AJ193" i="1"/>
  <c r="R193" i="1"/>
  <c r="S193" i="1" s="1"/>
  <c r="AQ193" i="1"/>
  <c r="AR193" i="1" s="1"/>
  <c r="W193" i="1"/>
  <c r="X193" i="1" s="1"/>
  <c r="BN193" i="1"/>
  <c r="BA193" i="1"/>
  <c r="BB193" i="1" s="1"/>
  <c r="P193" i="1"/>
  <c r="AV193" i="1"/>
  <c r="AW193" i="1" s="1"/>
  <c r="AB193" i="1"/>
  <c r="AC193" i="1" s="1"/>
  <c r="AY193" i="1"/>
  <c r="AE193" i="1"/>
  <c r="AL193" i="1"/>
  <c r="AM193" i="1" s="1"/>
  <c r="BK193" i="1"/>
  <c r="BL193" i="1" s="1"/>
  <c r="BU193" i="1"/>
  <c r="BV193" i="1" s="1"/>
  <c r="AG193" i="1"/>
  <c r="AH193" i="1" s="1"/>
  <c r="BS193" i="1"/>
  <c r="BF193" i="1"/>
  <c r="BG193" i="1" s="1"/>
  <c r="AO193" i="1"/>
  <c r="U193" i="1"/>
  <c r="Z55" i="1"/>
  <c r="AT55" i="1"/>
  <c r="BI55" i="1"/>
  <c r="P64" i="1"/>
  <c r="BA64" i="1"/>
  <c r="BB64" i="1" s="1"/>
  <c r="BN64" i="1"/>
  <c r="P72" i="1"/>
  <c r="BA72" i="1"/>
  <c r="BB72" i="1" s="1"/>
  <c r="BN72" i="1"/>
  <c r="AE176" i="1"/>
  <c r="W159" i="1"/>
  <c r="X159" i="1" s="1"/>
  <c r="AL81" i="1"/>
  <c r="AM81" i="1" s="1"/>
  <c r="AG81" i="1"/>
  <c r="AH81" i="1" s="1"/>
  <c r="AV81" i="1"/>
  <c r="AW81" i="1" s="1"/>
  <c r="AB81" i="1"/>
  <c r="AC81" i="1" s="1"/>
  <c r="W81" i="1"/>
  <c r="X81" i="1" s="1"/>
  <c r="AQ81" i="1"/>
  <c r="AR81" i="1" s="1"/>
  <c r="AL211" i="1"/>
  <c r="AM211" i="1" s="1"/>
  <c r="BD211" i="1"/>
  <c r="BP211" i="1"/>
  <c r="BQ211" i="1" s="1"/>
  <c r="AJ211" i="1"/>
  <c r="R211" i="1"/>
  <c r="S211" i="1" s="1"/>
  <c r="AV211" i="1"/>
  <c r="AW211" i="1" s="1"/>
  <c r="BN211" i="1"/>
  <c r="BA211" i="1"/>
  <c r="BB211" i="1" s="1"/>
  <c r="P211" i="1"/>
  <c r="AQ211" i="1"/>
  <c r="AR211" i="1" s="1"/>
  <c r="AY211" i="1"/>
  <c r="AE211" i="1"/>
  <c r="W211" i="1"/>
  <c r="X211" i="1" s="1"/>
  <c r="BK211" i="1"/>
  <c r="BL211" i="1" s="1"/>
  <c r="AB211" i="1"/>
  <c r="AC211" i="1" s="1"/>
  <c r="BU211" i="1"/>
  <c r="BV211" i="1" s="1"/>
  <c r="AG211" i="1"/>
  <c r="AH211" i="1" s="1"/>
  <c r="BS211" i="1"/>
  <c r="BF211" i="1"/>
  <c r="BG211" i="1" s="1"/>
  <c r="AO211" i="1"/>
  <c r="U211" i="1"/>
  <c r="AL219" i="1"/>
  <c r="AM219" i="1" s="1"/>
  <c r="BD219" i="1"/>
  <c r="BP219" i="1"/>
  <c r="BQ219" i="1" s="1"/>
  <c r="AJ219" i="1"/>
  <c r="R219" i="1"/>
  <c r="S219" i="1" s="1"/>
  <c r="AV219" i="1"/>
  <c r="AW219" i="1" s="1"/>
  <c r="BN219" i="1"/>
  <c r="BA219" i="1"/>
  <c r="BB219" i="1" s="1"/>
  <c r="P219" i="1"/>
  <c r="AQ219" i="1"/>
  <c r="AR219" i="1" s="1"/>
  <c r="AY219" i="1"/>
  <c r="AE219" i="1"/>
  <c r="W219" i="1"/>
  <c r="X219" i="1" s="1"/>
  <c r="BK219" i="1"/>
  <c r="BL219" i="1" s="1"/>
  <c r="AB219" i="1"/>
  <c r="AC219" i="1" s="1"/>
  <c r="BU219" i="1"/>
  <c r="BV219" i="1" s="1"/>
  <c r="AG219" i="1"/>
  <c r="AH219" i="1" s="1"/>
  <c r="BS219" i="1"/>
  <c r="BF219" i="1"/>
  <c r="BG219" i="1" s="1"/>
  <c r="AO219" i="1"/>
  <c r="U219" i="1"/>
  <c r="AV44" i="1"/>
  <c r="AW44" i="1" s="1"/>
  <c r="AQ61" i="1"/>
  <c r="AR61" i="1" s="1"/>
  <c r="AQ53" i="1"/>
  <c r="AR53" i="1" s="1"/>
  <c r="AL79" i="1"/>
  <c r="AM79" i="1" s="1"/>
  <c r="AL121" i="1"/>
  <c r="AM121" i="1" s="1"/>
  <c r="AQ121" i="1"/>
  <c r="AR121" i="1" s="1"/>
  <c r="AV121" i="1"/>
  <c r="AW121" i="1" s="1"/>
  <c r="BA35" i="1"/>
  <c r="BB35" i="1" s="1"/>
  <c r="BF35" i="1"/>
  <c r="BG35" i="1" s="1"/>
  <c r="BK35" i="1"/>
  <c r="BL35" i="1" s="1"/>
  <c r="BP35" i="1"/>
  <c r="BQ35" i="1" s="1"/>
  <c r="AL61" i="1"/>
  <c r="AM61" i="1" s="1"/>
  <c r="AL53" i="1"/>
  <c r="AM53" i="1" s="1"/>
  <c r="AQ79" i="1"/>
  <c r="AR79" i="1" s="1"/>
  <c r="AQ139" i="1"/>
  <c r="AR139" i="1" s="1"/>
  <c r="AV70" i="1"/>
  <c r="AW70" i="1" s="1"/>
  <c r="AL142" i="1"/>
  <c r="AM142" i="1" s="1"/>
  <c r="AL134" i="1"/>
  <c r="AM134" i="1" s="1"/>
  <c r="AV142" i="1"/>
  <c r="AW142" i="1" s="1"/>
  <c r="BI35" i="1"/>
  <c r="BD35" i="1"/>
  <c r="AY35" i="1"/>
  <c r="AT35" i="1"/>
  <c r="AO35" i="1"/>
  <c r="AJ35" i="1"/>
  <c r="AE35" i="1"/>
  <c r="Z35" i="1"/>
  <c r="U35" i="1"/>
  <c r="AL26" i="1"/>
  <c r="AM26" i="1" s="1"/>
  <c r="AL18" i="1"/>
  <c r="AM18" i="1" s="1"/>
  <c r="AL10" i="1"/>
  <c r="AM10" i="1" s="1"/>
  <c r="AL44" i="1"/>
  <c r="AM44" i="1" s="1"/>
  <c r="AL35" i="1"/>
  <c r="AM35" i="1" s="1"/>
  <c r="AV35" i="1"/>
  <c r="AW35" i="1" s="1"/>
  <c r="AQ125" i="1"/>
  <c r="AR125" i="1" s="1"/>
  <c r="AL139" i="1"/>
  <c r="AM139" i="1" s="1"/>
  <c r="AV139" i="1"/>
  <c r="AW139" i="1" s="1"/>
  <c r="AA269" i="1"/>
  <c r="AK269" i="1"/>
  <c r="BC269" i="1"/>
  <c r="AF269" i="1"/>
  <c r="AZ269" i="1"/>
  <c r="BT269" i="1"/>
  <c r="AI269" i="1"/>
  <c r="AN269" i="1"/>
  <c r="O269" i="1"/>
  <c r="AX269" i="1"/>
  <c r="J269" i="1"/>
  <c r="T146" i="1"/>
  <c r="T132" i="1"/>
  <c r="T240" i="1"/>
  <c r="T230" i="1"/>
  <c r="T224" i="1"/>
  <c r="T122" i="1"/>
  <c r="T207" i="1"/>
  <c r="T112" i="1"/>
  <c r="T195" i="1"/>
  <c r="T86" i="1"/>
  <c r="T184" i="1"/>
  <c r="AJ62" i="1" l="1"/>
  <c r="AO254" i="1"/>
  <c r="U62" i="1"/>
  <c r="BU230" i="1"/>
  <c r="BV230" i="1" s="1"/>
  <c r="BN184" i="1"/>
  <c r="AB224" i="1"/>
  <c r="AC224" i="1" s="1"/>
  <c r="AV62" i="1"/>
  <c r="AW62" i="1" s="1"/>
  <c r="R62" i="1"/>
  <c r="S62" i="1" s="1"/>
  <c r="BI184" i="1"/>
  <c r="AG184" i="1"/>
  <c r="AH184" i="1" s="1"/>
  <c r="BW62" i="1"/>
  <c r="AY224" i="1"/>
  <c r="AY62" i="1"/>
  <c r="BI74" i="1"/>
  <c r="BS74" i="1"/>
  <c r="AB230" i="1"/>
  <c r="AC230" i="1" s="1"/>
  <c r="BA122" i="1"/>
  <c r="BB122" i="1" s="1"/>
  <c r="BA230" i="1"/>
  <c r="BB230" i="1" s="1"/>
  <c r="BD28" i="1"/>
  <c r="BA184" i="1"/>
  <c r="BB184" i="1" s="1"/>
  <c r="BD230" i="1"/>
  <c r="AY230" i="1"/>
  <c r="AO74" i="1"/>
  <c r="BF74" i="1"/>
  <c r="BG74" i="1" s="1"/>
  <c r="BN28" i="1"/>
  <c r="AG122" i="1"/>
  <c r="AH122" i="1" s="1"/>
  <c r="BU122" i="1"/>
  <c r="BV122" i="1" s="1"/>
  <c r="Z28" i="1"/>
  <c r="AY122" i="1"/>
  <c r="BN122" i="1"/>
  <c r="BF156" i="1"/>
  <c r="BG156" i="1" s="1"/>
  <c r="AB74" i="1"/>
  <c r="AC74" i="1" s="1"/>
  <c r="AT74" i="1"/>
  <c r="AB28" i="1"/>
  <c r="AC28" i="1" s="1"/>
  <c r="U74" i="1"/>
  <c r="BF122" i="1"/>
  <c r="BG122" i="1" s="1"/>
  <c r="AO122" i="1"/>
  <c r="BU259" i="1"/>
  <c r="BV259" i="1" s="1"/>
  <c r="BW38" i="1"/>
  <c r="BK122" i="1"/>
  <c r="BL122" i="1" s="1"/>
  <c r="BA74" i="1"/>
  <c r="BB74" i="1" s="1"/>
  <c r="R38" i="1"/>
  <c r="S38" i="1" s="1"/>
  <c r="BD74" i="1"/>
  <c r="AV74" i="1"/>
  <c r="AW74" i="1" s="1"/>
  <c r="U122" i="1"/>
  <c r="BI122" i="1"/>
  <c r="W74" i="1"/>
  <c r="X74" i="1" s="1"/>
  <c r="BK74" i="1"/>
  <c r="BL74" i="1" s="1"/>
  <c r="AV122" i="1"/>
  <c r="AW122" i="1" s="1"/>
  <c r="BP28" i="1"/>
  <c r="BQ28" i="1" s="1"/>
  <c r="AE74" i="1"/>
  <c r="AL74" i="1"/>
  <c r="AM74" i="1" s="1"/>
  <c r="P122" i="1"/>
  <c r="U184" i="1"/>
  <c r="BK224" i="1"/>
  <c r="BL224" i="1" s="1"/>
  <c r="W184" i="1"/>
  <c r="X184" i="1" s="1"/>
  <c r="BD184" i="1"/>
  <c r="BU74" i="1"/>
  <c r="BV74" i="1" s="1"/>
  <c r="BN74" i="1"/>
  <c r="P74" i="1"/>
  <c r="BS122" i="1"/>
  <c r="Z122" i="1"/>
  <c r="BD122" i="1"/>
  <c r="BF207" i="1"/>
  <c r="BG207" i="1" s="1"/>
  <c r="BI224" i="1"/>
  <c r="AV224" i="1"/>
  <c r="AW224" i="1" s="1"/>
  <c r="AE230" i="1"/>
  <c r="AT122" i="1"/>
  <c r="R74" i="1"/>
  <c r="S74" i="1" s="1"/>
  <c r="BW50" i="1"/>
  <c r="BF184" i="1"/>
  <c r="BG184" i="1" s="1"/>
  <c r="AY74" i="1"/>
  <c r="AG74" i="1"/>
  <c r="AH74" i="1" s="1"/>
  <c r="AQ74" i="1"/>
  <c r="AR74" i="1" s="1"/>
  <c r="W122" i="1"/>
  <c r="X122" i="1" s="1"/>
  <c r="AJ122" i="1"/>
  <c r="R122" i="1"/>
  <c r="S122" i="1" s="1"/>
  <c r="AJ184" i="1"/>
  <c r="BN224" i="1"/>
  <c r="AQ224" i="1"/>
  <c r="AR224" i="1" s="1"/>
  <c r="AQ122" i="1"/>
  <c r="AR122" i="1" s="1"/>
  <c r="BS6" i="1"/>
  <c r="P6" i="1"/>
  <c r="AG62" i="1"/>
  <c r="AH62" i="1" s="1"/>
  <c r="W62" i="1"/>
  <c r="X62" i="1" s="1"/>
  <c r="BW28" i="1"/>
  <c r="BF224" i="1"/>
  <c r="BG224" i="1" s="1"/>
  <c r="BP184" i="1"/>
  <c r="BQ184" i="1" s="1"/>
  <c r="BK184" i="1"/>
  <c r="BL184" i="1" s="1"/>
  <c r="AT224" i="1"/>
  <c r="BU224" i="1"/>
  <c r="BV224" i="1" s="1"/>
  <c r="AJ74" i="1"/>
  <c r="Z74" i="1"/>
  <c r="BP74" i="1"/>
  <c r="BQ74" i="1" s="1"/>
  <c r="AB122" i="1"/>
  <c r="AC122" i="1" s="1"/>
  <c r="AE122" i="1"/>
  <c r="P184" i="1"/>
  <c r="AV184" i="1"/>
  <c r="AW184" i="1" s="1"/>
  <c r="BS224" i="1"/>
  <c r="P224" i="1"/>
  <c r="BW86" i="1"/>
  <c r="AJ259" i="1"/>
  <c r="P259" i="1"/>
  <c r="AQ259" i="1"/>
  <c r="AR259" i="1" s="1"/>
  <c r="AY259" i="1"/>
  <c r="U259" i="1"/>
  <c r="AG259" i="1"/>
  <c r="AH259" i="1" s="1"/>
  <c r="AO259" i="1"/>
  <c r="BN259" i="1"/>
  <c r="BK259" i="1"/>
  <c r="BL259" i="1" s="1"/>
  <c r="W259" i="1"/>
  <c r="X259" i="1" s="1"/>
  <c r="AT259" i="1"/>
  <c r="AB259" i="1"/>
  <c r="AC259" i="1" s="1"/>
  <c r="R259" i="1"/>
  <c r="S259" i="1" s="1"/>
  <c r="BD259" i="1"/>
  <c r="AE259" i="1"/>
  <c r="BI259" i="1"/>
  <c r="BA259" i="1"/>
  <c r="BB259" i="1" s="1"/>
  <c r="AV259" i="1"/>
  <c r="AW259" i="1" s="1"/>
  <c r="BF259" i="1"/>
  <c r="BG259" i="1" s="1"/>
  <c r="AL259" i="1"/>
  <c r="AM259" i="1" s="1"/>
  <c r="BS259" i="1"/>
  <c r="Z259" i="1"/>
  <c r="BP259" i="1"/>
  <c r="BQ259" i="1" s="1"/>
  <c r="AV254" i="1"/>
  <c r="AW254" i="1" s="1"/>
  <c r="AE254" i="1"/>
  <c r="AQ254" i="1"/>
  <c r="AR254" i="1" s="1"/>
  <c r="U254" i="1"/>
  <c r="BA254" i="1"/>
  <c r="BB254" i="1" s="1"/>
  <c r="W254" i="1"/>
  <c r="X254" i="1" s="1"/>
  <c r="AB254" i="1"/>
  <c r="AC254" i="1" s="1"/>
  <c r="AL254" i="1"/>
  <c r="AM254" i="1" s="1"/>
  <c r="AG254" i="1"/>
  <c r="AH254" i="1" s="1"/>
  <c r="AJ254" i="1"/>
  <c r="BW254" i="1"/>
  <c r="BS254" i="1"/>
  <c r="BN254" i="1"/>
  <c r="BP254" i="1"/>
  <c r="BQ254" i="1" s="1"/>
  <c r="Z254" i="1"/>
  <c r="BK254" i="1"/>
  <c r="BL254" i="1" s="1"/>
  <c r="BI254" i="1"/>
  <c r="R254" i="1"/>
  <c r="S254" i="1" s="1"/>
  <c r="BU254" i="1"/>
  <c r="BV254" i="1" s="1"/>
  <c r="AY254" i="1"/>
  <c r="BD254" i="1"/>
  <c r="BF254" i="1"/>
  <c r="BG254" i="1" s="1"/>
  <c r="P254" i="1"/>
  <c r="AQ240" i="1"/>
  <c r="AR240" i="1" s="1"/>
  <c r="U240" i="1"/>
  <c r="BK240" i="1"/>
  <c r="BL240" i="1" s="1"/>
  <c r="W240" i="1"/>
  <c r="X240" i="1" s="1"/>
  <c r="AJ240" i="1"/>
  <c r="P240" i="1"/>
  <c r="R240" i="1"/>
  <c r="S240" i="1" s="1"/>
  <c r="BP240" i="1"/>
  <c r="BQ240" i="1" s="1"/>
  <c r="BA240" i="1"/>
  <c r="BB240" i="1" s="1"/>
  <c r="AL240" i="1"/>
  <c r="AM240" i="1" s="1"/>
  <c r="BU240" i="1"/>
  <c r="BV240" i="1" s="1"/>
  <c r="BS240" i="1"/>
  <c r="AE240" i="1"/>
  <c r="Z240" i="1"/>
  <c r="AO240" i="1"/>
  <c r="BF240" i="1"/>
  <c r="BG240" i="1" s="1"/>
  <c r="AV240" i="1"/>
  <c r="AW240" i="1" s="1"/>
  <c r="AG240" i="1"/>
  <c r="AH240" i="1" s="1"/>
  <c r="BD240" i="1"/>
  <c r="BN240" i="1"/>
  <c r="AB240" i="1"/>
  <c r="AC240" i="1" s="1"/>
  <c r="BW240" i="1"/>
  <c r="AY240" i="1"/>
  <c r="BI240" i="1"/>
  <c r="AT230" i="1"/>
  <c r="BK230" i="1"/>
  <c r="BL230" i="1" s="1"/>
  <c r="AO224" i="1"/>
  <c r="AE224" i="1"/>
  <c r="BP224" i="1"/>
  <c r="BQ224" i="1" s="1"/>
  <c r="Z224" i="1"/>
  <c r="W224" i="1"/>
  <c r="X224" i="1" s="1"/>
  <c r="AG224" i="1"/>
  <c r="AH224" i="1" s="1"/>
  <c r="AJ224" i="1"/>
  <c r="R224" i="1"/>
  <c r="S224" i="1" s="1"/>
  <c r="BA224" i="1"/>
  <c r="BB224" i="1" s="1"/>
  <c r="BW224" i="1"/>
  <c r="AL224" i="1"/>
  <c r="AM224" i="1" s="1"/>
  <c r="U224" i="1"/>
  <c r="U230" i="1"/>
  <c r="AG230" i="1"/>
  <c r="AH230" i="1" s="1"/>
  <c r="AJ230" i="1"/>
  <c r="BN230" i="1"/>
  <c r="Z230" i="1"/>
  <c r="BP230" i="1"/>
  <c r="BQ230" i="1" s="1"/>
  <c r="BS230" i="1"/>
  <c r="AO230" i="1"/>
  <c r="BF230" i="1"/>
  <c r="BG230" i="1" s="1"/>
  <c r="BI230" i="1"/>
  <c r="AL230" i="1"/>
  <c r="AM230" i="1" s="1"/>
  <c r="R230" i="1"/>
  <c r="S230" i="1" s="1"/>
  <c r="AQ230" i="1"/>
  <c r="AR230" i="1" s="1"/>
  <c r="BW230" i="1"/>
  <c r="W230" i="1"/>
  <c r="X230" i="1" s="1"/>
  <c r="P230" i="1"/>
  <c r="BD207" i="1"/>
  <c r="BN207" i="1"/>
  <c r="AO207" i="1"/>
  <c r="W207" i="1"/>
  <c r="X207" i="1" s="1"/>
  <c r="AL207" i="1"/>
  <c r="AM207" i="1" s="1"/>
  <c r="AV207" i="1"/>
  <c r="AW207" i="1" s="1"/>
  <c r="BK207" i="1"/>
  <c r="BL207" i="1" s="1"/>
  <c r="R207" i="1"/>
  <c r="S207" i="1" s="1"/>
  <c r="BP207" i="1"/>
  <c r="BQ207" i="1" s="1"/>
  <c r="BA207" i="1"/>
  <c r="BB207" i="1" s="1"/>
  <c r="Z207" i="1"/>
  <c r="AQ207" i="1"/>
  <c r="AR207" i="1" s="1"/>
  <c r="AY207" i="1"/>
  <c r="AE207" i="1"/>
  <c r="AB207" i="1"/>
  <c r="AC207" i="1" s="1"/>
  <c r="BW207" i="1"/>
  <c r="BX207" i="1" s="1"/>
  <c r="P207" i="1"/>
  <c r="BS207" i="1"/>
  <c r="AT207" i="1"/>
  <c r="U207" i="1"/>
  <c r="AJ207" i="1"/>
  <c r="BU207" i="1"/>
  <c r="BV207" i="1" s="1"/>
  <c r="AG207" i="1"/>
  <c r="AH207" i="1" s="1"/>
  <c r="AT195" i="1"/>
  <c r="AQ195" i="1"/>
  <c r="AR195" i="1" s="1"/>
  <c r="BA195" i="1"/>
  <c r="BB195" i="1" s="1"/>
  <c r="AJ195" i="1"/>
  <c r="AO195" i="1"/>
  <c r="AE195" i="1"/>
  <c r="U195" i="1"/>
  <c r="BN195" i="1"/>
  <c r="AY195" i="1"/>
  <c r="AG195" i="1"/>
  <c r="AH195" i="1" s="1"/>
  <c r="W195" i="1"/>
  <c r="X195" i="1" s="1"/>
  <c r="AL195" i="1"/>
  <c r="AM195" i="1" s="1"/>
  <c r="BU195" i="1"/>
  <c r="BV195" i="1" s="1"/>
  <c r="R195" i="1"/>
  <c r="S195" i="1" s="1"/>
  <c r="AB195" i="1"/>
  <c r="AC195" i="1" s="1"/>
  <c r="BI195" i="1"/>
  <c r="BK195" i="1"/>
  <c r="BL195" i="1" s="1"/>
  <c r="BF195" i="1"/>
  <c r="BG195" i="1" s="1"/>
  <c r="BD195" i="1"/>
  <c r="AV195" i="1"/>
  <c r="AW195" i="1" s="1"/>
  <c r="BS195" i="1"/>
  <c r="BP195" i="1"/>
  <c r="BQ195" i="1" s="1"/>
  <c r="Z195" i="1"/>
  <c r="P195" i="1"/>
  <c r="R184" i="1"/>
  <c r="S184" i="1" s="1"/>
  <c r="AE184" i="1"/>
  <c r="AT184" i="1"/>
  <c r="AO184" i="1"/>
  <c r="BS184" i="1"/>
  <c r="AL184" i="1"/>
  <c r="AM184" i="1" s="1"/>
  <c r="BU184" i="1"/>
  <c r="BV184" i="1" s="1"/>
  <c r="AB184" i="1"/>
  <c r="AC184" i="1" s="1"/>
  <c r="AY184" i="1"/>
  <c r="Z184" i="1"/>
  <c r="AQ184" i="1"/>
  <c r="AR184" i="1" s="1"/>
  <c r="BK166" i="1"/>
  <c r="BL166" i="1" s="1"/>
  <c r="BU166" i="1"/>
  <c r="BV166" i="1" s="1"/>
  <c r="AG166" i="1"/>
  <c r="AH166" i="1" s="1"/>
  <c r="R166" i="1"/>
  <c r="S166" i="1" s="1"/>
  <c r="BD156" i="1"/>
  <c r="BS156" i="1"/>
  <c r="AY156" i="1"/>
  <c r="AO156" i="1"/>
  <c r="BI156" i="1"/>
  <c r="AB156" i="1"/>
  <c r="AC156" i="1" s="1"/>
  <c r="BA156" i="1"/>
  <c r="BB156" i="1" s="1"/>
  <c r="W156" i="1"/>
  <c r="X156" i="1" s="1"/>
  <c r="BP156" i="1"/>
  <c r="BQ156" i="1" s="1"/>
  <c r="R156" i="1"/>
  <c r="S156" i="1" s="1"/>
  <c r="AJ156" i="1"/>
  <c r="AQ156" i="1"/>
  <c r="AR156" i="1" s="1"/>
  <c r="U156" i="1"/>
  <c r="AE156" i="1"/>
  <c r="AL156" i="1"/>
  <c r="AM156" i="1" s="1"/>
  <c r="Z156" i="1"/>
  <c r="BU156" i="1"/>
  <c r="BV156" i="1" s="1"/>
  <c r="AG156" i="1"/>
  <c r="AH156" i="1" s="1"/>
  <c r="P156" i="1"/>
  <c r="BK156" i="1"/>
  <c r="BL156" i="1" s="1"/>
  <c r="AV156" i="1"/>
  <c r="AW156" i="1" s="1"/>
  <c r="AT156" i="1"/>
  <c r="BN156" i="1"/>
  <c r="BK146" i="1"/>
  <c r="BL146" i="1" s="1"/>
  <c r="BS146" i="1"/>
  <c r="AE146" i="1"/>
  <c r="BU146" i="1"/>
  <c r="BV146" i="1" s="1"/>
  <c r="BA146" i="1"/>
  <c r="BB146" i="1" s="1"/>
  <c r="P146" i="1"/>
  <c r="AO146" i="1"/>
  <c r="BN146" i="1"/>
  <c r="AL146" i="1"/>
  <c r="AM146" i="1" s="1"/>
  <c r="BF146" i="1"/>
  <c r="BG146" i="1" s="1"/>
  <c r="Z146" i="1"/>
  <c r="BP146" i="1"/>
  <c r="BQ146" i="1" s="1"/>
  <c r="AV146" i="1"/>
  <c r="AW146" i="1" s="1"/>
  <c r="W146" i="1"/>
  <c r="X146" i="1" s="1"/>
  <c r="AG146" i="1"/>
  <c r="AH146" i="1" s="1"/>
  <c r="BD146" i="1"/>
  <c r="R146" i="1"/>
  <c r="S146" i="1" s="1"/>
  <c r="AJ146" i="1"/>
  <c r="AB146" i="1"/>
  <c r="AC146" i="1" s="1"/>
  <c r="BI146" i="1"/>
  <c r="AQ146" i="1"/>
  <c r="AR146" i="1" s="1"/>
  <c r="AY146" i="1"/>
  <c r="AT146" i="1"/>
  <c r="U146" i="1"/>
  <c r="BI132" i="1"/>
  <c r="BN132" i="1"/>
  <c r="AL132" i="1"/>
  <c r="AM132" i="1" s="1"/>
  <c r="AT132" i="1"/>
  <c r="AO132" i="1"/>
  <c r="W132" i="1"/>
  <c r="X132" i="1" s="1"/>
  <c r="BD132" i="1"/>
  <c r="Z132" i="1"/>
  <c r="AG132" i="1"/>
  <c r="AH132" i="1" s="1"/>
  <c r="AE132" i="1"/>
  <c r="AY132" i="1"/>
  <c r="P132" i="1"/>
  <c r="BK132" i="1"/>
  <c r="BL132" i="1" s="1"/>
  <c r="U132" i="1"/>
  <c r="AB132" i="1"/>
  <c r="AC132" i="1" s="1"/>
  <c r="BA132" i="1"/>
  <c r="BB132" i="1" s="1"/>
  <c r="BP132" i="1"/>
  <c r="BQ132" i="1" s="1"/>
  <c r="AV132" i="1"/>
  <c r="AW132" i="1" s="1"/>
  <c r="AJ132" i="1"/>
  <c r="BW132" i="1"/>
  <c r="AQ132" i="1"/>
  <c r="AR132" i="1" s="1"/>
  <c r="BS132" i="1"/>
  <c r="R132" i="1"/>
  <c r="S132" i="1" s="1"/>
  <c r="BU132" i="1"/>
  <c r="BV132" i="1" s="1"/>
  <c r="BP122" i="1"/>
  <c r="BQ122" i="1" s="1"/>
  <c r="AL122" i="1"/>
  <c r="AM122" i="1" s="1"/>
  <c r="BF86" i="1"/>
  <c r="BG86" i="1" s="1"/>
  <c r="AG86" i="1"/>
  <c r="AH86" i="1" s="1"/>
  <c r="W86" i="1"/>
  <c r="X86" i="1" s="1"/>
  <c r="AE86" i="1"/>
  <c r="U86" i="1"/>
  <c r="BS86" i="1"/>
  <c r="AJ86" i="1"/>
  <c r="BA86" i="1"/>
  <c r="BB86" i="1" s="1"/>
  <c r="AL86" i="1"/>
  <c r="AM86" i="1" s="1"/>
  <c r="BI86" i="1"/>
  <c r="AB86" i="1"/>
  <c r="AC86" i="1" s="1"/>
  <c r="BN86" i="1"/>
  <c r="R86" i="1"/>
  <c r="S86" i="1" s="1"/>
  <c r="P86" i="1"/>
  <c r="BP86" i="1"/>
  <c r="BQ86" i="1" s="1"/>
  <c r="AO86" i="1"/>
  <c r="AV86" i="1"/>
  <c r="AW86" i="1" s="1"/>
  <c r="BD86" i="1"/>
  <c r="AT86" i="1"/>
  <c r="AY86" i="1"/>
  <c r="Z86" i="1"/>
  <c r="BK86" i="1"/>
  <c r="BL86" i="1" s="1"/>
  <c r="BU86" i="1"/>
  <c r="BV86" i="1" s="1"/>
  <c r="AE28" i="1"/>
  <c r="AT28" i="1"/>
  <c r="BU28" i="1"/>
  <c r="BV28" i="1" s="1"/>
  <c r="W28" i="1"/>
  <c r="X28" i="1" s="1"/>
  <c r="BA28" i="1"/>
  <c r="BB28" i="1" s="1"/>
  <c r="AJ28" i="1"/>
  <c r="BI28" i="1"/>
  <c r="AV28" i="1"/>
  <c r="AW28" i="1" s="1"/>
  <c r="BS28" i="1"/>
  <c r="U28" i="1"/>
  <c r="AY28" i="1"/>
  <c r="AO28" i="1"/>
  <c r="R28" i="1"/>
  <c r="S28" i="1" s="1"/>
  <c r="AG28" i="1"/>
  <c r="AH28" i="1" s="1"/>
  <c r="BD38" i="1"/>
  <c r="BA38" i="1"/>
  <c r="BB38" i="1" s="1"/>
  <c r="BN38" i="1"/>
  <c r="AG38" i="1"/>
  <c r="AH38" i="1" s="1"/>
  <c r="AL38" i="1"/>
  <c r="AM38" i="1" s="1"/>
  <c r="AT38" i="1"/>
  <c r="AY50" i="1"/>
  <c r="BA50" i="1"/>
  <c r="BB50" i="1" s="1"/>
  <c r="AT50" i="1"/>
  <c r="AJ50" i="1"/>
  <c r="BF50" i="1"/>
  <c r="BG50" i="1" s="1"/>
  <c r="U50" i="1"/>
  <c r="R50" i="1"/>
  <c r="S50" i="1" s="1"/>
  <c r="P50" i="1"/>
  <c r="BU50" i="1"/>
  <c r="BV50" i="1" s="1"/>
  <c r="AL50" i="1"/>
  <c r="AM50" i="1" s="1"/>
  <c r="AG50" i="1"/>
  <c r="AH50" i="1" s="1"/>
  <c r="AO50" i="1"/>
  <c r="W50" i="1"/>
  <c r="X50" i="1" s="1"/>
  <c r="Z50" i="1"/>
  <c r="BD50" i="1"/>
  <c r="AQ50" i="1"/>
  <c r="AR50" i="1" s="1"/>
  <c r="AV50" i="1"/>
  <c r="AW50" i="1" s="1"/>
  <c r="AB50" i="1"/>
  <c r="AC50" i="1" s="1"/>
  <c r="BK50" i="1"/>
  <c r="BL50" i="1" s="1"/>
  <c r="BN50" i="1"/>
  <c r="BI50" i="1"/>
  <c r="BP50" i="1"/>
  <c r="BQ50" i="1" s="1"/>
  <c r="AE50" i="1"/>
  <c r="AL28" i="1"/>
  <c r="AM28" i="1" s="1"/>
  <c r="BK28" i="1"/>
  <c r="BL28" i="1" s="1"/>
  <c r="AQ28" i="1"/>
  <c r="AR28" i="1" s="1"/>
  <c r="AB6" i="1"/>
  <c r="AY6" i="1"/>
  <c r="BP6" i="1"/>
  <c r="BQ6" i="1" s="1"/>
  <c r="AT6" i="1"/>
  <c r="BK6" i="1"/>
  <c r="BL6" i="1" s="1"/>
  <c r="AG6" i="1"/>
  <c r="AJ6" i="1"/>
  <c r="BN6" i="1"/>
  <c r="BU6" i="1"/>
  <c r="BV6" i="1" s="1"/>
  <c r="AQ6" i="1"/>
  <c r="AV6" i="1"/>
  <c r="AW6" i="1" s="1"/>
  <c r="BD6" i="1"/>
  <c r="BI6" i="1"/>
  <c r="BA6" i="1"/>
  <c r="BB6" i="1" s="1"/>
  <c r="BF6" i="1"/>
  <c r="BG6" i="1" s="1"/>
  <c r="AO6" i="1"/>
  <c r="AL6" i="1"/>
  <c r="AM6" i="1" s="1"/>
  <c r="BS38" i="1"/>
  <c r="Z38" i="1"/>
  <c r="BU62" i="1"/>
  <c r="BV62" i="1" s="1"/>
  <c r="BA62" i="1"/>
  <c r="BB62" i="1" s="1"/>
  <c r="AL62" i="1"/>
  <c r="AM62" i="1" s="1"/>
  <c r="AE38" i="1"/>
  <c r="BU38" i="1"/>
  <c r="BV38" i="1" s="1"/>
  <c r="W38" i="1"/>
  <c r="X38" i="1" s="1"/>
  <c r="AV38" i="1"/>
  <c r="AW38" i="1" s="1"/>
  <c r="BF62" i="1"/>
  <c r="BG62" i="1" s="1"/>
  <c r="BK62" i="1"/>
  <c r="BL62" i="1" s="1"/>
  <c r="BD62" i="1"/>
  <c r="U38" i="1"/>
  <c r="BI62" i="1"/>
  <c r="P62" i="1"/>
  <c r="Z62" i="1"/>
  <c r="AT62" i="1"/>
  <c r="BS62" i="1"/>
  <c r="AB38" i="1"/>
  <c r="AC38" i="1" s="1"/>
  <c r="AQ38" i="1"/>
  <c r="AR38" i="1" s="1"/>
  <c r="BI38" i="1"/>
  <c r="BP62" i="1"/>
  <c r="BQ62" i="1" s="1"/>
  <c r="AQ62" i="1"/>
  <c r="AR62" i="1" s="1"/>
  <c r="AY38" i="1"/>
  <c r="AT166" i="1"/>
  <c r="Z166" i="1"/>
  <c r="BI166" i="1"/>
  <c r="W166" i="1"/>
  <c r="X166" i="1" s="1"/>
  <c r="P166" i="1"/>
  <c r="AQ166" i="1"/>
  <c r="AR166" i="1" s="1"/>
  <c r="AL166" i="1"/>
  <c r="AM166" i="1" s="1"/>
  <c r="AO166" i="1"/>
  <c r="BA166" i="1"/>
  <c r="BB166" i="1" s="1"/>
  <c r="BD166" i="1"/>
  <c r="BS166" i="1"/>
  <c r="AB166" i="1"/>
  <c r="AC166" i="1" s="1"/>
  <c r="BP166" i="1"/>
  <c r="BQ166" i="1" s="1"/>
  <c r="AV166" i="1"/>
  <c r="AW166" i="1" s="1"/>
  <c r="BF166" i="1"/>
  <c r="BG166" i="1" s="1"/>
  <c r="AE166" i="1"/>
  <c r="AY166" i="1"/>
  <c r="AJ166" i="1"/>
  <c r="BN166" i="1"/>
  <c r="U166" i="1"/>
  <c r="BP38" i="1"/>
  <c r="BQ38" i="1" s="1"/>
  <c r="AO38" i="1"/>
  <c r="BF38" i="1"/>
  <c r="BG38" i="1" s="1"/>
  <c r="AB62" i="1"/>
  <c r="AC62" i="1" s="1"/>
  <c r="AO62" i="1"/>
  <c r="AJ38" i="1"/>
  <c r="AE62" i="1"/>
  <c r="P38" i="1"/>
  <c r="P28" i="1"/>
  <c r="U6" i="1"/>
  <c r="AR6" i="1" l="1"/>
  <c r="BX86" i="1"/>
  <c r="BX28" i="1"/>
  <c r="BX62" i="1"/>
  <c r="BX50" i="1"/>
  <c r="BX38" i="1"/>
  <c r="BX166" i="1"/>
  <c r="AE6" i="1"/>
  <c r="Z6" i="1"/>
  <c r="AD269" i="1"/>
  <c r="Y269" i="1"/>
  <c r="BX259" i="1"/>
  <c r="BX254" i="1"/>
  <c r="BX240" i="1"/>
  <c r="BX230" i="1"/>
  <c r="BX224" i="1"/>
  <c r="BX195" i="1"/>
  <c r="BX184" i="1"/>
  <c r="BX156" i="1"/>
  <c r="BX146" i="1"/>
  <c r="BX132" i="1"/>
  <c r="BX122" i="1"/>
  <c r="BX74" i="1"/>
  <c r="AH6" i="1" l="1"/>
  <c r="AC6" i="1"/>
  <c r="T269" i="1"/>
  <c r="I28" i="1"/>
  <c r="I62" i="1"/>
  <c r="I50" i="1"/>
  <c r="I86" i="1"/>
  <c r="I146" i="1"/>
  <c r="I132" i="1"/>
  <c r="I112" i="1"/>
  <c r="I156" i="1"/>
  <c r="I38" i="1"/>
  <c r="I166" i="1"/>
  <c r="I74" i="1"/>
  <c r="I122" i="1"/>
  <c r="I184" i="1"/>
  <c r="I207" i="1"/>
  <c r="I195" i="1"/>
  <c r="I224" i="1"/>
  <c r="I230" i="1"/>
  <c r="I240" i="1"/>
  <c r="I254" i="1"/>
  <c r="I259" i="1"/>
  <c r="F269" i="1"/>
  <c r="I269" i="1" l="1"/>
  <c r="BW8" i="1" l="1"/>
  <c r="BX8" i="1" s="1"/>
  <c r="V6" i="1"/>
  <c r="Q6" i="1"/>
  <c r="R6" i="1" s="1"/>
  <c r="BW6" i="1" l="1"/>
  <c r="S6" i="1"/>
  <c r="W6" i="1"/>
  <c r="V269" i="1"/>
  <c r="Q269" i="1"/>
  <c r="BX6" i="1" l="1"/>
  <c r="X6" i="1"/>
  <c r="M112" i="1"/>
  <c r="M269" i="1" s="1"/>
  <c r="K269" i="1" s="1"/>
  <c r="K120" i="1"/>
  <c r="K112" i="1" s="1"/>
  <c r="AV120" i="1" l="1"/>
  <c r="AW120" i="1" s="1"/>
  <c r="Z120" i="1"/>
  <c r="AL120" i="1"/>
  <c r="AM120" i="1" s="1"/>
  <c r="W120" i="1"/>
  <c r="X120" i="1" s="1"/>
  <c r="BP120" i="1"/>
  <c r="BQ120" i="1" s="1"/>
  <c r="AO120" i="1"/>
  <c r="AJ120" i="1"/>
  <c r="BF120" i="1"/>
  <c r="BG120" i="1" s="1"/>
  <c r="P120" i="1"/>
  <c r="BS120" i="1"/>
  <c r="BK120" i="1"/>
  <c r="BL120" i="1" s="1"/>
  <c r="BU120" i="1"/>
  <c r="BV120" i="1" s="1"/>
  <c r="AE120" i="1"/>
  <c r="U120" i="1"/>
  <c r="BI120" i="1"/>
  <c r="AQ120" i="1"/>
  <c r="AR120" i="1" s="1"/>
  <c r="AB120" i="1"/>
  <c r="AC120" i="1" s="1"/>
  <c r="BN120" i="1"/>
  <c r="Z112" i="1"/>
  <c r="Z269" i="1" s="1"/>
  <c r="BN112" i="1"/>
  <c r="BN269" i="1" s="1"/>
  <c r="BP112" i="1"/>
  <c r="AG112" i="1"/>
  <c r="BA112" i="1"/>
  <c r="P112" i="1"/>
  <c r="P269" i="1" s="1"/>
  <c r="U112" i="1"/>
  <c r="U269" i="1" s="1"/>
  <c r="AL112" i="1"/>
  <c r="BD112" i="1"/>
  <c r="BD269" i="1" s="1"/>
  <c r="BF112" i="1"/>
  <c r="W112" i="1"/>
  <c r="AV112" i="1"/>
  <c r="AQ112" i="1"/>
  <c r="BI112" i="1"/>
  <c r="BI269" i="1" s="1"/>
  <c r="AY112" i="1"/>
  <c r="AY269" i="1" s="1"/>
  <c r="AO112" i="1"/>
  <c r="AO269" i="1" s="1"/>
  <c r="AB112" i="1"/>
  <c r="AT112" i="1"/>
  <c r="AT269" i="1" s="1"/>
  <c r="BU112" i="1"/>
  <c r="BK112" i="1"/>
  <c r="BS112" i="1"/>
  <c r="BS269" i="1" s="1"/>
  <c r="AE112" i="1"/>
  <c r="AE269" i="1" s="1"/>
  <c r="AJ112" i="1"/>
  <c r="AJ269" i="1" s="1"/>
  <c r="BW112" i="1"/>
  <c r="R112" i="1"/>
  <c r="R120" i="1"/>
  <c r="S120" i="1" s="1"/>
  <c r="AT120" i="1"/>
  <c r="BW120" i="1"/>
  <c r="BX120" i="1" s="1"/>
  <c r="BD120" i="1"/>
  <c r="AY120" i="1"/>
  <c r="AG120" i="1"/>
  <c r="AH120" i="1" s="1"/>
  <c r="BA120" i="1"/>
  <c r="BB120" i="1" s="1"/>
  <c r="AQ269" i="1" l="1"/>
  <c r="AR112" i="1"/>
  <c r="AR269" i="1" s="1"/>
  <c r="BB112" i="1"/>
  <c r="BB269" i="1" s="1"/>
  <c r="BA269" i="1"/>
  <c r="BL112" i="1"/>
  <c r="BL269" i="1" s="1"/>
  <c r="BK269" i="1"/>
  <c r="AW112" i="1"/>
  <c r="AW269" i="1" s="1"/>
  <c r="AV269" i="1"/>
  <c r="AH112" i="1"/>
  <c r="AH269" i="1" s="1"/>
  <c r="AG269" i="1"/>
  <c r="R269" i="1"/>
  <c r="S112" i="1"/>
  <c r="S269" i="1" s="1"/>
  <c r="BX112" i="1"/>
  <c r="BX269" i="1" s="1"/>
  <c r="BW269" i="1"/>
  <c r="AL269" i="1"/>
  <c r="AM112" i="1"/>
  <c r="AM269" i="1" s="1"/>
  <c r="BV112" i="1"/>
  <c r="BV269" i="1" s="1"/>
  <c r="BU269" i="1"/>
  <c r="X112" i="1"/>
  <c r="X269" i="1" s="1"/>
  <c r="W269" i="1"/>
  <c r="BQ112" i="1"/>
  <c r="BQ269" i="1" s="1"/>
  <c r="BP269" i="1"/>
  <c r="BF269" i="1"/>
  <c r="BG112" i="1"/>
  <c r="BG269" i="1" s="1"/>
  <c r="AC112" i="1"/>
  <c r="AC269" i="1" s="1"/>
  <c r="AB269" i="1"/>
  <c r="K6" i="5" l="1"/>
  <c r="K272" i="5"/>
  <c r="K234" i="5"/>
  <c r="K282" i="5" l="1"/>
  <c r="I156" i="5"/>
  <c r="BW204" i="5" l="1"/>
  <c r="BQ204" i="5"/>
  <c r="BA204" i="5"/>
  <c r="BY204" i="5"/>
  <c r="AW204" i="5"/>
  <c r="BG204" i="5"/>
  <c r="BE204" i="5"/>
  <c r="BO204" i="5"/>
  <c r="BC204" i="5"/>
  <c r="AY204" i="5"/>
  <c r="AY203" i="5" s="1"/>
  <c r="BK204" i="5"/>
  <c r="BK203" i="5" s="1"/>
  <c r="AU204" i="5"/>
  <c r="BU204" i="5"/>
  <c r="BM204" i="5"/>
  <c r="BM203" i="5" s="1"/>
  <c r="BS204" i="5"/>
  <c r="BI204" i="5"/>
  <c r="CA204" i="5"/>
  <c r="CA203" i="5" s="1"/>
  <c r="BY203" i="5" l="1"/>
  <c r="BW203" i="5"/>
  <c r="BU203" i="5"/>
  <c r="BS203" i="5"/>
  <c r="BQ203" i="5"/>
  <c r="BI203" i="5"/>
  <c r="BO203" i="5"/>
  <c r="BG203" i="5"/>
  <c r="BA203" i="5"/>
  <c r="BC203" i="5"/>
  <c r="BE203" i="5"/>
  <c r="AW203" i="5"/>
  <c r="AU203" i="5"/>
  <c r="BQ7" i="5" l="1"/>
  <c r="AS7" i="5"/>
  <c r="BI7" i="5"/>
  <c r="BM7" i="5"/>
  <c r="BG6" i="5"/>
  <c r="BG282" i="5" s="1"/>
  <c r="I7" i="5"/>
  <c r="I6" i="5" s="1"/>
  <c r="I282" i="5" s="1"/>
  <c r="BU6" i="5"/>
  <c r="BU282" i="5" s="1"/>
  <c r="BY7" i="5"/>
  <c r="BC6" i="5"/>
  <c r="BC282" i="5" s="1"/>
  <c r="BS7" i="5"/>
  <c r="AW7" i="5"/>
  <c r="BA7" i="5"/>
  <c r="BE7" i="5"/>
  <c r="AU7" i="5"/>
  <c r="BW6" i="5"/>
  <c r="BW282" i="5" s="1"/>
  <c r="BK7" i="5"/>
  <c r="BO6" i="5"/>
  <c r="BO282" i="5" s="1"/>
  <c r="CA6" i="5"/>
  <c r="CA282" i="5" s="1"/>
  <c r="H282" i="5"/>
  <c r="BY6" i="5" l="1"/>
  <c r="BY282" i="5" s="1"/>
  <c r="BS6" i="5"/>
  <c r="BS282" i="5" s="1"/>
  <c r="BQ6" i="5"/>
  <c r="BQ282" i="5" s="1"/>
  <c r="BK6" i="5"/>
  <c r="BK282" i="5" s="1"/>
  <c r="BM6" i="5"/>
  <c r="BM282" i="5" s="1"/>
  <c r="BI6" i="5"/>
  <c r="BI282" i="5" s="1"/>
  <c r="BE6" i="5"/>
  <c r="BE282" i="5" s="1"/>
  <c r="BA6" i="5"/>
  <c r="BA282" i="5" s="1"/>
  <c r="AW6" i="5"/>
  <c r="AW282" i="5" s="1"/>
  <c r="AU6" i="5"/>
  <c r="AU282" i="5" s="1"/>
  <c r="AY6" i="5"/>
  <c r="AY282" i="5" s="1"/>
  <c r="AS6" i="5"/>
  <c r="AS282" i="5" s="1"/>
  <c r="AK7" i="5" l="1"/>
  <c r="AL7" i="5" s="1"/>
  <c r="AM7" i="5" s="1"/>
  <c r="AN7" i="5" s="1"/>
  <c r="AO7" i="5" s="1"/>
  <c r="AP7" i="5" s="1"/>
  <c r="AQ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h.maeda</author>
  </authors>
  <commentList>
    <comment ref="CJ140" authorId="0" shapeId="0" xr:uid="{A2A63E81-9A16-4A3B-8C21-EB3183B35C02}">
      <text>
        <r>
          <rPr>
            <b/>
            <sz val="9"/>
            <color indexed="81"/>
            <rFont val="MS P ゴシック"/>
            <family val="3"/>
            <charset val="128"/>
          </rPr>
          <t>h.maeda:</t>
        </r>
        <r>
          <rPr>
            <sz val="9"/>
            <color indexed="81"/>
            <rFont val="MS P ゴシック"/>
            <family val="3"/>
            <charset val="128"/>
          </rPr>
          <t xml:space="preserve">
数落ち発生予定</t>
        </r>
      </text>
    </comment>
    <comment ref="CL140" authorId="0" shapeId="0" xr:uid="{7C043EC6-8ADD-42AB-8FDE-101B1BC83AD5}">
      <text>
        <r>
          <rPr>
            <b/>
            <sz val="9"/>
            <color indexed="81"/>
            <rFont val="MS P ゴシック"/>
            <family val="3"/>
            <charset val="128"/>
          </rPr>
          <t>h.maeda:</t>
        </r>
        <r>
          <rPr>
            <sz val="9"/>
            <color indexed="81"/>
            <rFont val="MS P ゴシック"/>
            <family val="3"/>
            <charset val="128"/>
          </rPr>
          <t xml:space="preserve">
7月数甥分入荷予定（数量未定）</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h.maeda</author>
    <author>tc={13CAB970-34F6-484E-97CB-E7A19042522B}</author>
    <author>tc={13CAB970-34F6-484D-97CB-E7A19042522B}</author>
  </authors>
  <commentList>
    <comment ref="CJ84" authorId="0" shapeId="0" xr:uid="{78077536-F659-43A8-A7DA-C886FC08E3BD}">
      <text>
        <r>
          <rPr>
            <b/>
            <sz val="9"/>
            <color indexed="81"/>
            <rFont val="MS P ゴシック"/>
            <family val="3"/>
            <charset val="128"/>
          </rPr>
          <t>h.maeda:</t>
        </r>
        <r>
          <rPr>
            <sz val="9"/>
            <color indexed="81"/>
            <rFont val="MS P ゴシック"/>
            <family val="3"/>
            <charset val="128"/>
          </rPr>
          <t xml:space="preserve">
数落ち発生予定</t>
        </r>
      </text>
    </comment>
    <comment ref="CL84" authorId="0" shapeId="0" xr:uid="{F7DC82D8-17E6-4B41-88FF-5BBA034A94F3}">
      <text>
        <r>
          <rPr>
            <b/>
            <sz val="9"/>
            <color indexed="81"/>
            <rFont val="MS P ゴシック"/>
            <family val="3"/>
            <charset val="128"/>
          </rPr>
          <t>h.maeda:</t>
        </r>
        <r>
          <rPr>
            <sz val="9"/>
            <color indexed="81"/>
            <rFont val="MS P ゴシック"/>
            <family val="3"/>
            <charset val="128"/>
          </rPr>
          <t xml:space="preserve">
7月数甥分入荷予定（数量未定）</t>
        </r>
      </text>
    </comment>
    <comment ref="AT195" authorId="1" shapeId="0" xr:uid="{73082969-8A18-4C49-BEED-9AC7B527623A}">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仮日程</t>
        </r>
      </text>
    </comment>
    <comment ref="AX195" authorId="2" shapeId="0" xr:uid="{13CAB970-34F6-484D-97CB-E7A19042522B}">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仮日程</t>
        </r>
      </text>
    </comment>
  </commentList>
</comments>
</file>

<file path=xl/sharedStrings.xml><?xml version="1.0" encoding="utf-8"?>
<sst xmlns="http://schemas.openxmlformats.org/spreadsheetml/2006/main" count="1771" uniqueCount="522">
  <si>
    <t>gg5099</t>
    <phoneticPr fontId="1"/>
  </si>
  <si>
    <t>flm-001</t>
    <phoneticPr fontId="1"/>
  </si>
  <si>
    <t>flm-006</t>
    <phoneticPr fontId="1"/>
  </si>
  <si>
    <t>si-01sa</t>
    <phoneticPr fontId="1"/>
  </si>
  <si>
    <t>spc-007</t>
    <phoneticPr fontId="1"/>
  </si>
  <si>
    <t>fll-006</t>
    <phoneticPr fontId="1"/>
  </si>
  <si>
    <t>fisi-05</t>
    <phoneticPr fontId="1"/>
  </si>
  <si>
    <t>si-10</t>
    <phoneticPr fontId="1"/>
  </si>
  <si>
    <t>flc-002</t>
    <phoneticPr fontId="1"/>
  </si>
  <si>
    <t>gg3087</t>
    <phoneticPr fontId="1"/>
  </si>
  <si>
    <t>si-07</t>
    <phoneticPr fontId="1"/>
  </si>
  <si>
    <t>si-08r</t>
    <phoneticPr fontId="1"/>
  </si>
  <si>
    <t>flm-002</t>
    <phoneticPr fontId="1"/>
  </si>
  <si>
    <t>si-09</t>
    <phoneticPr fontId="1"/>
  </si>
  <si>
    <t>si-03</t>
    <phoneticPr fontId="1"/>
  </si>
  <si>
    <t>bdr-1002</t>
    <phoneticPr fontId="1"/>
  </si>
  <si>
    <t>spc-008</t>
    <phoneticPr fontId="1"/>
  </si>
  <si>
    <t>flr-001</t>
    <phoneticPr fontId="1"/>
  </si>
  <si>
    <t>bdr-1003</t>
    <phoneticPr fontId="1"/>
  </si>
  <si>
    <t>fll-3000</t>
    <phoneticPr fontId="1"/>
  </si>
  <si>
    <t>年間販売想定数</t>
    <rPh sb="6" eb="7">
      <t>スウ</t>
    </rPh>
    <phoneticPr fontId="1"/>
  </si>
  <si>
    <t>2023年現状</t>
    <rPh sb="4" eb="5">
      <t>ネン</t>
    </rPh>
    <rPh sb="5" eb="7">
      <t>ゲンジョウ</t>
    </rPh>
    <phoneticPr fontId="1"/>
  </si>
  <si>
    <t>在庫切れ無し想定</t>
    <rPh sb="0" eb="2">
      <t>ザイコ</t>
    </rPh>
    <rPh sb="2" eb="3">
      <t>キ</t>
    </rPh>
    <rPh sb="4" eb="5">
      <t>ナ</t>
    </rPh>
    <rPh sb="6" eb="8">
      <t>ソウテイ</t>
    </rPh>
    <phoneticPr fontId="1"/>
  </si>
  <si>
    <t>合計</t>
    <rPh sb="0" eb="2">
      <t>ゴウケイ</t>
    </rPh>
    <phoneticPr fontId="1"/>
  </si>
  <si>
    <t>結果</t>
    <rPh sb="0" eb="2">
      <t>ケッカ</t>
    </rPh>
    <phoneticPr fontId="1"/>
  </si>
  <si>
    <t>在庫切れを無くす事で、年間2,700本  10,020,125円　の売上像を見込めます。</t>
    <rPh sb="0" eb="2">
      <t>ザイコ</t>
    </rPh>
    <rPh sb="2" eb="3">
      <t>キ</t>
    </rPh>
    <rPh sb="5" eb="6">
      <t>ナ</t>
    </rPh>
    <rPh sb="8" eb="9">
      <t>コト</t>
    </rPh>
    <rPh sb="11" eb="13">
      <t>ネンカン</t>
    </rPh>
    <rPh sb="18" eb="19">
      <t>ホン</t>
    </rPh>
    <rPh sb="31" eb="32">
      <t>エン</t>
    </rPh>
    <rPh sb="34" eb="35">
      <t>ウ</t>
    </rPh>
    <rPh sb="35" eb="36">
      <t>ア</t>
    </rPh>
    <rPh sb="36" eb="37">
      <t>ゾウ</t>
    </rPh>
    <rPh sb="38" eb="40">
      <t>ミコ</t>
    </rPh>
    <phoneticPr fontId="1"/>
  </si>
  <si>
    <t>優先順位</t>
    <rPh sb="0" eb="2">
      <t>ユウセン</t>
    </rPh>
    <rPh sb="2" eb="4">
      <t>ジュンイ</t>
    </rPh>
    <phoneticPr fontId="1"/>
  </si>
  <si>
    <t>在庫確保による販売試算表</t>
    <rPh sb="0" eb="2">
      <t>ザイコ</t>
    </rPh>
    <rPh sb="2" eb="4">
      <t>カクホ</t>
    </rPh>
    <rPh sb="7" eb="9">
      <t>ハンバイ</t>
    </rPh>
    <rPh sb="9" eb="11">
      <t>シサン</t>
    </rPh>
    <rPh sb="11" eb="12">
      <t>ヒョウ</t>
    </rPh>
    <phoneticPr fontId="1"/>
  </si>
  <si>
    <t>フリー在庫</t>
    <rPh sb="3" eb="5">
      <t>ザイコ</t>
    </rPh>
    <phoneticPr fontId="1"/>
  </si>
  <si>
    <t>確保数計</t>
    <rPh sb="0" eb="2">
      <t>カクホ</t>
    </rPh>
    <rPh sb="2" eb="3">
      <t>スウ</t>
    </rPh>
    <rPh sb="3" eb="4">
      <t>ケイ</t>
    </rPh>
    <phoneticPr fontId="1"/>
  </si>
  <si>
    <t>在庫確保数</t>
    <rPh sb="0" eb="2">
      <t>ザイコ</t>
    </rPh>
    <rPh sb="2" eb="5">
      <t>カクホスウ</t>
    </rPh>
    <phoneticPr fontId="1"/>
  </si>
  <si>
    <t>過不足</t>
    <rPh sb="0" eb="3">
      <t>カブソク</t>
    </rPh>
    <phoneticPr fontId="1"/>
  </si>
  <si>
    <t>必要数</t>
    <rPh sb="0" eb="3">
      <t>ヒツヨウスウ</t>
    </rPh>
    <phoneticPr fontId="1"/>
  </si>
  <si>
    <t>4月</t>
    <rPh sb="1" eb="2">
      <t>ガツ</t>
    </rPh>
    <phoneticPr fontId="1"/>
  </si>
  <si>
    <t>確保数計</t>
    <rPh sb="0" eb="3">
      <t>カクホスウ</t>
    </rPh>
    <rPh sb="3" eb="4">
      <t>ケイ</t>
    </rPh>
    <phoneticPr fontId="1"/>
  </si>
  <si>
    <t>差</t>
    <rPh sb="0" eb="1">
      <t>サ</t>
    </rPh>
    <phoneticPr fontId="1"/>
  </si>
  <si>
    <t>５月</t>
    <rPh sb="1" eb="2">
      <t>ガツ</t>
    </rPh>
    <phoneticPr fontId="1"/>
  </si>
  <si>
    <t>６月</t>
    <rPh sb="1" eb="2">
      <t>ガツ</t>
    </rPh>
    <phoneticPr fontId="1"/>
  </si>
  <si>
    <t>７月</t>
    <rPh sb="1" eb="2">
      <t>ガツ</t>
    </rPh>
    <phoneticPr fontId="1"/>
  </si>
  <si>
    <t>在庫確保</t>
    <rPh sb="0" eb="2">
      <t>ザイコ</t>
    </rPh>
    <rPh sb="2" eb="4">
      <t>カクホ</t>
    </rPh>
    <phoneticPr fontId="1"/>
  </si>
  <si>
    <t>入荷品確保</t>
    <rPh sb="0" eb="2">
      <t>ニュウカ</t>
    </rPh>
    <rPh sb="2" eb="3">
      <t>ヒン</t>
    </rPh>
    <rPh sb="3" eb="5">
      <t>カクホ</t>
    </rPh>
    <phoneticPr fontId="1"/>
  </si>
  <si>
    <t>年間売上想定額</t>
    <rPh sb="6" eb="7">
      <t>ガク</t>
    </rPh>
    <phoneticPr fontId="1"/>
  </si>
  <si>
    <t>売上上位品番</t>
    <phoneticPr fontId="1"/>
  </si>
  <si>
    <t>品番</t>
    <rPh sb="0" eb="2">
      <t>ヒンバン</t>
    </rPh>
    <phoneticPr fontId="1"/>
  </si>
  <si>
    <t>カラー</t>
    <phoneticPr fontId="1"/>
  </si>
  <si>
    <t>度数</t>
    <rPh sb="0" eb="2">
      <t>ドスウ</t>
    </rPh>
    <phoneticPr fontId="1"/>
  </si>
  <si>
    <t>+1.00</t>
    <phoneticPr fontId="1"/>
  </si>
  <si>
    <t>+1.50</t>
    <phoneticPr fontId="1"/>
  </si>
  <si>
    <t>+.2.00</t>
    <phoneticPr fontId="1"/>
  </si>
  <si>
    <t>+2.50</t>
    <phoneticPr fontId="1"/>
  </si>
  <si>
    <t>+3.00</t>
    <phoneticPr fontId="1"/>
  </si>
  <si>
    <t>+2.00</t>
    <phoneticPr fontId="1"/>
  </si>
  <si>
    <t>8月</t>
    <rPh sb="1" eb="2">
      <t>ガツ</t>
    </rPh>
    <phoneticPr fontId="1"/>
  </si>
  <si>
    <t>9月</t>
    <rPh sb="1" eb="2">
      <t>ガツ</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</si>
  <si>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</si>
  <si>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</si>
  <si>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</si>
  <si>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</si>
  <si>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</si>
  <si>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3月</t>
    <rPh sb="1" eb="2">
      <t>ガツ</t>
    </rPh>
    <phoneticPr fontId="1"/>
  </si>
  <si>
    <t>-1.00</t>
    <phoneticPr fontId="1"/>
  </si>
  <si>
    <t>-3.00</t>
    <phoneticPr fontId="1"/>
  </si>
  <si>
    <t>-2.00</t>
    <phoneticPr fontId="1"/>
  </si>
  <si>
    <t>-4.00</t>
    <phoneticPr fontId="1"/>
  </si>
  <si>
    <t>KEEP在庫</t>
  </si>
  <si>
    <t>ECストック</t>
  </si>
  <si>
    <t>Amazon(FBA)</t>
    <phoneticPr fontId="1"/>
  </si>
  <si>
    <t>楽天・Yahoo!・auPAY(RSL)</t>
    <rPh sb="0" eb="2">
      <t>ラクテン</t>
    </rPh>
    <phoneticPr fontId="1"/>
  </si>
  <si>
    <t>KEEP在庫</t>
    <rPh sb="4" eb="6">
      <t>ザイコ</t>
    </rPh>
    <phoneticPr fontId="1"/>
  </si>
  <si>
    <t>売上上位品番</t>
    <rPh sb="0" eb="1">
      <t>ウ</t>
    </rPh>
    <rPh sb="1" eb="2">
      <t>ア</t>
    </rPh>
    <rPh sb="2" eb="4">
      <t>ジョウイ</t>
    </rPh>
    <rPh sb="4" eb="6">
      <t>ヒンバン</t>
    </rPh>
    <phoneticPr fontId="1"/>
  </si>
  <si>
    <t>次回入荷なし</t>
    <rPh sb="0" eb="2">
      <t>ジカイ</t>
    </rPh>
    <rPh sb="2" eb="4">
      <t>ニュウカ</t>
    </rPh>
    <phoneticPr fontId="1"/>
  </si>
  <si>
    <t>2月入荷分KEEP
COL.2 360枚</t>
    <phoneticPr fontId="1"/>
  </si>
  <si>
    <t>2月入荷分KEEP
360枚</t>
    <phoneticPr fontId="1"/>
  </si>
  <si>
    <t>1月入荷分KEEP
COL.1 100枚</t>
    <rPh sb="1" eb="2">
      <t>ガツ</t>
    </rPh>
    <rPh sb="2" eb="4">
      <t>ニュウカ</t>
    </rPh>
    <rPh sb="4" eb="5">
      <t>ブン</t>
    </rPh>
    <rPh sb="19" eb="20">
      <t>マイ</t>
    </rPh>
    <phoneticPr fontId="1"/>
  </si>
  <si>
    <t>次回入荷なし</t>
    <rPh sb="0" eb="4">
      <t>ジカイニュウカ</t>
    </rPh>
    <phoneticPr fontId="1"/>
  </si>
  <si>
    <t>年間販売数</t>
    <rPh sb="4" eb="5">
      <t>スウ</t>
    </rPh>
    <phoneticPr fontId="1"/>
  </si>
  <si>
    <t>年間売上額</t>
    <rPh sb="4" eb="5">
      <t>ガク</t>
    </rPh>
    <phoneticPr fontId="1"/>
  </si>
  <si>
    <t>2023年実績</t>
    <rPh sb="4" eb="5">
      <t>ネン</t>
    </rPh>
    <rPh sb="5" eb="7">
      <t>ジッセキ</t>
    </rPh>
    <phoneticPr fontId="1"/>
  </si>
  <si>
    <t>プロパー廃番予定</t>
    <phoneticPr fontId="1"/>
  </si>
  <si>
    <t>5135(5336P)</t>
    <phoneticPr fontId="1"/>
  </si>
  <si>
    <r>
      <t xml:space="preserve">次回入荷なし
</t>
    </r>
    <r>
      <rPr>
        <b/>
        <sz val="11"/>
        <color rgb="FFFF0000"/>
        <rFont val="游ゴシック"/>
        <family val="3"/>
        <charset val="128"/>
        <scheme val="minor"/>
      </rPr>
      <t>プロパー廃番予定</t>
    </r>
    <rPh sb="0" eb="4">
      <t>ジカイニュウカ</t>
    </rPh>
    <rPh sb="11" eb="13">
      <t>ハイバン</t>
    </rPh>
    <rPh sb="13" eb="15">
      <t>ヨテイ</t>
    </rPh>
    <phoneticPr fontId="1"/>
  </si>
  <si>
    <t>2023実績</t>
    <rPh sb="4" eb="6">
      <t>ジッセキ</t>
    </rPh>
    <phoneticPr fontId="1"/>
  </si>
  <si>
    <r>
      <t>2023実績</t>
    </r>
    <r>
      <rPr>
        <sz val="10"/>
        <color theme="1"/>
        <rFont val="游ゴシック"/>
        <family val="3"/>
        <charset val="128"/>
        <scheme val="minor"/>
      </rPr>
      <t>（販売期間10カ月の為12か月で試算）</t>
    </r>
  </si>
  <si>
    <t>2023実績（補充と欠品月の差により数字比率に支障がある為、視覚化データ数字で想定する）</t>
    <rPh sb="4" eb="6">
      <t>ジッセキ</t>
    </rPh>
    <rPh sb="7" eb="9">
      <t>ホジュウ</t>
    </rPh>
    <rPh sb="10" eb="12">
      <t>ケッピン</t>
    </rPh>
    <rPh sb="12" eb="13">
      <t>ツキ</t>
    </rPh>
    <rPh sb="14" eb="15">
      <t>サ</t>
    </rPh>
    <rPh sb="18" eb="20">
      <t>スウジ</t>
    </rPh>
    <rPh sb="20" eb="22">
      <t>ヒリツ</t>
    </rPh>
    <rPh sb="23" eb="25">
      <t>シショウ</t>
    </rPh>
    <rPh sb="28" eb="29">
      <t>タメ</t>
    </rPh>
    <rPh sb="30" eb="33">
      <t>シカクカ</t>
    </rPh>
    <rPh sb="36" eb="38">
      <t>スウジ</t>
    </rPh>
    <rPh sb="39" eb="41">
      <t>ソウテイ</t>
    </rPh>
    <phoneticPr fontId="1"/>
  </si>
  <si>
    <t>PCサングラス</t>
    <phoneticPr fontId="1"/>
  </si>
  <si>
    <t>調光老眼</t>
    <rPh sb="0" eb="2">
      <t>チョウコウ</t>
    </rPh>
    <rPh sb="2" eb="4">
      <t>ロウガン</t>
    </rPh>
    <phoneticPr fontId="1"/>
  </si>
  <si>
    <t>既成近眼</t>
    <rPh sb="0" eb="4">
      <t>キセイキンガン</t>
    </rPh>
    <phoneticPr fontId="1"/>
  </si>
  <si>
    <t>5月</t>
  </si>
  <si>
    <t>6月</t>
  </si>
  <si>
    <t>7月</t>
  </si>
  <si>
    <t>8月</t>
  </si>
  <si>
    <t>9月</t>
  </si>
  <si>
    <t>10月</t>
  </si>
  <si>
    <t>11月</t>
  </si>
  <si>
    <t>12月</t>
  </si>
  <si>
    <t>1月</t>
  </si>
  <si>
    <t>2月</t>
  </si>
  <si>
    <t>3月</t>
  </si>
  <si>
    <t>各カテゴリー　販売比率データ</t>
    <rPh sb="0" eb="1">
      <t>カク</t>
    </rPh>
    <rPh sb="7" eb="9">
      <t>ハンバイ</t>
    </rPh>
    <rPh sb="9" eb="11">
      <t>ヒリツ</t>
    </rPh>
    <phoneticPr fontId="1"/>
  </si>
  <si>
    <t>老眼</t>
    <rPh sb="0" eb="2">
      <t>ロウガン</t>
    </rPh>
    <phoneticPr fontId="1"/>
  </si>
  <si>
    <t>＊カラー/度数については、在庫切れ影響により、正確な販売数量割振が未定の為、継続して検証を行い、精度を高めていく。</t>
    <rPh sb="5" eb="7">
      <t>ドスウ</t>
    </rPh>
    <rPh sb="13" eb="15">
      <t>ザイコ</t>
    </rPh>
    <rPh sb="15" eb="16">
      <t>キ</t>
    </rPh>
    <rPh sb="17" eb="19">
      <t>エイキョウ</t>
    </rPh>
    <rPh sb="23" eb="25">
      <t>セイカク</t>
    </rPh>
    <rPh sb="26" eb="28">
      <t>ハンバイ</t>
    </rPh>
    <rPh sb="28" eb="30">
      <t>スウリョウ</t>
    </rPh>
    <rPh sb="30" eb="31">
      <t>ワ</t>
    </rPh>
    <rPh sb="31" eb="32">
      <t>フ</t>
    </rPh>
    <rPh sb="33" eb="35">
      <t>ミテイ</t>
    </rPh>
    <rPh sb="36" eb="37">
      <t>タメ</t>
    </rPh>
    <rPh sb="38" eb="40">
      <t>ケイゾク</t>
    </rPh>
    <rPh sb="42" eb="44">
      <t>ケンショウ</t>
    </rPh>
    <rPh sb="45" eb="46">
      <t>オコナ</t>
    </rPh>
    <rPh sb="48" eb="50">
      <t>セイド</t>
    </rPh>
    <rPh sb="51" eb="52">
      <t>タカ</t>
    </rPh>
    <phoneticPr fontId="1"/>
  </si>
  <si>
    <t>度数割振資料</t>
    <rPh sb="0" eb="2">
      <t>ドスウ</t>
    </rPh>
    <rPh sb="2" eb="3">
      <t>ワ</t>
    </rPh>
    <rPh sb="3" eb="4">
      <t>フ</t>
    </rPh>
    <rPh sb="4" eb="6">
      <t>シリョウ</t>
    </rPh>
    <phoneticPr fontId="1"/>
  </si>
  <si>
    <t>5度数での割振平均</t>
    <rPh sb="1" eb="3">
      <t>ドスウ</t>
    </rPh>
    <rPh sb="5" eb="6">
      <t>ワ</t>
    </rPh>
    <rPh sb="6" eb="7">
      <t>フ</t>
    </rPh>
    <rPh sb="7" eb="9">
      <t>ヘイキン</t>
    </rPh>
    <phoneticPr fontId="1"/>
  </si>
  <si>
    <t>4度数での割振平均</t>
    <rPh sb="1" eb="3">
      <t>ドスウ</t>
    </rPh>
    <rPh sb="5" eb="6">
      <t>ワ</t>
    </rPh>
    <rPh sb="6" eb="7">
      <t>フ</t>
    </rPh>
    <rPh sb="7" eb="9">
      <t>ヘイキン</t>
    </rPh>
    <phoneticPr fontId="1"/>
  </si>
  <si>
    <t>＊4度数構成は若い人向けのデザインが多いので、弱度数比率が高くなる</t>
    <rPh sb="2" eb="4">
      <t>ドスウ</t>
    </rPh>
    <rPh sb="4" eb="6">
      <t>コウセイ</t>
    </rPh>
    <rPh sb="7" eb="8">
      <t>ワカ</t>
    </rPh>
    <rPh sb="9" eb="10">
      <t>ヒト</t>
    </rPh>
    <rPh sb="10" eb="11">
      <t>ム</t>
    </rPh>
    <rPh sb="18" eb="19">
      <t>オオ</t>
    </rPh>
    <rPh sb="23" eb="26">
      <t>ジャクドスウ</t>
    </rPh>
    <rPh sb="26" eb="28">
      <t>ヒリツ</t>
    </rPh>
    <rPh sb="29" eb="30">
      <t>タカ</t>
    </rPh>
    <phoneticPr fontId="1"/>
  </si>
  <si>
    <t>↓下記、計算用データ素材</t>
    <rPh sb="1" eb="3">
      <t>カキ</t>
    </rPh>
    <rPh sb="4" eb="6">
      <t>ケイサン</t>
    </rPh>
    <rPh sb="6" eb="7">
      <t>ヨウ</t>
    </rPh>
    <rPh sb="10" eb="12">
      <t>ソザイ</t>
    </rPh>
    <phoneticPr fontId="1"/>
  </si>
  <si>
    <t>プロパー廃番予定</t>
    <rPh sb="4" eb="6">
      <t>ハイバン</t>
    </rPh>
    <rPh sb="6" eb="8">
      <t>ヨテイ</t>
    </rPh>
    <phoneticPr fontId="1"/>
  </si>
  <si>
    <t>2月一部入荷あり</t>
    <rPh sb="1" eb="2">
      <t>ガツ</t>
    </rPh>
    <rPh sb="2" eb="4">
      <t>イチブ</t>
    </rPh>
    <rPh sb="4" eb="6">
      <t>ニュウカ</t>
    </rPh>
    <phoneticPr fontId="1"/>
  </si>
  <si>
    <t>…3月までに入荷する数量（KEEP数）</t>
    <rPh sb="2" eb="3">
      <t>ガツ</t>
    </rPh>
    <rPh sb="6" eb="8">
      <t>ニュウカ</t>
    </rPh>
    <rPh sb="10" eb="12">
      <t>スウリョウ</t>
    </rPh>
    <rPh sb="17" eb="18">
      <t>スウ</t>
    </rPh>
    <phoneticPr fontId="1"/>
  </si>
  <si>
    <t>5月</t>
    <rPh sb="1" eb="2">
      <t>ガツ</t>
    </rPh>
    <phoneticPr fontId="1"/>
  </si>
  <si>
    <t>6月</t>
    <rPh sb="1" eb="2">
      <t>ガツ</t>
    </rPh>
    <phoneticPr fontId="1"/>
  </si>
  <si>
    <t>7月</t>
    <rPh sb="1" eb="2">
      <t>ガツ</t>
    </rPh>
    <phoneticPr fontId="1"/>
  </si>
  <si>
    <t>5
終売</t>
    <rPh sb="2" eb="4">
      <t>シュウバイ</t>
    </rPh>
    <phoneticPr fontId="1"/>
  </si>
  <si>
    <t>6
終売</t>
    <rPh sb="2" eb="4">
      <t>シュウバイ</t>
    </rPh>
    <phoneticPr fontId="1"/>
  </si>
  <si>
    <t>EC合計</t>
    <rPh sb="2" eb="4">
      <t>ゴウケイ</t>
    </rPh>
    <phoneticPr fontId="1"/>
  </si>
  <si>
    <t>↓</t>
    <phoneticPr fontId="1"/>
  </si>
  <si>
    <t>品番</t>
  </si>
  <si>
    <t>売上数</t>
  </si>
  <si>
    <t>純売上</t>
  </si>
  <si>
    <t>粗利額</t>
  </si>
  <si>
    <t>SI13PH</t>
  </si>
  <si>
    <t>FISI05</t>
  </si>
  <si>
    <t>SI01SA</t>
  </si>
  <si>
    <t>FIFLM001</t>
  </si>
  <si>
    <t>SI13</t>
  </si>
  <si>
    <t>SI14</t>
  </si>
  <si>
    <t>FLM006</t>
  </si>
  <si>
    <t>GG5099</t>
  </si>
  <si>
    <t>SI07</t>
  </si>
  <si>
    <t>FIFLM002</t>
  </si>
  <si>
    <t>FLH001PH</t>
  </si>
  <si>
    <t>SPC007</t>
  </si>
  <si>
    <t>BDR1003</t>
  </si>
  <si>
    <t>SI10</t>
  </si>
  <si>
    <t>SI08R</t>
  </si>
  <si>
    <t>FLL3000</t>
  </si>
  <si>
    <t>FIFLOWB</t>
  </si>
  <si>
    <t>TWIG2</t>
  </si>
  <si>
    <t>GG3087</t>
  </si>
  <si>
    <t>SI09</t>
  </si>
  <si>
    <t>FLL006</t>
  </si>
  <si>
    <t>HMR2</t>
  </si>
  <si>
    <t>SI08</t>
  </si>
  <si>
    <t>BDR3003</t>
  </si>
  <si>
    <t>PH5099</t>
  </si>
  <si>
    <t>SI03</t>
  </si>
  <si>
    <t>5336P</t>
  </si>
  <si>
    <t>RF003</t>
  </si>
  <si>
    <t>FI7058</t>
  </si>
  <si>
    <t>FLM005</t>
  </si>
  <si>
    <t>FLL3004</t>
  </si>
  <si>
    <t>FIFLC002</t>
  </si>
  <si>
    <t>FISI04</t>
  </si>
  <si>
    <t>FL1001</t>
  </si>
  <si>
    <t>MOR001</t>
  </si>
  <si>
    <t>SIF02</t>
  </si>
  <si>
    <t>MR3100U</t>
  </si>
  <si>
    <t>CMR02</t>
  </si>
  <si>
    <t>SPC008</t>
  </si>
  <si>
    <t>FI2002</t>
  </si>
  <si>
    <t>SI02SA</t>
  </si>
  <si>
    <t>FL1002</t>
  </si>
  <si>
    <t>HMR1</t>
  </si>
  <si>
    <t>BDR3001</t>
  </si>
  <si>
    <t>SI11</t>
  </si>
  <si>
    <t>FLR001</t>
  </si>
  <si>
    <t>SIF01</t>
  </si>
  <si>
    <t>FL2001</t>
  </si>
  <si>
    <t>FL1000</t>
  </si>
  <si>
    <t>SPC006</t>
  </si>
  <si>
    <t>FL2000</t>
  </si>
  <si>
    <t>SI12</t>
  </si>
  <si>
    <t>HY8061</t>
  </si>
  <si>
    <t>SI11PH</t>
  </si>
  <si>
    <t>GG5048</t>
  </si>
  <si>
    <t>GC001</t>
  </si>
  <si>
    <t>CLOTHMULGA</t>
  </si>
  <si>
    <t>TWIG1</t>
  </si>
  <si>
    <t>HY8042</t>
  </si>
  <si>
    <t>CMR01</t>
  </si>
  <si>
    <t>BDR1001</t>
  </si>
  <si>
    <t>FL2002</t>
  </si>
  <si>
    <t>FLL3003</t>
  </si>
  <si>
    <t>BDR3004</t>
  </si>
  <si>
    <t>FLM004</t>
  </si>
  <si>
    <t>MR3101U</t>
  </si>
  <si>
    <t>FL5021</t>
  </si>
  <si>
    <t>BDR3002</t>
  </si>
  <si>
    <t>FI5099</t>
  </si>
  <si>
    <t>FIFLC003</t>
  </si>
  <si>
    <t>KS3087</t>
  </si>
  <si>
    <t>KS5099</t>
  </si>
  <si>
    <t>B120</t>
  </si>
  <si>
    <t>FL5010</t>
  </si>
  <si>
    <t>FIFLOWA</t>
  </si>
  <si>
    <t>ND5099</t>
  </si>
  <si>
    <t>PH5606</t>
  </si>
  <si>
    <t>TWIG3</t>
  </si>
  <si>
    <t>BDR1002</t>
  </si>
  <si>
    <t>FL9003</t>
  </si>
  <si>
    <t>FLOWE</t>
  </si>
  <si>
    <t>FIELJ2003</t>
  </si>
  <si>
    <t>ISWS2L</t>
  </si>
  <si>
    <t>HY8113</t>
  </si>
  <si>
    <t>PH5011</t>
  </si>
  <si>
    <t>FIFLOWC</t>
  </si>
  <si>
    <t>FI5465A</t>
  </si>
  <si>
    <t>AFC20</t>
  </si>
  <si>
    <t>UK002</t>
  </si>
  <si>
    <t>ND3053</t>
  </si>
  <si>
    <t>GIFTA</t>
  </si>
  <si>
    <t>D17</t>
  </si>
  <si>
    <t>BDS125</t>
  </si>
  <si>
    <t>FIELS134</t>
  </si>
  <si>
    <t>FI7007</t>
  </si>
  <si>
    <t>HY80136</t>
  </si>
  <si>
    <t>VR3050</t>
  </si>
  <si>
    <t>B2704</t>
  </si>
  <si>
    <t>BDS138XS</t>
  </si>
  <si>
    <t>RF002</t>
  </si>
  <si>
    <t>KS5606</t>
  </si>
  <si>
    <t>EL20</t>
  </si>
  <si>
    <t>HKMS</t>
  </si>
  <si>
    <t>FITREE</t>
  </si>
  <si>
    <t>AF5099</t>
  </si>
  <si>
    <t>HY6219</t>
  </si>
  <si>
    <t>ISWN1</t>
  </si>
  <si>
    <t>FIELJ2002</t>
  </si>
  <si>
    <t>FI3087</t>
  </si>
  <si>
    <t>RF001</t>
  </si>
  <si>
    <t>GIFTB</t>
  </si>
  <si>
    <t>A141MULGA</t>
  </si>
  <si>
    <t>ISWN1A</t>
  </si>
  <si>
    <t>ISWN2A</t>
  </si>
  <si>
    <t>SLK102</t>
  </si>
  <si>
    <t>FI7006</t>
  </si>
  <si>
    <t>FI5336A</t>
  </si>
  <si>
    <t>D2</t>
  </si>
  <si>
    <t>STANDENPITSU</t>
  </si>
  <si>
    <t>FIELJ2001</t>
  </si>
  <si>
    <t>G50</t>
  </si>
  <si>
    <t>HY8100</t>
  </si>
  <si>
    <t>UK001</t>
  </si>
  <si>
    <t>P368</t>
  </si>
  <si>
    <t>D120</t>
  </si>
  <si>
    <t>FLOWD</t>
  </si>
  <si>
    <t>C32</t>
  </si>
  <si>
    <t>HY8101</t>
  </si>
  <si>
    <t>ASDS01</t>
  </si>
  <si>
    <t>B2311</t>
  </si>
  <si>
    <t>D120MULGA</t>
  </si>
  <si>
    <t>Z11D</t>
  </si>
  <si>
    <t>SYPR</t>
  </si>
  <si>
    <t>P367</t>
  </si>
  <si>
    <t>SLK101</t>
  </si>
  <si>
    <t>P3</t>
  </si>
  <si>
    <t>OHARI1</t>
  </si>
  <si>
    <t>SIFGC</t>
  </si>
  <si>
    <t>CLOTHO01</t>
  </si>
  <si>
    <t>OHARI2</t>
  </si>
  <si>
    <t>A62</t>
  </si>
  <si>
    <t>A701</t>
  </si>
  <si>
    <t>AF5010</t>
  </si>
  <si>
    <t>SY9001</t>
  </si>
  <si>
    <t>C52</t>
  </si>
  <si>
    <t>MITSUROSET</t>
  </si>
  <si>
    <t>P370PU</t>
  </si>
  <si>
    <t>SY9002</t>
  </si>
  <si>
    <t>P356</t>
  </si>
  <si>
    <t>GC2008</t>
  </si>
  <si>
    <t>FI5135</t>
  </si>
  <si>
    <t>MITSUROM</t>
  </si>
  <si>
    <t>Z13</t>
  </si>
  <si>
    <t>MITSUROS</t>
  </si>
  <si>
    <t>KCLOTH</t>
  </si>
  <si>
    <t>+0.50</t>
    <phoneticPr fontId="1"/>
  </si>
  <si>
    <t>0.5度数での割振平均</t>
    <rPh sb="3" eb="5">
      <t>ドスウ</t>
    </rPh>
    <rPh sb="7" eb="8">
      <t>ワ</t>
    </rPh>
    <rPh sb="8" eb="9">
      <t>フ</t>
    </rPh>
    <rPh sb="9" eb="11">
      <t>ヘイキン</t>
    </rPh>
    <phoneticPr fontId="1"/>
  </si>
  <si>
    <t>＊0.5度数構成は貴重な0.5が優先的な比率になる</t>
    <rPh sb="4" eb="6">
      <t>ドスウ</t>
    </rPh>
    <rPh sb="6" eb="8">
      <t>コウセイ</t>
    </rPh>
    <rPh sb="9" eb="11">
      <t>キチョウ</t>
    </rPh>
    <rPh sb="16" eb="18">
      <t>ユウセン</t>
    </rPh>
    <rPh sb="18" eb="19">
      <t>テキ</t>
    </rPh>
    <rPh sb="20" eb="22">
      <t>ヒリツ</t>
    </rPh>
    <phoneticPr fontId="1"/>
  </si>
  <si>
    <t>3度数での割振平均</t>
    <rPh sb="1" eb="3">
      <t>ドスウ</t>
    </rPh>
    <phoneticPr fontId="1"/>
  </si>
  <si>
    <t>si-08r</t>
    <phoneticPr fontId="1"/>
  </si>
  <si>
    <t>si-13</t>
    <phoneticPr fontId="1"/>
  </si>
  <si>
    <t>8(2)</t>
    <phoneticPr fontId="1"/>
  </si>
  <si>
    <t>10(2)</t>
    <phoneticPr fontId="1"/>
  </si>
  <si>
    <t>fll-3004</t>
    <phoneticPr fontId="1"/>
  </si>
  <si>
    <t>+2.50</t>
  </si>
  <si>
    <t>+2.00</t>
  </si>
  <si>
    <t>+1.50</t>
  </si>
  <si>
    <t>+1.00</t>
  </si>
  <si>
    <t>ph5099</t>
    <phoneticPr fontId="1"/>
  </si>
  <si>
    <t>2024年販売想定ベース</t>
    <rPh sb="4" eb="5">
      <t>ネン</t>
    </rPh>
    <rPh sb="5" eb="7">
      <t>ハンバイ</t>
    </rPh>
    <rPh sb="7" eb="9">
      <t>ソウテイ</t>
    </rPh>
    <phoneticPr fontId="1"/>
  </si>
  <si>
    <t>調整データ</t>
    <rPh sb="0" eb="2">
      <t>チョウセイ</t>
    </rPh>
    <phoneticPr fontId="1"/>
  </si>
  <si>
    <t>21(2)</t>
    <phoneticPr fontId="1"/>
  </si>
  <si>
    <t>bdr-1003</t>
  </si>
  <si>
    <t>bdr-1002</t>
  </si>
  <si>
    <t>2024年在庫確保品番</t>
    <rPh sb="4" eb="5">
      <t>ネン</t>
    </rPh>
    <rPh sb="5" eb="7">
      <t>ザイコ</t>
    </rPh>
    <rPh sb="7" eb="9">
      <t>カクホ</t>
    </rPh>
    <rPh sb="9" eb="11">
      <t>ヒンバン</t>
    </rPh>
    <phoneticPr fontId="1"/>
  </si>
  <si>
    <t>fisi-05</t>
  </si>
  <si>
    <t>si-07</t>
  </si>
  <si>
    <t>flm-001</t>
  </si>
  <si>
    <t>flc-002</t>
  </si>
  <si>
    <t>fll-006</t>
  </si>
  <si>
    <t>flm-006</t>
  </si>
  <si>
    <t>flm-002</t>
  </si>
  <si>
    <t>si-01sa</t>
  </si>
  <si>
    <t>si-10</t>
  </si>
  <si>
    <t>spc-007</t>
  </si>
  <si>
    <t>si-13（si-13PH）</t>
    <phoneticPr fontId="1"/>
  </si>
  <si>
    <t>si-09</t>
  </si>
  <si>
    <t>si-01sa（si-01sap）</t>
    <phoneticPr fontId="1"/>
  </si>
  <si>
    <t>gg5099</t>
  </si>
  <si>
    <t>fll-3004</t>
  </si>
  <si>
    <t>si-08r</t>
  </si>
  <si>
    <t>fll-3000</t>
  </si>
  <si>
    <t>flh-001ph</t>
  </si>
  <si>
    <t>si-03</t>
  </si>
  <si>
    <t>5135(5336P)</t>
  </si>
  <si>
    <t>gg3087</t>
  </si>
  <si>
    <t>ph5099</t>
  </si>
  <si>
    <t>spc-008</t>
  </si>
  <si>
    <t>si-08（si-08r）</t>
    <phoneticPr fontId="1"/>
  </si>
  <si>
    <t>選定除外品番</t>
    <rPh sb="0" eb="2">
      <t>センテイ</t>
    </rPh>
    <rPh sb="2" eb="4">
      <t>ジョガイ</t>
    </rPh>
    <rPh sb="4" eb="6">
      <t>ヒンバン</t>
    </rPh>
    <phoneticPr fontId="1"/>
  </si>
  <si>
    <t>選定追加品番</t>
    <rPh sb="0" eb="2">
      <t>センテイ</t>
    </rPh>
    <rPh sb="2" eb="4">
      <t>ツイカ</t>
    </rPh>
    <rPh sb="4" eb="6">
      <t>ヒンバン</t>
    </rPh>
    <phoneticPr fontId="1"/>
  </si>
  <si>
    <t>変更前（24年9月まで）</t>
    <rPh sb="0" eb="2">
      <t>ヘンコウ</t>
    </rPh>
    <rPh sb="2" eb="3">
      <t>マエ</t>
    </rPh>
    <rPh sb="6" eb="7">
      <t>ネン</t>
    </rPh>
    <rPh sb="8" eb="9">
      <t>ガツ</t>
    </rPh>
    <phoneticPr fontId="1"/>
  </si>
  <si>
    <t>変更後（24年10月以降）</t>
    <rPh sb="0" eb="3">
      <t>ヘンコウゴ</t>
    </rPh>
    <rPh sb="6" eb="7">
      <t>ネン</t>
    </rPh>
    <rPh sb="9" eb="10">
      <t>ガツ</t>
    </rPh>
    <rPh sb="10" eb="12">
      <t>イコウ</t>
    </rPh>
    <phoneticPr fontId="1"/>
  </si>
  <si>
    <t>入荷済み</t>
    <rPh sb="0" eb="2">
      <t>ニュウカ</t>
    </rPh>
    <rPh sb="2" eb="3">
      <t>ズ</t>
    </rPh>
    <phoneticPr fontId="1"/>
  </si>
  <si>
    <t>欠品</t>
    <rPh sb="0" eb="2">
      <t>ケッピン</t>
    </rPh>
    <phoneticPr fontId="1"/>
  </si>
  <si>
    <t>10/17~</t>
    <phoneticPr fontId="1"/>
  </si>
  <si>
    <t>10/28頃</t>
    <rPh sb="5" eb="6">
      <t>ゴロ</t>
    </rPh>
    <phoneticPr fontId="1"/>
  </si>
  <si>
    <t>仕様替え</t>
    <rPh sb="0" eb="3">
      <t>シヨウガ</t>
    </rPh>
    <phoneticPr fontId="1"/>
  </si>
  <si>
    <t>11月</t>
    <rPh sb="2" eb="3">
      <t>ガツ</t>
    </rPh>
    <phoneticPr fontId="1"/>
  </si>
  <si>
    <t>2月</t>
    <rPh sb="1" eb="2">
      <t>ガツ</t>
    </rPh>
    <phoneticPr fontId="1"/>
  </si>
  <si>
    <r>
      <t xml:space="preserve">プロパー廃番予定
COL.5,6　EC終売
COL.3,4　1,2欠品のタイミングで発注
</t>
    </r>
    <r>
      <rPr>
        <b/>
        <sz val="11"/>
        <rFont val="游ゴシック"/>
        <family val="3"/>
        <charset val="128"/>
        <scheme val="minor"/>
      </rPr>
      <t>Amazon以外：来期頃を目途にSI-01SAの商品ページをSI-01SAPの販売ページへ変更。SI-01SAは販売中止。
Amazon：SI-01SAの在庫はAmazonのみ売り続ける。SI-01SAとSI-01SAPの商品ページは変更なし。</t>
    </r>
    <r>
      <rPr>
        <b/>
        <sz val="11"/>
        <color rgb="FFFF0000"/>
        <rFont val="游ゴシック"/>
        <family val="3"/>
        <charset val="128"/>
        <scheme val="minor"/>
      </rPr>
      <t xml:space="preserve">
入荷：×
</t>
    </r>
    <r>
      <rPr>
        <b/>
        <sz val="11"/>
        <color theme="4"/>
        <rFont val="游ゴシック"/>
        <family val="3"/>
        <charset val="128"/>
        <scheme val="minor"/>
      </rPr>
      <t>1月後半のお買い物マラソン終了時、商品ページ変更予定</t>
    </r>
    <rPh sb="19" eb="21">
      <t>シュウバイ</t>
    </rPh>
    <rPh sb="33" eb="35">
      <t>ケッピン</t>
    </rPh>
    <rPh sb="42" eb="44">
      <t>ハッチュウ</t>
    </rPh>
    <rPh sb="53" eb="55">
      <t>イガイ</t>
    </rPh>
    <rPh sb="56" eb="58">
      <t>ライキ</t>
    </rPh>
    <rPh sb="58" eb="59">
      <t>ゴロ</t>
    </rPh>
    <rPh sb="60" eb="62">
      <t>メド</t>
    </rPh>
    <rPh sb="71" eb="73">
      <t>ショウヒン</t>
    </rPh>
    <rPh sb="86" eb="88">
      <t>ハンバイ</t>
    </rPh>
    <rPh sb="92" eb="94">
      <t>ヘンコウ</t>
    </rPh>
    <rPh sb="103" eb="105">
      <t>ハンバイ</t>
    </rPh>
    <rPh sb="105" eb="107">
      <t>チュウシ</t>
    </rPh>
    <rPh sb="125" eb="127">
      <t>ザイコ</t>
    </rPh>
    <rPh sb="136" eb="137">
      <t>ウ</t>
    </rPh>
    <rPh sb="138" eb="139">
      <t>ツヅ</t>
    </rPh>
    <rPh sb="159" eb="161">
      <t>ショウヒン</t>
    </rPh>
    <rPh sb="165" eb="167">
      <t>ヘンコウ</t>
    </rPh>
    <rPh sb="172" eb="174">
      <t>ニュウカ</t>
    </rPh>
    <rPh sb="179" eb="180">
      <t>ガツ</t>
    </rPh>
    <rPh sb="180" eb="182">
      <t>コウハン</t>
    </rPh>
    <rPh sb="184" eb="185">
      <t>カ</t>
    </rPh>
    <rPh sb="186" eb="187">
      <t>モノ</t>
    </rPh>
    <rPh sb="191" eb="193">
      <t>シュウリョウ</t>
    </rPh>
    <rPh sb="193" eb="194">
      <t>ジ</t>
    </rPh>
    <rPh sb="195" eb="197">
      <t>ショウヒン</t>
    </rPh>
    <rPh sb="200" eb="202">
      <t>ヘンコウ</t>
    </rPh>
    <rPh sb="202" eb="204">
      <t>ヨテイ</t>
    </rPh>
    <phoneticPr fontId="1"/>
  </si>
  <si>
    <t>3月</t>
    <rPh sb="1" eb="2">
      <t>ガツ</t>
    </rPh>
    <phoneticPr fontId="1"/>
  </si>
  <si>
    <t>プライムデー</t>
    <phoneticPr fontId="1"/>
  </si>
  <si>
    <t>プライム感謝祭</t>
    <rPh sb="4" eb="7">
      <t>カンシャサイ</t>
    </rPh>
    <phoneticPr fontId="1"/>
  </si>
  <si>
    <t>ブラックフライデー</t>
    <phoneticPr fontId="1"/>
  </si>
  <si>
    <t>2025年7月　確保数改修</t>
    <rPh sb="4" eb="5">
      <t>ネン</t>
    </rPh>
    <rPh sb="6" eb="7">
      <t>ガツ</t>
    </rPh>
    <rPh sb="8" eb="10">
      <t>カクホ</t>
    </rPh>
    <rPh sb="10" eb="11">
      <t>スウ</t>
    </rPh>
    <rPh sb="11" eb="13">
      <t>カイシュウ</t>
    </rPh>
    <phoneticPr fontId="1"/>
  </si>
  <si>
    <t>5135(5336p)</t>
    <phoneticPr fontId="1"/>
  </si>
  <si>
    <t>改修前</t>
    <rPh sb="0" eb="2">
      <t>カイシュウ</t>
    </rPh>
    <rPh sb="2" eb="3">
      <t>マエ</t>
    </rPh>
    <phoneticPr fontId="1"/>
  </si>
  <si>
    <t>改修後</t>
    <rPh sb="0" eb="3">
      <t>カイシュウゴ</t>
    </rPh>
    <phoneticPr fontId="1"/>
  </si>
  <si>
    <t>amazon販売増に伴い、伸び率を前期130%に再調整</t>
    <rPh sb="6" eb="8">
      <t>ハンバイ</t>
    </rPh>
    <rPh sb="8" eb="9">
      <t>ゾウ</t>
    </rPh>
    <rPh sb="10" eb="11">
      <t>トモナ</t>
    </rPh>
    <rPh sb="13" eb="14">
      <t>ノ</t>
    </rPh>
    <rPh sb="15" eb="16">
      <t>リツ</t>
    </rPh>
    <rPh sb="17" eb="19">
      <t>ゼンキ</t>
    </rPh>
    <rPh sb="24" eb="27">
      <t>サイチョウセイ</t>
    </rPh>
    <phoneticPr fontId="1"/>
  </si>
  <si>
    <t>amazon販売増に伴い、伸び率を前期120%に再調整</t>
    <rPh sb="6" eb="8">
      <t>ハンバイ</t>
    </rPh>
    <rPh sb="8" eb="9">
      <t>ゾウ</t>
    </rPh>
    <rPh sb="10" eb="11">
      <t>トモナ</t>
    </rPh>
    <rPh sb="13" eb="14">
      <t>ノ</t>
    </rPh>
    <rPh sb="15" eb="16">
      <t>リツ</t>
    </rPh>
    <rPh sb="17" eb="19">
      <t>ゼンキ</t>
    </rPh>
    <rPh sb="24" eb="27">
      <t>サイチョウセイ</t>
    </rPh>
    <phoneticPr fontId="1"/>
  </si>
  <si>
    <t>在庫切れ無し（転換率を昨年平均）で計算した場合、伸び率を前期120%が見込めるため再調整</t>
    <rPh sb="0" eb="3">
      <t>ザイコキ</t>
    </rPh>
    <rPh sb="4" eb="5">
      <t>ナ</t>
    </rPh>
    <rPh sb="7" eb="10">
      <t>テンカンリツ</t>
    </rPh>
    <rPh sb="11" eb="13">
      <t>サクネン</t>
    </rPh>
    <rPh sb="13" eb="15">
      <t>ヘイキン</t>
    </rPh>
    <rPh sb="17" eb="19">
      <t>ケイサン</t>
    </rPh>
    <rPh sb="21" eb="23">
      <t>バアイ</t>
    </rPh>
    <rPh sb="35" eb="37">
      <t>ミコ</t>
    </rPh>
    <phoneticPr fontId="1"/>
  </si>
  <si>
    <t>今期販売の伸びがUP。今期の視覚化データの想定に合わせ再調整</t>
    <rPh sb="0" eb="2">
      <t>コンキ</t>
    </rPh>
    <rPh sb="2" eb="4">
      <t>ハンバイ</t>
    </rPh>
    <rPh sb="5" eb="6">
      <t>ノ</t>
    </rPh>
    <rPh sb="11" eb="13">
      <t>コンキ</t>
    </rPh>
    <rPh sb="14" eb="17">
      <t>シカクカ</t>
    </rPh>
    <rPh sb="21" eb="23">
      <t>ソウテイ</t>
    </rPh>
    <rPh sb="24" eb="25">
      <t>ア</t>
    </rPh>
    <rPh sb="27" eb="30">
      <t>サイチョウセイ</t>
    </rPh>
    <phoneticPr fontId="1"/>
  </si>
  <si>
    <t>内容</t>
    <rPh sb="0" eb="2">
      <t>ナイヨウ</t>
    </rPh>
    <phoneticPr fontId="1"/>
  </si>
  <si>
    <t>品番</t>
    <rPh sb="0" eb="2">
      <t>ヒンバン</t>
    </rPh>
    <phoneticPr fontId="1"/>
  </si>
  <si>
    <t>4度数高年齢割振平均</t>
    <rPh sb="1" eb="3">
      <t>ドスウ</t>
    </rPh>
    <rPh sb="3" eb="6">
      <t>コウネンレイ</t>
    </rPh>
    <phoneticPr fontId="1"/>
  </si>
  <si>
    <t>※FL-3001(紳士ツーポ）の初回発注想定【販売後実績を検証要】</t>
    <rPh sb="9" eb="11">
      <t>シンシ</t>
    </rPh>
    <rPh sb="16" eb="18">
      <t>ショカイ</t>
    </rPh>
    <rPh sb="18" eb="20">
      <t>ハッチュウ</t>
    </rPh>
    <rPh sb="20" eb="22">
      <t>ソウテイ</t>
    </rPh>
    <rPh sb="23" eb="26">
      <t>ハンバイゴ</t>
    </rPh>
    <rPh sb="26" eb="28">
      <t>ジッセキ</t>
    </rPh>
    <rPh sb="29" eb="31">
      <t>ケンショウ</t>
    </rPh>
    <rPh sb="31" eb="32">
      <t>ヨウ</t>
    </rPh>
    <phoneticPr fontId="1"/>
  </si>
  <si>
    <t>納期変更分</t>
    <rPh sb="0" eb="2">
      <t>ノウキ</t>
    </rPh>
    <rPh sb="2" eb="4">
      <t>ヘンコウ</t>
    </rPh>
    <rPh sb="4" eb="5">
      <t>ブン</t>
    </rPh>
    <phoneticPr fontId="1"/>
  </si>
  <si>
    <t xml:space="preserve">入荷：なし
</t>
    <rPh sb="0" eb="2">
      <t>ニュウカ</t>
    </rPh>
    <phoneticPr fontId="1"/>
  </si>
  <si>
    <t>11月</t>
    <rPh sb="2" eb="3">
      <t>ガツ</t>
    </rPh>
    <phoneticPr fontId="1"/>
  </si>
  <si>
    <t>スーパーセール</t>
    <phoneticPr fontId="1"/>
  </si>
  <si>
    <t>2024年</t>
    <rPh sb="4" eb="5">
      <t>ネン</t>
    </rPh>
    <phoneticPr fontId="1"/>
  </si>
  <si>
    <t>2025年12月変更分</t>
    <rPh sb="4" eb="5">
      <t>ネン</t>
    </rPh>
    <rPh sb="7" eb="8">
      <t>ガツ</t>
    </rPh>
    <rPh sb="8" eb="10">
      <t>ヘンコウ</t>
    </rPh>
    <rPh sb="10" eb="11">
      <t>ブン</t>
    </rPh>
    <phoneticPr fontId="1"/>
  </si>
  <si>
    <t>補充完了日</t>
    <rPh sb="0" eb="2">
      <t>ホジュウ</t>
    </rPh>
    <rPh sb="2" eb="5">
      <t>カンリョウビ</t>
    </rPh>
    <phoneticPr fontId="1"/>
  </si>
  <si>
    <t>2025・2026年</t>
    <rPh sb="9" eb="10">
      <t>ネン</t>
    </rPh>
    <phoneticPr fontId="1"/>
  </si>
  <si>
    <t xml:space="preserve">入荷：7月 400枚
</t>
    <rPh sb="0" eb="2">
      <t>ニュウカ</t>
    </rPh>
    <rPh sb="4" eb="5">
      <t>ガツ</t>
    </rPh>
    <rPh sb="9" eb="10">
      <t>マイ</t>
    </rPh>
    <phoneticPr fontId="1"/>
  </si>
  <si>
    <r>
      <t xml:space="preserve">SI-08と合わせて
発注検討
</t>
    </r>
    <r>
      <rPr>
        <b/>
        <sz val="11"/>
        <color rgb="FFFF0000"/>
        <rFont val="游ゴシック"/>
        <family val="3"/>
        <charset val="128"/>
        <scheme val="minor"/>
      </rPr>
      <t xml:space="preserve">入荷：7月 320枚
</t>
    </r>
    <rPh sb="6" eb="7">
      <t>ア</t>
    </rPh>
    <rPh sb="11" eb="13">
      <t>ハッチュウ</t>
    </rPh>
    <rPh sb="13" eb="15">
      <t>ケントウ</t>
    </rPh>
    <rPh sb="17" eb="19">
      <t>ニュウカ</t>
    </rPh>
    <rPh sb="21" eb="22">
      <t>ガツ</t>
    </rPh>
    <rPh sb="26" eb="27">
      <t>マイ</t>
    </rPh>
    <phoneticPr fontId="1"/>
  </si>
  <si>
    <t>入荷：7月 400枚</t>
    <rPh sb="0" eb="2">
      <t>ニュウカ</t>
    </rPh>
    <rPh sb="4" eb="5">
      <t>ガツ</t>
    </rPh>
    <rPh sb="9" eb="10">
      <t>マイ</t>
    </rPh>
    <phoneticPr fontId="1"/>
  </si>
  <si>
    <t>EC専売
入荷：7月 900枚</t>
    <rPh sb="2" eb="4">
      <t>センバイ</t>
    </rPh>
    <rPh sb="6" eb="8">
      <t>ニュウカ</t>
    </rPh>
    <rPh sb="10" eb="11">
      <t>ガツ</t>
    </rPh>
    <rPh sb="15" eb="16">
      <t>マイ</t>
    </rPh>
    <phoneticPr fontId="1"/>
  </si>
  <si>
    <t>プロパー廃番予定
入荷：6月 300枚
　　　8月 300枚
　　　10月 320枚
　　　12月 280枚</t>
    <rPh sb="4" eb="6">
      <t>ハイバン</t>
    </rPh>
    <rPh sb="6" eb="8">
      <t>ヨテイ</t>
    </rPh>
    <rPh sb="10" eb="12">
      <t>ニュウカ</t>
    </rPh>
    <phoneticPr fontId="1"/>
  </si>
  <si>
    <t xml:space="preserve">Col.3 終売
入荷：10月 320枚
　　　12月 280枚
</t>
    <rPh sb="6" eb="8">
      <t>シュウバイ</t>
    </rPh>
    <rPh sb="10" eb="12">
      <t>ニュウカ</t>
    </rPh>
    <phoneticPr fontId="1"/>
  </si>
  <si>
    <t xml:space="preserve">EC分のみ発注
入荷：5月 600枚
　　　7月 305枚
　　　10月 305枚
</t>
    <rPh sb="2" eb="3">
      <t>ブン</t>
    </rPh>
    <rPh sb="5" eb="7">
      <t>ハッチュウ</t>
    </rPh>
    <rPh sb="9" eb="11">
      <t>ニュウカ</t>
    </rPh>
    <rPh sb="13" eb="14">
      <t>ガツ</t>
    </rPh>
    <rPh sb="18" eb="19">
      <t>マイ</t>
    </rPh>
    <rPh sb="36" eb="37">
      <t>ガツ</t>
    </rPh>
    <rPh sb="41" eb="42">
      <t>マイ</t>
    </rPh>
    <phoneticPr fontId="1"/>
  </si>
  <si>
    <t xml:space="preserve">入荷：6月 250枚
　　　7月 155枚
　　　8月 360枚
　　　10月 150枚
</t>
    <rPh sb="0" eb="2">
      <t>ニュウカ</t>
    </rPh>
    <rPh sb="4" eb="5">
      <t>ガツ</t>
    </rPh>
    <rPh sb="9" eb="10">
      <t>マイ</t>
    </rPh>
    <rPh sb="15" eb="16">
      <t>ガツ</t>
    </rPh>
    <rPh sb="20" eb="21">
      <t>マイ</t>
    </rPh>
    <rPh sb="38" eb="39">
      <t>ガツ</t>
    </rPh>
    <rPh sb="43" eb="44">
      <t>マイ</t>
    </rPh>
    <phoneticPr fontId="1"/>
  </si>
  <si>
    <t>返品数</t>
  </si>
  <si>
    <t>売上金額</t>
  </si>
  <si>
    <t>返品額</t>
  </si>
  <si>
    <t>原価金額</t>
  </si>
  <si>
    <t>SI07A</t>
  </si>
  <si>
    <t>SIP01</t>
  </si>
  <si>
    <t>FLK001</t>
  </si>
  <si>
    <t>SPC009</t>
  </si>
  <si>
    <t>SI16</t>
  </si>
  <si>
    <t>HMR5</t>
  </si>
  <si>
    <t>FLW001</t>
  </si>
  <si>
    <t>FL3000</t>
  </si>
  <si>
    <t>MJS901</t>
  </si>
  <si>
    <t>BSC001</t>
  </si>
  <si>
    <t>FL3001</t>
  </si>
  <si>
    <t>FLW002</t>
  </si>
  <si>
    <t>HINOKI01</t>
  </si>
  <si>
    <t>KIBIM</t>
  </si>
  <si>
    <t>SIW01</t>
  </si>
  <si>
    <t>SI12R</t>
  </si>
  <si>
    <t>KIBIS</t>
  </si>
  <si>
    <t>SI11R</t>
  </si>
  <si>
    <t>KMBPC1</t>
  </si>
  <si>
    <t>LDW50</t>
  </si>
  <si>
    <t>CLT01L</t>
  </si>
  <si>
    <t>PH5012</t>
  </si>
  <si>
    <t>CCC01</t>
  </si>
  <si>
    <t>KMBPD12</t>
  </si>
  <si>
    <t>WAKAN1</t>
  </si>
  <si>
    <t>GG5010</t>
  </si>
  <si>
    <t>CLT01M</t>
  </si>
  <si>
    <t>WPP3</t>
  </si>
  <si>
    <t>KMBPC2</t>
  </si>
  <si>
    <t>GG5003</t>
  </si>
  <si>
    <t>WPP2</t>
  </si>
  <si>
    <t>OBSTN</t>
  </si>
  <si>
    <t>TOFU1B</t>
  </si>
  <si>
    <t>WPP1</t>
  </si>
  <si>
    <t>ISWS1M</t>
  </si>
  <si>
    <t>WAKANBATHGIFT</t>
  </si>
  <si>
    <t>TOFU2B</t>
  </si>
  <si>
    <t>MEH20</t>
  </si>
  <si>
    <t>FLL4000</t>
  </si>
  <si>
    <t>TOFU4B</t>
  </si>
  <si>
    <t>F501EC</t>
  </si>
  <si>
    <t>MEH10</t>
  </si>
  <si>
    <t>COB08</t>
  </si>
  <si>
    <t>BDS115</t>
  </si>
  <si>
    <t>ISWS2M</t>
  </si>
  <si>
    <t>GG3010</t>
  </si>
  <si>
    <t>PENDORA</t>
  </si>
  <si>
    <t>KCASE</t>
  </si>
  <si>
    <t>GC2004</t>
  </si>
  <si>
    <t>5099SET</t>
  </si>
  <si>
    <t>CLOTHMULGAL</t>
  </si>
  <si>
    <t>3125SET</t>
  </si>
  <si>
    <t>GG3008</t>
  </si>
  <si>
    <t>PFS103</t>
  </si>
  <si>
    <t>ISWN2</t>
  </si>
  <si>
    <t>B2823</t>
  </si>
  <si>
    <t>5465ASET</t>
  </si>
  <si>
    <t>BDS138M</t>
  </si>
  <si>
    <t>TOFU5B</t>
  </si>
  <si>
    <t>3135SET</t>
  </si>
  <si>
    <t>MITSUROL</t>
  </si>
  <si>
    <t>FITL001</t>
  </si>
  <si>
    <t>FITL002</t>
  </si>
  <si>
    <t>PFS104</t>
  </si>
  <si>
    <t>3134SET</t>
  </si>
  <si>
    <t>5584SET</t>
  </si>
  <si>
    <t>BDS120</t>
  </si>
  <si>
    <t>5013SET</t>
  </si>
  <si>
    <t>5043SET</t>
  </si>
  <si>
    <t>SY9003</t>
  </si>
  <si>
    <t>PFS101</t>
  </si>
  <si>
    <t>PFS102</t>
  </si>
  <si>
    <t>POLLINL</t>
  </si>
  <si>
    <t>W7058</t>
  </si>
  <si>
    <t>POLLINM</t>
  </si>
  <si>
    <t>POLLINS</t>
  </si>
  <si>
    <t>5003SET</t>
  </si>
  <si>
    <t>5015SET</t>
  </si>
  <si>
    <t>5155SET</t>
  </si>
  <si>
    <t>5655SET</t>
  </si>
  <si>
    <t>5665SET</t>
  </si>
  <si>
    <t>FLP008</t>
  </si>
  <si>
    <t>FI5097</t>
  </si>
  <si>
    <t>年間合計予想</t>
    <rPh sb="0" eb="2">
      <t>ネンカン</t>
    </rPh>
    <rPh sb="2" eb="4">
      <t>ゴウケイ</t>
    </rPh>
    <rPh sb="4" eb="6">
      <t>ヨソウ</t>
    </rPh>
    <phoneticPr fontId="1"/>
  </si>
  <si>
    <t>si-13</t>
  </si>
  <si>
    <t>si-14</t>
  </si>
  <si>
    <t>si-13ph</t>
  </si>
  <si>
    <t>si-11</t>
  </si>
  <si>
    <t>5135 (5336p)</t>
  </si>
  <si>
    <t>fl-3000</t>
  </si>
  <si>
    <t>flk-001</t>
  </si>
  <si>
    <t>gc001</t>
  </si>
  <si>
    <t>spc-009</t>
  </si>
  <si>
    <t>spc-006</t>
  </si>
  <si>
    <t>si-12</t>
  </si>
  <si>
    <t>gg5099(既成近眼）</t>
  </si>
  <si>
    <t>flow-b(スタンド）</t>
  </si>
  <si>
    <t>flw-001-002</t>
  </si>
  <si>
    <t>si-12r</t>
  </si>
  <si>
    <t>全モール月合計</t>
    <rPh sb="0" eb="1">
      <t>ゼン</t>
    </rPh>
    <rPh sb="4" eb="5">
      <t>ツキ</t>
    </rPh>
    <rPh sb="5" eb="7">
      <t>ゴウケイ</t>
    </rPh>
    <phoneticPr fontId="1"/>
  </si>
  <si>
    <t>月数</t>
    <rPh sb="0" eb="2">
      <t>ゲッスウ</t>
    </rPh>
    <phoneticPr fontId="2"/>
  </si>
  <si>
    <t>月商</t>
    <rPh sb="0" eb="2">
      <t>ゲッショウ</t>
    </rPh>
    <phoneticPr fontId="2"/>
  </si>
  <si>
    <t>年数</t>
    <rPh sb="0" eb="2">
      <t>ネンスウ</t>
    </rPh>
    <phoneticPr fontId="2"/>
  </si>
  <si>
    <t>年商</t>
    <rPh sb="0" eb="2">
      <t>ネンショウ</t>
    </rPh>
    <phoneticPr fontId="2"/>
  </si>
  <si>
    <t>売上実績　26.01-05</t>
    <rPh sb="0" eb="2">
      <t>ウリアゲ</t>
    </rPh>
    <rPh sb="2" eb="4">
      <t>ジッセキ</t>
    </rPh>
    <phoneticPr fontId="1"/>
  </si>
  <si>
    <t>販売試算表　売上予測</t>
    <rPh sb="0" eb="2">
      <t>ハンバイ</t>
    </rPh>
    <rPh sb="2" eb="5">
      <t>シサンヒョウ</t>
    </rPh>
    <rPh sb="6" eb="8">
      <t>ウリアゲ</t>
    </rPh>
    <rPh sb="8" eb="10">
      <t>ヨソク</t>
    </rPh>
    <phoneticPr fontId="1"/>
  </si>
  <si>
    <t>2026年</t>
    <rPh sb="4" eb="5">
      <t>ネン</t>
    </rPh>
    <phoneticPr fontId="1"/>
  </si>
  <si>
    <t>実績集計後、販売試算表に品番追加するか検討</t>
    <rPh sb="0" eb="2">
      <t>ジッセキ</t>
    </rPh>
    <rPh sb="2" eb="4">
      <t>シュウケイ</t>
    </rPh>
    <rPh sb="4" eb="5">
      <t>ゴ</t>
    </rPh>
    <rPh sb="6" eb="8">
      <t>ハンバイ</t>
    </rPh>
    <rPh sb="8" eb="11">
      <t>シサンヒョウ</t>
    </rPh>
    <rPh sb="12" eb="14">
      <t>ヒンバン</t>
    </rPh>
    <rPh sb="14" eb="16">
      <t>ツイカ</t>
    </rPh>
    <rPh sb="19" eb="21">
      <t>ケントウ</t>
    </rPh>
    <phoneticPr fontId="1"/>
  </si>
  <si>
    <t>販売試算表への記載確定品番</t>
    <rPh sb="0" eb="5">
      <t>ハンバイシサンヒョウ</t>
    </rPh>
    <rPh sb="7" eb="9">
      <t>キサイ</t>
    </rPh>
    <rPh sb="9" eb="11">
      <t>カクテイ</t>
    </rPh>
    <rPh sb="11" eb="13">
      <t>ヒンバン</t>
    </rPh>
    <phoneticPr fontId="1"/>
  </si>
  <si>
    <r>
      <t>fisi-05　</t>
    </r>
    <r>
      <rPr>
        <b/>
        <sz val="11"/>
        <color rgb="FFFF0000"/>
        <rFont val="游ゴシック"/>
        <family val="3"/>
        <charset val="128"/>
        <scheme val="minor"/>
      </rPr>
      <t>＊欲しい月の2カ月前入荷想定で考える</t>
    </r>
    <rPh sb="9" eb="10">
      <t>ホ</t>
    </rPh>
    <rPh sb="12" eb="13">
      <t>ツキ</t>
    </rPh>
    <rPh sb="16" eb="20">
      <t>ゲツマエニュウカ</t>
    </rPh>
    <rPh sb="20" eb="22">
      <t>ソウテイ</t>
    </rPh>
    <rPh sb="23" eb="24">
      <t>カンガ</t>
    </rPh>
    <phoneticPr fontId="1"/>
  </si>
  <si>
    <t xml:space="preserve">入荷：7月 289枚
　　　11月 610枚
</t>
    <rPh sb="0" eb="2">
      <t>ニュウカ</t>
    </rPh>
    <rPh sb="16" eb="17">
      <t>ガツ</t>
    </rPh>
    <rPh sb="21" eb="22">
      <t>マイ</t>
    </rPh>
    <phoneticPr fontId="1"/>
  </si>
  <si>
    <t>入荷：7月 370枚
発注：12月 300枚
　　　(優先順位低め）</t>
    <rPh sb="0" eb="2">
      <t>ニュウカ</t>
    </rPh>
    <rPh sb="11" eb="13">
      <t>ハッチュウ</t>
    </rPh>
    <rPh sb="16" eb="17">
      <t>ガツ</t>
    </rPh>
    <rPh sb="21" eb="22">
      <t>マイ</t>
    </rPh>
    <rPh sb="27" eb="31">
      <t>ユウセンジュンイ</t>
    </rPh>
    <rPh sb="31" eb="32">
      <t>ヒク</t>
    </rPh>
    <phoneticPr fontId="1"/>
  </si>
  <si>
    <t xml:space="preserve">入荷：6月 300枚
　　　10月 300枚
</t>
    <rPh sb="0" eb="2">
      <t>ニュウカ</t>
    </rPh>
    <rPh sb="4" eb="5">
      <t>ガツ</t>
    </rPh>
    <rPh sb="9" eb="10">
      <t>マイ</t>
    </rPh>
    <rPh sb="16" eb="17">
      <t>ガツ</t>
    </rPh>
    <rPh sb="21" eb="22">
      <t>マイ</t>
    </rPh>
    <phoneticPr fontId="1"/>
  </si>
  <si>
    <t>入荷：7月 239枚
　　　8月 315枚
　　　10月 355枚（9月希望）</t>
    <rPh sb="0" eb="2">
      <t>ニュウカ</t>
    </rPh>
    <rPh sb="4" eb="5">
      <t>ガツ</t>
    </rPh>
    <rPh sb="9" eb="10">
      <t>マイ</t>
    </rPh>
    <rPh sb="35" eb="38">
      <t>ガツキボウ</t>
    </rPh>
    <phoneticPr fontId="1"/>
  </si>
  <si>
    <t xml:space="preserve">入荷：9月 300枚（8月希望）
　　　10月 300枚
</t>
    <rPh sb="0" eb="2">
      <t>ニュウカ</t>
    </rPh>
    <rPh sb="4" eb="5">
      <t>ガツ</t>
    </rPh>
    <rPh sb="9" eb="10">
      <t>マイ</t>
    </rPh>
    <rPh sb="12" eb="15">
      <t>ガツキボウ</t>
    </rPh>
    <phoneticPr fontId="1"/>
  </si>
  <si>
    <t xml:space="preserve">入荷：なし（終売）
</t>
    <rPh sb="0" eb="2">
      <t>ニュウカ</t>
    </rPh>
    <rPh sb="6" eb="8">
      <t>シュウバイ</t>
    </rPh>
    <phoneticPr fontId="1"/>
  </si>
  <si>
    <t>入荷：なし（終売）</t>
    <rPh sb="0" eb="1">
      <t>ニ</t>
    </rPh>
    <phoneticPr fontId="1"/>
  </si>
  <si>
    <t>＊FL-3000の在庫も確認する！（次回発注あるかどうか：振り分け表にて）</t>
    <rPh sb="9" eb="11">
      <t>ザイコ</t>
    </rPh>
    <rPh sb="12" eb="14">
      <t>カクニン</t>
    </rPh>
    <rPh sb="18" eb="22">
      <t>ジカイハッチュウ</t>
    </rPh>
    <rPh sb="29" eb="30">
      <t>フ</t>
    </rPh>
    <rPh sb="31" eb="32">
      <t>ワ</t>
    </rPh>
    <rPh sb="33" eb="34">
      <t>ヒョウ</t>
    </rPh>
    <phoneticPr fontId="1"/>
  </si>
  <si>
    <t>flm-002（EC専売）</t>
    <rPh sb="10" eb="12">
      <t>センバイ</t>
    </rPh>
    <phoneticPr fontId="1"/>
  </si>
  <si>
    <t>si-13PH（EC専売）</t>
    <rPh sb="10" eb="12">
      <t>センバイ</t>
    </rPh>
    <phoneticPr fontId="1"/>
  </si>
  <si>
    <t>si-01sap（EC専売）</t>
    <rPh sb="11" eb="13">
      <t>センバイ</t>
    </rPh>
    <phoneticPr fontId="1"/>
  </si>
  <si>
    <t>si-07（EC専売）</t>
    <rPh sb="8" eb="10">
      <t>センバイ</t>
    </rPh>
    <phoneticPr fontId="1"/>
  </si>
  <si>
    <t>gg5099（EC専売）</t>
    <rPh sb="9" eb="11">
      <t>センバイ</t>
    </rPh>
    <phoneticPr fontId="1"/>
  </si>
  <si>
    <t>fll-3000（EC専売）</t>
    <rPh sb="11" eb="13">
      <t>センバイ</t>
    </rPh>
    <phoneticPr fontId="1"/>
  </si>
  <si>
    <t>flh-001ph（JG）（EC専売）</t>
    <rPh sb="16" eb="18">
      <t>センバイ</t>
    </rPh>
    <phoneticPr fontId="1"/>
  </si>
  <si>
    <t>bdr-1002（EC専売・国内管理商品）</t>
    <rPh sb="11" eb="13">
      <t>センバイ</t>
    </rPh>
    <rPh sb="14" eb="20">
      <t>コクナイカンリショウヒン</t>
    </rPh>
    <phoneticPr fontId="1"/>
  </si>
  <si>
    <t>bdr-1003（EC専売・国内管理商品）</t>
    <phoneticPr fontId="1"/>
  </si>
  <si>
    <t>5135(5336P)（EC専売）</t>
    <rPh sb="14" eb="16">
      <t>センバイ</t>
    </rPh>
    <phoneticPr fontId="1"/>
  </si>
  <si>
    <t>si-08（EC専売）</t>
    <rPh sb="8" eb="10">
      <t>センバイ</t>
    </rPh>
    <phoneticPr fontId="1"/>
  </si>
  <si>
    <t>si-08r（EC専売）</t>
    <phoneticPr fontId="1"/>
  </si>
  <si>
    <t>7月確認月</t>
    <rPh sb="1" eb="2">
      <t>ガツ</t>
    </rPh>
    <rPh sb="2" eb="4">
      <t>カクニン</t>
    </rPh>
    <rPh sb="4" eb="5">
      <t>ツキ</t>
    </rPh>
    <phoneticPr fontId="1"/>
  </si>
  <si>
    <t>FL-3000</t>
    <phoneticPr fontId="1"/>
  </si>
  <si>
    <t>入荷： 7月 500枚
　　　10月 500枚</t>
    <rPh sb="0" eb="2">
      <t>ニュウカ</t>
    </rPh>
    <phoneticPr fontId="1"/>
  </si>
  <si>
    <t>3
(廃番)</t>
    <rPh sb="3" eb="5">
      <t>ハイバン</t>
    </rPh>
    <phoneticPr fontId="1"/>
  </si>
  <si>
    <t>入荷： 7月 1210枚
　　　8月 600枚
　　11月 600枚</t>
    <rPh sb="0" eb="2">
      <t>ニュウカ</t>
    </rPh>
    <rPh sb="28" eb="29">
      <t>ガツ</t>
    </rPh>
    <rPh sb="33" eb="34">
      <t>マイ</t>
    </rPh>
    <phoneticPr fontId="1"/>
  </si>
  <si>
    <t>入荷：6月 570枚
　　　7月 570枚
　　●10月 330枚
　　　（9月希望）
　　　12月 330枚
　　12月② 300枚</t>
    <rPh sb="0" eb="2">
      <t>ニュウカ</t>
    </rPh>
    <rPh sb="4" eb="5">
      <t>ガツ</t>
    </rPh>
    <rPh sb="9" eb="10">
      <t>マイ</t>
    </rPh>
    <rPh sb="15" eb="16">
      <t>ガツ</t>
    </rPh>
    <rPh sb="20" eb="21">
      <t>マイ</t>
    </rPh>
    <rPh sb="39" eb="40">
      <t>ガツ</t>
    </rPh>
    <rPh sb="40" eb="42">
      <t>キボウ</t>
    </rPh>
    <rPh sb="60" eb="61">
      <t>ガツ</t>
    </rPh>
    <rPh sb="66" eb="67">
      <t>マイ</t>
    </rPh>
    <phoneticPr fontId="1"/>
  </si>
  <si>
    <t>入荷：5月 570枚
　　　7月 310枚
　　　10月 310枚
　　11月 300枚</t>
    <rPh sb="0" eb="2">
      <t>ニュウカ</t>
    </rPh>
    <rPh sb="4" eb="5">
      <t>ガツ</t>
    </rPh>
    <rPh sb="9" eb="10">
      <t>マイ</t>
    </rPh>
    <rPh sb="38" eb="39">
      <t>ガツ</t>
    </rPh>
    <rPh sb="43" eb="44">
      <t>マイ</t>
    </rPh>
    <phoneticPr fontId="1"/>
  </si>
  <si>
    <r>
      <t>入荷：5月 568枚
　　　8月 330枚
　　　10月 280枚
　　11月 300枚
　　　</t>
    </r>
    <r>
      <rPr>
        <b/>
        <sz val="11"/>
        <color theme="4"/>
        <rFont val="游ゴシック"/>
        <family val="3"/>
        <charset val="128"/>
        <scheme val="minor"/>
      </rPr>
      <t>11月 900枚（累進)</t>
    </r>
    <r>
      <rPr>
        <b/>
        <sz val="11"/>
        <color rgb="FFFF0000"/>
        <rFont val="游ゴシック"/>
        <family val="3"/>
        <charset val="128"/>
        <scheme val="minor"/>
      </rPr>
      <t xml:space="preserve">
　　　12月 300枚</t>
    </r>
    <rPh sb="0" eb="2">
      <t>ニュウカ</t>
    </rPh>
    <rPh sb="27" eb="28">
      <t>ガツ</t>
    </rPh>
    <rPh sb="32" eb="33">
      <t>マイ</t>
    </rPh>
    <rPh sb="38" eb="39">
      <t>ガツ</t>
    </rPh>
    <rPh sb="43" eb="44">
      <t>マイ</t>
    </rPh>
    <rPh sb="50" eb="51">
      <t>ガツ</t>
    </rPh>
    <rPh sb="55" eb="56">
      <t>マイ</t>
    </rPh>
    <rPh sb="57" eb="59">
      <t>ルイシン</t>
    </rPh>
    <rPh sb="66" eb="67">
      <t>ガツ</t>
    </rPh>
    <rPh sb="71" eb="72">
      <t>マイ</t>
    </rPh>
    <phoneticPr fontId="1"/>
  </si>
  <si>
    <t>入荷：8月 170枚
　　　10月 185枚</t>
    <rPh sb="0" eb="2">
      <t>ニュウカ</t>
    </rPh>
    <phoneticPr fontId="1"/>
  </si>
  <si>
    <r>
      <t xml:space="preserve">SI-13と合わせて
発注検討
</t>
    </r>
    <r>
      <rPr>
        <b/>
        <sz val="11"/>
        <color rgb="FFFF0000"/>
        <rFont val="游ゴシック"/>
        <family val="3"/>
        <charset val="128"/>
        <scheme val="minor"/>
      </rPr>
      <t>入荷：8月 300枚</t>
    </r>
    <rPh sb="6" eb="7">
      <t>ア</t>
    </rPh>
    <rPh sb="11" eb="13">
      <t>ハッチュウ</t>
    </rPh>
    <rPh sb="13" eb="15">
      <t>ケントウ</t>
    </rPh>
    <rPh sb="17" eb="19">
      <t>ニュウカ</t>
    </rPh>
    <phoneticPr fontId="1"/>
  </si>
  <si>
    <t>入荷：8月 250枚（7月希望）
EC専売になる可能性有り</t>
    <rPh sb="0" eb="2">
      <t>ニュウカ</t>
    </rPh>
    <rPh sb="12" eb="15">
      <t>ガツキボウ</t>
    </rPh>
    <rPh sb="20" eb="22">
      <t>センバイ</t>
    </rPh>
    <rPh sb="25" eb="29">
      <t>カノウセイア</t>
    </rPh>
    <phoneticPr fontId="1"/>
  </si>
  <si>
    <t>＊金額順</t>
    <rPh sb="1" eb="4">
      <t>キンガクジュン</t>
    </rPh>
    <phoneticPr fontId="1"/>
  </si>
  <si>
    <t>si-05</t>
  </si>
  <si>
    <t>spc-006</t>
    <phoneticPr fontId="1"/>
  </si>
  <si>
    <t>si-11</t>
    <phoneticPr fontId="1"/>
  </si>
  <si>
    <t>flw-001-002</t>
    <phoneticPr fontId="1"/>
  </si>
  <si>
    <t>fll-4000</t>
  </si>
  <si>
    <t>念の為在庫確認品番</t>
    <rPh sb="0" eb="1">
      <t>ネン</t>
    </rPh>
    <rPh sb="2" eb="3">
      <t>タメ</t>
    </rPh>
    <rPh sb="3" eb="9">
      <t>ザイコカクニンヒンバン</t>
    </rPh>
    <phoneticPr fontId="1"/>
  </si>
  <si>
    <t>＊状況を見て年間販売想定数を更新する必要有り</t>
    <rPh sb="1" eb="3">
      <t>ジョウキョウ</t>
    </rPh>
    <rPh sb="4" eb="5">
      <t>ミ</t>
    </rPh>
    <rPh sb="6" eb="13">
      <t>ネンカンハンバイソウテイスウ</t>
    </rPh>
    <rPh sb="14" eb="16">
      <t>コウシン</t>
    </rPh>
    <rPh sb="18" eb="21">
      <t>ヒツヨウア</t>
    </rPh>
    <phoneticPr fontId="1"/>
  </si>
  <si>
    <t>変更後（26年8月以降）</t>
    <rPh sb="0" eb="2">
      <t>ヘンコウ</t>
    </rPh>
    <rPh sb="2" eb="3">
      <t>ゴ</t>
    </rPh>
    <rPh sb="6" eb="7">
      <t>ネン</t>
    </rPh>
    <rPh sb="8" eb="9">
      <t>ガツ</t>
    </rPh>
    <rPh sb="9" eb="11">
      <t>イコウ</t>
    </rPh>
    <phoneticPr fontId="1"/>
  </si>
  <si>
    <t>si-13ph(併せて発注のため繰り上げ)</t>
    <rPh sb="8" eb="9">
      <t>アワ</t>
    </rPh>
    <rPh sb="11" eb="13">
      <t>ハッチュウ</t>
    </rPh>
    <rPh sb="16" eb="17">
      <t>ク</t>
    </rPh>
    <rPh sb="18" eb="19">
      <t>ア</t>
    </rPh>
    <phoneticPr fontId="1"/>
  </si>
  <si>
    <t>flk-001</t>
    <phoneticPr fontId="1"/>
  </si>
  <si>
    <t>fl-3000</t>
    <phoneticPr fontId="1"/>
  </si>
  <si>
    <t>fll-4000</t>
    <phoneticPr fontId="1"/>
  </si>
  <si>
    <t>flw-001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</si>
</sst>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Red]\(0\)"/>
    <numFmt numFmtId="178" formatCode="0_ ;[Red]\-0\ "/>
    <numFmt numFmtId="179" formatCode="m&quot;月&quot;d&quot;日&quot;;@"/>
    <numFmt numFmtId="180" formatCode="#,##0_ "/>
  </numFmts>
  <fonts count="22">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sz val="11"/>
      <color rgb="FFFF0000"/>
      <name val="游ゴシック"/>
      <family val="2"/>
      <charset val="128"/>
      <scheme val="minor"/>
    </font>
    <font>
      <sz val="11"/>
      <color theme="1"/>
      <name val="游ゴシック"/>
      <family val="3"/>
      <charset val="128"/>
      <scheme val="minor"/>
    </font>
    <font>
      <sz val="10"/>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0"/>
      <color theme="1"/>
      <name val="游ゴシック"/>
      <family val="3"/>
      <charset val="128"/>
      <scheme val="minor"/>
    </font>
    <font>
      <b/>
      <sz val="11"/>
      <color theme="0"/>
      <name val="游ゴシック"/>
      <family val="3"/>
      <charset val="128"/>
      <scheme val="minor"/>
    </font>
    <font>
      <sz val="11"/>
      <name val="游ゴシック"/>
      <family val="2"/>
      <charset val="128"/>
      <scheme val="minor"/>
    </font>
    <font>
      <b/>
      <sz val="11"/>
      <name val="游ゴシック"/>
      <family val="3"/>
      <charset val="128"/>
      <scheme val="minor"/>
    </font>
    <font>
      <b/>
      <sz val="12"/>
      <name val="游ゴシック"/>
      <family val="3"/>
      <charset val="128"/>
      <scheme val="minor"/>
    </font>
    <font>
      <b/>
      <sz val="11"/>
      <color theme="4"/>
      <name val="游ゴシック"/>
      <family val="3"/>
      <charset val="128"/>
      <scheme val="minor"/>
    </font>
    <font>
      <b/>
      <sz val="12"/>
      <color theme="4"/>
      <name val="游ゴシック"/>
      <family val="3"/>
      <charset val="128"/>
      <scheme val="minor"/>
    </font>
    <font>
      <b/>
      <sz val="12"/>
      <color theme="7"/>
      <name val="游ゴシック"/>
      <family val="3"/>
      <charset val="128"/>
      <scheme val="minor"/>
    </font>
    <font>
      <b/>
      <sz val="16"/>
      <color theme="1"/>
      <name val="游ゴシック"/>
      <family val="3"/>
      <charset val="128"/>
      <scheme val="minor"/>
    </font>
    <font>
      <sz val="11"/>
      <name val="ＭＳ Ｐゴシック"/>
      <family val="3"/>
      <charset val="128"/>
    </font>
    <font>
      <sz val="9"/>
      <color indexed="81"/>
      <name val="MS P ゴシック"/>
      <family val="3"/>
      <charset val="128"/>
    </font>
    <font>
      <b/>
      <sz val="9"/>
      <color indexed="81"/>
      <name val="MS P ゴシック"/>
      <family val="3"/>
      <charset val="128"/>
    </font>
  </fonts>
  <fills count="25">
    <fill>
      <patternFill patternType="none"/>
    </fill>
    <fill>
      <patternFill patternType="gray125"/>
    </fill>
    <fill>
      <patternFill patternType="solid">
        <fgColor them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theme="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0000"/>
        <bgColor indexed="64"/>
      </patternFill>
    </fill>
    <fill>
      <patternFill patternType="solid">
        <fgColor theme="5"/>
        <bgColor indexed="64"/>
      </patternFill>
    </fill>
    <fill>
      <patternFill patternType="solid">
        <fgColor theme="4"/>
        <bgColor indexed="64"/>
      </patternFill>
    </fill>
  </fills>
  <borders count="103">
    <border>
      <left/>
      <right/>
      <top/>
      <bottom/>
      <diagonal/>
    </border>
    <border>
      <left style="hair">
        <color auto="1"/>
      </left>
      <right style="thin">
        <color auto="1"/>
      </right>
      <top/>
      <bottom style="hair">
        <color auto="1"/>
      </bottom>
      <diagonal/>
    </border>
    <border>
      <left style="thin">
        <color auto="1"/>
      </left>
      <right style="hair">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indexed="64"/>
      </left>
      <right/>
      <top style="thin">
        <color indexed="64"/>
      </top>
      <bottom/>
      <diagonal/>
    </border>
    <border>
      <left style="thin">
        <color indexed="64"/>
      </left>
      <right/>
      <top/>
      <bottom style="hair">
        <color auto="1"/>
      </bottom>
      <diagonal/>
    </border>
    <border>
      <left style="thin">
        <color indexed="64"/>
      </left>
      <right/>
      <top style="hair">
        <color auto="1"/>
      </top>
      <bottom style="hair">
        <color auto="1"/>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auto="1"/>
      </left>
      <right style="hair">
        <color auto="1"/>
      </right>
      <top/>
      <bottom style="thin">
        <color indexed="64"/>
      </bottom>
      <diagonal/>
    </border>
    <border>
      <left style="hair">
        <color auto="1"/>
      </left>
      <right style="thin">
        <color auto="1"/>
      </right>
      <top/>
      <bottom style="thin">
        <color indexed="64"/>
      </bottom>
      <diagonal/>
    </border>
    <border>
      <left style="hair">
        <color auto="1"/>
      </left>
      <right style="thin">
        <color indexed="64"/>
      </right>
      <top style="hair">
        <color auto="1"/>
      </top>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thin">
        <color indexed="64"/>
      </top>
      <bottom style="thin">
        <color indexed="64"/>
      </bottom>
      <diagonal/>
    </border>
    <border>
      <left style="thin">
        <color indexed="64"/>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style="hair">
        <color auto="1"/>
      </right>
      <top style="thin">
        <color indexed="64"/>
      </top>
      <bottom style="thin">
        <color indexed="64"/>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indexed="64"/>
      </left>
      <right/>
      <top/>
      <bottom style="thin">
        <color indexed="64"/>
      </bottom>
      <diagonal/>
    </border>
    <border>
      <left/>
      <right/>
      <top/>
      <bottom style="thin">
        <color indexed="64"/>
      </bottom>
      <diagonal/>
    </border>
    <border>
      <left/>
      <right/>
      <top style="hair">
        <color auto="1"/>
      </top>
      <bottom style="thin">
        <color indexed="64"/>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thin">
        <color indexed="64"/>
      </left>
      <right/>
      <top/>
      <bottom/>
      <diagonal/>
    </border>
    <border>
      <left/>
      <right style="hair">
        <color auto="1"/>
      </right>
      <top/>
      <bottom style="thin">
        <color indexed="64"/>
      </bottom>
      <diagonal/>
    </border>
    <border>
      <left style="hair">
        <color auto="1"/>
      </left>
      <right/>
      <top/>
      <bottom style="thin">
        <color indexed="64"/>
      </bottom>
      <diagonal/>
    </border>
    <border>
      <left style="hair">
        <color auto="1"/>
      </left>
      <right style="hair">
        <color auto="1"/>
      </right>
      <top/>
      <bottom style="thin">
        <color indexed="64"/>
      </bottom>
      <diagonal/>
    </border>
    <border>
      <left style="hair">
        <color auto="1"/>
      </left>
      <right style="thin">
        <color auto="1"/>
      </right>
      <top/>
      <bottom/>
      <diagonal/>
    </border>
    <border>
      <left style="thin">
        <color auto="1"/>
      </left>
      <right style="hair">
        <color auto="1"/>
      </right>
      <top/>
      <bottom/>
      <diagonal/>
    </border>
    <border>
      <left style="hair">
        <color auto="1"/>
      </left>
      <right/>
      <top/>
      <bottom/>
      <diagonal/>
    </border>
    <border>
      <left style="hair">
        <color auto="1"/>
      </left>
      <right style="hair">
        <color auto="1"/>
      </right>
      <top/>
      <bottom/>
      <diagonal/>
    </border>
    <border>
      <left style="hair">
        <color auto="1"/>
      </left>
      <right style="thin">
        <color auto="1"/>
      </right>
      <top style="thin">
        <color indexed="64"/>
      </top>
      <bottom style="hair">
        <color auto="1"/>
      </bottom>
      <diagonal/>
    </border>
    <border>
      <left style="thin">
        <color auto="1"/>
      </left>
      <right style="hair">
        <color auto="1"/>
      </right>
      <top style="thin">
        <color indexed="64"/>
      </top>
      <bottom style="hair">
        <color auto="1"/>
      </bottom>
      <diagonal/>
    </border>
    <border>
      <left style="hair">
        <color auto="1"/>
      </left>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auto="1"/>
      </right>
      <top style="thin">
        <color indexed="64"/>
      </top>
      <bottom/>
      <diagonal/>
    </border>
    <border>
      <left style="thin">
        <color auto="1"/>
      </left>
      <right style="hair">
        <color auto="1"/>
      </right>
      <top style="thin">
        <color indexed="64"/>
      </top>
      <bottom/>
      <diagonal/>
    </border>
    <border>
      <left/>
      <right style="hair">
        <color auto="1"/>
      </right>
      <top style="hair">
        <color indexed="64"/>
      </top>
      <bottom style="hair">
        <color indexed="64"/>
      </bottom>
      <diagonal/>
    </border>
    <border>
      <left/>
      <right style="hair">
        <color auto="1"/>
      </right>
      <top style="hair">
        <color indexed="64"/>
      </top>
      <bottom style="thin">
        <color indexed="64"/>
      </bottom>
      <diagonal/>
    </border>
    <border diagonalUp="1">
      <left style="hair">
        <color auto="1"/>
      </left>
      <right style="thin">
        <color auto="1"/>
      </right>
      <top style="hair">
        <color auto="1"/>
      </top>
      <bottom style="hair">
        <color auto="1"/>
      </bottom>
      <diagonal style="hair">
        <color auto="1"/>
      </diagonal>
    </border>
    <border diagonalUp="1">
      <left style="hair">
        <color auto="1"/>
      </left>
      <right style="thin">
        <color auto="1"/>
      </right>
      <top style="hair">
        <color auto="1"/>
      </top>
      <bottom style="thin">
        <color indexed="64"/>
      </bottom>
      <diagonal style="hair">
        <color auto="1"/>
      </diagonal>
    </border>
    <border diagonalUp="1">
      <left style="hair">
        <color auto="1"/>
      </left>
      <right style="hair">
        <color auto="1"/>
      </right>
      <top style="hair">
        <color auto="1"/>
      </top>
      <bottom style="hair">
        <color auto="1"/>
      </bottom>
      <diagonal style="hair">
        <color auto="1"/>
      </diagonal>
    </border>
    <border diagonalUp="1">
      <left style="hair">
        <color auto="1"/>
      </left>
      <right style="hair">
        <color auto="1"/>
      </right>
      <top style="hair">
        <color auto="1"/>
      </top>
      <bottom style="thin">
        <color indexed="64"/>
      </bottom>
      <diagonal style="hair">
        <color auto="1"/>
      </diagonal>
    </border>
    <border>
      <left style="thin">
        <color indexed="64"/>
      </left>
      <right style="thin">
        <color indexed="64"/>
      </right>
      <top style="thin">
        <color indexed="64"/>
      </top>
      <bottom style="thin">
        <color indexed="64"/>
      </bottom>
      <diagonal/>
    </border>
    <border>
      <left/>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hair">
        <color auto="1"/>
      </right>
      <top style="hair">
        <color auto="1"/>
      </top>
      <bottom/>
      <diagonal/>
    </border>
    <border diagonalUp="1">
      <left style="hair">
        <color auto="1"/>
      </left>
      <right style="hair">
        <color auto="1"/>
      </right>
      <top style="hair">
        <color auto="1"/>
      </top>
      <bottom/>
      <diagonal style="hair">
        <color auto="1"/>
      </diagonal>
    </border>
    <border>
      <left/>
      <right style="thin">
        <color auto="1"/>
      </right>
      <top/>
      <bottom style="hair">
        <color auto="1"/>
      </bottom>
      <diagonal/>
    </border>
    <border>
      <left/>
      <right/>
      <top style="thin">
        <color auto="1"/>
      </top>
      <bottom/>
      <diagonal/>
    </border>
    <border>
      <left style="hair">
        <color auto="1"/>
      </left>
      <right/>
      <top style="thin">
        <color auto="1"/>
      </top>
      <bottom/>
      <diagonal/>
    </border>
    <border>
      <left/>
      <right style="hair">
        <color auto="1"/>
      </right>
      <top style="thin">
        <color indexed="64"/>
      </top>
      <bottom style="hair">
        <color auto="1"/>
      </bottom>
      <diagonal/>
    </border>
    <border>
      <left style="hair">
        <color auto="1"/>
      </left>
      <right style="hair">
        <color auto="1"/>
      </right>
      <top style="thin">
        <color indexed="64"/>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medium">
        <color auto="1"/>
      </left>
      <right/>
      <top/>
      <bottom/>
      <diagonal/>
    </border>
    <border>
      <left style="hair">
        <color auto="1"/>
      </left>
      <right style="medium">
        <color auto="1"/>
      </right>
      <top/>
      <bottom/>
      <diagonal/>
    </border>
    <border>
      <left/>
      <right style="medium">
        <color auto="1"/>
      </right>
      <top/>
      <bottom/>
      <diagonal/>
    </border>
    <border>
      <left/>
      <right style="thin">
        <color indexed="64"/>
      </right>
      <top style="hair">
        <color auto="1"/>
      </top>
      <bottom style="thin">
        <color indexed="64"/>
      </bottom>
      <diagonal/>
    </border>
    <border>
      <left/>
      <right style="thin">
        <color indexed="64"/>
      </right>
      <top style="hair">
        <color auto="1"/>
      </top>
      <bottom style="hair">
        <color auto="1"/>
      </bottom>
      <diagonal/>
    </border>
    <border>
      <left style="medium">
        <color auto="1"/>
      </left>
      <right style="hair">
        <color auto="1"/>
      </right>
      <top style="medium">
        <color auto="1"/>
      </top>
      <bottom/>
      <diagonal/>
    </border>
    <border>
      <left style="medium">
        <color auto="1"/>
      </left>
      <right style="hair">
        <color auto="1"/>
      </right>
      <top/>
      <bottom/>
      <diagonal/>
    </border>
    <border diagonalUp="1">
      <left style="hair">
        <color auto="1"/>
      </left>
      <right style="hair">
        <color auto="1"/>
      </right>
      <top/>
      <bottom style="hair">
        <color auto="1"/>
      </bottom>
      <diagonal style="hair">
        <color auto="1"/>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diagonalUp="1">
      <left style="hair">
        <color auto="1"/>
      </left>
      <right style="thin">
        <color auto="1"/>
      </right>
      <top style="hair">
        <color auto="1"/>
      </top>
      <bottom/>
      <diagonal style="hair">
        <color auto="1"/>
      </diagonal>
    </border>
    <border>
      <left style="thin">
        <color indexed="64"/>
      </left>
      <right style="thin">
        <color indexed="64"/>
      </right>
      <top style="hair">
        <color auto="1"/>
      </top>
      <bottom style="thin">
        <color indexed="64"/>
      </bottom>
      <diagonal/>
    </border>
    <border>
      <left style="thin">
        <color indexed="64"/>
      </left>
      <right style="thin">
        <color indexed="64"/>
      </right>
      <top/>
      <bottom style="hair">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auto="1"/>
      </top>
      <bottom style="hair">
        <color auto="1"/>
      </bottom>
      <diagonal/>
    </border>
    <border>
      <left style="thin">
        <color indexed="64"/>
      </left>
      <right/>
      <top style="hair">
        <color auto="1"/>
      </top>
      <bottom style="thin">
        <color indexed="64"/>
      </bottom>
      <diagonal/>
    </border>
    <border>
      <left style="thin">
        <color indexed="64"/>
      </left>
      <right style="thin">
        <color indexed="64"/>
      </right>
      <top style="hair">
        <color auto="1"/>
      </top>
      <bottom/>
      <diagonal/>
    </border>
    <border diagonalUp="1">
      <left style="thin">
        <color indexed="64"/>
      </left>
      <right/>
      <top style="hair">
        <color auto="1"/>
      </top>
      <bottom style="thin">
        <color indexed="64"/>
      </bottom>
      <diagonal style="thin">
        <color indexed="64"/>
      </diagonal>
    </border>
    <border diagonalUp="1">
      <left/>
      <right/>
      <top style="hair">
        <color auto="1"/>
      </top>
      <bottom style="thin">
        <color indexed="64"/>
      </bottom>
      <diagonal style="thin">
        <color indexed="64"/>
      </diagonal>
    </border>
    <border>
      <left/>
      <right style="thin">
        <color auto="1"/>
      </right>
      <top/>
      <bottom/>
      <diagonal/>
    </border>
    <border>
      <left/>
      <right style="thin">
        <color auto="1"/>
      </right>
      <top/>
      <bottom style="thin">
        <color auto="1"/>
      </bottom>
      <diagonal/>
    </border>
    <border>
      <left style="thin">
        <color indexed="64"/>
      </left>
      <right style="thin">
        <color indexed="64"/>
      </right>
      <top style="thin">
        <color indexed="64"/>
      </top>
      <bottom/>
      <diagonal/>
    </border>
    <border diagonalUp="1">
      <left style="hair">
        <color auto="1"/>
      </left>
      <right style="thin">
        <color auto="1"/>
      </right>
      <top/>
      <bottom style="hair">
        <color auto="1"/>
      </bottom>
      <diagonal style="hair">
        <color auto="1"/>
      </diagonal>
    </border>
    <border diagonalUp="1">
      <left style="hair">
        <color auto="1"/>
      </left>
      <right style="thin">
        <color auto="1"/>
      </right>
      <top/>
      <bottom style="thin">
        <color indexed="64"/>
      </bottom>
      <diagonal style="hair">
        <color auto="1"/>
      </diagonal>
    </border>
    <border diagonalUp="1">
      <left style="thin">
        <color auto="1"/>
      </left>
      <right style="hair">
        <color auto="1"/>
      </right>
      <top style="hair">
        <color auto="1"/>
      </top>
      <bottom style="hair">
        <color auto="1"/>
      </bottom>
      <diagonal style="thin">
        <color auto="1"/>
      </diagonal>
    </border>
    <border diagonalUp="1">
      <left style="thin">
        <color auto="1"/>
      </left>
      <right style="hair">
        <color auto="1"/>
      </right>
      <top/>
      <bottom style="hair">
        <color auto="1"/>
      </bottom>
      <diagonal style="thin">
        <color auto="1"/>
      </diagonal>
    </border>
    <border diagonalUp="1">
      <left style="thin">
        <color auto="1"/>
      </left>
      <right style="hair">
        <color auto="1"/>
      </right>
      <top/>
      <bottom style="thin">
        <color indexed="64"/>
      </bottom>
      <diagonal style="thin">
        <color auto="1"/>
      </diagonal>
    </border>
    <border>
      <left style="thin">
        <color indexed="64"/>
      </left>
      <right style="thin">
        <color auto="1"/>
      </right>
      <top style="thin">
        <color indexed="64"/>
      </top>
      <bottom style="hair">
        <color auto="1"/>
      </bottom>
      <diagonal/>
    </border>
    <border diagonalUp="1">
      <left style="hair">
        <color auto="1"/>
      </left>
      <right style="thin">
        <color auto="1"/>
      </right>
      <top/>
      <bottom/>
      <diagonal style="hair">
        <color auto="1"/>
      </diagonal>
    </border>
  </borders>
  <cellStyleXfs count="5">
    <xf numFmtId="0" fontId="0"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19" fillId="0" borderId="0"/>
    <xf numFmtId="38" fontId="19" fillId="0" borderId="0" applyFont="0" applyFill="0" applyBorder="0" applyAlignment="0" applyProtection="0">
      <alignment vertical="center"/>
    </xf>
  </cellStyleXfs>
  <cellXfs count="577">
    <xf numFmtId="0" fontId="0" fillId="0" borderId="0" xfId="0">
      <alignment vertical="center"/>
    </xf>
    <xf numFmtId="38" fontId="0" fillId="0" borderId="0" xfId="1" applyFont="1">
      <alignment vertical="center"/>
    </xf>
    <xf numFmtId="0" fontId="0" fillId="0" borderId="0" xfId="0" applyAlignment="1">
      <alignment horizontal="center" vertical="center"/>
    </xf>
    <xf numFmtId="0" fontId="0" fillId="0" borderId="0" xfId="0" applyAlignment="1">
      <alignment horizontal="left" vertical="center"/>
    </xf>
    <xf numFmtId="0" fontId="0" fillId="0" borderId="2" xfId="0" applyBorder="1">
      <alignment vertical="center"/>
    </xf>
    <xf numFmtId="38" fontId="0" fillId="0" borderId="1" xfId="1" applyFont="1" applyFill="1" applyBorder="1">
      <alignment vertical="center"/>
    </xf>
    <xf numFmtId="38" fontId="0" fillId="0" borderId="1" xfId="1" applyFont="1" applyBorder="1">
      <alignment vertical="center"/>
    </xf>
    <xf numFmtId="38" fontId="0" fillId="0" borderId="2" xfId="1" applyFont="1" applyBorder="1">
      <alignment vertical="center"/>
    </xf>
    <xf numFmtId="0" fontId="0" fillId="0" borderId="17" xfId="0" applyBorder="1" applyAlignment="1">
      <alignment horizontal="center" vertical="center"/>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left" vertical="center"/>
    </xf>
    <xf numFmtId="38" fontId="0" fillId="0" borderId="17" xfId="1" applyFont="1" applyBorder="1">
      <alignment vertical="center"/>
    </xf>
    <xf numFmtId="38" fontId="0" fillId="0" borderId="18" xfId="1" applyFont="1" applyBorder="1">
      <alignment vertical="center"/>
    </xf>
    <xf numFmtId="0" fontId="0" fillId="0" borderId="17" xfId="0" applyBorder="1">
      <alignment vertical="center"/>
    </xf>
    <xf numFmtId="38" fontId="0" fillId="0" borderId="17" xfId="1" applyFont="1" applyFill="1" applyBorder="1" applyAlignment="1">
      <alignment horizontal="center" vertical="center"/>
    </xf>
    <xf numFmtId="38" fontId="0" fillId="0" borderId="18" xfId="1" applyFont="1" applyFill="1" applyBorder="1" applyAlignment="1">
      <alignment horizontal="center" vertical="center"/>
    </xf>
    <xf numFmtId="0" fontId="3" fillId="3" borderId="9" xfId="0" applyFont="1" applyFill="1" applyBorder="1" applyAlignment="1">
      <alignment horizontal="left" vertical="center"/>
    </xf>
    <xf numFmtId="38" fontId="0" fillId="0" borderId="11" xfId="1" applyFont="1" applyFill="1" applyBorder="1" applyAlignment="1">
      <alignment horizontal="center" vertical="center"/>
    </xf>
    <xf numFmtId="0" fontId="0" fillId="0" borderId="23" xfId="0" applyBorder="1" applyAlignment="1">
      <alignment horizontal="center" vertical="center"/>
    </xf>
    <xf numFmtId="38" fontId="0" fillId="0" borderId="25" xfId="1" applyFont="1" applyFill="1" applyBorder="1" applyAlignment="1">
      <alignment horizontal="center" vertical="center"/>
    </xf>
    <xf numFmtId="0" fontId="0" fillId="0" borderId="26" xfId="0" applyBorder="1" applyAlignment="1">
      <alignment horizontal="center" vertical="center"/>
    </xf>
    <xf numFmtId="0" fontId="0" fillId="0" borderId="21" xfId="1" applyNumberFormat="1" applyFont="1" applyFill="1" applyBorder="1" applyAlignment="1">
      <alignment horizontal="center" vertical="center"/>
    </xf>
    <xf numFmtId="176" fontId="0" fillId="0" borderId="2" xfId="0" applyNumberFormat="1" applyBorder="1" applyAlignment="1">
      <alignment horizontal="center" vertical="center"/>
    </xf>
    <xf numFmtId="176" fontId="0" fillId="0" borderId="1" xfId="0" applyNumberFormat="1" applyBorder="1" applyAlignment="1">
      <alignment horizontal="center" vertical="center"/>
    </xf>
    <xf numFmtId="176" fontId="0" fillId="0" borderId="0" xfId="0" applyNumberFormat="1" applyAlignment="1">
      <alignment horizontal="center" vertical="center"/>
    </xf>
    <xf numFmtId="176" fontId="0" fillId="0" borderId="17" xfId="0" applyNumberFormat="1" applyBorder="1" applyAlignment="1">
      <alignment horizontal="center" vertical="center"/>
    </xf>
    <xf numFmtId="177" fontId="0" fillId="0" borderId="0" xfId="0" applyNumberFormat="1">
      <alignment vertical="center"/>
    </xf>
    <xf numFmtId="177" fontId="0" fillId="0" borderId="6" xfId="0" applyNumberFormat="1" applyBorder="1" applyAlignment="1">
      <alignment horizontal="center" vertical="center"/>
    </xf>
    <xf numFmtId="178" fontId="0" fillId="0" borderId="1" xfId="0" applyNumberFormat="1" applyBorder="1" applyAlignment="1">
      <alignment horizontal="center" vertical="center"/>
    </xf>
    <xf numFmtId="0" fontId="0" fillId="0" borderId="11" xfId="0" applyBorder="1" applyAlignment="1">
      <alignment horizontal="left" vertical="center"/>
    </xf>
    <xf numFmtId="0" fontId="3" fillId="3" borderId="11" xfId="0" applyFont="1" applyFill="1" applyBorder="1" applyAlignment="1">
      <alignment horizontal="left" vertical="center"/>
    </xf>
    <xf numFmtId="49" fontId="0" fillId="0" borderId="18" xfId="0" applyNumberFormat="1" applyBorder="1" applyAlignment="1">
      <alignment horizontal="left" vertical="center"/>
    </xf>
    <xf numFmtId="49" fontId="3" fillId="3" borderId="18" xfId="0" applyNumberFormat="1" applyFont="1" applyFill="1" applyBorder="1" applyAlignment="1">
      <alignment horizontal="left" vertical="center"/>
    </xf>
    <xf numFmtId="49" fontId="0" fillId="0" borderId="0" xfId="0" applyNumberFormat="1" applyAlignment="1">
      <alignment horizontal="left" vertical="center"/>
    </xf>
    <xf numFmtId="38" fontId="0" fillId="0" borderId="15" xfId="1" applyFont="1" applyFill="1" applyBorder="1">
      <alignment vertical="center"/>
    </xf>
    <xf numFmtId="38" fontId="0" fillId="0" borderId="41" xfId="1" applyFont="1" applyFill="1" applyBorder="1">
      <alignment vertical="center"/>
    </xf>
    <xf numFmtId="0" fontId="0" fillId="0" borderId="11" xfId="0" applyBorder="1" applyAlignment="1">
      <alignment horizontal="center" vertical="center"/>
    </xf>
    <xf numFmtId="177" fontId="0" fillId="0" borderId="9" xfId="0" applyNumberFormat="1"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176" fontId="0" fillId="0" borderId="4" xfId="0" applyNumberFormat="1" applyBorder="1" applyAlignment="1">
      <alignment horizontal="center" vertical="center"/>
    </xf>
    <xf numFmtId="0" fontId="0" fillId="0" borderId="3" xfId="0" applyBorder="1" applyAlignment="1">
      <alignment horizontal="center" vertical="center"/>
    </xf>
    <xf numFmtId="0" fontId="0" fillId="0" borderId="24" xfId="0" applyBorder="1" applyAlignment="1">
      <alignment horizontal="center" vertical="center"/>
    </xf>
    <xf numFmtId="0" fontId="0" fillId="0" borderId="16" xfId="0" applyBorder="1" applyAlignment="1">
      <alignment horizontal="center" vertical="center"/>
    </xf>
    <xf numFmtId="38" fontId="0" fillId="0" borderId="4" xfId="1" applyFont="1" applyBorder="1">
      <alignment vertical="center"/>
    </xf>
    <xf numFmtId="38" fontId="0" fillId="0" borderId="3" xfId="1" applyFont="1" applyFill="1" applyBorder="1">
      <alignment vertical="center"/>
    </xf>
    <xf numFmtId="0" fontId="0" fillId="0" borderId="4" xfId="0" applyBorder="1">
      <alignment vertical="center"/>
    </xf>
    <xf numFmtId="38" fontId="0" fillId="0" borderId="3" xfId="1" applyFont="1" applyBorder="1">
      <alignment vertical="center"/>
    </xf>
    <xf numFmtId="0" fontId="0" fillId="0" borderId="4" xfId="0" applyBorder="1" applyAlignment="1">
      <alignment horizontal="center" vertical="center"/>
    </xf>
    <xf numFmtId="177" fontId="0" fillId="0" borderId="7" xfId="0" applyNumberFormat="1" applyBorder="1" applyAlignment="1">
      <alignment horizontal="center" vertical="center"/>
    </xf>
    <xf numFmtId="178" fontId="0" fillId="0" borderId="3" xfId="0" applyNumberFormat="1" applyBorder="1" applyAlignment="1">
      <alignment horizontal="center" vertical="center"/>
    </xf>
    <xf numFmtId="38" fontId="0" fillId="0" borderId="12" xfId="1" applyFont="1" applyBorder="1">
      <alignment vertical="center"/>
    </xf>
    <xf numFmtId="38" fontId="0" fillId="0" borderId="13" xfId="1" applyFont="1" applyFill="1" applyBorder="1">
      <alignment vertical="center"/>
    </xf>
    <xf numFmtId="0" fontId="0" fillId="0" borderId="12" xfId="0" applyBorder="1">
      <alignment vertical="center"/>
    </xf>
    <xf numFmtId="38" fontId="0" fillId="0" borderId="13" xfId="1" applyFont="1" applyBorder="1">
      <alignment vertical="center"/>
    </xf>
    <xf numFmtId="38" fontId="0" fillId="0" borderId="4" xfId="1" applyFont="1" applyFill="1" applyBorder="1">
      <alignment vertical="center"/>
    </xf>
    <xf numFmtId="38" fontId="0" fillId="0" borderId="2" xfId="1" applyFont="1" applyFill="1" applyBorder="1">
      <alignment vertical="center"/>
    </xf>
    <xf numFmtId="38" fontId="0" fillId="0" borderId="14" xfId="1" applyFont="1" applyFill="1" applyBorder="1">
      <alignment vertical="center"/>
    </xf>
    <xf numFmtId="38" fontId="0" fillId="2" borderId="28" xfId="1" applyFont="1" applyFill="1" applyBorder="1">
      <alignment vertical="center"/>
    </xf>
    <xf numFmtId="38" fontId="0" fillId="2" borderId="25" xfId="1" applyFont="1" applyFill="1" applyBorder="1">
      <alignment vertical="center"/>
    </xf>
    <xf numFmtId="38" fontId="0" fillId="2" borderId="21" xfId="1" applyFont="1" applyFill="1" applyBorder="1">
      <alignment vertical="center"/>
    </xf>
    <xf numFmtId="38" fontId="0" fillId="0" borderId="21" xfId="1" applyFont="1" applyFill="1" applyBorder="1">
      <alignment vertical="center"/>
    </xf>
    <xf numFmtId="38" fontId="0" fillId="0" borderId="17" xfId="1" applyFont="1" applyFill="1" applyBorder="1">
      <alignment vertical="center"/>
    </xf>
    <xf numFmtId="38" fontId="0" fillId="0" borderId="9" xfId="1" applyFont="1" applyFill="1" applyBorder="1">
      <alignment vertical="center"/>
    </xf>
    <xf numFmtId="0" fontId="0" fillId="0" borderId="37" xfId="0" applyBorder="1">
      <alignment vertical="center"/>
    </xf>
    <xf numFmtId="0" fontId="5" fillId="0" borderId="0" xfId="0" applyFont="1" applyAlignment="1">
      <alignment horizontal="left" vertical="center"/>
    </xf>
    <xf numFmtId="38" fontId="7" fillId="0" borderId="25" xfId="1" applyFont="1" applyFill="1" applyBorder="1" applyAlignment="1">
      <alignment horizontal="center" vertical="center"/>
    </xf>
    <xf numFmtId="177"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38" fontId="0" fillId="2" borderId="15" xfId="1" applyFont="1" applyFill="1" applyBorder="1">
      <alignment vertical="center"/>
    </xf>
    <xf numFmtId="38" fontId="0" fillId="2" borderId="14" xfId="0" applyNumberFormat="1" applyFill="1" applyBorder="1">
      <alignment vertical="center"/>
    </xf>
    <xf numFmtId="38" fontId="0" fillId="2" borderId="14" xfId="1" applyFont="1" applyFill="1" applyBorder="1">
      <alignment vertical="center"/>
    </xf>
    <xf numFmtId="0" fontId="0" fillId="2" borderId="59" xfId="0" applyFill="1" applyBorder="1" applyAlignment="1">
      <alignment horizontal="left" vertical="center"/>
    </xf>
    <xf numFmtId="178" fontId="0" fillId="0" borderId="16" xfId="0" applyNumberFormat="1" applyBorder="1" applyAlignment="1">
      <alignment horizontal="center" vertical="center"/>
    </xf>
    <xf numFmtId="177" fontId="0" fillId="0" borderId="22" xfId="0" applyNumberFormat="1"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176" fontId="0" fillId="0" borderId="63" xfId="0" applyNumberFormat="1" applyBorder="1" applyAlignment="1">
      <alignment horizontal="center" vertical="center"/>
    </xf>
    <xf numFmtId="0" fontId="0" fillId="0" borderId="63" xfId="0" applyBorder="1" applyAlignment="1">
      <alignment horizontal="center" vertical="center"/>
    </xf>
    <xf numFmtId="0" fontId="0" fillId="0" borderId="22"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38" fontId="0" fillId="0" borderId="21" xfId="1" applyFont="1" applyFill="1" applyBorder="1" applyAlignment="1">
      <alignment horizontal="center" vertical="center"/>
    </xf>
    <xf numFmtId="0" fontId="0" fillId="0" borderId="5" xfId="0" applyBorder="1" applyAlignment="1">
      <alignment horizontal="left" vertical="center"/>
    </xf>
    <xf numFmtId="0" fontId="0" fillId="0" borderId="39" xfId="0" applyBorder="1" applyAlignment="1">
      <alignment horizontal="right" vertical="center"/>
    </xf>
    <xf numFmtId="38" fontId="0" fillId="0" borderId="39" xfId="1" applyFont="1" applyFill="1" applyBorder="1">
      <alignment vertical="center"/>
    </xf>
    <xf numFmtId="176" fontId="0" fillId="0" borderId="13" xfId="0" applyNumberFormat="1" applyBorder="1" applyAlignment="1">
      <alignment horizontal="center" vertical="center"/>
    </xf>
    <xf numFmtId="176" fontId="0" fillId="0" borderId="3" xfId="0" applyNumberFormat="1" applyBorder="1" applyAlignment="1">
      <alignment horizontal="center" vertical="center"/>
    </xf>
    <xf numFmtId="176" fontId="0" fillId="0" borderId="15" xfId="0" applyNumberFormat="1" applyBorder="1" applyAlignment="1">
      <alignment horizontal="center" vertical="center"/>
    </xf>
    <xf numFmtId="0" fontId="0" fillId="0" borderId="32" xfId="0" applyBorder="1" applyAlignment="1">
      <alignment horizontal="center" vertical="center"/>
    </xf>
    <xf numFmtId="49" fontId="0" fillId="0" borderId="1" xfId="0" applyNumberFormat="1" applyBorder="1" applyAlignment="1">
      <alignment horizontal="left" vertical="center"/>
    </xf>
    <xf numFmtId="0" fontId="0" fillId="0" borderId="1" xfId="0" applyBorder="1" applyAlignment="1">
      <alignment horizontal="center" vertical="center"/>
    </xf>
    <xf numFmtId="176" fontId="0" fillId="0" borderId="20" xfId="0" applyNumberFormat="1" applyBorder="1" applyAlignment="1">
      <alignment horizontal="center" vertical="center"/>
    </xf>
    <xf numFmtId="176" fontId="0" fillId="0" borderId="19" xfId="0" applyNumberFormat="1" applyBorder="1" applyAlignment="1">
      <alignment horizontal="center" vertical="center"/>
    </xf>
    <xf numFmtId="0" fontId="0" fillId="0" borderId="31" xfId="0" applyBorder="1" applyAlignment="1">
      <alignment horizontal="center" vertical="center"/>
    </xf>
    <xf numFmtId="49" fontId="0" fillId="0" borderId="3" xfId="0" applyNumberFormat="1" applyBorder="1" applyAlignment="1">
      <alignment horizontal="left" vertical="center"/>
    </xf>
    <xf numFmtId="0" fontId="0" fillId="0" borderId="38" xfId="0" applyBorder="1" applyAlignment="1">
      <alignment horizontal="center" vertical="center"/>
    </xf>
    <xf numFmtId="49" fontId="0" fillId="0" borderId="15" xfId="0" applyNumberFormat="1" applyBorder="1" applyAlignment="1">
      <alignment horizontal="left" vertical="center"/>
    </xf>
    <xf numFmtId="0" fontId="0" fillId="0" borderId="42" xfId="0" applyBorder="1" applyAlignment="1">
      <alignment horizontal="center" vertical="center"/>
    </xf>
    <xf numFmtId="0" fontId="0" fillId="0" borderId="50" xfId="0" applyBorder="1" applyAlignment="1">
      <alignment horizontal="center" vertical="center"/>
    </xf>
    <xf numFmtId="0" fontId="0" fillId="0" borderId="40" xfId="0" applyBorder="1" applyAlignment="1">
      <alignment horizontal="center" vertical="center"/>
    </xf>
    <xf numFmtId="0" fontId="0" fillId="0" borderId="15"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9" xfId="0" applyBorder="1" applyAlignment="1">
      <alignment horizontal="center" vertical="center"/>
    </xf>
    <xf numFmtId="176" fontId="0" fillId="0" borderId="39" xfId="0" applyNumberFormat="1" applyBorder="1" applyAlignment="1">
      <alignment horizontal="center" vertical="center"/>
    </xf>
    <xf numFmtId="0" fontId="0" fillId="0" borderId="39" xfId="0" applyBorder="1" applyAlignment="1">
      <alignment horizontal="center" vertical="center"/>
    </xf>
    <xf numFmtId="49" fontId="0" fillId="0" borderId="55" xfId="0" applyNumberFormat="1" applyBorder="1" applyAlignment="1">
      <alignment horizontal="left" vertical="center"/>
    </xf>
    <xf numFmtId="49" fontId="0" fillId="0" borderId="56" xfId="0" applyNumberFormat="1" applyBorder="1" applyAlignment="1">
      <alignment horizontal="left" vertical="center"/>
    </xf>
    <xf numFmtId="0" fontId="0" fillId="0" borderId="14" xfId="0" applyBorder="1" applyAlignment="1">
      <alignment horizontal="center" vertical="center"/>
    </xf>
    <xf numFmtId="0" fontId="0" fillId="0" borderId="58" xfId="0" applyBorder="1" applyAlignment="1">
      <alignment horizontal="center" vertical="center"/>
    </xf>
    <xf numFmtId="0" fontId="0" fillId="0" borderId="29" xfId="0" applyBorder="1" applyAlignment="1">
      <alignment horizontal="center" vertical="center"/>
    </xf>
    <xf numFmtId="178"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57" xfId="0" applyBorder="1" applyAlignment="1">
      <alignment horizontal="center" vertical="center"/>
    </xf>
    <xf numFmtId="49" fontId="0" fillId="0" borderId="41" xfId="0" applyNumberFormat="1" applyBorder="1" applyAlignment="1">
      <alignment horizontal="left" vertical="center"/>
    </xf>
    <xf numFmtId="38" fontId="0" fillId="0" borderId="42" xfId="1" applyFont="1" applyFill="1" applyBorder="1">
      <alignment vertical="center"/>
    </xf>
    <xf numFmtId="0" fontId="0" fillId="0" borderId="64" xfId="0" applyBorder="1" applyAlignment="1">
      <alignment horizontal="center" vertical="center"/>
    </xf>
    <xf numFmtId="49" fontId="0" fillId="0" borderId="13" xfId="0" applyNumberFormat="1" applyBorder="1" applyAlignment="1">
      <alignment horizontal="left" vertical="center"/>
    </xf>
    <xf numFmtId="0" fontId="0" fillId="0" borderId="30" xfId="0" applyBorder="1" applyAlignment="1">
      <alignment horizontal="center" vertical="center"/>
    </xf>
    <xf numFmtId="176" fontId="0" fillId="0" borderId="23" xfId="0" applyNumberFormat="1" applyBorder="1" applyAlignment="1">
      <alignment horizontal="center" vertical="center"/>
    </xf>
    <xf numFmtId="0" fontId="0" fillId="0" borderId="53" xfId="0" applyBorder="1" applyAlignment="1">
      <alignment horizontal="center" vertical="center"/>
    </xf>
    <xf numFmtId="38" fontId="0" fillId="0" borderId="12" xfId="1" applyFont="1" applyFill="1" applyBorder="1">
      <alignment vertical="center"/>
    </xf>
    <xf numFmtId="0" fontId="0" fillId="0" borderId="12" xfId="0" applyBorder="1" applyAlignment="1">
      <alignment horizontal="center" vertical="center"/>
    </xf>
    <xf numFmtId="178" fontId="0" fillId="0" borderId="13" xfId="0" applyNumberFormat="1" applyBorder="1" applyAlignment="1">
      <alignment horizontal="center" vertical="center"/>
    </xf>
    <xf numFmtId="176" fontId="0" fillId="0" borderId="24" xfId="0" applyNumberFormat="1" applyBorder="1" applyAlignment="1">
      <alignment horizontal="center" vertical="center"/>
    </xf>
    <xf numFmtId="38" fontId="0" fillId="4" borderId="2" xfId="1" applyFont="1" applyFill="1" applyBorder="1">
      <alignment vertical="center"/>
    </xf>
    <xf numFmtId="38" fontId="0" fillId="4" borderId="1" xfId="1" applyFont="1" applyFill="1" applyBorder="1">
      <alignment vertical="center"/>
    </xf>
    <xf numFmtId="0" fontId="0" fillId="4" borderId="2" xfId="0" applyFill="1" applyBorder="1">
      <alignment vertical="center"/>
    </xf>
    <xf numFmtId="0" fontId="0" fillId="4" borderId="2" xfId="0" applyFill="1" applyBorder="1" applyAlignment="1">
      <alignment horizontal="center" vertical="center"/>
    </xf>
    <xf numFmtId="0" fontId="0" fillId="4" borderId="26" xfId="0" applyFill="1" applyBorder="1" applyAlignment="1">
      <alignment horizontal="center" vertical="center"/>
    </xf>
    <xf numFmtId="0" fontId="0" fillId="4" borderId="1" xfId="0" applyFill="1" applyBorder="1" applyAlignment="1">
      <alignment horizontal="center" vertical="center"/>
    </xf>
    <xf numFmtId="176" fontId="0" fillId="4" borderId="2" xfId="0" applyNumberFormat="1" applyFill="1" applyBorder="1" applyAlignment="1">
      <alignment horizontal="center" vertical="center"/>
    </xf>
    <xf numFmtId="0" fontId="0" fillId="4" borderId="19" xfId="0" applyFill="1" applyBorder="1" applyAlignment="1">
      <alignment horizontal="center" vertical="center"/>
    </xf>
    <xf numFmtId="0" fontId="0" fillId="4" borderId="23" xfId="0" applyFill="1" applyBorder="1" applyAlignment="1">
      <alignment horizontal="center" vertical="center"/>
    </xf>
    <xf numFmtId="176" fontId="0" fillId="4" borderId="1" xfId="0" applyNumberFormat="1" applyFill="1" applyBorder="1" applyAlignment="1">
      <alignment horizontal="center" vertical="center"/>
    </xf>
    <xf numFmtId="176" fontId="6" fillId="4" borderId="2" xfId="0" applyNumberFormat="1" applyFont="1" applyFill="1" applyBorder="1" applyAlignment="1">
      <alignment horizontal="center" vertical="center"/>
    </xf>
    <xf numFmtId="177" fontId="0" fillId="4" borderId="6" xfId="0" applyNumberFormat="1" applyFill="1" applyBorder="1" applyAlignment="1">
      <alignment horizontal="center" vertical="center"/>
    </xf>
    <xf numFmtId="178" fontId="0" fillId="4" borderId="1" xfId="0" applyNumberFormat="1" applyFill="1" applyBorder="1" applyAlignment="1">
      <alignment horizontal="center" vertical="center"/>
    </xf>
    <xf numFmtId="177" fontId="0" fillId="4" borderId="2" xfId="0" applyNumberFormat="1" applyFill="1" applyBorder="1" applyAlignment="1">
      <alignment horizontal="center" vertical="center"/>
    </xf>
    <xf numFmtId="38" fontId="0" fillId="4" borderId="46" xfId="1" applyFont="1" applyFill="1" applyBorder="1">
      <alignment vertical="center"/>
    </xf>
    <xf numFmtId="38" fontId="0" fillId="4" borderId="45" xfId="1" applyFont="1" applyFill="1" applyBorder="1">
      <alignment vertical="center"/>
    </xf>
    <xf numFmtId="0" fontId="0" fillId="4" borderId="46" xfId="0" applyFill="1" applyBorder="1">
      <alignment vertical="center"/>
    </xf>
    <xf numFmtId="0" fontId="0" fillId="4" borderId="46" xfId="0" applyFill="1" applyBorder="1" applyAlignment="1">
      <alignment horizontal="center" vertical="center"/>
    </xf>
    <xf numFmtId="0" fontId="0" fillId="4" borderId="48" xfId="0" applyFill="1" applyBorder="1" applyAlignment="1">
      <alignment horizontal="center" vertical="center"/>
    </xf>
    <xf numFmtId="0" fontId="0" fillId="4" borderId="45" xfId="0" applyFill="1" applyBorder="1" applyAlignment="1">
      <alignment horizontal="center" vertical="center"/>
    </xf>
    <xf numFmtId="176" fontId="0" fillId="4" borderId="46" xfId="0" applyNumberFormat="1" applyFill="1" applyBorder="1" applyAlignment="1">
      <alignment horizontal="center" vertical="center"/>
    </xf>
    <xf numFmtId="0" fontId="0" fillId="4" borderId="47" xfId="0" applyFill="1" applyBorder="1" applyAlignment="1">
      <alignment horizontal="center" vertical="center"/>
    </xf>
    <xf numFmtId="0" fontId="0" fillId="4" borderId="35" xfId="0" applyFill="1" applyBorder="1" applyAlignment="1">
      <alignment horizontal="center" vertical="center"/>
    </xf>
    <xf numFmtId="176" fontId="0" fillId="4" borderId="45" xfId="0" applyNumberFormat="1" applyFill="1" applyBorder="1" applyAlignment="1">
      <alignment horizontal="center" vertical="center"/>
    </xf>
    <xf numFmtId="176" fontId="0" fillId="4" borderId="35" xfId="0" applyNumberFormat="1" applyFill="1" applyBorder="1" applyAlignment="1">
      <alignment horizontal="center" vertical="center"/>
    </xf>
    <xf numFmtId="0" fontId="0" fillId="4" borderId="6" xfId="0" applyFill="1" applyBorder="1" applyAlignment="1">
      <alignment horizontal="center" vertical="center"/>
    </xf>
    <xf numFmtId="0" fontId="5" fillId="0" borderId="0" xfId="0" applyFont="1" applyAlignment="1">
      <alignment horizontal="center" vertical="center"/>
    </xf>
    <xf numFmtId="177" fontId="0" fillId="0" borderId="4" xfId="0" applyNumberFormat="1" applyBorder="1" applyAlignment="1">
      <alignment horizontal="center" vertical="center"/>
    </xf>
    <xf numFmtId="177" fontId="0" fillId="0" borderId="2" xfId="0" applyNumberFormat="1" applyBorder="1" applyAlignment="1">
      <alignment horizontal="center" vertical="center"/>
    </xf>
    <xf numFmtId="177" fontId="0" fillId="0" borderId="14" xfId="0" applyNumberFormat="1" applyBorder="1" applyAlignment="1">
      <alignment horizontal="center" vertical="center"/>
    </xf>
    <xf numFmtId="177" fontId="0" fillId="4" borderId="42" xfId="0" applyNumberFormat="1" applyFill="1" applyBorder="1" applyAlignment="1">
      <alignment horizontal="center" vertical="center"/>
    </xf>
    <xf numFmtId="177" fontId="0" fillId="0" borderId="12" xfId="0" applyNumberFormat="1" applyBorder="1" applyAlignment="1">
      <alignment horizontal="center" vertical="center"/>
    </xf>
    <xf numFmtId="177" fontId="0" fillId="4" borderId="52" xfId="0" applyNumberFormat="1" applyFill="1" applyBorder="1" applyAlignment="1">
      <alignment horizontal="center" vertical="center"/>
    </xf>
    <xf numFmtId="178" fontId="0" fillId="4" borderId="51" xfId="0" applyNumberFormat="1" applyFill="1" applyBorder="1" applyAlignment="1">
      <alignment horizontal="center" vertical="center"/>
    </xf>
    <xf numFmtId="38" fontId="0" fillId="5" borderId="4" xfId="1" applyFont="1" applyFill="1" applyBorder="1">
      <alignment vertical="center"/>
    </xf>
    <xf numFmtId="38" fontId="0" fillId="5" borderId="2" xfId="1" applyFont="1" applyFill="1" applyBorder="1">
      <alignment vertical="center"/>
    </xf>
    <xf numFmtId="38" fontId="0" fillId="5" borderId="14" xfId="1" applyFont="1" applyFill="1" applyBorder="1">
      <alignment vertical="center"/>
    </xf>
    <xf numFmtId="0" fontId="0" fillId="6" borderId="37" xfId="0" applyFill="1" applyBorder="1" applyAlignment="1">
      <alignment horizontal="left" vertical="center"/>
    </xf>
    <xf numFmtId="0" fontId="0" fillId="6" borderId="0" xfId="0" applyFill="1" applyAlignment="1">
      <alignment horizontal="left" vertical="center"/>
    </xf>
    <xf numFmtId="0" fontId="0" fillId="6" borderId="65" xfId="0" applyFill="1" applyBorder="1" applyAlignment="1">
      <alignment horizontal="left" vertical="center"/>
    </xf>
    <xf numFmtId="38" fontId="0" fillId="6" borderId="2" xfId="1" applyFont="1" applyFill="1" applyBorder="1">
      <alignment vertical="center"/>
    </xf>
    <xf numFmtId="38" fontId="0" fillId="6" borderId="1" xfId="1" applyFont="1" applyFill="1" applyBorder="1">
      <alignment vertical="center"/>
    </xf>
    <xf numFmtId="0" fontId="0" fillId="6" borderId="2" xfId="0" applyFill="1" applyBorder="1" applyAlignment="1">
      <alignment horizontal="center" vertical="center"/>
    </xf>
    <xf numFmtId="0" fontId="0" fillId="6" borderId="26" xfId="0" applyFill="1" applyBorder="1" applyAlignment="1">
      <alignment horizontal="center" vertical="center"/>
    </xf>
    <xf numFmtId="0" fontId="0" fillId="6" borderId="1" xfId="0" applyFill="1" applyBorder="1" applyAlignment="1">
      <alignment horizontal="center" vertical="center"/>
    </xf>
    <xf numFmtId="176" fontId="0" fillId="6" borderId="2" xfId="0" applyNumberFormat="1" applyFill="1" applyBorder="1" applyAlignment="1">
      <alignment horizontal="center" vertical="center"/>
    </xf>
    <xf numFmtId="0" fontId="0" fillId="6" borderId="19" xfId="0" applyFill="1" applyBorder="1" applyAlignment="1">
      <alignment horizontal="center" vertical="center"/>
    </xf>
    <xf numFmtId="0" fontId="0" fillId="6" borderId="23" xfId="0" applyFill="1" applyBorder="1" applyAlignment="1">
      <alignment horizontal="center" vertical="center"/>
    </xf>
    <xf numFmtId="176" fontId="0" fillId="6" borderId="1" xfId="0" applyNumberFormat="1" applyFill="1" applyBorder="1" applyAlignment="1">
      <alignment horizontal="center" vertical="center"/>
    </xf>
    <xf numFmtId="177" fontId="0" fillId="6" borderId="6" xfId="0" applyNumberFormat="1" applyFill="1" applyBorder="1" applyAlignment="1">
      <alignment horizontal="center" vertical="center"/>
    </xf>
    <xf numFmtId="178" fontId="0" fillId="6" borderId="1" xfId="0" applyNumberFormat="1" applyFill="1" applyBorder="1" applyAlignment="1">
      <alignment horizontal="center" vertical="center"/>
    </xf>
    <xf numFmtId="38" fontId="0" fillId="0" borderId="14" xfId="1" applyFont="1" applyBorder="1">
      <alignment vertical="center"/>
    </xf>
    <xf numFmtId="38" fontId="0" fillId="0" borderId="42" xfId="1" applyFont="1" applyBorder="1">
      <alignment vertical="center"/>
    </xf>
    <xf numFmtId="9" fontId="0" fillId="7" borderId="0" xfId="2" applyFont="1" applyFill="1">
      <alignment vertical="center"/>
    </xf>
    <xf numFmtId="0" fontId="0" fillId="7" borderId="0" xfId="0" applyFill="1">
      <alignment vertical="center"/>
    </xf>
    <xf numFmtId="9" fontId="0" fillId="0" borderId="0" xfId="0" applyNumberFormat="1">
      <alignment vertical="center"/>
    </xf>
    <xf numFmtId="0" fontId="0" fillId="8" borderId="0" xfId="0" applyFill="1">
      <alignment vertical="center"/>
    </xf>
    <xf numFmtId="9" fontId="0" fillId="8" borderId="0" xfId="2" applyFont="1" applyFill="1">
      <alignment vertical="center"/>
    </xf>
    <xf numFmtId="0" fontId="0" fillId="9" borderId="0" xfId="0" applyFill="1">
      <alignment vertical="center"/>
    </xf>
    <xf numFmtId="9" fontId="0" fillId="9" borderId="0" xfId="2" applyFont="1" applyFill="1">
      <alignment vertical="center"/>
    </xf>
    <xf numFmtId="0" fontId="0" fillId="3" borderId="0" xfId="0" applyFill="1">
      <alignment vertical="center"/>
    </xf>
    <xf numFmtId="9" fontId="0" fillId="3" borderId="0" xfId="2" applyFont="1" applyFill="1">
      <alignment vertical="center"/>
    </xf>
    <xf numFmtId="176" fontId="12" fillId="0" borderId="63" xfId="0" applyNumberFormat="1" applyFont="1" applyBorder="1" applyAlignment="1">
      <alignment horizontal="center" vertical="center"/>
    </xf>
    <xf numFmtId="0" fontId="9" fillId="0" borderId="0" xfId="0" applyFont="1">
      <alignment vertical="center"/>
    </xf>
    <xf numFmtId="176" fontId="0" fillId="0" borderId="16" xfId="0" applyNumberFormat="1" applyBorder="1" applyAlignment="1">
      <alignment horizontal="center" vertical="center"/>
    </xf>
    <xf numFmtId="176" fontId="0" fillId="0" borderId="41" xfId="0" applyNumberFormat="1" applyBorder="1" applyAlignment="1">
      <alignment horizontal="center" vertical="center"/>
    </xf>
    <xf numFmtId="176" fontId="0" fillId="0" borderId="43" xfId="0" applyNumberFormat="1" applyBorder="1" applyAlignment="1">
      <alignment horizontal="center" vertical="center"/>
    </xf>
    <xf numFmtId="0" fontId="0" fillId="4" borderId="66" xfId="0" applyFill="1" applyBorder="1" applyAlignment="1">
      <alignment horizontal="center" vertical="center"/>
    </xf>
    <xf numFmtId="176" fontId="0" fillId="0" borderId="60" xfId="0" applyNumberFormat="1" applyBorder="1" applyAlignment="1">
      <alignment horizontal="center" vertical="center"/>
    </xf>
    <xf numFmtId="176" fontId="0" fillId="0" borderId="62" xfId="0" applyNumberFormat="1" applyBorder="1" applyAlignment="1">
      <alignment horizontal="center" vertical="center"/>
    </xf>
    <xf numFmtId="176" fontId="0" fillId="4" borderId="66" xfId="0" applyNumberFormat="1" applyFill="1" applyBorder="1" applyAlignment="1">
      <alignment horizontal="center" vertical="center"/>
    </xf>
    <xf numFmtId="0" fontId="0" fillId="4" borderId="67" xfId="0" applyFill="1" applyBorder="1" applyAlignment="1">
      <alignment horizontal="center" vertical="center"/>
    </xf>
    <xf numFmtId="176" fontId="0" fillId="4" borderId="52" xfId="0" applyNumberFormat="1" applyFill="1" applyBorder="1" applyAlignment="1">
      <alignment horizontal="center" vertical="center"/>
    </xf>
    <xf numFmtId="0" fontId="0" fillId="4" borderId="68" xfId="0" applyFill="1" applyBorder="1" applyAlignment="1">
      <alignment horizontal="center" vertical="center"/>
    </xf>
    <xf numFmtId="177" fontId="0" fillId="4" borderId="34" xfId="0" applyNumberFormat="1" applyFill="1" applyBorder="1" applyAlignment="1">
      <alignment horizontal="center" vertical="center"/>
    </xf>
    <xf numFmtId="178" fontId="0" fillId="4" borderId="45" xfId="0" applyNumberFormat="1" applyFill="1" applyBorder="1" applyAlignment="1">
      <alignment horizontal="center" vertical="center"/>
    </xf>
    <xf numFmtId="0" fontId="0" fillId="4" borderId="69" xfId="0" applyFill="1" applyBorder="1" applyAlignment="1">
      <alignment horizontal="center" vertical="center"/>
    </xf>
    <xf numFmtId="0" fontId="0" fillId="4" borderId="0" xfId="0" applyFill="1" applyAlignment="1">
      <alignment horizontal="center" vertical="center"/>
    </xf>
    <xf numFmtId="176" fontId="0" fillId="4" borderId="41" xfId="0" applyNumberFormat="1" applyFill="1" applyBorder="1" applyAlignment="1">
      <alignment horizontal="center" vertical="center"/>
    </xf>
    <xf numFmtId="178" fontId="0" fillId="4" borderId="41" xfId="0" applyNumberFormat="1" applyFill="1" applyBorder="1" applyAlignment="1">
      <alignment horizontal="center" vertical="center"/>
    </xf>
    <xf numFmtId="0" fontId="0" fillId="6" borderId="20" xfId="0" applyFill="1" applyBorder="1" applyAlignment="1">
      <alignment horizontal="center" vertical="center"/>
    </xf>
    <xf numFmtId="0" fontId="0" fillId="6" borderId="27" xfId="0" applyFill="1" applyBorder="1" applyAlignment="1">
      <alignment horizontal="center" vertical="center"/>
    </xf>
    <xf numFmtId="0" fontId="0" fillId="6" borderId="24" xfId="0" applyFill="1" applyBorder="1" applyAlignment="1">
      <alignment horizontal="center" vertical="center"/>
    </xf>
    <xf numFmtId="176" fontId="0" fillId="6" borderId="3" xfId="0" applyNumberFormat="1" applyFill="1" applyBorder="1" applyAlignment="1">
      <alignment horizontal="center" vertical="center"/>
    </xf>
    <xf numFmtId="177" fontId="0" fillId="6" borderId="7" xfId="0" applyNumberFormat="1" applyFill="1" applyBorder="1" applyAlignment="1">
      <alignment horizontal="center" vertical="center"/>
    </xf>
    <xf numFmtId="178" fontId="0" fillId="6" borderId="3" xfId="0" applyNumberFormat="1" applyFill="1" applyBorder="1" applyAlignment="1">
      <alignment horizontal="center" vertical="center"/>
    </xf>
    <xf numFmtId="38" fontId="0" fillId="6" borderId="2" xfId="1" applyFont="1" applyFill="1" applyBorder="1" applyAlignment="1">
      <alignment horizontal="center" vertical="center"/>
    </xf>
    <xf numFmtId="38" fontId="0" fillId="6" borderId="19" xfId="1" applyFont="1" applyFill="1" applyBorder="1" applyAlignment="1">
      <alignment horizontal="center" vertical="center"/>
    </xf>
    <xf numFmtId="38" fontId="0" fillId="6" borderId="26" xfId="1" applyFont="1" applyFill="1" applyBorder="1" applyAlignment="1">
      <alignment horizontal="center" vertical="center"/>
    </xf>
    <xf numFmtId="38" fontId="0" fillId="6" borderId="23" xfId="1" applyFont="1" applyFill="1" applyBorder="1" applyAlignment="1">
      <alignment horizontal="center" vertical="center"/>
    </xf>
    <xf numFmtId="38" fontId="0" fillId="6" borderId="1" xfId="1" applyFont="1" applyFill="1" applyBorder="1" applyAlignment="1">
      <alignment horizontal="center" vertical="center"/>
    </xf>
    <xf numFmtId="49" fontId="0" fillId="0" borderId="0" xfId="0" applyNumberFormat="1">
      <alignment vertical="center"/>
    </xf>
    <xf numFmtId="49" fontId="0" fillId="0" borderId="70" xfId="0" applyNumberFormat="1" applyBorder="1">
      <alignment vertical="center"/>
    </xf>
    <xf numFmtId="0" fontId="0" fillId="0" borderId="71" xfId="0" applyBorder="1">
      <alignment vertical="center"/>
    </xf>
    <xf numFmtId="9" fontId="0" fillId="12" borderId="44" xfId="2" applyFont="1" applyFill="1" applyBorder="1">
      <alignment vertical="center"/>
    </xf>
    <xf numFmtId="9" fontId="0" fillId="12" borderId="73" xfId="0" applyNumberFormat="1" applyFill="1" applyBorder="1">
      <alignment vertical="center"/>
    </xf>
    <xf numFmtId="49" fontId="0" fillId="0" borderId="44" xfId="0" applyNumberFormat="1" applyBorder="1">
      <alignment vertical="center"/>
    </xf>
    <xf numFmtId="0" fontId="0" fillId="0" borderId="73" xfId="0" applyBorder="1">
      <alignment vertical="center"/>
    </xf>
    <xf numFmtId="9" fontId="0" fillId="13" borderId="44" xfId="2" applyFont="1" applyFill="1" applyBorder="1">
      <alignment vertical="center"/>
    </xf>
    <xf numFmtId="9" fontId="0" fillId="13" borderId="73" xfId="0" applyNumberFormat="1" applyFill="1" applyBorder="1">
      <alignment vertical="center"/>
    </xf>
    <xf numFmtId="9" fontId="0" fillId="0" borderId="0" xfId="2" applyFont="1">
      <alignment vertical="center"/>
    </xf>
    <xf numFmtId="9" fontId="0" fillId="5" borderId="0" xfId="2" applyFont="1" applyFill="1">
      <alignment vertical="center"/>
    </xf>
    <xf numFmtId="0" fontId="0" fillId="14" borderId="3" xfId="0" applyFill="1" applyBorder="1" applyAlignment="1">
      <alignment horizontal="center" vertical="center"/>
    </xf>
    <xf numFmtId="0" fontId="0" fillId="14" borderId="13" xfId="0" applyFill="1" applyBorder="1" applyAlignment="1">
      <alignment horizontal="center" vertical="center"/>
    </xf>
    <xf numFmtId="0" fontId="0" fillId="15" borderId="3" xfId="0" applyFill="1" applyBorder="1" applyAlignment="1">
      <alignment horizontal="center" vertical="center"/>
    </xf>
    <xf numFmtId="0" fontId="5" fillId="15" borderId="0" xfId="0" applyFont="1" applyFill="1" applyAlignment="1">
      <alignment horizontal="left" vertical="center"/>
    </xf>
    <xf numFmtId="56" fontId="0" fillId="0" borderId="0" xfId="0" applyNumberFormat="1" applyAlignment="1">
      <alignment horizontal="center" vertical="center"/>
    </xf>
    <xf numFmtId="38" fontId="0" fillId="0" borderId="11" xfId="1" applyFont="1" applyFill="1" applyBorder="1">
      <alignment vertical="center"/>
    </xf>
    <xf numFmtId="176" fontId="0" fillId="0" borderId="30" xfId="0" applyNumberFormat="1" applyBorder="1" applyAlignment="1">
      <alignment horizontal="center" vertical="center"/>
    </xf>
    <xf numFmtId="38" fontId="0" fillId="0" borderId="0" xfId="1" applyFont="1" applyAlignment="1">
      <alignment horizontal="center" vertical="center"/>
    </xf>
    <xf numFmtId="38" fontId="0" fillId="11" borderId="4" xfId="1" applyFont="1" applyFill="1" applyBorder="1">
      <alignment vertical="center"/>
    </xf>
    <xf numFmtId="0" fontId="0" fillId="11" borderId="26" xfId="0" applyFill="1" applyBorder="1" applyAlignment="1">
      <alignment horizontal="center" vertical="center"/>
    </xf>
    <xf numFmtId="0" fontId="0" fillId="11" borderId="57" xfId="0" applyFill="1" applyBorder="1" applyAlignment="1">
      <alignment horizontal="center" vertical="center"/>
    </xf>
    <xf numFmtId="0" fontId="0" fillId="11" borderId="3" xfId="0" applyFill="1" applyBorder="1" applyAlignment="1">
      <alignment horizontal="center" vertical="center"/>
    </xf>
    <xf numFmtId="176" fontId="0" fillId="11" borderId="23" xfId="0" applyNumberFormat="1" applyFill="1" applyBorder="1" applyAlignment="1">
      <alignment horizontal="center" vertical="center"/>
    </xf>
    <xf numFmtId="176" fontId="0" fillId="11" borderId="63" xfId="0" applyNumberFormat="1" applyFill="1" applyBorder="1" applyAlignment="1">
      <alignment horizontal="center" vertical="center"/>
    </xf>
    <xf numFmtId="49" fontId="0" fillId="11" borderId="1" xfId="0" applyNumberFormat="1" applyFill="1" applyBorder="1" applyAlignment="1">
      <alignment horizontal="left" vertical="center"/>
    </xf>
    <xf numFmtId="38" fontId="0" fillId="11" borderId="2" xfId="1" applyFont="1" applyFill="1" applyBorder="1">
      <alignment vertical="center"/>
    </xf>
    <xf numFmtId="38" fontId="0" fillId="11" borderId="1" xfId="1" applyFont="1" applyFill="1" applyBorder="1">
      <alignment vertical="center"/>
    </xf>
    <xf numFmtId="0" fontId="0" fillId="11" borderId="2" xfId="0" applyFill="1" applyBorder="1" applyAlignment="1">
      <alignment horizontal="center" vertical="center"/>
    </xf>
    <xf numFmtId="0" fontId="14" fillId="0" borderId="0" xfId="0" applyFont="1" applyAlignment="1">
      <alignment horizontal="center" vertical="center"/>
    </xf>
    <xf numFmtId="176" fontId="0" fillId="0" borderId="75" xfId="0" applyNumberFormat="1" applyBorder="1" applyAlignment="1">
      <alignment horizontal="center" vertical="center"/>
    </xf>
    <xf numFmtId="176" fontId="0" fillId="0" borderId="76" xfId="0" applyNumberFormat="1" applyBorder="1" applyAlignment="1">
      <alignment horizontal="center" vertical="center"/>
    </xf>
    <xf numFmtId="38" fontId="0" fillId="0" borderId="25" xfId="1" applyFont="1" applyFill="1" applyBorder="1">
      <alignment vertical="center"/>
    </xf>
    <xf numFmtId="38" fontId="0" fillId="0" borderId="18" xfId="1" applyFont="1" applyFill="1" applyBorder="1">
      <alignment vertical="center"/>
    </xf>
    <xf numFmtId="0" fontId="4" fillId="0" borderId="0" xfId="0" applyFont="1">
      <alignment vertical="center"/>
    </xf>
    <xf numFmtId="0" fontId="0" fillId="11" borderId="0" xfId="0" applyFill="1">
      <alignment vertical="center"/>
    </xf>
    <xf numFmtId="0" fontId="0" fillId="0" borderId="77" xfId="0" applyBorder="1">
      <alignment vertical="center"/>
    </xf>
    <xf numFmtId="0" fontId="0" fillId="12" borderId="78" xfId="0" applyFill="1" applyBorder="1">
      <alignment vertical="center"/>
    </xf>
    <xf numFmtId="0" fontId="0" fillId="0" borderId="78" xfId="0" applyBorder="1">
      <alignment vertical="center"/>
    </xf>
    <xf numFmtId="0" fontId="0" fillId="13" borderId="78" xfId="0" applyFill="1" applyBorder="1">
      <alignment vertical="center"/>
    </xf>
    <xf numFmtId="176" fontId="0" fillId="0" borderId="42" xfId="0" applyNumberFormat="1" applyBorder="1" applyAlignment="1">
      <alignment horizontal="center" vertical="center"/>
    </xf>
    <xf numFmtId="0" fontId="0" fillId="0" borderId="79" xfId="0" applyBorder="1" applyAlignment="1">
      <alignment horizontal="center" vertical="center"/>
    </xf>
    <xf numFmtId="0" fontId="16" fillId="0" borderId="0" xfId="0" applyFont="1">
      <alignment vertical="center"/>
    </xf>
    <xf numFmtId="0" fontId="0" fillId="0" borderId="80" xfId="0" applyBorder="1">
      <alignment vertical="center"/>
    </xf>
    <xf numFmtId="49" fontId="0" fillId="0" borderId="81" xfId="0" applyNumberFormat="1" applyBorder="1">
      <alignment vertical="center"/>
    </xf>
    <xf numFmtId="0" fontId="0" fillId="0" borderId="81" xfId="0" applyBorder="1">
      <alignment vertical="center"/>
    </xf>
    <xf numFmtId="0" fontId="0" fillId="0" borderId="82" xfId="0" applyBorder="1">
      <alignment vertical="center"/>
    </xf>
    <xf numFmtId="38" fontId="0" fillId="0" borderId="63" xfId="1" applyFont="1" applyFill="1" applyBorder="1">
      <alignment vertical="center"/>
    </xf>
    <xf numFmtId="49" fontId="0" fillId="0" borderId="83" xfId="0" applyNumberFormat="1" applyBorder="1" applyAlignment="1">
      <alignment horizontal="left" vertical="center"/>
    </xf>
    <xf numFmtId="38" fontId="0" fillId="2" borderId="9" xfId="1" applyFont="1" applyFill="1" applyBorder="1">
      <alignment vertical="center"/>
    </xf>
    <xf numFmtId="0" fontId="3" fillId="0" borderId="27" xfId="0" applyFont="1" applyBorder="1">
      <alignment vertical="center"/>
    </xf>
    <xf numFmtId="0" fontId="3" fillId="0" borderId="3" xfId="0" applyFont="1" applyBorder="1">
      <alignment vertical="center"/>
    </xf>
    <xf numFmtId="0" fontId="0" fillId="0" borderId="27" xfId="0" applyBorder="1">
      <alignment vertical="center"/>
    </xf>
    <xf numFmtId="0" fontId="0" fillId="0" borderId="3" xfId="0" applyBorder="1">
      <alignment vertical="center"/>
    </xf>
    <xf numFmtId="0" fontId="0" fillId="7" borderId="3" xfId="0" applyFill="1" applyBorder="1">
      <alignment vertical="center"/>
    </xf>
    <xf numFmtId="0" fontId="0" fillId="17" borderId="27" xfId="0" applyFill="1" applyBorder="1">
      <alignment vertical="center"/>
    </xf>
    <xf numFmtId="0" fontId="0" fillId="17" borderId="50" xfId="0" applyFill="1" applyBorder="1">
      <alignment vertical="center"/>
    </xf>
    <xf numFmtId="0" fontId="0" fillId="0" borderId="37" xfId="0" applyBorder="1" applyAlignment="1">
      <alignment horizontal="center" vertical="center"/>
    </xf>
    <xf numFmtId="0" fontId="0" fillId="0" borderId="22" xfId="0" applyBorder="1" applyAlignment="1">
      <alignment horizontal="center" vertical="center"/>
    </xf>
    <xf numFmtId="0" fontId="0" fillId="11" borderId="27" xfId="0" applyFill="1" applyBorder="1" applyAlignment="1">
      <alignment horizontal="center" vertical="center"/>
    </xf>
    <xf numFmtId="0" fontId="0" fillId="0" borderId="28" xfId="0" applyBorder="1" applyAlignment="1">
      <alignment horizontal="center" vertical="center"/>
    </xf>
    <xf numFmtId="176" fontId="0" fillId="0" borderId="12" xfId="0" applyNumberFormat="1" applyBorder="1" applyAlignment="1">
      <alignment horizontal="center" vertical="center"/>
    </xf>
    <xf numFmtId="176" fontId="0" fillId="11" borderId="4" xfId="0" applyNumberFormat="1" applyFill="1" applyBorder="1" applyAlignment="1">
      <alignment horizontal="center" vertical="center"/>
    </xf>
    <xf numFmtId="176" fontId="0" fillId="11" borderId="42" xfId="0" applyNumberFormat="1" applyFill="1" applyBorder="1" applyAlignment="1">
      <alignment horizontal="center" vertical="center"/>
    </xf>
    <xf numFmtId="176" fontId="0" fillId="18" borderId="23" xfId="0" applyNumberFormat="1" applyFill="1" applyBorder="1" applyAlignment="1">
      <alignment horizontal="center" vertical="center"/>
    </xf>
    <xf numFmtId="176" fontId="0" fillId="18" borderId="60" xfId="0" applyNumberFormat="1" applyFill="1" applyBorder="1" applyAlignment="1">
      <alignment horizontal="center" vertical="center"/>
    </xf>
    <xf numFmtId="0" fontId="0" fillId="11" borderId="23" xfId="0" applyFill="1" applyBorder="1" applyAlignment="1">
      <alignment horizontal="center" vertical="center"/>
    </xf>
    <xf numFmtId="0" fontId="0" fillId="19" borderId="23" xfId="0" applyFill="1" applyBorder="1" applyAlignment="1">
      <alignment horizontal="center" vertical="center"/>
    </xf>
    <xf numFmtId="56" fontId="0" fillId="19" borderId="23" xfId="0" applyNumberFormat="1" applyFill="1" applyBorder="1" applyAlignment="1">
      <alignment horizontal="center" vertical="center"/>
    </xf>
    <xf numFmtId="0" fontId="0" fillId="19" borderId="29" xfId="0" applyFill="1" applyBorder="1" applyAlignment="1">
      <alignment horizontal="center" vertical="center"/>
    </xf>
    <xf numFmtId="0" fontId="0" fillId="19" borderId="30" xfId="0" applyFill="1" applyBorder="1" applyAlignment="1">
      <alignment horizontal="center" vertical="center"/>
    </xf>
    <xf numFmtId="0" fontId="0" fillId="19" borderId="60" xfId="0" applyFill="1" applyBorder="1" applyAlignment="1">
      <alignment horizontal="center" vertical="center"/>
    </xf>
    <xf numFmtId="177" fontId="0" fillId="4" borderId="85" xfId="0" applyNumberFormat="1" applyFill="1" applyBorder="1" applyAlignment="1">
      <alignment horizontal="center" vertical="center"/>
    </xf>
    <xf numFmtId="177" fontId="0" fillId="0" borderId="85" xfId="0" applyNumberFormat="1" applyBorder="1" applyAlignment="1">
      <alignment horizontal="center" vertical="center"/>
    </xf>
    <xf numFmtId="177" fontId="0" fillId="0" borderId="88" xfId="0" applyNumberFormat="1" applyBorder="1" applyAlignment="1">
      <alignment horizontal="center" vertical="center"/>
    </xf>
    <xf numFmtId="177" fontId="0" fillId="0" borderId="28" xfId="0" applyNumberFormat="1" applyBorder="1" applyAlignment="1">
      <alignment horizontal="center" vertical="center"/>
    </xf>
    <xf numFmtId="177" fontId="0" fillId="0" borderId="87" xfId="0" applyNumberFormat="1" applyBorder="1" applyAlignment="1">
      <alignment horizontal="center" vertical="center"/>
    </xf>
    <xf numFmtId="177" fontId="0" fillId="0" borderId="37" xfId="0" applyNumberFormat="1" applyBorder="1" applyAlignment="1">
      <alignment horizontal="center" vertical="center"/>
    </xf>
    <xf numFmtId="177" fontId="0" fillId="0" borderId="86" xfId="0" applyNumberFormat="1" applyBorder="1" applyAlignment="1">
      <alignment horizontal="center" vertical="center"/>
    </xf>
    <xf numFmtId="177" fontId="0" fillId="0" borderId="84" xfId="0" applyNumberFormat="1" applyBorder="1" applyAlignment="1">
      <alignment horizontal="center" vertical="center"/>
    </xf>
    <xf numFmtId="176" fontId="0" fillId="11" borderId="12" xfId="0" applyNumberFormat="1" applyFill="1" applyBorder="1" applyAlignment="1">
      <alignment horizontal="center" vertical="center"/>
    </xf>
    <xf numFmtId="0" fontId="0" fillId="11" borderId="50" xfId="0" applyFill="1" applyBorder="1" applyAlignment="1">
      <alignment horizontal="center" vertical="center"/>
    </xf>
    <xf numFmtId="177" fontId="0" fillId="0" borderId="89" xfId="0" applyNumberFormat="1" applyBorder="1" applyAlignment="1">
      <alignment horizontal="center" vertical="center"/>
    </xf>
    <xf numFmtId="0" fontId="0" fillId="19" borderId="24" xfId="0" applyFill="1" applyBorder="1" applyAlignment="1">
      <alignment horizontal="center" vertical="center"/>
    </xf>
    <xf numFmtId="176" fontId="0" fillId="0" borderId="29" xfId="0" applyNumberFormat="1" applyBorder="1" applyAlignment="1">
      <alignment horizontal="center" vertical="center"/>
    </xf>
    <xf numFmtId="176" fontId="0" fillId="18" borderId="30" xfId="0" applyNumberFormat="1" applyFill="1" applyBorder="1" applyAlignment="1">
      <alignment horizontal="center" vertical="center"/>
    </xf>
    <xf numFmtId="38" fontId="0" fillId="0" borderId="28" xfId="1" applyFont="1" applyBorder="1">
      <alignment vertical="center"/>
    </xf>
    <xf numFmtId="38" fontId="0" fillId="0" borderId="0" xfId="1" applyFont="1" applyBorder="1">
      <alignment vertical="center"/>
    </xf>
    <xf numFmtId="38" fontId="0" fillId="0" borderId="29" xfId="1" applyFont="1" applyBorder="1">
      <alignment vertical="center"/>
    </xf>
    <xf numFmtId="0" fontId="0" fillId="0" borderId="7" xfId="0" applyBorder="1" applyAlignment="1">
      <alignment horizontal="center" vertical="center"/>
    </xf>
    <xf numFmtId="38" fontId="0" fillId="4" borderId="2" xfId="1" applyFont="1" applyFill="1" applyBorder="1" applyAlignment="1">
      <alignment horizontal="center" vertical="center"/>
    </xf>
    <xf numFmtId="38" fontId="0" fillId="4" borderId="26" xfId="1" applyFont="1" applyFill="1" applyBorder="1" applyAlignment="1">
      <alignment horizontal="center" vertical="center"/>
    </xf>
    <xf numFmtId="0" fontId="0" fillId="0" borderId="89" xfId="0" applyBorder="1" applyAlignment="1">
      <alignment horizontal="center" vertical="center"/>
    </xf>
    <xf numFmtId="0" fontId="0" fillId="0" borderId="28" xfId="0" applyBorder="1">
      <alignment vertical="center"/>
    </xf>
    <xf numFmtId="0" fontId="0" fillId="18" borderId="27" xfId="0" applyFill="1" applyBorder="1" applyAlignment="1">
      <alignment horizontal="center" vertical="center"/>
    </xf>
    <xf numFmtId="0" fontId="0" fillId="18" borderId="26" xfId="0" applyFill="1" applyBorder="1" applyAlignment="1">
      <alignment horizontal="center" vertical="center"/>
    </xf>
    <xf numFmtId="0" fontId="17" fillId="0" borderId="0" xfId="0" applyFont="1">
      <alignment vertical="center"/>
    </xf>
    <xf numFmtId="0" fontId="3" fillId="5" borderId="0" xfId="0" applyFont="1" applyFill="1" applyAlignment="1">
      <alignment horizontal="center" vertical="center"/>
    </xf>
    <xf numFmtId="56" fontId="0" fillId="19" borderId="30" xfId="0" applyNumberFormat="1" applyFill="1" applyBorder="1" applyAlignment="1">
      <alignment horizontal="center" vertical="center"/>
    </xf>
    <xf numFmtId="56" fontId="3" fillId="19" borderId="23" xfId="0" applyNumberFormat="1" applyFont="1" applyFill="1" applyBorder="1" applyAlignment="1">
      <alignment horizontal="center" vertical="center"/>
    </xf>
    <xf numFmtId="0" fontId="3" fillId="0" borderId="23" xfId="0" applyFont="1" applyBorder="1" applyAlignment="1">
      <alignment horizontal="center" vertical="center"/>
    </xf>
    <xf numFmtId="0" fontId="3" fillId="19" borderId="23" xfId="0" applyFont="1" applyFill="1" applyBorder="1" applyAlignment="1">
      <alignment horizontal="center" vertical="center"/>
    </xf>
    <xf numFmtId="0" fontId="3" fillId="0" borderId="11" xfId="0" applyFont="1" applyBorder="1">
      <alignment vertical="center"/>
    </xf>
    <xf numFmtId="176" fontId="0" fillId="11" borderId="17" xfId="0" applyNumberFormat="1" applyFill="1" applyBorder="1" applyAlignment="1">
      <alignment horizontal="center" vertical="center"/>
    </xf>
    <xf numFmtId="38" fontId="0" fillId="11" borderId="25" xfId="1" applyFont="1" applyFill="1" applyBorder="1" applyAlignment="1">
      <alignment horizontal="center" vertical="center"/>
    </xf>
    <xf numFmtId="56" fontId="18" fillId="0" borderId="0" xfId="0" applyNumberFormat="1" applyFont="1" applyAlignment="1">
      <alignment horizontal="center" vertical="top"/>
    </xf>
    <xf numFmtId="176" fontId="0" fillId="4" borderId="26" xfId="0" applyNumberFormat="1" applyFill="1" applyBorder="1" applyAlignment="1">
      <alignment horizontal="center" vertical="center"/>
    </xf>
    <xf numFmtId="176" fontId="0" fillId="19" borderId="23" xfId="0" applyNumberFormat="1" applyFill="1" applyBorder="1" applyAlignment="1">
      <alignment horizontal="center" vertical="center"/>
    </xf>
    <xf numFmtId="176" fontId="0" fillId="19" borderId="30" xfId="0" applyNumberFormat="1" applyFill="1" applyBorder="1" applyAlignment="1">
      <alignment horizontal="center" vertical="center"/>
    </xf>
    <xf numFmtId="179" fontId="0" fillId="0" borderId="23" xfId="0" applyNumberFormat="1" applyBorder="1" applyAlignment="1">
      <alignment horizontal="center" vertical="center"/>
    </xf>
    <xf numFmtId="179" fontId="0" fillId="19" borderId="23" xfId="0" applyNumberFormat="1" applyFill="1" applyBorder="1" applyAlignment="1">
      <alignment horizontal="center" vertical="center"/>
    </xf>
    <xf numFmtId="179" fontId="0" fillId="0" borderId="30" xfId="0" applyNumberFormat="1" applyBorder="1" applyAlignment="1">
      <alignment horizontal="center" vertical="center"/>
    </xf>
    <xf numFmtId="179" fontId="0" fillId="19" borderId="24" xfId="0" applyNumberFormat="1" applyFill="1" applyBorder="1" applyAlignment="1">
      <alignment horizontal="center" vertical="center"/>
    </xf>
    <xf numFmtId="179" fontId="0" fillId="19" borderId="30" xfId="0" applyNumberFormat="1" applyFill="1" applyBorder="1" applyAlignment="1">
      <alignment horizontal="center" vertical="center"/>
    </xf>
    <xf numFmtId="179" fontId="0" fillId="0" borderId="24" xfId="0" applyNumberFormat="1" applyBorder="1" applyAlignment="1">
      <alignment horizontal="center" vertical="center"/>
    </xf>
    <xf numFmtId="179" fontId="0" fillId="0" borderId="29" xfId="0" applyNumberFormat="1" applyBorder="1" applyAlignment="1">
      <alignment horizontal="center" vertical="center"/>
    </xf>
    <xf numFmtId="179" fontId="0" fillId="19" borderId="60" xfId="0" applyNumberFormat="1" applyFill="1" applyBorder="1" applyAlignment="1">
      <alignment horizontal="center" vertical="center"/>
    </xf>
    <xf numFmtId="177" fontId="0" fillId="19" borderId="23" xfId="0" applyNumberFormat="1" applyFill="1" applyBorder="1" applyAlignment="1">
      <alignment horizontal="center" vertical="center"/>
    </xf>
    <xf numFmtId="0" fontId="0" fillId="11" borderId="40" xfId="0" applyFill="1" applyBorder="1" applyAlignment="1">
      <alignment horizontal="center" vertical="center"/>
    </xf>
    <xf numFmtId="176" fontId="12" fillId="11" borderId="63" xfId="0" applyNumberFormat="1" applyFont="1" applyFill="1" applyBorder="1" applyAlignment="1">
      <alignment horizontal="center" vertical="center"/>
    </xf>
    <xf numFmtId="0" fontId="0" fillId="11" borderId="44" xfId="0" applyFill="1" applyBorder="1" applyAlignment="1">
      <alignment horizontal="center" vertical="center"/>
    </xf>
    <xf numFmtId="0" fontId="0" fillId="11" borderId="61" xfId="0" applyFill="1" applyBorder="1" applyAlignment="1">
      <alignment horizontal="center" vertical="center"/>
    </xf>
    <xf numFmtId="0" fontId="4" fillId="0" borderId="0" xfId="0" applyFont="1" applyAlignment="1">
      <alignment horizontal="left" vertical="center"/>
    </xf>
    <xf numFmtId="176" fontId="0" fillId="19" borderId="60" xfId="0" applyNumberFormat="1" applyFill="1" applyBorder="1" applyAlignment="1">
      <alignment horizontal="center" vertical="center"/>
    </xf>
    <xf numFmtId="176" fontId="0" fillId="19" borderId="24" xfId="0" applyNumberFormat="1" applyFill="1" applyBorder="1" applyAlignment="1">
      <alignment horizontal="center" vertical="center"/>
    </xf>
    <xf numFmtId="49" fontId="0" fillId="11" borderId="15" xfId="0" applyNumberFormat="1" applyFill="1" applyBorder="1" applyAlignment="1">
      <alignment horizontal="left" vertical="center"/>
    </xf>
    <xf numFmtId="38" fontId="0" fillId="11" borderId="14" xfId="1" applyFont="1" applyFill="1" applyBorder="1">
      <alignment vertical="center"/>
    </xf>
    <xf numFmtId="38" fontId="0" fillId="11" borderId="13" xfId="1" applyFont="1" applyFill="1" applyBorder="1">
      <alignment vertical="center"/>
    </xf>
    <xf numFmtId="38" fontId="0" fillId="11" borderId="12" xfId="1" applyFont="1" applyFill="1" applyBorder="1">
      <alignment vertical="center"/>
    </xf>
    <xf numFmtId="0" fontId="0" fillId="11" borderId="12" xfId="0" applyFill="1" applyBorder="1" applyAlignment="1">
      <alignment horizontal="center" vertical="center"/>
    </xf>
    <xf numFmtId="0" fontId="0" fillId="11" borderId="58" xfId="0" applyFill="1" applyBorder="1" applyAlignment="1">
      <alignment horizontal="center" vertical="center"/>
    </xf>
    <xf numFmtId="0" fontId="0" fillId="11" borderId="13" xfId="0" applyFill="1" applyBorder="1" applyAlignment="1">
      <alignment horizontal="center" vertical="center"/>
    </xf>
    <xf numFmtId="0" fontId="0" fillId="11" borderId="30" xfId="0" applyFill="1" applyBorder="1" applyAlignment="1">
      <alignment horizontal="center" vertical="center"/>
    </xf>
    <xf numFmtId="176" fontId="0" fillId="11" borderId="30" xfId="0" applyNumberFormat="1" applyFill="1" applyBorder="1" applyAlignment="1">
      <alignment horizontal="center" vertical="center"/>
    </xf>
    <xf numFmtId="0" fontId="0" fillId="11" borderId="1" xfId="0" applyFill="1" applyBorder="1" applyAlignment="1">
      <alignment horizontal="center" vertical="center"/>
    </xf>
    <xf numFmtId="176" fontId="0" fillId="19" borderId="29" xfId="0" applyNumberFormat="1" applyFill="1" applyBorder="1" applyAlignment="1">
      <alignment horizontal="center" vertical="center"/>
    </xf>
    <xf numFmtId="0" fontId="0" fillId="19" borderId="22" xfId="0" applyFill="1" applyBorder="1" applyAlignment="1">
      <alignment horizontal="center" vertical="center"/>
    </xf>
    <xf numFmtId="177" fontId="0" fillId="0" borderId="90" xfId="0" applyNumberFormat="1" applyBorder="1" applyAlignment="1">
      <alignment horizontal="center" vertical="center"/>
    </xf>
    <xf numFmtId="0" fontId="0" fillId="0" borderId="91" xfId="0" applyBorder="1" applyAlignment="1">
      <alignment horizontal="center" vertical="center"/>
    </xf>
    <xf numFmtId="0" fontId="0" fillId="0" borderId="92" xfId="0" applyBorder="1" applyAlignment="1">
      <alignment horizontal="center" vertical="center"/>
    </xf>
    <xf numFmtId="176" fontId="0" fillId="0" borderId="92" xfId="0" applyNumberFormat="1" applyBorder="1" applyAlignment="1">
      <alignment horizontal="center" vertical="center"/>
    </xf>
    <xf numFmtId="0" fontId="13" fillId="19" borderId="0" xfId="0" applyFont="1" applyFill="1" applyAlignment="1">
      <alignment horizontal="center" vertical="center"/>
    </xf>
    <xf numFmtId="0" fontId="0" fillId="11" borderId="49" xfId="0" applyFill="1" applyBorder="1" applyAlignment="1">
      <alignment horizontal="center" vertical="center"/>
    </xf>
    <xf numFmtId="0" fontId="0" fillId="11" borderId="16" xfId="0" applyFill="1" applyBorder="1" applyAlignment="1">
      <alignment horizontal="center" vertical="center"/>
    </xf>
    <xf numFmtId="0" fontId="0" fillId="0" borderId="93" xfId="0" applyBorder="1">
      <alignment vertical="center"/>
    </xf>
    <xf numFmtId="0" fontId="0" fillId="0" borderId="94" xfId="0" applyBorder="1">
      <alignment vertical="center"/>
    </xf>
    <xf numFmtId="0" fontId="0" fillId="0" borderId="5" xfId="0" applyBorder="1">
      <alignment vertical="center"/>
    </xf>
    <xf numFmtId="38" fontId="0" fillId="0" borderId="66" xfId="1" applyFont="1" applyBorder="1">
      <alignment vertical="center"/>
    </xf>
    <xf numFmtId="0" fontId="0" fillId="0" borderId="8" xfId="0" applyBorder="1">
      <alignment vertical="center"/>
    </xf>
    <xf numFmtId="0" fontId="0" fillId="0" borderId="9" xfId="0" applyBorder="1">
      <alignment vertical="center"/>
    </xf>
    <xf numFmtId="0" fontId="0" fillId="0" borderId="11" xfId="0" applyBorder="1">
      <alignment vertical="center"/>
    </xf>
    <xf numFmtId="0" fontId="0" fillId="0" borderId="10" xfId="0" applyBorder="1">
      <alignment vertical="center"/>
    </xf>
    <xf numFmtId="0" fontId="0" fillId="0" borderId="95" xfId="0" applyBorder="1">
      <alignment vertical="center"/>
    </xf>
    <xf numFmtId="0" fontId="0" fillId="0" borderId="86" xfId="0" applyBorder="1">
      <alignment vertical="center"/>
    </xf>
    <xf numFmtId="0" fontId="0" fillId="0" borderId="87" xfId="0" applyBorder="1">
      <alignment vertical="center"/>
    </xf>
    <xf numFmtId="176" fontId="0" fillId="19" borderId="0" xfId="0" applyNumberFormat="1" applyFill="1" applyAlignment="1">
      <alignment horizontal="center" vertical="center"/>
    </xf>
    <xf numFmtId="0" fontId="0" fillId="0" borderId="72" xfId="0" applyBorder="1">
      <alignment vertical="center"/>
    </xf>
    <xf numFmtId="9" fontId="0" fillId="0" borderId="0" xfId="2" applyFont="1" applyFill="1" applyBorder="1">
      <alignment vertical="center"/>
    </xf>
    <xf numFmtId="9" fontId="0" fillId="0" borderId="74" xfId="0" applyNumberFormat="1" applyBorder="1">
      <alignment vertical="center"/>
    </xf>
    <xf numFmtId="176" fontId="3" fillId="17" borderId="0" xfId="0" applyNumberFormat="1" applyFont="1" applyFill="1" applyAlignment="1">
      <alignment horizontal="center" vertical="center"/>
    </xf>
    <xf numFmtId="0" fontId="0" fillId="11" borderId="15" xfId="0" applyFill="1" applyBorder="1" applyAlignment="1">
      <alignment horizontal="center" vertical="center"/>
    </xf>
    <xf numFmtId="0" fontId="0" fillId="0" borderId="72" xfId="0" applyBorder="1" applyAlignment="1">
      <alignment horizontal="center" vertical="center"/>
    </xf>
    <xf numFmtId="0" fontId="0" fillId="0" borderId="7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96" xfId="0" applyBorder="1" applyAlignment="1">
      <alignment horizontal="center" vertical="center"/>
    </xf>
    <xf numFmtId="0" fontId="0" fillId="0" borderId="97" xfId="0" applyBorder="1" applyAlignment="1">
      <alignment horizontal="center" vertical="center"/>
    </xf>
    <xf numFmtId="0" fontId="0" fillId="0" borderId="98" xfId="0" applyBorder="1" applyAlignment="1">
      <alignment horizontal="center" vertical="center"/>
    </xf>
    <xf numFmtId="0" fontId="0" fillId="0" borderId="99" xfId="0" applyBorder="1" applyAlignment="1">
      <alignment horizontal="center" vertical="center"/>
    </xf>
    <xf numFmtId="0" fontId="0" fillId="0" borderId="100" xfId="0" applyBorder="1" applyAlignment="1">
      <alignment horizontal="center" vertical="center"/>
    </xf>
    <xf numFmtId="179" fontId="0" fillId="19" borderId="29" xfId="0" applyNumberFormat="1" applyFill="1" applyBorder="1" applyAlignment="1">
      <alignment horizontal="center" vertical="center"/>
    </xf>
    <xf numFmtId="38" fontId="0" fillId="5" borderId="12" xfId="1" applyFont="1" applyFill="1" applyBorder="1">
      <alignment vertical="center"/>
    </xf>
    <xf numFmtId="176" fontId="0" fillId="0" borderId="27" xfId="0" applyNumberFormat="1" applyBorder="1" applyAlignment="1">
      <alignment horizontal="center" vertical="center"/>
    </xf>
    <xf numFmtId="176" fontId="0" fillId="0" borderId="26" xfId="0" applyNumberFormat="1" applyBorder="1" applyAlignment="1">
      <alignment horizontal="center" vertical="center"/>
    </xf>
    <xf numFmtId="176" fontId="0" fillId="0" borderId="50" xfId="0" applyNumberFormat="1" applyBorder="1" applyAlignment="1">
      <alignment horizontal="center" vertical="center"/>
    </xf>
    <xf numFmtId="176" fontId="0" fillId="0" borderId="61" xfId="0" applyNumberFormat="1" applyBorder="1" applyAlignment="1">
      <alignment horizontal="center" vertical="center"/>
    </xf>
    <xf numFmtId="0" fontId="3" fillId="19" borderId="11" xfId="0" applyFont="1" applyFill="1" applyBorder="1" applyAlignment="1">
      <alignment horizontal="center" vertical="center"/>
    </xf>
    <xf numFmtId="55" fontId="3" fillId="5" borderId="0" xfId="0" applyNumberFormat="1" applyFont="1" applyFill="1" applyAlignment="1">
      <alignment horizontal="center" vertical="center"/>
    </xf>
    <xf numFmtId="176" fontId="0" fillId="0" borderId="53" xfId="0" applyNumberFormat="1" applyBorder="1" applyAlignment="1">
      <alignment horizontal="center" vertical="center"/>
    </xf>
    <xf numFmtId="176" fontId="0" fillId="0" borderId="33" xfId="0" applyNumberFormat="1" applyBorder="1" applyAlignment="1">
      <alignment horizontal="center" vertical="center"/>
    </xf>
    <xf numFmtId="176" fontId="0" fillId="0" borderId="54" xfId="0" applyNumberFormat="1" applyBorder="1" applyAlignment="1">
      <alignment horizontal="center" vertical="center"/>
    </xf>
    <xf numFmtId="176" fontId="0" fillId="0" borderId="31" xfId="0" applyNumberFormat="1" applyBorder="1" applyAlignment="1">
      <alignment horizontal="center" vertical="center"/>
    </xf>
    <xf numFmtId="176" fontId="0" fillId="0" borderId="49" xfId="0" applyNumberFormat="1" applyBorder="1" applyAlignment="1">
      <alignment horizontal="center" vertical="center"/>
    </xf>
    <xf numFmtId="180" fontId="0" fillId="0" borderId="0" xfId="0" applyNumberFormat="1">
      <alignment vertical="center"/>
    </xf>
    <xf numFmtId="180" fontId="0" fillId="0" borderId="81" xfId="0" applyNumberFormat="1" applyBorder="1">
      <alignment vertical="center"/>
    </xf>
    <xf numFmtId="0" fontId="0" fillId="17" borderId="3" xfId="0" applyFill="1" applyBorder="1">
      <alignment vertical="center"/>
    </xf>
    <xf numFmtId="0" fontId="0" fillId="16" borderId="95" xfId="0" applyFill="1" applyBorder="1" applyAlignment="1">
      <alignment horizontal="center" vertical="center"/>
    </xf>
    <xf numFmtId="0" fontId="3" fillId="0" borderId="88" xfId="0" applyFont="1" applyBorder="1">
      <alignment vertical="center"/>
    </xf>
    <xf numFmtId="0" fontId="0" fillId="0" borderId="88" xfId="0" applyBorder="1">
      <alignment vertical="center"/>
    </xf>
    <xf numFmtId="0" fontId="0" fillId="21" borderId="0" xfId="0" applyFill="1">
      <alignment vertical="center"/>
    </xf>
    <xf numFmtId="0" fontId="0" fillId="4" borderId="81" xfId="0" applyFill="1" applyBorder="1">
      <alignment vertical="center"/>
    </xf>
    <xf numFmtId="0" fontId="0" fillId="4" borderId="0" xfId="0" applyFill="1">
      <alignment vertical="center"/>
    </xf>
    <xf numFmtId="176" fontId="3" fillId="11" borderId="0" xfId="0" applyNumberFormat="1" applyFont="1" applyFill="1" applyAlignment="1">
      <alignment horizontal="center" vertical="center"/>
    </xf>
    <xf numFmtId="0" fontId="9" fillId="5" borderId="0" xfId="0" applyFont="1" applyFill="1" applyAlignment="1">
      <alignment horizontal="left" vertical="center"/>
    </xf>
    <xf numFmtId="0" fontId="5" fillId="5" borderId="26" xfId="0" applyFont="1" applyFill="1" applyBorder="1" applyAlignment="1">
      <alignment horizontal="center" vertical="center"/>
    </xf>
    <xf numFmtId="0" fontId="0" fillId="5" borderId="26" xfId="0" applyFill="1" applyBorder="1" applyAlignment="1">
      <alignment horizontal="center" vertical="center"/>
    </xf>
    <xf numFmtId="55" fontId="3" fillId="0" borderId="46" xfId="0" applyNumberFormat="1" applyFont="1" applyBorder="1" applyAlignment="1">
      <alignment horizontal="center" vertical="center"/>
    </xf>
    <xf numFmtId="55" fontId="3" fillId="0" borderId="48" xfId="0" applyNumberFormat="1" applyFont="1" applyBorder="1" applyAlignment="1">
      <alignment horizontal="center" vertical="center"/>
    </xf>
    <xf numFmtId="55" fontId="3" fillId="0" borderId="45" xfId="0" applyNumberFormat="1" applyFont="1" applyBorder="1" applyAlignment="1">
      <alignment horizontal="center" vertical="center"/>
    </xf>
    <xf numFmtId="38" fontId="0" fillId="0" borderId="4" xfId="1" applyFont="1" applyFill="1" applyBorder="1" applyAlignment="1">
      <alignment horizontal="center" vertical="center"/>
    </xf>
    <xf numFmtId="38" fontId="0" fillId="0" borderId="27" xfId="1" applyFont="1" applyFill="1" applyBorder="1" applyAlignment="1">
      <alignment horizontal="center" vertical="center"/>
    </xf>
    <xf numFmtId="38" fontId="0" fillId="0" borderId="3" xfId="1" applyFont="1" applyFill="1" applyBorder="1" applyAlignment="1">
      <alignment horizontal="center" vertical="center"/>
    </xf>
    <xf numFmtId="0" fontId="0" fillId="4" borderId="4" xfId="0" applyFill="1" applyBorder="1" applyAlignment="1">
      <alignment horizontal="center" vertical="center"/>
    </xf>
    <xf numFmtId="0" fontId="0" fillId="4" borderId="27" xfId="0" applyFill="1" applyBorder="1" applyAlignment="1">
      <alignment horizontal="center" vertical="center"/>
    </xf>
    <xf numFmtId="0" fontId="0" fillId="4" borderId="3" xfId="0" applyFill="1" applyBorder="1" applyAlignment="1">
      <alignment horizontal="center" vertical="center"/>
    </xf>
    <xf numFmtId="0" fontId="0" fillId="0" borderId="50" xfId="0" applyBorder="1">
      <alignment vertical="center"/>
    </xf>
    <xf numFmtId="0" fontId="0" fillId="0" borderId="13" xfId="0" applyBorder="1">
      <alignment vertical="center"/>
    </xf>
    <xf numFmtId="0" fontId="5" fillId="0" borderId="0" xfId="0" applyFont="1">
      <alignment vertical="center"/>
    </xf>
    <xf numFmtId="0" fontId="0" fillId="0" borderId="90" xfId="0" applyBorder="1">
      <alignment vertical="center"/>
    </xf>
    <xf numFmtId="0" fontId="0" fillId="17" borderId="49" xfId="0" applyFill="1" applyBorder="1">
      <alignment vertical="center"/>
    </xf>
    <xf numFmtId="0" fontId="0" fillId="6" borderId="88" xfId="0" applyFill="1" applyBorder="1">
      <alignment vertical="center"/>
    </xf>
    <xf numFmtId="0" fontId="0" fillId="6" borderId="84" xfId="0" applyFill="1" applyBorder="1">
      <alignment vertical="center"/>
    </xf>
    <xf numFmtId="176" fontId="3" fillId="0" borderId="29" xfId="0" applyNumberFormat="1" applyFont="1" applyBorder="1" applyAlignment="1">
      <alignment horizontal="center" vertical="center"/>
    </xf>
    <xf numFmtId="0" fontId="13" fillId="19" borderId="0" xfId="0" applyFont="1" applyFill="1" applyAlignment="1">
      <alignment horizontal="center" vertical="center"/>
    </xf>
    <xf numFmtId="0" fontId="0" fillId="4" borderId="34" xfId="0" applyFill="1" applyBorder="1" applyAlignment="1">
      <alignment horizontal="left" vertical="center"/>
    </xf>
    <xf numFmtId="0" fontId="0" fillId="4" borderId="35" xfId="0" applyFill="1" applyBorder="1" applyAlignment="1">
      <alignment horizontal="left" vertical="center"/>
    </xf>
    <xf numFmtId="0" fontId="0" fillId="4" borderId="65" xfId="0" applyFill="1" applyBorder="1" applyAlignment="1">
      <alignment horizontal="left" vertical="center"/>
    </xf>
    <xf numFmtId="0" fontId="9" fillId="0" borderId="37" xfId="0" applyFont="1" applyBorder="1" applyAlignment="1">
      <alignment horizontal="center" vertical="top" wrapText="1"/>
    </xf>
    <xf numFmtId="0" fontId="8" fillId="0" borderId="37" xfId="0" applyFont="1" applyBorder="1" applyAlignment="1">
      <alignment horizontal="center" vertical="top"/>
    </xf>
    <xf numFmtId="0" fontId="8" fillId="0" borderId="28" xfId="0" applyFont="1" applyBorder="1" applyAlignment="1">
      <alignment horizontal="center" vertical="top"/>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8" xfId="0" applyBorder="1" applyAlignment="1">
      <alignment horizontal="center" vertical="center"/>
    </xf>
    <xf numFmtId="0" fontId="0" fillId="4" borderId="36" xfId="0" applyFill="1" applyBorder="1" applyAlignment="1">
      <alignment horizontal="left" vertical="center"/>
    </xf>
    <xf numFmtId="0" fontId="9" fillId="0" borderId="22" xfId="0" applyFont="1" applyBorder="1" applyAlignment="1">
      <alignment horizontal="center" vertical="top" wrapText="1"/>
    </xf>
    <xf numFmtId="0" fontId="9" fillId="0" borderId="28" xfId="0" applyFont="1" applyBorder="1" applyAlignment="1">
      <alignment horizontal="center" vertical="top" wrapText="1"/>
    </xf>
    <xf numFmtId="0" fontId="0" fillId="0" borderId="60" xfId="0" applyBorder="1" applyAlignment="1">
      <alignment horizontal="center" vertical="center" wrapText="1"/>
    </xf>
    <xf numFmtId="0" fontId="0" fillId="0" borderId="0" xfId="0" applyAlignment="1">
      <alignment horizontal="center" vertical="center" wrapText="1"/>
    </xf>
    <xf numFmtId="0" fontId="0" fillId="0" borderId="29" xfId="0" applyBorder="1" applyAlignment="1">
      <alignment horizontal="center" vertical="center" wrapText="1"/>
    </xf>
    <xf numFmtId="56" fontId="0" fillId="0" borderId="29" xfId="0" applyNumberForma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9" fillId="0" borderId="37" xfId="0" applyFont="1" applyBorder="1" applyAlignment="1">
      <alignment horizontal="center" vertical="top"/>
    </xf>
    <xf numFmtId="0" fontId="9" fillId="0" borderId="28" xfId="0" applyFont="1" applyBorder="1" applyAlignment="1">
      <alignment horizontal="center" vertical="top"/>
    </xf>
    <xf numFmtId="0" fontId="0" fillId="11" borderId="31" xfId="0" applyFill="1" applyBorder="1" applyAlignment="1">
      <alignment horizontal="center" vertical="center" wrapText="1"/>
    </xf>
    <xf numFmtId="0" fontId="0" fillId="11" borderId="32" xfId="0" applyFill="1" applyBorder="1" applyAlignment="1">
      <alignment horizontal="center" vertical="center"/>
    </xf>
    <xf numFmtId="0" fontId="0" fillId="11" borderId="33" xfId="0" applyFill="1" applyBorder="1" applyAlignment="1">
      <alignment horizontal="center" vertical="center"/>
    </xf>
    <xf numFmtId="177" fontId="3" fillId="0" borderId="59" xfId="0" applyNumberFormat="1" applyFont="1" applyBorder="1" applyAlignment="1">
      <alignment horizontal="center" vertical="center" wrapText="1"/>
    </xf>
    <xf numFmtId="177" fontId="3" fillId="0" borderId="59" xfId="0" applyNumberFormat="1" applyFont="1" applyBorder="1" applyAlignment="1">
      <alignment horizontal="center" vertical="center"/>
    </xf>
    <xf numFmtId="55" fontId="3" fillId="0" borderId="9" xfId="0" applyNumberFormat="1" applyFont="1" applyBorder="1" applyAlignment="1">
      <alignment horizontal="center" vertical="center"/>
    </xf>
    <xf numFmtId="55" fontId="3" fillId="11" borderId="9" xfId="0" applyNumberFormat="1" applyFont="1" applyFill="1" applyBorder="1" applyAlignment="1">
      <alignment horizontal="center" vertical="center"/>
    </xf>
    <xf numFmtId="0" fontId="3" fillId="11" borderId="11" xfId="0" applyFont="1" applyFill="1" applyBorder="1" applyAlignment="1">
      <alignment horizontal="center" vertical="center"/>
    </xf>
    <xf numFmtId="0" fontId="3" fillId="19" borderId="9" xfId="0" applyFont="1" applyFill="1" applyBorder="1" applyAlignment="1">
      <alignment horizontal="center" vertical="center"/>
    </xf>
    <xf numFmtId="0" fontId="3" fillId="19" borderId="11" xfId="0" applyFont="1" applyFill="1" applyBorder="1" applyAlignment="1">
      <alignment horizontal="center" vertical="center"/>
    </xf>
    <xf numFmtId="177" fontId="3" fillId="0" borderId="9" xfId="0" applyNumberFormat="1" applyFont="1" applyBorder="1" applyAlignment="1">
      <alignment horizontal="center" vertical="center" wrapText="1"/>
    </xf>
    <xf numFmtId="177" fontId="3" fillId="0" borderId="9" xfId="0" applyNumberFormat="1" applyFont="1" applyBorder="1" applyAlignment="1">
      <alignment horizontal="center" vertical="center"/>
    </xf>
    <xf numFmtId="0" fontId="0" fillId="4" borderId="6" xfId="0" applyFill="1" applyBorder="1" applyAlignment="1">
      <alignment horizontal="left" vertical="center"/>
    </xf>
    <xf numFmtId="0" fontId="0" fillId="4" borderId="23" xfId="0" applyFill="1" applyBorder="1" applyAlignment="1">
      <alignment horizontal="left" vertical="center"/>
    </xf>
    <xf numFmtId="0" fontId="9" fillId="11" borderId="22" xfId="0" applyFont="1" applyFill="1" applyBorder="1" applyAlignment="1">
      <alignment horizontal="center" vertical="top" wrapText="1"/>
    </xf>
    <xf numFmtId="0" fontId="9" fillId="11" borderId="37" xfId="0" applyFont="1" applyFill="1" applyBorder="1" applyAlignment="1">
      <alignment horizontal="center" vertical="top" wrapText="1"/>
    </xf>
    <xf numFmtId="0" fontId="9" fillId="11" borderId="28" xfId="0" applyFont="1" applyFill="1" applyBorder="1" applyAlignment="1">
      <alignment horizontal="center" vertical="top" wrapText="1"/>
    </xf>
    <xf numFmtId="0" fontId="13" fillId="0" borderId="22" xfId="0" applyFont="1" applyBorder="1" applyAlignment="1">
      <alignment horizontal="center" vertical="top" wrapText="1"/>
    </xf>
    <xf numFmtId="0" fontId="13" fillId="0" borderId="37" xfId="0" applyFont="1" applyBorder="1" applyAlignment="1">
      <alignment horizontal="center" vertical="top"/>
    </xf>
    <xf numFmtId="0" fontId="13" fillId="0" borderId="28" xfId="0" applyFont="1" applyBorder="1" applyAlignment="1">
      <alignment horizontal="center" vertical="top"/>
    </xf>
    <xf numFmtId="0" fontId="9" fillId="0" borderId="22" xfId="0" applyFont="1" applyBorder="1" applyAlignment="1">
      <alignment horizontal="left" vertical="top" wrapText="1"/>
    </xf>
    <xf numFmtId="0" fontId="9" fillId="0" borderId="37" xfId="0" applyFont="1" applyBorder="1" applyAlignment="1">
      <alignment horizontal="left" vertical="top"/>
    </xf>
    <xf numFmtId="0" fontId="9" fillId="0" borderId="28" xfId="0" applyFont="1" applyBorder="1" applyAlignment="1">
      <alignment horizontal="left" vertical="top"/>
    </xf>
    <xf numFmtId="38" fontId="3" fillId="3" borderId="9" xfId="1" applyFont="1" applyFill="1" applyBorder="1" applyAlignment="1">
      <alignment horizontal="center" vertical="center"/>
    </xf>
    <xf numFmtId="38" fontId="3" fillId="3" borderId="11" xfId="1" applyFont="1" applyFill="1" applyBorder="1" applyAlignment="1">
      <alignment horizontal="center" vertical="center"/>
    </xf>
    <xf numFmtId="38" fontId="3" fillId="3" borderId="10" xfId="1" applyFont="1" applyFill="1" applyBorder="1" applyAlignment="1">
      <alignment horizontal="center" vertical="center"/>
    </xf>
    <xf numFmtId="0" fontId="0" fillId="2" borderId="9" xfId="0" applyFill="1" applyBorder="1" applyAlignment="1">
      <alignment horizontal="left" vertical="center"/>
    </xf>
    <xf numFmtId="0" fontId="0" fillId="2" borderId="11" xfId="0" applyFill="1" applyBorder="1" applyAlignment="1">
      <alignment horizontal="left" vertical="center"/>
    </xf>
    <xf numFmtId="0" fontId="0" fillId="2" borderId="10" xfId="0" applyFill="1" applyBorder="1" applyAlignment="1">
      <alignment horizontal="left" vertical="center"/>
    </xf>
    <xf numFmtId="0" fontId="15" fillId="0" borderId="22" xfId="0" applyFont="1" applyBorder="1" applyAlignment="1">
      <alignment horizontal="center" vertical="center" wrapText="1"/>
    </xf>
    <xf numFmtId="0" fontId="15" fillId="0" borderId="37" xfId="0" applyFont="1" applyBorder="1" applyAlignment="1">
      <alignment horizontal="center" vertical="center"/>
    </xf>
    <xf numFmtId="0" fontId="9" fillId="0" borderId="22"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28" xfId="0" applyFont="1" applyBorder="1" applyAlignment="1">
      <alignment horizontal="center" vertical="center" wrapText="1"/>
    </xf>
    <xf numFmtId="176" fontId="3" fillId="11" borderId="0" xfId="0" applyNumberFormat="1" applyFont="1" applyFill="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11" borderId="32" xfId="0" applyFill="1" applyBorder="1" applyAlignment="1">
      <alignment horizontal="center" vertical="center" wrapText="1"/>
    </xf>
    <xf numFmtId="0" fontId="0" fillId="11" borderId="38" xfId="0" applyFill="1" applyBorder="1" applyAlignment="1">
      <alignment horizontal="center" vertical="center"/>
    </xf>
    <xf numFmtId="0" fontId="15" fillId="0" borderId="37" xfId="0" applyFont="1" applyBorder="1" applyAlignment="1">
      <alignment horizontal="center" vertical="top" wrapText="1"/>
    </xf>
    <xf numFmtId="0" fontId="11" fillId="10" borderId="0" xfId="0" applyFont="1" applyFill="1" applyAlignment="1">
      <alignment horizontal="center" vertical="center"/>
    </xf>
    <xf numFmtId="0" fontId="0" fillId="0" borderId="72" xfId="0" applyBorder="1" applyAlignment="1">
      <alignment horizontal="center" vertical="center"/>
    </xf>
    <xf numFmtId="0" fontId="0" fillId="0" borderId="0" xfId="0" applyAlignment="1">
      <alignment horizontal="center" vertical="center"/>
    </xf>
    <xf numFmtId="0" fontId="0" fillId="0" borderId="74" xfId="0" applyBorder="1" applyAlignment="1">
      <alignment horizontal="center" vertical="center"/>
    </xf>
    <xf numFmtId="0" fontId="5" fillId="0" borderId="22" xfId="0" applyFont="1" applyBorder="1" applyAlignment="1">
      <alignment horizontal="center" vertical="center"/>
    </xf>
    <xf numFmtId="0" fontId="8" fillId="0" borderId="37" xfId="0" applyFont="1" applyBorder="1" applyAlignment="1">
      <alignment horizontal="center" vertical="center"/>
    </xf>
    <xf numFmtId="0" fontId="8" fillId="0" borderId="28" xfId="0" applyFont="1" applyBorder="1" applyAlignment="1">
      <alignment horizontal="center" vertical="center"/>
    </xf>
    <xf numFmtId="0" fontId="0" fillId="0" borderId="22" xfId="0" applyBorder="1" applyAlignment="1">
      <alignment horizontal="center" vertical="center"/>
    </xf>
    <xf numFmtId="0" fontId="0" fillId="0" borderId="37" xfId="0" applyBorder="1" applyAlignment="1">
      <alignment horizontal="center" vertical="center"/>
    </xf>
    <xf numFmtId="0" fontId="0" fillId="0" borderId="28" xfId="0" applyBorder="1" applyAlignment="1">
      <alignment horizontal="center" vertical="center"/>
    </xf>
    <xf numFmtId="0" fontId="0" fillId="0" borderId="22" xfId="0" applyBorder="1" applyAlignment="1">
      <alignment horizontal="center" vertical="center" wrapText="1"/>
    </xf>
    <xf numFmtId="0" fontId="8" fillId="0" borderId="22" xfId="0" applyFont="1" applyBorder="1" applyAlignment="1">
      <alignment horizontal="center" vertical="center"/>
    </xf>
    <xf numFmtId="0" fontId="8" fillId="0" borderId="22" xfId="0" applyFont="1" applyBorder="1" applyAlignment="1">
      <alignment horizontal="center" vertical="center" wrapText="1"/>
    </xf>
    <xf numFmtId="0" fontId="5" fillId="0" borderId="22" xfId="0" applyFont="1" applyBorder="1" applyAlignment="1">
      <alignment horizontal="center" vertical="center" wrapText="1"/>
    </xf>
    <xf numFmtId="0" fontId="9" fillId="0" borderId="37" xfId="0" applyFont="1" applyBorder="1" applyAlignment="1">
      <alignment horizontal="center" vertical="center"/>
    </xf>
    <xf numFmtId="0" fontId="9" fillId="0" borderId="28" xfId="0" applyFont="1" applyBorder="1" applyAlignment="1">
      <alignment horizontal="center" vertical="center"/>
    </xf>
    <xf numFmtId="0" fontId="4" fillId="0" borderId="0" xfId="0" applyFont="1" applyAlignment="1">
      <alignment horizontal="left" vertical="center"/>
    </xf>
    <xf numFmtId="177" fontId="3" fillId="0" borderId="18" xfId="1" applyNumberFormat="1" applyFont="1" applyFill="1" applyBorder="1" applyAlignment="1">
      <alignment horizontal="center" vertical="center"/>
    </xf>
    <xf numFmtId="177" fontId="0" fillId="0" borderId="18" xfId="1" applyNumberFormat="1" applyFont="1" applyFill="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177" fontId="0" fillId="0" borderId="9" xfId="0" applyNumberFormat="1" applyBorder="1" applyAlignment="1">
      <alignment horizontal="center" vertical="center"/>
    </xf>
    <xf numFmtId="0" fontId="0" fillId="16" borderId="46" xfId="0" applyFill="1" applyBorder="1" applyAlignment="1">
      <alignment horizontal="center" vertical="center"/>
    </xf>
    <xf numFmtId="0" fontId="0" fillId="16" borderId="48" xfId="0" applyFill="1" applyBorder="1" applyAlignment="1">
      <alignment horizontal="center" vertical="center"/>
    </xf>
    <xf numFmtId="0" fontId="0" fillId="16" borderId="45" xfId="0" applyFill="1" applyBorder="1" applyAlignment="1">
      <alignment horizontal="center" vertical="center"/>
    </xf>
    <xf numFmtId="55" fontId="0" fillId="20" borderId="9" xfId="0" applyNumberFormat="1" applyFill="1" applyBorder="1" applyAlignment="1">
      <alignment horizontal="center" vertical="center"/>
    </xf>
    <xf numFmtId="55" fontId="0" fillId="20" borderId="11" xfId="0" applyNumberFormat="1" applyFill="1" applyBorder="1" applyAlignment="1">
      <alignment horizontal="center" vertical="center"/>
    </xf>
    <xf numFmtId="55" fontId="0" fillId="20" borderId="10" xfId="0" applyNumberFormat="1" applyFill="1" applyBorder="1" applyAlignment="1">
      <alignment horizontal="center" vertical="center"/>
    </xf>
    <xf numFmtId="0" fontId="0" fillId="17" borderId="0" xfId="0" applyFill="1"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0" fontId="3" fillId="11" borderId="0" xfId="0" applyFont="1" applyFill="1" applyAlignment="1">
      <alignment horizontal="center" vertical="center"/>
    </xf>
    <xf numFmtId="0" fontId="11" fillId="10" borderId="37" xfId="0" applyFont="1" applyFill="1" applyBorder="1" applyAlignment="1">
      <alignment horizontal="center" vertical="center"/>
    </xf>
    <xf numFmtId="0" fontId="11" fillId="10" borderId="93" xfId="0" applyFont="1" applyFill="1" applyBorder="1" applyAlignment="1">
      <alignment horizontal="center" vertical="center"/>
    </xf>
    <xf numFmtId="176" fontId="11" fillId="22" borderId="72" xfId="0" applyNumberFormat="1" applyFont="1" applyFill="1" applyBorder="1" applyAlignment="1">
      <alignment horizontal="center" vertical="center"/>
    </xf>
    <xf numFmtId="0" fontId="11" fillId="0" borderId="93" xfId="0" applyFont="1" applyBorder="1" applyAlignment="1">
      <alignment horizontal="center" vertical="center"/>
    </xf>
    <xf numFmtId="0" fontId="11" fillId="24" borderId="0" xfId="0" applyFont="1" applyFill="1" applyAlignment="1">
      <alignment horizontal="center" vertical="center"/>
    </xf>
    <xf numFmtId="0" fontId="11" fillId="23" borderId="0" xfId="0" applyFont="1" applyFill="1" applyAlignment="1">
      <alignment horizontal="center" vertical="center"/>
    </xf>
    <xf numFmtId="0" fontId="3" fillId="4" borderId="0" xfId="0" applyFont="1" applyFill="1" applyAlignment="1">
      <alignment horizontal="center" vertical="center"/>
    </xf>
    <xf numFmtId="0" fontId="3" fillId="21" borderId="0" xfId="0" applyFont="1" applyFill="1" applyAlignment="1">
      <alignment horizontal="center" vertical="center"/>
    </xf>
    <xf numFmtId="179" fontId="0" fillId="19" borderId="0" xfId="0" applyNumberFormat="1" applyFill="1" applyBorder="1" applyAlignment="1">
      <alignment horizontal="center" vertical="center"/>
    </xf>
    <xf numFmtId="176" fontId="0" fillId="19" borderId="0" xfId="0" applyNumberFormat="1" applyFill="1" applyBorder="1" applyAlignment="1">
      <alignment horizontal="center" vertical="center"/>
    </xf>
    <xf numFmtId="179" fontId="0" fillId="0" borderId="0" xfId="0" applyNumberFormat="1" applyBorder="1" applyAlignment="1">
      <alignment horizontal="center" vertical="center"/>
    </xf>
    <xf numFmtId="176"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3" xfId="0" applyFill="1" applyBorder="1">
      <alignment vertical="center"/>
    </xf>
    <xf numFmtId="0" fontId="0" fillId="0" borderId="88" xfId="0" applyFill="1" applyBorder="1">
      <alignment vertical="center"/>
    </xf>
    <xf numFmtId="0" fontId="0" fillId="0" borderId="31" xfId="0" applyBorder="1" applyAlignment="1">
      <alignment vertical="center"/>
    </xf>
    <xf numFmtId="0" fontId="0" fillId="0" borderId="32" xfId="0" applyBorder="1" applyAlignment="1">
      <alignment vertical="center"/>
    </xf>
    <xf numFmtId="38" fontId="0" fillId="0" borderId="16" xfId="1" applyFont="1" applyFill="1" applyBorder="1">
      <alignment vertical="center"/>
    </xf>
    <xf numFmtId="38" fontId="0" fillId="0" borderId="63" xfId="1" applyFont="1" applyBorder="1">
      <alignment vertical="center"/>
    </xf>
    <xf numFmtId="179" fontId="0" fillId="0" borderId="60" xfId="0" applyNumberFormat="1" applyBorder="1" applyAlignment="1">
      <alignment horizontal="center" vertical="center"/>
    </xf>
    <xf numFmtId="177" fontId="0" fillId="4" borderId="101" xfId="0" applyNumberFormat="1" applyFill="1" applyBorder="1" applyAlignment="1">
      <alignment horizontal="center" vertical="center"/>
    </xf>
    <xf numFmtId="0" fontId="9" fillId="0" borderId="22" xfId="0" applyFont="1" applyFill="1" applyBorder="1" applyAlignment="1">
      <alignment horizontal="center" vertical="top" wrapText="1"/>
    </xf>
    <xf numFmtId="0" fontId="9" fillId="0" borderId="37" xfId="0" applyFont="1" applyFill="1" applyBorder="1" applyAlignment="1">
      <alignment horizontal="center" vertical="top" wrapText="1"/>
    </xf>
    <xf numFmtId="0" fontId="9" fillId="0" borderId="37" xfId="0" applyFont="1" applyFill="1" applyBorder="1" applyAlignment="1">
      <alignment horizontal="center" vertical="top"/>
    </xf>
    <xf numFmtId="0" fontId="0" fillId="5" borderId="34" xfId="0" applyFill="1" applyBorder="1" applyAlignment="1">
      <alignment horizontal="left" vertical="center"/>
    </xf>
    <xf numFmtId="0" fontId="0" fillId="5" borderId="35" xfId="0" applyFill="1" applyBorder="1" applyAlignment="1">
      <alignment horizontal="left" vertical="center"/>
    </xf>
    <xf numFmtId="0" fontId="0" fillId="5" borderId="36" xfId="0" applyFill="1" applyBorder="1" applyAlignment="1">
      <alignment horizontal="left" vertical="center"/>
    </xf>
    <xf numFmtId="0" fontId="0" fillId="4" borderId="0" xfId="0" applyFill="1" applyBorder="1" applyAlignment="1">
      <alignment horizontal="center" vertical="center"/>
    </xf>
    <xf numFmtId="176" fontId="0" fillId="4" borderId="42" xfId="0" applyNumberFormat="1" applyFill="1" applyBorder="1" applyAlignment="1">
      <alignment horizontal="center" vertical="center"/>
    </xf>
    <xf numFmtId="176" fontId="0" fillId="4" borderId="48" xfId="0" applyNumberFormat="1" applyFill="1" applyBorder="1" applyAlignment="1">
      <alignment horizontal="center" vertical="center"/>
    </xf>
    <xf numFmtId="38" fontId="0" fillId="0" borderId="0" xfId="1" applyFont="1" applyFill="1" applyBorder="1">
      <alignment vertical="center"/>
    </xf>
    <xf numFmtId="0" fontId="0" fillId="0" borderId="37" xfId="0" applyFill="1" applyBorder="1" applyAlignment="1">
      <alignment horizontal="center" vertical="center"/>
    </xf>
    <xf numFmtId="0" fontId="0" fillId="0" borderId="26" xfId="0" applyFill="1" applyBorder="1" applyAlignment="1">
      <alignment horizontal="center" vertical="center"/>
    </xf>
    <xf numFmtId="0" fontId="0" fillId="0" borderId="44" xfId="0" applyFill="1" applyBorder="1" applyAlignment="1">
      <alignment horizontal="center" vertical="center"/>
    </xf>
    <xf numFmtId="0" fontId="0" fillId="0" borderId="1" xfId="0" applyFill="1" applyBorder="1" applyAlignment="1">
      <alignment horizontal="center" vertical="center"/>
    </xf>
    <xf numFmtId="176" fontId="0" fillId="0" borderId="42" xfId="0" applyNumberFormat="1" applyFill="1" applyBorder="1" applyAlignment="1">
      <alignment horizontal="center" vertical="center"/>
    </xf>
    <xf numFmtId="177" fontId="0" fillId="0" borderId="6" xfId="0" applyNumberFormat="1" applyFill="1" applyBorder="1" applyAlignment="1">
      <alignment horizontal="center" vertical="center"/>
    </xf>
    <xf numFmtId="177" fontId="0" fillId="0" borderId="85" xfId="0" applyNumberFormat="1" applyFill="1" applyBorder="1" applyAlignment="1">
      <alignment horizontal="center" vertical="center"/>
    </xf>
    <xf numFmtId="176" fontId="0" fillId="0" borderId="63" xfId="0" applyNumberFormat="1" applyFill="1" applyBorder="1" applyAlignment="1">
      <alignment horizontal="center" vertical="center"/>
    </xf>
    <xf numFmtId="0" fontId="0" fillId="0" borderId="27" xfId="0" applyFill="1" applyBorder="1" applyAlignment="1">
      <alignment horizontal="center" vertical="center"/>
    </xf>
    <xf numFmtId="38" fontId="0" fillId="0" borderId="24" xfId="1" applyFont="1" applyBorder="1">
      <alignment vertical="center"/>
    </xf>
    <xf numFmtId="38" fontId="0" fillId="0" borderId="30" xfId="1" applyFont="1" applyBorder="1">
      <alignment vertical="center"/>
    </xf>
    <xf numFmtId="49" fontId="0" fillId="0" borderId="96" xfId="0" applyNumberFormat="1" applyBorder="1" applyAlignment="1">
      <alignment horizontal="left" vertical="center"/>
    </xf>
    <xf numFmtId="49" fontId="0" fillId="0" borderId="102" xfId="0" applyNumberFormat="1" applyBorder="1" applyAlignment="1">
      <alignment horizontal="left" vertical="center"/>
    </xf>
    <xf numFmtId="177" fontId="0" fillId="19" borderId="0" xfId="0" applyNumberFormat="1" applyFill="1" applyBorder="1" applyAlignment="1">
      <alignment horizontal="center" vertical="center"/>
    </xf>
  </cellXfs>
  <cellStyles count="5">
    <cellStyle name="パーセント" xfId="2" builtinId="5"/>
    <cellStyle name="桁区切り" xfId="1" builtinId="6"/>
    <cellStyle name="桁区切り 2" xfId="4" xr:uid="{BBF1D972-760B-452E-B5CD-7790E0DAA510}"/>
    <cellStyle name="標準" xfId="0" builtinId="0"/>
    <cellStyle name="標準 2" xfId="3" xr:uid="{98EB7CDC-DE33-4C89-925C-50BE7DFF702A}"/>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44</xdr:col>
      <xdr:colOff>54429</xdr:colOff>
      <xdr:row>68</xdr:row>
      <xdr:rowOff>68035</xdr:rowOff>
    </xdr:from>
    <xdr:to>
      <xdr:col>45</xdr:col>
      <xdr:colOff>775607</xdr:colOff>
      <xdr:row>72</xdr:row>
      <xdr:rowOff>326572</xdr:rowOff>
    </xdr:to>
    <xdr:sp macro="" textlink="">
      <xdr:nvSpPr>
        <xdr:cNvPr id="2" name="テキスト ボックス 1">
          <a:extLst>
            <a:ext uri="{FF2B5EF4-FFF2-40B4-BE49-F238E27FC236}">
              <a16:creationId xmlns:a16="http://schemas.microsoft.com/office/drawing/2014/main" id="{27C1D883-615C-4912-B9C2-C3146FE600B4}"/>
            </a:ext>
          </a:extLst>
        </xdr:cNvPr>
        <xdr:cNvSpPr txBox="1"/>
      </xdr:nvSpPr>
      <xdr:spPr>
        <a:xfrm>
          <a:off x="20474940" y="15353755"/>
          <a:ext cx="0" cy="1813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※10/16</a:t>
          </a:r>
          <a:r>
            <a:rPr kumimoji="1" lang="ja-JP" altLang="en-US" sz="1600" b="1"/>
            <a:t>入荷</a:t>
          </a:r>
          <a:endParaRPr kumimoji="1" lang="en-US" altLang="ja-JP" sz="1600" b="1"/>
        </a:p>
        <a:p>
          <a:pPr algn="ctr"/>
          <a:endParaRPr kumimoji="1" lang="en-US" altLang="ja-JP" sz="16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54428</xdr:colOff>
      <xdr:row>157</xdr:row>
      <xdr:rowOff>380999</xdr:rowOff>
    </xdr:from>
    <xdr:to>
      <xdr:col>45</xdr:col>
      <xdr:colOff>775606</xdr:colOff>
      <xdr:row>161</xdr:row>
      <xdr:rowOff>285750</xdr:rowOff>
    </xdr:to>
    <xdr:sp macro="" textlink="">
      <xdr:nvSpPr>
        <xdr:cNvPr id="3" name="テキスト ボックス 2">
          <a:extLst>
            <a:ext uri="{FF2B5EF4-FFF2-40B4-BE49-F238E27FC236}">
              <a16:creationId xmlns:a16="http://schemas.microsoft.com/office/drawing/2014/main" id="{319A0489-7177-4F7D-A8A5-23CC65E195FC}"/>
            </a:ext>
          </a:extLst>
        </xdr:cNvPr>
        <xdr:cNvSpPr txBox="1"/>
      </xdr:nvSpPr>
      <xdr:spPr>
        <a:xfrm>
          <a:off x="20474940" y="47922179"/>
          <a:ext cx="0" cy="1459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400" b="1"/>
            <a:t>※10/3</a:t>
          </a:r>
          <a:r>
            <a:rPr kumimoji="1" lang="ja-JP" altLang="en-US" sz="1400" b="1"/>
            <a:t>入荷</a:t>
          </a:r>
          <a:endParaRPr kumimoji="1" lang="en-US" altLang="ja-JP" sz="1400" b="1"/>
        </a:p>
        <a:p>
          <a:pPr algn="ctr"/>
          <a:endParaRPr kumimoji="1" lang="en-US" altLang="ja-JP" sz="16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68036</xdr:colOff>
      <xdr:row>215</xdr:row>
      <xdr:rowOff>40821</xdr:rowOff>
    </xdr:from>
    <xdr:to>
      <xdr:col>45</xdr:col>
      <xdr:colOff>789214</xdr:colOff>
      <xdr:row>218</xdr:row>
      <xdr:rowOff>244928</xdr:rowOff>
    </xdr:to>
    <xdr:sp macro="" textlink="">
      <xdr:nvSpPr>
        <xdr:cNvPr id="5" name="テキスト ボックス 4">
          <a:extLst>
            <a:ext uri="{FF2B5EF4-FFF2-40B4-BE49-F238E27FC236}">
              <a16:creationId xmlns:a16="http://schemas.microsoft.com/office/drawing/2014/main" id="{14F8108B-37DB-447F-B4A5-2BAAE0A0C24B}"/>
            </a:ext>
          </a:extLst>
        </xdr:cNvPr>
        <xdr:cNvSpPr txBox="1"/>
      </xdr:nvSpPr>
      <xdr:spPr>
        <a:xfrm>
          <a:off x="20474940" y="77117121"/>
          <a:ext cx="0" cy="1369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※10/10</a:t>
          </a:r>
          <a:r>
            <a:rPr kumimoji="1" lang="ja-JP" altLang="en-US" sz="1400" b="1"/>
            <a:t>入荷</a:t>
          </a:r>
          <a:endParaRPr kumimoji="1" lang="en-US" altLang="ja-JP" sz="1400" b="1"/>
        </a:p>
        <a:p>
          <a:pPr algn="ctr"/>
          <a:endParaRPr kumimoji="1" lang="en-US" altLang="ja-JP" sz="14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48</xdr:col>
      <xdr:colOff>74222</xdr:colOff>
      <xdr:row>103</xdr:row>
      <xdr:rowOff>387557</xdr:rowOff>
    </xdr:from>
    <xdr:to>
      <xdr:col>49</xdr:col>
      <xdr:colOff>740971</xdr:colOff>
      <xdr:row>106</xdr:row>
      <xdr:rowOff>163285</xdr:rowOff>
    </xdr:to>
    <xdr:sp macro="" textlink="">
      <xdr:nvSpPr>
        <xdr:cNvPr id="7" name="テキスト ボックス 6">
          <a:extLst>
            <a:ext uri="{FF2B5EF4-FFF2-40B4-BE49-F238E27FC236}">
              <a16:creationId xmlns:a16="http://schemas.microsoft.com/office/drawing/2014/main" id="{792332A4-1978-428F-B496-1F1123B13D8A}"/>
            </a:ext>
          </a:extLst>
        </xdr:cNvPr>
        <xdr:cNvSpPr txBox="1"/>
      </xdr:nvSpPr>
      <xdr:spPr>
        <a:xfrm>
          <a:off x="20474940" y="52203557"/>
          <a:ext cx="0" cy="94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46</xdr:col>
      <xdr:colOff>89063</xdr:colOff>
      <xdr:row>15</xdr:row>
      <xdr:rowOff>69273</xdr:rowOff>
    </xdr:from>
    <xdr:to>
      <xdr:col>47</xdr:col>
      <xdr:colOff>807768</xdr:colOff>
      <xdr:row>17</xdr:row>
      <xdr:rowOff>311727</xdr:rowOff>
    </xdr:to>
    <xdr:sp macro="" textlink="">
      <xdr:nvSpPr>
        <xdr:cNvPr id="8" name="テキスト ボックス 7">
          <a:extLst>
            <a:ext uri="{FF2B5EF4-FFF2-40B4-BE49-F238E27FC236}">
              <a16:creationId xmlns:a16="http://schemas.microsoft.com/office/drawing/2014/main" id="{22EA1C72-8C9B-4E53-BE95-F4C804763C34}"/>
            </a:ext>
          </a:extLst>
        </xdr:cNvPr>
        <xdr:cNvSpPr txBox="1"/>
      </xdr:nvSpPr>
      <xdr:spPr>
        <a:xfrm>
          <a:off x="20474940" y="5250873"/>
          <a:ext cx="0" cy="1019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11/22</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51953</xdr:colOff>
      <xdr:row>41</xdr:row>
      <xdr:rowOff>155864</xdr:rowOff>
    </xdr:from>
    <xdr:to>
      <xdr:col>49</xdr:col>
      <xdr:colOff>773131</xdr:colOff>
      <xdr:row>44</xdr:row>
      <xdr:rowOff>0</xdr:rowOff>
    </xdr:to>
    <xdr:sp macro="" textlink="">
      <xdr:nvSpPr>
        <xdr:cNvPr id="9" name="テキスト ボックス 8">
          <a:extLst>
            <a:ext uri="{FF2B5EF4-FFF2-40B4-BE49-F238E27FC236}">
              <a16:creationId xmlns:a16="http://schemas.microsoft.com/office/drawing/2014/main" id="{2C63385D-CFD5-462C-A8D1-FDB4C8F53B8E}"/>
            </a:ext>
          </a:extLst>
        </xdr:cNvPr>
        <xdr:cNvSpPr txBox="1"/>
      </xdr:nvSpPr>
      <xdr:spPr>
        <a:xfrm>
          <a:off x="20474940" y="11166764"/>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51954</xdr:colOff>
      <xdr:row>68</xdr:row>
      <xdr:rowOff>277091</xdr:rowOff>
    </xdr:from>
    <xdr:to>
      <xdr:col>51</xdr:col>
      <xdr:colOff>773132</xdr:colOff>
      <xdr:row>71</xdr:row>
      <xdr:rowOff>121227</xdr:rowOff>
    </xdr:to>
    <xdr:sp macro="" textlink="">
      <xdr:nvSpPr>
        <xdr:cNvPr id="10" name="テキスト ボックス 9">
          <a:extLst>
            <a:ext uri="{FF2B5EF4-FFF2-40B4-BE49-F238E27FC236}">
              <a16:creationId xmlns:a16="http://schemas.microsoft.com/office/drawing/2014/main" id="{49CCDEF2-2BAC-4AA8-936F-F48A0320F25C}"/>
            </a:ext>
          </a:extLst>
        </xdr:cNvPr>
        <xdr:cNvSpPr txBox="1"/>
      </xdr:nvSpPr>
      <xdr:spPr>
        <a:xfrm>
          <a:off x="20474940" y="15562811"/>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51953</xdr:colOff>
      <xdr:row>130</xdr:row>
      <xdr:rowOff>277092</xdr:rowOff>
    </xdr:from>
    <xdr:to>
      <xdr:col>49</xdr:col>
      <xdr:colOff>773131</xdr:colOff>
      <xdr:row>133</xdr:row>
      <xdr:rowOff>121228</xdr:rowOff>
    </xdr:to>
    <xdr:sp macro="" textlink="">
      <xdr:nvSpPr>
        <xdr:cNvPr id="11" name="テキスト ボックス 10">
          <a:extLst>
            <a:ext uri="{FF2B5EF4-FFF2-40B4-BE49-F238E27FC236}">
              <a16:creationId xmlns:a16="http://schemas.microsoft.com/office/drawing/2014/main" id="{FE34CDFD-FDA4-4DD3-9AF1-8B044482E2C7}"/>
            </a:ext>
          </a:extLst>
        </xdr:cNvPr>
        <xdr:cNvSpPr txBox="1"/>
      </xdr:nvSpPr>
      <xdr:spPr>
        <a:xfrm>
          <a:off x="20474940" y="24112452"/>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69270</xdr:colOff>
      <xdr:row>130</xdr:row>
      <xdr:rowOff>277092</xdr:rowOff>
    </xdr:from>
    <xdr:to>
      <xdr:col>57</xdr:col>
      <xdr:colOff>790449</xdr:colOff>
      <xdr:row>133</xdr:row>
      <xdr:rowOff>121228</xdr:rowOff>
    </xdr:to>
    <xdr:sp macro="" textlink="">
      <xdr:nvSpPr>
        <xdr:cNvPr id="12" name="テキスト ボックス 11">
          <a:extLst>
            <a:ext uri="{FF2B5EF4-FFF2-40B4-BE49-F238E27FC236}">
              <a16:creationId xmlns:a16="http://schemas.microsoft.com/office/drawing/2014/main" id="{6E607B59-012D-43AD-86CC-0D38268B9B9F}"/>
            </a:ext>
          </a:extLst>
        </xdr:cNvPr>
        <xdr:cNvSpPr txBox="1"/>
      </xdr:nvSpPr>
      <xdr:spPr>
        <a:xfrm>
          <a:off x="20474940" y="24112452"/>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51955</xdr:colOff>
      <xdr:row>30</xdr:row>
      <xdr:rowOff>259771</xdr:rowOff>
    </xdr:from>
    <xdr:to>
      <xdr:col>51</xdr:col>
      <xdr:colOff>773133</xdr:colOff>
      <xdr:row>33</xdr:row>
      <xdr:rowOff>103908</xdr:rowOff>
    </xdr:to>
    <xdr:sp macro="" textlink="">
      <xdr:nvSpPr>
        <xdr:cNvPr id="13" name="テキスト ボックス 12">
          <a:extLst>
            <a:ext uri="{FF2B5EF4-FFF2-40B4-BE49-F238E27FC236}">
              <a16:creationId xmlns:a16="http://schemas.microsoft.com/office/drawing/2014/main" id="{4B58DB0E-F9FB-4A42-8AF6-6ACACCB96CFB}"/>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51955</xdr:colOff>
      <xdr:row>30</xdr:row>
      <xdr:rowOff>259771</xdr:rowOff>
    </xdr:from>
    <xdr:to>
      <xdr:col>53</xdr:col>
      <xdr:colOff>773133</xdr:colOff>
      <xdr:row>33</xdr:row>
      <xdr:rowOff>103908</xdr:rowOff>
    </xdr:to>
    <xdr:sp macro="" textlink="">
      <xdr:nvSpPr>
        <xdr:cNvPr id="14" name="テキスト ボックス 13">
          <a:extLst>
            <a:ext uri="{FF2B5EF4-FFF2-40B4-BE49-F238E27FC236}">
              <a16:creationId xmlns:a16="http://schemas.microsoft.com/office/drawing/2014/main" id="{80D7086F-2036-48DC-87FC-7762EEA2F2CD}"/>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3/5</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48</xdr:col>
      <xdr:colOff>51955</xdr:colOff>
      <xdr:row>144</xdr:row>
      <xdr:rowOff>207818</xdr:rowOff>
    </xdr:from>
    <xdr:to>
      <xdr:col>49</xdr:col>
      <xdr:colOff>773133</xdr:colOff>
      <xdr:row>147</xdr:row>
      <xdr:rowOff>51954</xdr:rowOff>
    </xdr:to>
    <xdr:sp macro="" textlink="">
      <xdr:nvSpPr>
        <xdr:cNvPr id="15" name="テキスト ボックス 14">
          <a:extLst>
            <a:ext uri="{FF2B5EF4-FFF2-40B4-BE49-F238E27FC236}">
              <a16:creationId xmlns:a16="http://schemas.microsoft.com/office/drawing/2014/main" id="{593ACBAF-5B51-45D0-866E-3DB0E5E18939}"/>
            </a:ext>
          </a:extLst>
        </xdr:cNvPr>
        <xdr:cNvSpPr txBox="1"/>
      </xdr:nvSpPr>
      <xdr:spPr>
        <a:xfrm>
          <a:off x="20474940" y="33758678"/>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34636</xdr:colOff>
      <xdr:row>157</xdr:row>
      <xdr:rowOff>0</xdr:rowOff>
    </xdr:from>
    <xdr:to>
      <xdr:col>51</xdr:col>
      <xdr:colOff>755814</xdr:colOff>
      <xdr:row>159</xdr:row>
      <xdr:rowOff>242455</xdr:rowOff>
    </xdr:to>
    <xdr:sp macro="" textlink="">
      <xdr:nvSpPr>
        <xdr:cNvPr id="16" name="テキスト ボックス 15">
          <a:extLst>
            <a:ext uri="{FF2B5EF4-FFF2-40B4-BE49-F238E27FC236}">
              <a16:creationId xmlns:a16="http://schemas.microsoft.com/office/drawing/2014/main" id="{13529111-60C8-405C-A2CD-FD7C140449F8}"/>
            </a:ext>
          </a:extLst>
        </xdr:cNvPr>
        <xdr:cNvSpPr txBox="1"/>
      </xdr:nvSpPr>
      <xdr:spPr>
        <a:xfrm>
          <a:off x="20474940" y="47541180"/>
          <a:ext cx="0" cy="1019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1/6</a:t>
          </a:r>
          <a:r>
            <a:rPr kumimoji="1" lang="ja-JP" altLang="en-US" sz="1600" b="1"/>
            <a:t>（未入庫）</a:t>
          </a:r>
          <a:endParaRPr kumimoji="1" lang="en-US" altLang="ja-JP" sz="1600" b="1"/>
        </a:p>
      </xdr:txBody>
    </xdr:sp>
    <xdr:clientData/>
  </xdr:twoCellAnchor>
  <xdr:twoCellAnchor>
    <xdr:from>
      <xdr:col>46</xdr:col>
      <xdr:colOff>91540</xdr:colOff>
      <xdr:row>56</xdr:row>
      <xdr:rowOff>41195</xdr:rowOff>
    </xdr:from>
    <xdr:to>
      <xdr:col>47</xdr:col>
      <xdr:colOff>758289</xdr:colOff>
      <xdr:row>58</xdr:row>
      <xdr:rowOff>54429</xdr:rowOff>
    </xdr:to>
    <xdr:sp macro="" textlink="">
      <xdr:nvSpPr>
        <xdr:cNvPr id="17" name="テキスト ボックス 16">
          <a:extLst>
            <a:ext uri="{FF2B5EF4-FFF2-40B4-BE49-F238E27FC236}">
              <a16:creationId xmlns:a16="http://schemas.microsoft.com/office/drawing/2014/main" id="{26D60FD1-0702-4AE3-931F-A2D401E19B80}"/>
            </a:ext>
          </a:extLst>
        </xdr:cNvPr>
        <xdr:cNvSpPr txBox="1"/>
      </xdr:nvSpPr>
      <xdr:spPr>
        <a:xfrm>
          <a:off x="20474940" y="58075115"/>
          <a:ext cx="0" cy="790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50</xdr:col>
      <xdr:colOff>77934</xdr:colOff>
      <xdr:row>56</xdr:row>
      <xdr:rowOff>54802</xdr:rowOff>
    </xdr:from>
    <xdr:to>
      <xdr:col>51</xdr:col>
      <xdr:colOff>762001</xdr:colOff>
      <xdr:row>58</xdr:row>
      <xdr:rowOff>95250</xdr:rowOff>
    </xdr:to>
    <xdr:sp macro="" textlink="">
      <xdr:nvSpPr>
        <xdr:cNvPr id="18" name="テキスト ボックス 17">
          <a:extLst>
            <a:ext uri="{FF2B5EF4-FFF2-40B4-BE49-F238E27FC236}">
              <a16:creationId xmlns:a16="http://schemas.microsoft.com/office/drawing/2014/main" id="{93E791CF-7AC5-4331-8649-C04E19968BE5}"/>
            </a:ext>
          </a:extLst>
        </xdr:cNvPr>
        <xdr:cNvSpPr txBox="1"/>
      </xdr:nvSpPr>
      <xdr:spPr>
        <a:xfrm>
          <a:off x="20474940" y="58088722"/>
          <a:ext cx="0" cy="817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2/8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46</xdr:col>
      <xdr:colOff>54427</xdr:colOff>
      <xdr:row>112</xdr:row>
      <xdr:rowOff>86593</xdr:rowOff>
    </xdr:from>
    <xdr:to>
      <xdr:col>47</xdr:col>
      <xdr:colOff>775605</xdr:colOff>
      <xdr:row>113</xdr:row>
      <xdr:rowOff>303070</xdr:rowOff>
    </xdr:to>
    <xdr:sp macro="" textlink="">
      <xdr:nvSpPr>
        <xdr:cNvPr id="20" name="テキスト ボックス 19">
          <a:extLst>
            <a:ext uri="{FF2B5EF4-FFF2-40B4-BE49-F238E27FC236}">
              <a16:creationId xmlns:a16="http://schemas.microsoft.com/office/drawing/2014/main" id="{240DD771-20AA-40B9-ABA9-58653E8F6B0F}"/>
            </a:ext>
          </a:extLst>
        </xdr:cNvPr>
        <xdr:cNvSpPr txBox="1"/>
      </xdr:nvSpPr>
      <xdr:spPr>
        <a:xfrm>
          <a:off x="20474940" y="88821493"/>
          <a:ext cx="0" cy="6050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a:t>
          </a:r>
          <a:r>
            <a:rPr kumimoji="1" lang="ja-JP" altLang="en-US" sz="1400" b="1"/>
            <a:t>入荷</a:t>
          </a:r>
          <a:r>
            <a:rPr kumimoji="1" lang="en-US" altLang="ja-JP" sz="1400" b="1"/>
            <a:t>11/22</a:t>
          </a:r>
        </a:p>
        <a:p>
          <a:pPr algn="ctr"/>
          <a:r>
            <a:rPr kumimoji="1" lang="en-US" altLang="ja-JP" sz="1400" b="1"/>
            <a:t>11/29</a:t>
          </a:r>
          <a:r>
            <a:rPr kumimoji="1" lang="ja-JP" altLang="en-US" sz="1400" b="1"/>
            <a:t>補充完了</a:t>
          </a:r>
          <a:endParaRPr kumimoji="1" lang="en-US" altLang="ja-JP" sz="1400" b="1"/>
        </a:p>
      </xdr:txBody>
    </xdr:sp>
    <xdr:clientData/>
  </xdr:twoCellAnchor>
  <xdr:twoCellAnchor>
    <xdr:from>
      <xdr:col>2</xdr:col>
      <xdr:colOff>40822</xdr:colOff>
      <xdr:row>21</xdr:row>
      <xdr:rowOff>122464</xdr:rowOff>
    </xdr:from>
    <xdr:to>
      <xdr:col>2</xdr:col>
      <xdr:colOff>1414381</xdr:colOff>
      <xdr:row>25</xdr:row>
      <xdr:rowOff>342651</xdr:rowOff>
    </xdr:to>
    <xdr:sp macro="" textlink="">
      <xdr:nvSpPr>
        <xdr:cNvPr id="21" name="テキスト ボックス 20">
          <a:extLst>
            <a:ext uri="{FF2B5EF4-FFF2-40B4-BE49-F238E27FC236}">
              <a16:creationId xmlns:a16="http://schemas.microsoft.com/office/drawing/2014/main" id="{F81B2523-A3A4-46D1-9E79-0E173E45B0B4}"/>
            </a:ext>
          </a:extLst>
        </xdr:cNvPr>
        <xdr:cNvSpPr txBox="1"/>
      </xdr:nvSpPr>
      <xdr:spPr>
        <a:xfrm>
          <a:off x="1404802" y="7635784"/>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43</xdr:row>
      <xdr:rowOff>122464</xdr:rowOff>
    </xdr:from>
    <xdr:to>
      <xdr:col>2</xdr:col>
      <xdr:colOff>1414381</xdr:colOff>
      <xdr:row>47</xdr:row>
      <xdr:rowOff>342651</xdr:rowOff>
    </xdr:to>
    <xdr:sp macro="" textlink="">
      <xdr:nvSpPr>
        <xdr:cNvPr id="22" name="テキスト ボックス 21">
          <a:extLst>
            <a:ext uri="{FF2B5EF4-FFF2-40B4-BE49-F238E27FC236}">
              <a16:creationId xmlns:a16="http://schemas.microsoft.com/office/drawing/2014/main" id="{E8242834-88D0-4D4F-8C35-79A02F6955B5}"/>
            </a:ext>
          </a:extLst>
        </xdr:cNvPr>
        <xdr:cNvSpPr txBox="1"/>
      </xdr:nvSpPr>
      <xdr:spPr>
        <a:xfrm>
          <a:off x="1404802" y="11910604"/>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70</xdr:row>
      <xdr:rowOff>122463</xdr:rowOff>
    </xdr:from>
    <xdr:to>
      <xdr:col>2</xdr:col>
      <xdr:colOff>1414381</xdr:colOff>
      <xdr:row>74</xdr:row>
      <xdr:rowOff>342651</xdr:rowOff>
    </xdr:to>
    <xdr:sp macro="" textlink="">
      <xdr:nvSpPr>
        <xdr:cNvPr id="23" name="テキスト ボックス 22">
          <a:extLst>
            <a:ext uri="{FF2B5EF4-FFF2-40B4-BE49-F238E27FC236}">
              <a16:creationId xmlns:a16="http://schemas.microsoft.com/office/drawing/2014/main" id="{A39FB0C4-A269-4693-AAA5-1A496854A78F}"/>
            </a:ext>
          </a:extLst>
        </xdr:cNvPr>
        <xdr:cNvSpPr txBox="1"/>
      </xdr:nvSpPr>
      <xdr:spPr>
        <a:xfrm>
          <a:off x="1404802" y="16185423"/>
          <a:ext cx="1373559" cy="1774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121</xdr:row>
      <xdr:rowOff>122463</xdr:rowOff>
    </xdr:from>
    <xdr:to>
      <xdr:col>2</xdr:col>
      <xdr:colOff>1414381</xdr:colOff>
      <xdr:row>125</xdr:row>
      <xdr:rowOff>342650</xdr:rowOff>
    </xdr:to>
    <xdr:sp macro="" textlink="">
      <xdr:nvSpPr>
        <xdr:cNvPr id="24" name="テキスト ボックス 23">
          <a:extLst>
            <a:ext uri="{FF2B5EF4-FFF2-40B4-BE49-F238E27FC236}">
              <a16:creationId xmlns:a16="http://schemas.microsoft.com/office/drawing/2014/main" id="{D1B55D17-A4C8-470F-80B1-CDD933C0E1FE}"/>
            </a:ext>
          </a:extLst>
        </xdr:cNvPr>
        <xdr:cNvSpPr txBox="1"/>
      </xdr:nvSpPr>
      <xdr:spPr>
        <a:xfrm>
          <a:off x="1404802" y="20460243"/>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132</xdr:row>
      <xdr:rowOff>122463</xdr:rowOff>
    </xdr:from>
    <xdr:to>
      <xdr:col>2</xdr:col>
      <xdr:colOff>1414381</xdr:colOff>
      <xdr:row>136</xdr:row>
      <xdr:rowOff>342650</xdr:rowOff>
    </xdr:to>
    <xdr:sp macro="" textlink="">
      <xdr:nvSpPr>
        <xdr:cNvPr id="25" name="テキスト ボックス 24">
          <a:extLst>
            <a:ext uri="{FF2B5EF4-FFF2-40B4-BE49-F238E27FC236}">
              <a16:creationId xmlns:a16="http://schemas.microsoft.com/office/drawing/2014/main" id="{DC183ABF-477D-483D-B21B-DA01EBBF61AE}"/>
            </a:ext>
          </a:extLst>
        </xdr:cNvPr>
        <xdr:cNvSpPr txBox="1"/>
      </xdr:nvSpPr>
      <xdr:spPr>
        <a:xfrm>
          <a:off x="1404802" y="24735063"/>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32</xdr:row>
      <xdr:rowOff>122463</xdr:rowOff>
    </xdr:from>
    <xdr:to>
      <xdr:col>2</xdr:col>
      <xdr:colOff>1414381</xdr:colOff>
      <xdr:row>36</xdr:row>
      <xdr:rowOff>342650</xdr:rowOff>
    </xdr:to>
    <xdr:sp macro="" textlink="">
      <xdr:nvSpPr>
        <xdr:cNvPr id="26" name="テキスト ボックス 25">
          <a:extLst>
            <a:ext uri="{FF2B5EF4-FFF2-40B4-BE49-F238E27FC236}">
              <a16:creationId xmlns:a16="http://schemas.microsoft.com/office/drawing/2014/main" id="{DA7C2F2D-E91E-421D-B7B5-83CC893AF1BA}"/>
            </a:ext>
          </a:extLst>
        </xdr:cNvPr>
        <xdr:cNvSpPr txBox="1"/>
      </xdr:nvSpPr>
      <xdr:spPr>
        <a:xfrm>
          <a:off x="1404802" y="29009883"/>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149</xdr:row>
      <xdr:rowOff>139782</xdr:rowOff>
    </xdr:from>
    <xdr:to>
      <xdr:col>2</xdr:col>
      <xdr:colOff>1414381</xdr:colOff>
      <xdr:row>153</xdr:row>
      <xdr:rowOff>359969</xdr:rowOff>
    </xdr:to>
    <xdr:sp macro="" textlink="">
      <xdr:nvSpPr>
        <xdr:cNvPr id="27" name="テキスト ボックス 26">
          <a:extLst>
            <a:ext uri="{FF2B5EF4-FFF2-40B4-BE49-F238E27FC236}">
              <a16:creationId xmlns:a16="http://schemas.microsoft.com/office/drawing/2014/main" id="{4393EE51-EE14-4352-B581-B732A57D166D}"/>
            </a:ext>
          </a:extLst>
        </xdr:cNvPr>
        <xdr:cNvSpPr txBox="1"/>
      </xdr:nvSpPr>
      <xdr:spPr>
        <a:xfrm>
          <a:off x="1404802" y="35633742"/>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83</xdr:row>
      <xdr:rowOff>122463</xdr:rowOff>
    </xdr:from>
    <xdr:to>
      <xdr:col>2</xdr:col>
      <xdr:colOff>1414381</xdr:colOff>
      <xdr:row>87</xdr:row>
      <xdr:rowOff>342651</xdr:rowOff>
    </xdr:to>
    <xdr:sp macro="" textlink="">
      <xdr:nvSpPr>
        <xdr:cNvPr id="28" name="テキスト ボックス 27">
          <a:extLst>
            <a:ext uri="{FF2B5EF4-FFF2-40B4-BE49-F238E27FC236}">
              <a16:creationId xmlns:a16="http://schemas.microsoft.com/office/drawing/2014/main" id="{83DA68CA-8D36-4AC9-A7B7-06A9BCF99910}"/>
            </a:ext>
          </a:extLst>
        </xdr:cNvPr>
        <xdr:cNvSpPr txBox="1"/>
      </xdr:nvSpPr>
      <xdr:spPr>
        <a:xfrm>
          <a:off x="1404802" y="40668483"/>
          <a:ext cx="1373559" cy="1774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a:p>
          <a:pPr algn="ctr"/>
          <a:endParaRPr kumimoji="1" lang="ja-JP" altLang="en-US" sz="1400" b="1"/>
        </a:p>
      </xdr:txBody>
    </xdr:sp>
    <xdr:clientData/>
  </xdr:twoCellAnchor>
  <xdr:twoCellAnchor>
    <xdr:from>
      <xdr:col>2</xdr:col>
      <xdr:colOff>40822</xdr:colOff>
      <xdr:row>93</xdr:row>
      <xdr:rowOff>122464</xdr:rowOff>
    </xdr:from>
    <xdr:to>
      <xdr:col>2</xdr:col>
      <xdr:colOff>1414381</xdr:colOff>
      <xdr:row>97</xdr:row>
      <xdr:rowOff>342651</xdr:rowOff>
    </xdr:to>
    <xdr:sp macro="" textlink="">
      <xdr:nvSpPr>
        <xdr:cNvPr id="29" name="テキスト ボックス 28">
          <a:extLst>
            <a:ext uri="{FF2B5EF4-FFF2-40B4-BE49-F238E27FC236}">
              <a16:creationId xmlns:a16="http://schemas.microsoft.com/office/drawing/2014/main" id="{AC0CB24E-4250-4159-9A4D-2C51BB14B7B6}"/>
            </a:ext>
          </a:extLst>
        </xdr:cNvPr>
        <xdr:cNvSpPr txBox="1"/>
      </xdr:nvSpPr>
      <xdr:spPr>
        <a:xfrm>
          <a:off x="1404802" y="44554684"/>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158</xdr:row>
      <xdr:rowOff>122463</xdr:rowOff>
    </xdr:from>
    <xdr:to>
      <xdr:col>2</xdr:col>
      <xdr:colOff>1414381</xdr:colOff>
      <xdr:row>162</xdr:row>
      <xdr:rowOff>342650</xdr:rowOff>
    </xdr:to>
    <xdr:sp macro="" textlink="">
      <xdr:nvSpPr>
        <xdr:cNvPr id="30" name="テキスト ボックス 29">
          <a:extLst>
            <a:ext uri="{FF2B5EF4-FFF2-40B4-BE49-F238E27FC236}">
              <a16:creationId xmlns:a16="http://schemas.microsoft.com/office/drawing/2014/main" id="{A4A6F60D-5B5C-45F8-8D47-8DAF3E948EB0}"/>
            </a:ext>
          </a:extLst>
        </xdr:cNvPr>
        <xdr:cNvSpPr txBox="1"/>
      </xdr:nvSpPr>
      <xdr:spPr>
        <a:xfrm>
          <a:off x="1404802" y="48052263"/>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106</xdr:row>
      <xdr:rowOff>139779</xdr:rowOff>
    </xdr:from>
    <xdr:to>
      <xdr:col>2</xdr:col>
      <xdr:colOff>1414381</xdr:colOff>
      <xdr:row>110</xdr:row>
      <xdr:rowOff>359967</xdr:rowOff>
    </xdr:to>
    <xdr:sp macro="" textlink="">
      <xdr:nvSpPr>
        <xdr:cNvPr id="32" name="テキスト ボックス 31">
          <a:extLst>
            <a:ext uri="{FF2B5EF4-FFF2-40B4-BE49-F238E27FC236}">
              <a16:creationId xmlns:a16="http://schemas.microsoft.com/office/drawing/2014/main" id="{CEFA434B-3C39-42FA-A3AA-740EFBD01887}"/>
            </a:ext>
          </a:extLst>
        </xdr:cNvPr>
        <xdr:cNvSpPr txBox="1"/>
      </xdr:nvSpPr>
      <xdr:spPr>
        <a:xfrm>
          <a:off x="1404802" y="53121639"/>
          <a:ext cx="1373559" cy="1774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59</xdr:row>
      <xdr:rowOff>139780</xdr:rowOff>
    </xdr:from>
    <xdr:to>
      <xdr:col>2</xdr:col>
      <xdr:colOff>1414381</xdr:colOff>
      <xdr:row>63</xdr:row>
      <xdr:rowOff>359967</xdr:rowOff>
    </xdr:to>
    <xdr:sp macro="" textlink="">
      <xdr:nvSpPr>
        <xdr:cNvPr id="33" name="テキスト ボックス 32">
          <a:extLst>
            <a:ext uri="{FF2B5EF4-FFF2-40B4-BE49-F238E27FC236}">
              <a16:creationId xmlns:a16="http://schemas.microsoft.com/office/drawing/2014/main" id="{BF0FF450-D508-4AD2-92C5-A0120D4CDB49}"/>
            </a:ext>
          </a:extLst>
        </xdr:cNvPr>
        <xdr:cNvSpPr txBox="1"/>
      </xdr:nvSpPr>
      <xdr:spPr>
        <a:xfrm>
          <a:off x="1404802" y="59339560"/>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xdr:txBody>
    </xdr:sp>
    <xdr:clientData/>
  </xdr:twoCellAnchor>
  <xdr:twoCellAnchor>
    <xdr:from>
      <xdr:col>2</xdr:col>
      <xdr:colOff>40822</xdr:colOff>
      <xdr:row>176</xdr:row>
      <xdr:rowOff>122462</xdr:rowOff>
    </xdr:from>
    <xdr:to>
      <xdr:col>2</xdr:col>
      <xdr:colOff>1414381</xdr:colOff>
      <xdr:row>180</xdr:row>
      <xdr:rowOff>342649</xdr:rowOff>
    </xdr:to>
    <xdr:sp macro="" textlink="">
      <xdr:nvSpPr>
        <xdr:cNvPr id="36" name="テキスト ボックス 35">
          <a:extLst>
            <a:ext uri="{FF2B5EF4-FFF2-40B4-BE49-F238E27FC236}">
              <a16:creationId xmlns:a16="http://schemas.microsoft.com/office/drawing/2014/main" id="{B28042E6-B77E-4ADE-88E4-8257BC5DC240}"/>
            </a:ext>
          </a:extLst>
        </xdr:cNvPr>
        <xdr:cNvSpPr txBox="1"/>
      </xdr:nvSpPr>
      <xdr:spPr>
        <a:xfrm>
          <a:off x="1404802" y="70592222"/>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167</xdr:row>
      <xdr:rowOff>27214</xdr:rowOff>
    </xdr:from>
    <xdr:to>
      <xdr:col>2</xdr:col>
      <xdr:colOff>1414381</xdr:colOff>
      <xdr:row>169</xdr:row>
      <xdr:rowOff>359968</xdr:rowOff>
    </xdr:to>
    <xdr:sp macro="" textlink="">
      <xdr:nvSpPr>
        <xdr:cNvPr id="37" name="テキスト ボックス 36">
          <a:extLst>
            <a:ext uri="{FF2B5EF4-FFF2-40B4-BE49-F238E27FC236}">
              <a16:creationId xmlns:a16="http://schemas.microsoft.com/office/drawing/2014/main" id="{A34EDF92-1018-48E6-AAE4-13FCE17346B4}"/>
            </a:ext>
          </a:extLst>
        </xdr:cNvPr>
        <xdr:cNvSpPr txBox="1"/>
      </xdr:nvSpPr>
      <xdr:spPr>
        <a:xfrm>
          <a:off x="1404802" y="73994554"/>
          <a:ext cx="1373559" cy="11099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218</xdr:row>
      <xdr:rowOff>139781</xdr:rowOff>
    </xdr:from>
    <xdr:to>
      <xdr:col>2</xdr:col>
      <xdr:colOff>1414381</xdr:colOff>
      <xdr:row>222</xdr:row>
      <xdr:rowOff>359968</xdr:rowOff>
    </xdr:to>
    <xdr:sp macro="" textlink="">
      <xdr:nvSpPr>
        <xdr:cNvPr id="38" name="テキスト ボックス 37">
          <a:extLst>
            <a:ext uri="{FF2B5EF4-FFF2-40B4-BE49-F238E27FC236}">
              <a16:creationId xmlns:a16="http://schemas.microsoft.com/office/drawing/2014/main" id="{AF2763A1-5B5B-437B-ADD4-B6F24CF074FD}"/>
            </a:ext>
          </a:extLst>
        </xdr:cNvPr>
        <xdr:cNvSpPr txBox="1"/>
      </xdr:nvSpPr>
      <xdr:spPr>
        <a:xfrm>
          <a:off x="1404802" y="78381941"/>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112</xdr:row>
      <xdr:rowOff>51955</xdr:rowOff>
    </xdr:from>
    <xdr:to>
      <xdr:col>2</xdr:col>
      <xdr:colOff>1414381</xdr:colOff>
      <xdr:row>113</xdr:row>
      <xdr:rowOff>359968</xdr:rowOff>
    </xdr:to>
    <xdr:sp macro="" textlink="">
      <xdr:nvSpPr>
        <xdr:cNvPr id="42" name="テキスト ボックス 41">
          <a:extLst>
            <a:ext uri="{FF2B5EF4-FFF2-40B4-BE49-F238E27FC236}">
              <a16:creationId xmlns:a16="http://schemas.microsoft.com/office/drawing/2014/main" id="{40C21BD1-80B4-4E85-91A8-8810450751CE}"/>
            </a:ext>
          </a:extLst>
        </xdr:cNvPr>
        <xdr:cNvSpPr txBox="1"/>
      </xdr:nvSpPr>
      <xdr:spPr>
        <a:xfrm>
          <a:off x="1404802" y="88786855"/>
          <a:ext cx="1373559" cy="6966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400" b="1"/>
            <a:t>発注ロット</a:t>
          </a:r>
          <a:endParaRPr kumimoji="1" lang="en-US" altLang="ja-JP" sz="1400" b="1"/>
        </a:p>
        <a:p>
          <a:pPr algn="ctr"/>
          <a:r>
            <a:rPr kumimoji="1" lang="ja-JP" altLang="en-US" sz="1400" b="1"/>
            <a:t>なし</a:t>
          </a:r>
          <a:endParaRPr kumimoji="1" lang="en-US" altLang="ja-JP" sz="1400" b="1"/>
        </a:p>
      </xdr:txBody>
    </xdr:sp>
    <xdr:clientData/>
  </xdr:twoCellAnchor>
  <xdr:twoCellAnchor>
    <xdr:from>
      <xdr:col>2</xdr:col>
      <xdr:colOff>40822</xdr:colOff>
      <xdr:row>288</xdr:row>
      <xdr:rowOff>122463</xdr:rowOff>
    </xdr:from>
    <xdr:to>
      <xdr:col>2</xdr:col>
      <xdr:colOff>1414381</xdr:colOff>
      <xdr:row>292</xdr:row>
      <xdr:rowOff>342650</xdr:rowOff>
    </xdr:to>
    <xdr:sp macro="" textlink="">
      <xdr:nvSpPr>
        <xdr:cNvPr id="43" name="テキスト ボックス 42">
          <a:extLst>
            <a:ext uri="{FF2B5EF4-FFF2-40B4-BE49-F238E27FC236}">
              <a16:creationId xmlns:a16="http://schemas.microsoft.com/office/drawing/2014/main" id="{B989A7DA-22C6-4349-B63F-6205C32AFC7E}"/>
            </a:ext>
          </a:extLst>
        </xdr:cNvPr>
        <xdr:cNvSpPr txBox="1"/>
      </xdr:nvSpPr>
      <xdr:spPr>
        <a:xfrm>
          <a:off x="1404802" y="93132183"/>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275</xdr:row>
      <xdr:rowOff>139781</xdr:rowOff>
    </xdr:from>
    <xdr:to>
      <xdr:col>2</xdr:col>
      <xdr:colOff>1414381</xdr:colOff>
      <xdr:row>279</xdr:row>
      <xdr:rowOff>359968</xdr:rowOff>
    </xdr:to>
    <xdr:sp macro="" textlink="">
      <xdr:nvSpPr>
        <xdr:cNvPr id="44" name="テキスト ボックス 43">
          <a:extLst>
            <a:ext uri="{FF2B5EF4-FFF2-40B4-BE49-F238E27FC236}">
              <a16:creationId xmlns:a16="http://schemas.microsoft.com/office/drawing/2014/main" id="{29E6C285-25DF-40AA-B1D8-D4205B92680B}"/>
            </a:ext>
          </a:extLst>
        </xdr:cNvPr>
        <xdr:cNvSpPr txBox="1"/>
      </xdr:nvSpPr>
      <xdr:spPr>
        <a:xfrm>
          <a:off x="1404802" y="97035701"/>
          <a:ext cx="1373559" cy="177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a:t>発注</a:t>
          </a:r>
          <a:r>
            <a:rPr kumimoji="1" lang="ja-JP" altLang="en-US" sz="1400" b="1" i="0" u="none" strike="noStrike" kern="0" cap="none" spc="0" normalizeH="0" baseline="0" noProof="0">
              <a:ln>
                <a:noFill/>
              </a:ln>
              <a:solidFill>
                <a:prstClr val="black"/>
              </a:solidFill>
              <a:effectLst/>
              <a:uLnTx/>
              <a:uFillTx/>
              <a:latin typeface="+mn-lt"/>
              <a:ea typeface="+mn-ea"/>
              <a:cs typeface="+mn-cs"/>
            </a:rPr>
            <a:t>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54</xdr:col>
      <xdr:colOff>55665</xdr:colOff>
      <xdr:row>68</xdr:row>
      <xdr:rowOff>277091</xdr:rowOff>
    </xdr:from>
    <xdr:to>
      <xdr:col>55</xdr:col>
      <xdr:colOff>776842</xdr:colOff>
      <xdr:row>71</xdr:row>
      <xdr:rowOff>121227</xdr:rowOff>
    </xdr:to>
    <xdr:sp macro="" textlink="">
      <xdr:nvSpPr>
        <xdr:cNvPr id="47" name="テキスト ボックス 46">
          <a:extLst>
            <a:ext uri="{FF2B5EF4-FFF2-40B4-BE49-F238E27FC236}">
              <a16:creationId xmlns:a16="http://schemas.microsoft.com/office/drawing/2014/main" id="{8DCF59F0-4719-4835-B349-6752105D68C0}"/>
            </a:ext>
          </a:extLst>
        </xdr:cNvPr>
        <xdr:cNvSpPr txBox="1"/>
      </xdr:nvSpPr>
      <xdr:spPr>
        <a:xfrm>
          <a:off x="20474940" y="15562811"/>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4/5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39586</xdr:colOff>
      <xdr:row>119</xdr:row>
      <xdr:rowOff>0</xdr:rowOff>
    </xdr:from>
    <xdr:to>
      <xdr:col>57</xdr:col>
      <xdr:colOff>763238</xdr:colOff>
      <xdr:row>121</xdr:row>
      <xdr:rowOff>242454</xdr:rowOff>
    </xdr:to>
    <xdr:sp macro="" textlink="">
      <xdr:nvSpPr>
        <xdr:cNvPr id="48" name="テキスト ボックス 47">
          <a:extLst>
            <a:ext uri="{FF2B5EF4-FFF2-40B4-BE49-F238E27FC236}">
              <a16:creationId xmlns:a16="http://schemas.microsoft.com/office/drawing/2014/main" id="{EDDAF2D2-AC24-434C-8731-2D625E933021}"/>
            </a:ext>
          </a:extLst>
        </xdr:cNvPr>
        <xdr:cNvSpPr txBox="1"/>
      </xdr:nvSpPr>
      <xdr:spPr>
        <a:xfrm>
          <a:off x="20474940" y="19560540"/>
          <a:ext cx="0" cy="1019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5/9</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56</xdr:col>
      <xdr:colOff>34637</xdr:colOff>
      <xdr:row>30</xdr:row>
      <xdr:rowOff>259771</xdr:rowOff>
    </xdr:from>
    <xdr:to>
      <xdr:col>57</xdr:col>
      <xdr:colOff>755815</xdr:colOff>
      <xdr:row>33</xdr:row>
      <xdr:rowOff>103908</xdr:rowOff>
    </xdr:to>
    <xdr:sp macro="" textlink="">
      <xdr:nvSpPr>
        <xdr:cNvPr id="49" name="テキスト ボックス 48">
          <a:extLst>
            <a:ext uri="{FF2B5EF4-FFF2-40B4-BE49-F238E27FC236}">
              <a16:creationId xmlns:a16="http://schemas.microsoft.com/office/drawing/2014/main" id="{2426338B-713E-45FC-AB69-4B2BA9743196}"/>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4/2</a:t>
          </a:r>
        </a:p>
        <a:p>
          <a:pPr algn="ctr"/>
          <a:r>
            <a:rPr kumimoji="1" lang="ja-JP" altLang="en-US" sz="1600" b="1"/>
            <a:t>補充完了</a:t>
          </a:r>
          <a:endParaRPr kumimoji="1" lang="en-US" altLang="ja-JP" sz="1600" b="1"/>
        </a:p>
      </xdr:txBody>
    </xdr:sp>
    <xdr:clientData/>
  </xdr:twoCellAnchor>
  <xdr:twoCellAnchor>
    <xdr:from>
      <xdr:col>58</xdr:col>
      <xdr:colOff>69273</xdr:colOff>
      <xdr:row>80</xdr:row>
      <xdr:rowOff>0</xdr:rowOff>
    </xdr:from>
    <xdr:to>
      <xdr:col>59</xdr:col>
      <xdr:colOff>790452</xdr:colOff>
      <xdr:row>82</xdr:row>
      <xdr:rowOff>242455</xdr:rowOff>
    </xdr:to>
    <xdr:sp macro="" textlink="">
      <xdr:nvSpPr>
        <xdr:cNvPr id="50" name="テキスト ボックス 49">
          <a:extLst>
            <a:ext uri="{FF2B5EF4-FFF2-40B4-BE49-F238E27FC236}">
              <a16:creationId xmlns:a16="http://schemas.microsoft.com/office/drawing/2014/main" id="{C98CDFFD-CC35-4CE2-AF10-84A4411A9FF0}"/>
            </a:ext>
          </a:extLst>
        </xdr:cNvPr>
        <xdr:cNvSpPr txBox="1"/>
      </xdr:nvSpPr>
      <xdr:spPr>
        <a:xfrm>
          <a:off x="20474940" y="39380160"/>
          <a:ext cx="0" cy="1019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68036</xdr:colOff>
      <xdr:row>215</xdr:row>
      <xdr:rowOff>380999</xdr:rowOff>
    </xdr:from>
    <xdr:to>
      <xdr:col>53</xdr:col>
      <xdr:colOff>734786</xdr:colOff>
      <xdr:row>218</xdr:row>
      <xdr:rowOff>54429</xdr:rowOff>
    </xdr:to>
    <xdr:sp macro="" textlink="">
      <xdr:nvSpPr>
        <xdr:cNvPr id="51" name="テキスト ボックス 50">
          <a:extLst>
            <a:ext uri="{FF2B5EF4-FFF2-40B4-BE49-F238E27FC236}">
              <a16:creationId xmlns:a16="http://schemas.microsoft.com/office/drawing/2014/main" id="{0C8FF573-7E23-4143-BE23-167C76029FB0}"/>
            </a:ext>
          </a:extLst>
        </xdr:cNvPr>
        <xdr:cNvSpPr txBox="1"/>
      </xdr:nvSpPr>
      <xdr:spPr>
        <a:xfrm>
          <a:off x="20474940" y="77457299"/>
          <a:ext cx="0" cy="8392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3/5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51954</xdr:colOff>
      <xdr:row>41</xdr:row>
      <xdr:rowOff>155864</xdr:rowOff>
    </xdr:from>
    <xdr:to>
      <xdr:col>59</xdr:col>
      <xdr:colOff>773131</xdr:colOff>
      <xdr:row>44</xdr:row>
      <xdr:rowOff>0</xdr:rowOff>
    </xdr:to>
    <xdr:sp macro="" textlink="">
      <xdr:nvSpPr>
        <xdr:cNvPr id="52" name="テキスト ボックス 51">
          <a:extLst>
            <a:ext uri="{FF2B5EF4-FFF2-40B4-BE49-F238E27FC236}">
              <a16:creationId xmlns:a16="http://schemas.microsoft.com/office/drawing/2014/main" id="{0F456624-10CB-4C3C-A137-EDCADF4BAA73}"/>
            </a:ext>
          </a:extLst>
        </xdr:cNvPr>
        <xdr:cNvSpPr txBox="1"/>
      </xdr:nvSpPr>
      <xdr:spPr>
        <a:xfrm>
          <a:off x="20474940" y="11166764"/>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5/9</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48</xdr:col>
      <xdr:colOff>51954</xdr:colOff>
      <xdr:row>15</xdr:row>
      <xdr:rowOff>69273</xdr:rowOff>
    </xdr:from>
    <xdr:to>
      <xdr:col>49</xdr:col>
      <xdr:colOff>773132</xdr:colOff>
      <xdr:row>17</xdr:row>
      <xdr:rowOff>311727</xdr:rowOff>
    </xdr:to>
    <xdr:sp macro="" textlink="">
      <xdr:nvSpPr>
        <xdr:cNvPr id="54" name="テキスト ボックス 53">
          <a:extLst>
            <a:ext uri="{FF2B5EF4-FFF2-40B4-BE49-F238E27FC236}">
              <a16:creationId xmlns:a16="http://schemas.microsoft.com/office/drawing/2014/main" id="{E8D34866-3E85-47AB-A76E-ED527DE6E94E}"/>
            </a:ext>
          </a:extLst>
        </xdr:cNvPr>
        <xdr:cNvSpPr txBox="1"/>
      </xdr:nvSpPr>
      <xdr:spPr>
        <a:xfrm>
          <a:off x="20474940" y="5250873"/>
          <a:ext cx="0" cy="1019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51954</xdr:colOff>
      <xdr:row>119</xdr:row>
      <xdr:rowOff>0</xdr:rowOff>
    </xdr:from>
    <xdr:to>
      <xdr:col>49</xdr:col>
      <xdr:colOff>773132</xdr:colOff>
      <xdr:row>121</xdr:row>
      <xdr:rowOff>242454</xdr:rowOff>
    </xdr:to>
    <xdr:sp macro="" textlink="">
      <xdr:nvSpPr>
        <xdr:cNvPr id="55" name="テキスト ボックス 54">
          <a:extLst>
            <a:ext uri="{FF2B5EF4-FFF2-40B4-BE49-F238E27FC236}">
              <a16:creationId xmlns:a16="http://schemas.microsoft.com/office/drawing/2014/main" id="{04DBBF39-9213-43A9-BCD2-1CBDCF6F6C28}"/>
            </a:ext>
          </a:extLst>
        </xdr:cNvPr>
        <xdr:cNvSpPr txBox="1"/>
      </xdr:nvSpPr>
      <xdr:spPr>
        <a:xfrm>
          <a:off x="20474940" y="19560540"/>
          <a:ext cx="0" cy="1019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51954</xdr:colOff>
      <xdr:row>30</xdr:row>
      <xdr:rowOff>259771</xdr:rowOff>
    </xdr:from>
    <xdr:to>
      <xdr:col>49</xdr:col>
      <xdr:colOff>773132</xdr:colOff>
      <xdr:row>33</xdr:row>
      <xdr:rowOff>103908</xdr:rowOff>
    </xdr:to>
    <xdr:sp macro="" textlink="">
      <xdr:nvSpPr>
        <xdr:cNvPr id="56" name="テキスト ボックス 55">
          <a:extLst>
            <a:ext uri="{FF2B5EF4-FFF2-40B4-BE49-F238E27FC236}">
              <a16:creationId xmlns:a16="http://schemas.microsoft.com/office/drawing/2014/main" id="{08B820CE-700B-4C9D-A2DB-4888A5911058}"/>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40823</xdr:colOff>
      <xdr:row>144</xdr:row>
      <xdr:rowOff>207818</xdr:rowOff>
    </xdr:from>
    <xdr:to>
      <xdr:col>53</xdr:col>
      <xdr:colOff>762000</xdr:colOff>
      <xdr:row>147</xdr:row>
      <xdr:rowOff>51954</xdr:rowOff>
    </xdr:to>
    <xdr:sp macro="" textlink="">
      <xdr:nvSpPr>
        <xdr:cNvPr id="57" name="テキスト ボックス 56">
          <a:extLst>
            <a:ext uri="{FF2B5EF4-FFF2-40B4-BE49-F238E27FC236}">
              <a16:creationId xmlns:a16="http://schemas.microsoft.com/office/drawing/2014/main" id="{17C4B34E-B017-45DA-9EC8-F21180CE173A}"/>
            </a:ext>
          </a:extLst>
        </xdr:cNvPr>
        <xdr:cNvSpPr txBox="1"/>
      </xdr:nvSpPr>
      <xdr:spPr>
        <a:xfrm>
          <a:off x="20474940" y="33758678"/>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3/5</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62</xdr:col>
      <xdr:colOff>55662</xdr:colOff>
      <xdr:row>130</xdr:row>
      <xdr:rowOff>277092</xdr:rowOff>
    </xdr:from>
    <xdr:to>
      <xdr:col>63</xdr:col>
      <xdr:colOff>776842</xdr:colOff>
      <xdr:row>133</xdr:row>
      <xdr:rowOff>121228</xdr:rowOff>
    </xdr:to>
    <xdr:sp macro="" textlink="">
      <xdr:nvSpPr>
        <xdr:cNvPr id="58" name="テキスト ボックス 57">
          <a:extLst>
            <a:ext uri="{FF2B5EF4-FFF2-40B4-BE49-F238E27FC236}">
              <a16:creationId xmlns:a16="http://schemas.microsoft.com/office/drawing/2014/main" id="{949D81A8-B12C-4947-A81F-4CC810F1D8A1}"/>
            </a:ext>
          </a:extLst>
        </xdr:cNvPr>
        <xdr:cNvSpPr txBox="1"/>
      </xdr:nvSpPr>
      <xdr:spPr>
        <a:xfrm>
          <a:off x="20474940" y="24112452"/>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7/31</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55666</xdr:colOff>
      <xdr:row>68</xdr:row>
      <xdr:rowOff>277091</xdr:rowOff>
    </xdr:from>
    <xdr:to>
      <xdr:col>59</xdr:col>
      <xdr:colOff>776843</xdr:colOff>
      <xdr:row>71</xdr:row>
      <xdr:rowOff>121227</xdr:rowOff>
    </xdr:to>
    <xdr:sp macro="" textlink="">
      <xdr:nvSpPr>
        <xdr:cNvPr id="59" name="テキスト ボックス 58">
          <a:extLst>
            <a:ext uri="{FF2B5EF4-FFF2-40B4-BE49-F238E27FC236}">
              <a16:creationId xmlns:a16="http://schemas.microsoft.com/office/drawing/2014/main" id="{CFC6BB1E-4BA9-47CE-8D75-5E69F01BE4BB}"/>
            </a:ext>
          </a:extLst>
        </xdr:cNvPr>
        <xdr:cNvSpPr txBox="1"/>
      </xdr:nvSpPr>
      <xdr:spPr>
        <a:xfrm>
          <a:off x="20474940" y="15562811"/>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5</a:t>
          </a:r>
          <a:r>
            <a:rPr kumimoji="1" lang="ja-JP" altLang="en-US" sz="1600" b="1"/>
            <a:t>月下旬</a:t>
          </a:r>
          <a:endParaRPr kumimoji="1" lang="en-US" altLang="ja-JP" sz="1600" b="1"/>
        </a:p>
      </xdr:txBody>
    </xdr:sp>
    <xdr:clientData/>
  </xdr:twoCellAnchor>
  <xdr:twoCellAnchor>
    <xdr:from>
      <xdr:col>60</xdr:col>
      <xdr:colOff>48243</xdr:colOff>
      <xdr:row>159</xdr:row>
      <xdr:rowOff>190499</xdr:rowOff>
    </xdr:from>
    <xdr:to>
      <xdr:col>61</xdr:col>
      <xdr:colOff>769421</xdr:colOff>
      <xdr:row>162</xdr:row>
      <xdr:rowOff>38347</xdr:rowOff>
    </xdr:to>
    <xdr:sp macro="" textlink="">
      <xdr:nvSpPr>
        <xdr:cNvPr id="60" name="テキスト ボックス 59">
          <a:extLst>
            <a:ext uri="{FF2B5EF4-FFF2-40B4-BE49-F238E27FC236}">
              <a16:creationId xmlns:a16="http://schemas.microsoft.com/office/drawing/2014/main" id="{AFCB1182-0703-4A02-BCC0-DBB484E7EF4D}"/>
            </a:ext>
          </a:extLst>
        </xdr:cNvPr>
        <xdr:cNvSpPr txBox="1"/>
      </xdr:nvSpPr>
      <xdr:spPr>
        <a:xfrm>
          <a:off x="20474940" y="48508919"/>
          <a:ext cx="0" cy="1013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48242</xdr:colOff>
      <xdr:row>155</xdr:row>
      <xdr:rowOff>312964</xdr:rowOff>
    </xdr:from>
    <xdr:to>
      <xdr:col>63</xdr:col>
      <xdr:colOff>769421</xdr:colOff>
      <xdr:row>158</xdr:row>
      <xdr:rowOff>160811</xdr:rowOff>
    </xdr:to>
    <xdr:sp macro="" textlink="">
      <xdr:nvSpPr>
        <xdr:cNvPr id="61" name="テキスト ボックス 60">
          <a:extLst>
            <a:ext uri="{FF2B5EF4-FFF2-40B4-BE49-F238E27FC236}">
              <a16:creationId xmlns:a16="http://schemas.microsoft.com/office/drawing/2014/main" id="{B5240899-3BAD-419A-BD8F-C34C447BC3A0}"/>
            </a:ext>
          </a:extLst>
        </xdr:cNvPr>
        <xdr:cNvSpPr txBox="1"/>
      </xdr:nvSpPr>
      <xdr:spPr>
        <a:xfrm>
          <a:off x="20474940" y="47076904"/>
          <a:ext cx="0" cy="1013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7/10</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58</xdr:col>
      <xdr:colOff>48244</xdr:colOff>
      <xdr:row>91</xdr:row>
      <xdr:rowOff>258536</xdr:rowOff>
    </xdr:from>
    <xdr:to>
      <xdr:col>59</xdr:col>
      <xdr:colOff>769422</xdr:colOff>
      <xdr:row>94</xdr:row>
      <xdr:rowOff>106383</xdr:rowOff>
    </xdr:to>
    <xdr:sp macro="" textlink="">
      <xdr:nvSpPr>
        <xdr:cNvPr id="62" name="テキスト ボックス 61">
          <a:extLst>
            <a:ext uri="{FF2B5EF4-FFF2-40B4-BE49-F238E27FC236}">
              <a16:creationId xmlns:a16="http://schemas.microsoft.com/office/drawing/2014/main" id="{BA62F0EF-BEBF-4A1B-ADB4-13B44564D0B2}"/>
            </a:ext>
          </a:extLst>
        </xdr:cNvPr>
        <xdr:cNvSpPr txBox="1"/>
      </xdr:nvSpPr>
      <xdr:spPr>
        <a:xfrm>
          <a:off x="20474940" y="43913516"/>
          <a:ext cx="0" cy="1013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95250</xdr:colOff>
      <xdr:row>174</xdr:row>
      <xdr:rowOff>204108</xdr:rowOff>
    </xdr:from>
    <xdr:to>
      <xdr:col>57</xdr:col>
      <xdr:colOff>761999</xdr:colOff>
      <xdr:row>176</xdr:row>
      <xdr:rowOff>135701</xdr:rowOff>
    </xdr:to>
    <xdr:sp macro="" textlink="">
      <xdr:nvSpPr>
        <xdr:cNvPr id="64" name="テキスト ボックス 63">
          <a:extLst>
            <a:ext uri="{FF2B5EF4-FFF2-40B4-BE49-F238E27FC236}">
              <a16:creationId xmlns:a16="http://schemas.microsoft.com/office/drawing/2014/main" id="{A99BAA7E-1FDD-40EF-B111-23C64F7D715B}"/>
            </a:ext>
          </a:extLst>
        </xdr:cNvPr>
        <xdr:cNvSpPr txBox="1"/>
      </xdr:nvSpPr>
      <xdr:spPr>
        <a:xfrm>
          <a:off x="20474940" y="69896628"/>
          <a:ext cx="0" cy="708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56</xdr:col>
      <xdr:colOff>95249</xdr:colOff>
      <xdr:row>112</xdr:row>
      <xdr:rowOff>163285</xdr:rowOff>
    </xdr:from>
    <xdr:to>
      <xdr:col>57</xdr:col>
      <xdr:colOff>761998</xdr:colOff>
      <xdr:row>114</xdr:row>
      <xdr:rowOff>159575</xdr:rowOff>
    </xdr:to>
    <xdr:sp macro="" textlink="">
      <xdr:nvSpPr>
        <xdr:cNvPr id="70" name="テキスト ボックス 69">
          <a:extLst>
            <a:ext uri="{FF2B5EF4-FFF2-40B4-BE49-F238E27FC236}">
              <a16:creationId xmlns:a16="http://schemas.microsoft.com/office/drawing/2014/main" id="{576BD688-D27A-4936-9025-8CC840F72750}"/>
            </a:ext>
          </a:extLst>
        </xdr:cNvPr>
        <xdr:cNvSpPr txBox="1"/>
      </xdr:nvSpPr>
      <xdr:spPr>
        <a:xfrm>
          <a:off x="20474940" y="88898185"/>
          <a:ext cx="0" cy="773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122465</xdr:colOff>
      <xdr:row>56</xdr:row>
      <xdr:rowOff>68034</xdr:rowOff>
    </xdr:from>
    <xdr:to>
      <xdr:col>59</xdr:col>
      <xdr:colOff>789214</xdr:colOff>
      <xdr:row>58</xdr:row>
      <xdr:rowOff>136071</xdr:rowOff>
    </xdr:to>
    <xdr:sp macro="" textlink="">
      <xdr:nvSpPr>
        <xdr:cNvPr id="71" name="テキスト ボックス 70">
          <a:extLst>
            <a:ext uri="{FF2B5EF4-FFF2-40B4-BE49-F238E27FC236}">
              <a16:creationId xmlns:a16="http://schemas.microsoft.com/office/drawing/2014/main" id="{DB8E2BAB-44AB-47B2-B86B-4F1BC73A7952}"/>
            </a:ext>
          </a:extLst>
        </xdr:cNvPr>
        <xdr:cNvSpPr txBox="1"/>
      </xdr:nvSpPr>
      <xdr:spPr>
        <a:xfrm>
          <a:off x="20474940" y="58101954"/>
          <a:ext cx="0" cy="845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86590</xdr:colOff>
      <xdr:row>285</xdr:row>
      <xdr:rowOff>388792</xdr:rowOff>
    </xdr:from>
    <xdr:to>
      <xdr:col>57</xdr:col>
      <xdr:colOff>753339</xdr:colOff>
      <xdr:row>288</xdr:row>
      <xdr:rowOff>108857</xdr:rowOff>
    </xdr:to>
    <xdr:sp macro="" textlink="">
      <xdr:nvSpPr>
        <xdr:cNvPr id="72" name="テキスト ボックス 71">
          <a:extLst>
            <a:ext uri="{FF2B5EF4-FFF2-40B4-BE49-F238E27FC236}">
              <a16:creationId xmlns:a16="http://schemas.microsoft.com/office/drawing/2014/main" id="{792B3258-701F-4E7F-9533-77637A1DD083}"/>
            </a:ext>
          </a:extLst>
        </xdr:cNvPr>
        <xdr:cNvSpPr txBox="1"/>
      </xdr:nvSpPr>
      <xdr:spPr>
        <a:xfrm>
          <a:off x="20474940" y="92232652"/>
          <a:ext cx="0" cy="8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86590</xdr:colOff>
      <xdr:row>274</xdr:row>
      <xdr:rowOff>242454</xdr:rowOff>
    </xdr:from>
    <xdr:to>
      <xdr:col>57</xdr:col>
      <xdr:colOff>753339</xdr:colOff>
      <xdr:row>276</xdr:row>
      <xdr:rowOff>363682</xdr:rowOff>
    </xdr:to>
    <xdr:sp macro="" textlink="">
      <xdr:nvSpPr>
        <xdr:cNvPr id="73" name="テキスト ボックス 72">
          <a:extLst>
            <a:ext uri="{FF2B5EF4-FFF2-40B4-BE49-F238E27FC236}">
              <a16:creationId xmlns:a16="http://schemas.microsoft.com/office/drawing/2014/main" id="{79448458-5C0E-415D-A4C4-A10B3C7D186E}"/>
            </a:ext>
          </a:extLst>
        </xdr:cNvPr>
        <xdr:cNvSpPr txBox="1"/>
      </xdr:nvSpPr>
      <xdr:spPr>
        <a:xfrm>
          <a:off x="20474940" y="96749754"/>
          <a:ext cx="0" cy="898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77934</xdr:colOff>
      <xdr:row>56</xdr:row>
      <xdr:rowOff>41195</xdr:rowOff>
    </xdr:from>
    <xdr:to>
      <xdr:col>57</xdr:col>
      <xdr:colOff>744683</xdr:colOff>
      <xdr:row>58</xdr:row>
      <xdr:rowOff>51955</xdr:rowOff>
    </xdr:to>
    <xdr:sp macro="" textlink="">
      <xdr:nvSpPr>
        <xdr:cNvPr id="74" name="テキスト ボックス 73">
          <a:extLst>
            <a:ext uri="{FF2B5EF4-FFF2-40B4-BE49-F238E27FC236}">
              <a16:creationId xmlns:a16="http://schemas.microsoft.com/office/drawing/2014/main" id="{12C2A156-6B36-4EC3-842A-B2990F7F7E09}"/>
            </a:ext>
          </a:extLst>
        </xdr:cNvPr>
        <xdr:cNvSpPr txBox="1"/>
      </xdr:nvSpPr>
      <xdr:spPr>
        <a:xfrm>
          <a:off x="20474940" y="58075115"/>
          <a:ext cx="0" cy="78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4/18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60</xdr:col>
      <xdr:colOff>48244</xdr:colOff>
      <xdr:row>27</xdr:row>
      <xdr:rowOff>314199</xdr:rowOff>
    </xdr:from>
    <xdr:to>
      <xdr:col>61</xdr:col>
      <xdr:colOff>769422</xdr:colOff>
      <xdr:row>30</xdr:row>
      <xdr:rowOff>158337</xdr:rowOff>
    </xdr:to>
    <xdr:sp macro="" textlink="">
      <xdr:nvSpPr>
        <xdr:cNvPr id="75" name="テキスト ボックス 74">
          <a:extLst>
            <a:ext uri="{FF2B5EF4-FFF2-40B4-BE49-F238E27FC236}">
              <a16:creationId xmlns:a16="http://schemas.microsoft.com/office/drawing/2014/main" id="{C9D5FADE-E33F-45CB-A380-6D88261575AD}"/>
            </a:ext>
          </a:extLst>
        </xdr:cNvPr>
        <xdr:cNvSpPr txBox="1"/>
      </xdr:nvSpPr>
      <xdr:spPr>
        <a:xfrm>
          <a:off x="20474940" y="27258519"/>
          <a:ext cx="0" cy="1009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6/20</a:t>
          </a:r>
        </a:p>
      </xdr:txBody>
    </xdr:sp>
    <xdr:clientData/>
  </xdr:twoCellAnchor>
  <xdr:twoCellAnchor>
    <xdr:from>
      <xdr:col>58</xdr:col>
      <xdr:colOff>54428</xdr:colOff>
      <xdr:row>17</xdr:row>
      <xdr:rowOff>27214</xdr:rowOff>
    </xdr:from>
    <xdr:to>
      <xdr:col>59</xdr:col>
      <xdr:colOff>775605</xdr:colOff>
      <xdr:row>19</xdr:row>
      <xdr:rowOff>265957</xdr:rowOff>
    </xdr:to>
    <xdr:sp macro="" textlink="">
      <xdr:nvSpPr>
        <xdr:cNvPr id="76" name="テキスト ボックス 75">
          <a:extLst>
            <a:ext uri="{FF2B5EF4-FFF2-40B4-BE49-F238E27FC236}">
              <a16:creationId xmlns:a16="http://schemas.microsoft.com/office/drawing/2014/main" id="{9BB45ADD-D9F7-4F73-B652-D753AD8FBA6A}"/>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5/15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40821</xdr:colOff>
      <xdr:row>17</xdr:row>
      <xdr:rowOff>27214</xdr:rowOff>
    </xdr:from>
    <xdr:to>
      <xdr:col>61</xdr:col>
      <xdr:colOff>761998</xdr:colOff>
      <xdr:row>19</xdr:row>
      <xdr:rowOff>265957</xdr:rowOff>
    </xdr:to>
    <xdr:sp macro="" textlink="">
      <xdr:nvSpPr>
        <xdr:cNvPr id="77" name="テキスト ボックス 76">
          <a:extLst>
            <a:ext uri="{FF2B5EF4-FFF2-40B4-BE49-F238E27FC236}">
              <a16:creationId xmlns:a16="http://schemas.microsoft.com/office/drawing/2014/main" id="{8F3E8ED2-11C5-4083-A33A-F1F8DCF59357}"/>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68036</xdr:colOff>
      <xdr:row>68</xdr:row>
      <xdr:rowOff>277091</xdr:rowOff>
    </xdr:from>
    <xdr:to>
      <xdr:col>63</xdr:col>
      <xdr:colOff>789213</xdr:colOff>
      <xdr:row>71</xdr:row>
      <xdr:rowOff>121227</xdr:rowOff>
    </xdr:to>
    <xdr:sp macro="" textlink="">
      <xdr:nvSpPr>
        <xdr:cNvPr id="78" name="テキスト ボックス 77">
          <a:extLst>
            <a:ext uri="{FF2B5EF4-FFF2-40B4-BE49-F238E27FC236}">
              <a16:creationId xmlns:a16="http://schemas.microsoft.com/office/drawing/2014/main" id="{E102C510-6405-4C6F-8EAC-466A259279EE}"/>
            </a:ext>
          </a:extLst>
        </xdr:cNvPr>
        <xdr:cNvSpPr txBox="1"/>
      </xdr:nvSpPr>
      <xdr:spPr>
        <a:xfrm>
          <a:off x="20474940" y="15562811"/>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54</xdr:col>
      <xdr:colOff>54429</xdr:colOff>
      <xdr:row>15</xdr:row>
      <xdr:rowOff>54428</xdr:rowOff>
    </xdr:from>
    <xdr:to>
      <xdr:col>55</xdr:col>
      <xdr:colOff>775605</xdr:colOff>
      <xdr:row>17</xdr:row>
      <xdr:rowOff>293171</xdr:rowOff>
    </xdr:to>
    <xdr:sp macro="" textlink="">
      <xdr:nvSpPr>
        <xdr:cNvPr id="79" name="テキスト ボックス 78">
          <a:extLst>
            <a:ext uri="{FF2B5EF4-FFF2-40B4-BE49-F238E27FC236}">
              <a16:creationId xmlns:a16="http://schemas.microsoft.com/office/drawing/2014/main" id="{E74D44F0-EC95-4231-A152-D1E8C6E75E80}"/>
            </a:ext>
          </a:extLst>
        </xdr:cNvPr>
        <xdr:cNvSpPr txBox="1"/>
      </xdr:nvSpPr>
      <xdr:spPr>
        <a:xfrm>
          <a:off x="20474940" y="5236028"/>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3/21</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54429</xdr:colOff>
      <xdr:row>15</xdr:row>
      <xdr:rowOff>54428</xdr:rowOff>
    </xdr:from>
    <xdr:to>
      <xdr:col>53</xdr:col>
      <xdr:colOff>775605</xdr:colOff>
      <xdr:row>17</xdr:row>
      <xdr:rowOff>293171</xdr:rowOff>
    </xdr:to>
    <xdr:sp macro="" textlink="">
      <xdr:nvSpPr>
        <xdr:cNvPr id="81" name="テキスト ボックス 80">
          <a:extLst>
            <a:ext uri="{FF2B5EF4-FFF2-40B4-BE49-F238E27FC236}">
              <a16:creationId xmlns:a16="http://schemas.microsoft.com/office/drawing/2014/main" id="{77FB7164-2449-4499-A283-1381BD58FA83}"/>
            </a:ext>
          </a:extLst>
        </xdr:cNvPr>
        <xdr:cNvSpPr txBox="1"/>
      </xdr:nvSpPr>
      <xdr:spPr>
        <a:xfrm>
          <a:off x="20474940" y="5236028"/>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51954</xdr:colOff>
      <xdr:row>80</xdr:row>
      <xdr:rowOff>0</xdr:rowOff>
    </xdr:from>
    <xdr:to>
      <xdr:col>53</xdr:col>
      <xdr:colOff>773133</xdr:colOff>
      <xdr:row>82</xdr:row>
      <xdr:rowOff>242455</xdr:rowOff>
    </xdr:to>
    <xdr:sp macro="" textlink="">
      <xdr:nvSpPr>
        <xdr:cNvPr id="82" name="テキスト ボックス 81">
          <a:extLst>
            <a:ext uri="{FF2B5EF4-FFF2-40B4-BE49-F238E27FC236}">
              <a16:creationId xmlns:a16="http://schemas.microsoft.com/office/drawing/2014/main" id="{66875DAA-4B89-4E0F-932A-2D69F118A593}"/>
            </a:ext>
          </a:extLst>
        </xdr:cNvPr>
        <xdr:cNvSpPr txBox="1"/>
      </xdr:nvSpPr>
      <xdr:spPr>
        <a:xfrm>
          <a:off x="20474940" y="39380160"/>
          <a:ext cx="0" cy="1019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3/14</a:t>
          </a:r>
        </a:p>
      </xdr:txBody>
    </xdr:sp>
    <xdr:clientData/>
  </xdr:twoCellAnchor>
  <xdr:twoCellAnchor>
    <xdr:from>
      <xdr:col>52</xdr:col>
      <xdr:colOff>51954</xdr:colOff>
      <xdr:row>80</xdr:row>
      <xdr:rowOff>0</xdr:rowOff>
    </xdr:from>
    <xdr:to>
      <xdr:col>53</xdr:col>
      <xdr:colOff>773133</xdr:colOff>
      <xdr:row>82</xdr:row>
      <xdr:rowOff>242455</xdr:rowOff>
    </xdr:to>
    <xdr:sp macro="" textlink="">
      <xdr:nvSpPr>
        <xdr:cNvPr id="83" name="テキスト ボックス 82">
          <a:extLst>
            <a:ext uri="{FF2B5EF4-FFF2-40B4-BE49-F238E27FC236}">
              <a16:creationId xmlns:a16="http://schemas.microsoft.com/office/drawing/2014/main" id="{20065E34-1C4C-4BD5-BFD1-655821F607D1}"/>
            </a:ext>
          </a:extLst>
        </xdr:cNvPr>
        <xdr:cNvSpPr txBox="1"/>
      </xdr:nvSpPr>
      <xdr:spPr>
        <a:xfrm>
          <a:off x="20474940" y="39380160"/>
          <a:ext cx="0" cy="1019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68037</xdr:colOff>
      <xdr:row>56</xdr:row>
      <xdr:rowOff>11205</xdr:rowOff>
    </xdr:from>
    <xdr:to>
      <xdr:col>63</xdr:col>
      <xdr:colOff>734786</xdr:colOff>
      <xdr:row>58</xdr:row>
      <xdr:rowOff>13607</xdr:rowOff>
    </xdr:to>
    <xdr:sp macro="" textlink="">
      <xdr:nvSpPr>
        <xdr:cNvPr id="84" name="テキスト ボックス 83">
          <a:extLst>
            <a:ext uri="{FF2B5EF4-FFF2-40B4-BE49-F238E27FC236}">
              <a16:creationId xmlns:a16="http://schemas.microsoft.com/office/drawing/2014/main" id="{7D15CFFF-9D30-42AD-BF7E-3B5A3BC5E22E}"/>
            </a:ext>
          </a:extLst>
        </xdr:cNvPr>
        <xdr:cNvSpPr txBox="1"/>
      </xdr:nvSpPr>
      <xdr:spPr>
        <a:xfrm>
          <a:off x="20474940" y="58045125"/>
          <a:ext cx="0" cy="7796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7/18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54428</xdr:colOff>
      <xdr:row>68</xdr:row>
      <xdr:rowOff>277091</xdr:rowOff>
    </xdr:from>
    <xdr:to>
      <xdr:col>65</xdr:col>
      <xdr:colOff>775605</xdr:colOff>
      <xdr:row>71</xdr:row>
      <xdr:rowOff>121227</xdr:rowOff>
    </xdr:to>
    <xdr:sp macro="" textlink="">
      <xdr:nvSpPr>
        <xdr:cNvPr id="85" name="テキスト ボックス 84">
          <a:extLst>
            <a:ext uri="{FF2B5EF4-FFF2-40B4-BE49-F238E27FC236}">
              <a16:creationId xmlns:a16="http://schemas.microsoft.com/office/drawing/2014/main" id="{349CE173-1591-4A28-825E-841DA9E633DB}"/>
            </a:ext>
          </a:extLst>
        </xdr:cNvPr>
        <xdr:cNvSpPr txBox="1"/>
      </xdr:nvSpPr>
      <xdr:spPr>
        <a:xfrm>
          <a:off x="20474940" y="15562811"/>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95252</xdr:colOff>
      <xdr:row>56</xdr:row>
      <xdr:rowOff>33617</xdr:rowOff>
    </xdr:from>
    <xdr:to>
      <xdr:col>65</xdr:col>
      <xdr:colOff>762001</xdr:colOff>
      <xdr:row>58</xdr:row>
      <xdr:rowOff>44824</xdr:rowOff>
    </xdr:to>
    <xdr:sp macro="" textlink="">
      <xdr:nvSpPr>
        <xdr:cNvPr id="86" name="テキスト ボックス 85">
          <a:extLst>
            <a:ext uri="{FF2B5EF4-FFF2-40B4-BE49-F238E27FC236}">
              <a16:creationId xmlns:a16="http://schemas.microsoft.com/office/drawing/2014/main" id="{7C483D7B-CE80-437F-B550-488070DF5A35}"/>
            </a:ext>
          </a:extLst>
        </xdr:cNvPr>
        <xdr:cNvSpPr txBox="1"/>
      </xdr:nvSpPr>
      <xdr:spPr>
        <a:xfrm>
          <a:off x="20474940" y="58067537"/>
          <a:ext cx="0" cy="788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225136</xdr:colOff>
      <xdr:row>29</xdr:row>
      <xdr:rowOff>329043</xdr:rowOff>
    </xdr:from>
    <xdr:to>
      <xdr:col>63</xdr:col>
      <xdr:colOff>692727</xdr:colOff>
      <xdr:row>32</xdr:row>
      <xdr:rowOff>173181</xdr:rowOff>
    </xdr:to>
    <xdr:sp macro="" textlink="">
      <xdr:nvSpPr>
        <xdr:cNvPr id="87" name="テキスト ボックス 86">
          <a:extLst>
            <a:ext uri="{FF2B5EF4-FFF2-40B4-BE49-F238E27FC236}">
              <a16:creationId xmlns:a16="http://schemas.microsoft.com/office/drawing/2014/main" id="{A7B5230E-19AF-4480-80C5-945D8DB859C3}"/>
            </a:ext>
          </a:extLst>
        </xdr:cNvPr>
        <xdr:cNvSpPr txBox="1"/>
      </xdr:nvSpPr>
      <xdr:spPr>
        <a:xfrm>
          <a:off x="20474940" y="28050603"/>
          <a:ext cx="0" cy="1009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40821</xdr:colOff>
      <xdr:row>17</xdr:row>
      <xdr:rowOff>27214</xdr:rowOff>
    </xdr:from>
    <xdr:to>
      <xdr:col>65</xdr:col>
      <xdr:colOff>761998</xdr:colOff>
      <xdr:row>19</xdr:row>
      <xdr:rowOff>265957</xdr:rowOff>
    </xdr:to>
    <xdr:sp macro="" textlink="">
      <xdr:nvSpPr>
        <xdr:cNvPr id="88" name="テキスト ボックス 87">
          <a:extLst>
            <a:ext uri="{FF2B5EF4-FFF2-40B4-BE49-F238E27FC236}">
              <a16:creationId xmlns:a16="http://schemas.microsoft.com/office/drawing/2014/main" id="{095D7DFF-72BF-48C9-9369-DF254D97FE6B}"/>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143</xdr:row>
      <xdr:rowOff>246163</xdr:rowOff>
    </xdr:from>
    <xdr:to>
      <xdr:col>65</xdr:col>
      <xdr:colOff>762000</xdr:colOff>
      <xdr:row>146</xdr:row>
      <xdr:rowOff>90300</xdr:rowOff>
    </xdr:to>
    <xdr:sp macro="" textlink="">
      <xdr:nvSpPr>
        <xdr:cNvPr id="89" name="テキスト ボックス 88">
          <a:extLst>
            <a:ext uri="{FF2B5EF4-FFF2-40B4-BE49-F238E27FC236}">
              <a16:creationId xmlns:a16="http://schemas.microsoft.com/office/drawing/2014/main" id="{7E957AE7-11D1-43CE-94BB-EC9CC802FA61}"/>
            </a:ext>
          </a:extLst>
        </xdr:cNvPr>
        <xdr:cNvSpPr txBox="1"/>
      </xdr:nvSpPr>
      <xdr:spPr>
        <a:xfrm>
          <a:off x="20474940" y="33408403"/>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81</xdr:row>
      <xdr:rowOff>82878</xdr:rowOff>
    </xdr:from>
    <xdr:to>
      <xdr:col>65</xdr:col>
      <xdr:colOff>762000</xdr:colOff>
      <xdr:row>83</xdr:row>
      <xdr:rowOff>321622</xdr:rowOff>
    </xdr:to>
    <xdr:sp macro="" textlink="">
      <xdr:nvSpPr>
        <xdr:cNvPr id="90" name="テキスト ボックス 89">
          <a:extLst>
            <a:ext uri="{FF2B5EF4-FFF2-40B4-BE49-F238E27FC236}">
              <a16:creationId xmlns:a16="http://schemas.microsoft.com/office/drawing/2014/main" id="{08AD3EEA-298D-4C51-AD0B-7583E75ED87C}"/>
            </a:ext>
          </a:extLst>
        </xdr:cNvPr>
        <xdr:cNvSpPr txBox="1"/>
      </xdr:nvSpPr>
      <xdr:spPr>
        <a:xfrm>
          <a:off x="20474940" y="39851658"/>
          <a:ext cx="0" cy="1015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92</xdr:row>
      <xdr:rowOff>137307</xdr:rowOff>
    </xdr:from>
    <xdr:to>
      <xdr:col>65</xdr:col>
      <xdr:colOff>762000</xdr:colOff>
      <xdr:row>94</xdr:row>
      <xdr:rowOff>376050</xdr:rowOff>
    </xdr:to>
    <xdr:sp macro="" textlink="">
      <xdr:nvSpPr>
        <xdr:cNvPr id="91" name="テキスト ボックス 90">
          <a:extLst>
            <a:ext uri="{FF2B5EF4-FFF2-40B4-BE49-F238E27FC236}">
              <a16:creationId xmlns:a16="http://schemas.microsoft.com/office/drawing/2014/main" id="{54508ED6-2AC2-442F-AC43-2BE70B64E96E}"/>
            </a:ext>
          </a:extLst>
        </xdr:cNvPr>
        <xdr:cNvSpPr txBox="1"/>
      </xdr:nvSpPr>
      <xdr:spPr>
        <a:xfrm>
          <a:off x="20474940" y="44180907"/>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54</xdr:col>
      <xdr:colOff>34636</xdr:colOff>
      <xdr:row>157</xdr:row>
      <xdr:rowOff>241218</xdr:rowOff>
    </xdr:from>
    <xdr:to>
      <xdr:col>55</xdr:col>
      <xdr:colOff>755814</xdr:colOff>
      <xdr:row>160</xdr:row>
      <xdr:rowOff>85353</xdr:rowOff>
    </xdr:to>
    <xdr:sp macro="" textlink="">
      <xdr:nvSpPr>
        <xdr:cNvPr id="92" name="テキスト ボックス 91">
          <a:extLst>
            <a:ext uri="{FF2B5EF4-FFF2-40B4-BE49-F238E27FC236}">
              <a16:creationId xmlns:a16="http://schemas.microsoft.com/office/drawing/2014/main" id="{3FE71394-458D-412F-A18C-0C37017349E3}"/>
            </a:ext>
          </a:extLst>
        </xdr:cNvPr>
        <xdr:cNvSpPr txBox="1"/>
      </xdr:nvSpPr>
      <xdr:spPr>
        <a:xfrm>
          <a:off x="20474940" y="47782398"/>
          <a:ext cx="0" cy="1009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3/31</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64</xdr:col>
      <xdr:colOff>34635</xdr:colOff>
      <xdr:row>159</xdr:row>
      <xdr:rowOff>244928</xdr:rowOff>
    </xdr:from>
    <xdr:to>
      <xdr:col>65</xdr:col>
      <xdr:colOff>755814</xdr:colOff>
      <xdr:row>162</xdr:row>
      <xdr:rowOff>92776</xdr:rowOff>
    </xdr:to>
    <xdr:sp macro="" textlink="">
      <xdr:nvSpPr>
        <xdr:cNvPr id="93" name="テキスト ボックス 92">
          <a:extLst>
            <a:ext uri="{FF2B5EF4-FFF2-40B4-BE49-F238E27FC236}">
              <a16:creationId xmlns:a16="http://schemas.microsoft.com/office/drawing/2014/main" id="{0F9FF0AD-C36A-4B87-8302-6007AA28A1CF}"/>
            </a:ext>
          </a:extLst>
        </xdr:cNvPr>
        <xdr:cNvSpPr txBox="1"/>
      </xdr:nvSpPr>
      <xdr:spPr>
        <a:xfrm>
          <a:off x="20474940" y="48563348"/>
          <a:ext cx="0" cy="1013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8/20</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58</xdr:col>
      <xdr:colOff>54429</xdr:colOff>
      <xdr:row>112</xdr:row>
      <xdr:rowOff>149678</xdr:rowOff>
    </xdr:from>
    <xdr:to>
      <xdr:col>59</xdr:col>
      <xdr:colOff>721177</xdr:colOff>
      <xdr:row>114</xdr:row>
      <xdr:rowOff>163286</xdr:rowOff>
    </xdr:to>
    <xdr:sp macro="" textlink="">
      <xdr:nvSpPr>
        <xdr:cNvPr id="94" name="テキスト ボックス 93">
          <a:extLst>
            <a:ext uri="{FF2B5EF4-FFF2-40B4-BE49-F238E27FC236}">
              <a16:creationId xmlns:a16="http://schemas.microsoft.com/office/drawing/2014/main" id="{060BC773-BBDA-4CD7-B69D-974211C68001}"/>
            </a:ext>
          </a:extLst>
        </xdr:cNvPr>
        <xdr:cNvSpPr txBox="1"/>
      </xdr:nvSpPr>
      <xdr:spPr>
        <a:xfrm>
          <a:off x="20474940" y="88884578"/>
          <a:ext cx="0" cy="7908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95251</xdr:colOff>
      <xdr:row>112</xdr:row>
      <xdr:rowOff>136071</xdr:rowOff>
    </xdr:from>
    <xdr:to>
      <xdr:col>61</xdr:col>
      <xdr:colOff>761999</xdr:colOff>
      <xdr:row>114</xdr:row>
      <xdr:rowOff>145594</xdr:rowOff>
    </xdr:to>
    <xdr:sp macro="" textlink="">
      <xdr:nvSpPr>
        <xdr:cNvPr id="95" name="テキスト ボックス 94">
          <a:extLst>
            <a:ext uri="{FF2B5EF4-FFF2-40B4-BE49-F238E27FC236}">
              <a16:creationId xmlns:a16="http://schemas.microsoft.com/office/drawing/2014/main" id="{FB2AB0BE-4BE9-4094-B09E-A0BE933A3E31}"/>
            </a:ext>
          </a:extLst>
        </xdr:cNvPr>
        <xdr:cNvSpPr txBox="1"/>
      </xdr:nvSpPr>
      <xdr:spPr>
        <a:xfrm>
          <a:off x="20474940" y="88870971"/>
          <a:ext cx="0" cy="786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81644</xdr:colOff>
      <xdr:row>112</xdr:row>
      <xdr:rowOff>217713</xdr:rowOff>
    </xdr:from>
    <xdr:to>
      <xdr:col>63</xdr:col>
      <xdr:colOff>748392</xdr:colOff>
      <xdr:row>114</xdr:row>
      <xdr:rowOff>145594</xdr:rowOff>
    </xdr:to>
    <xdr:sp macro="" textlink="">
      <xdr:nvSpPr>
        <xdr:cNvPr id="96" name="テキスト ボックス 95">
          <a:extLst>
            <a:ext uri="{FF2B5EF4-FFF2-40B4-BE49-F238E27FC236}">
              <a16:creationId xmlns:a16="http://schemas.microsoft.com/office/drawing/2014/main" id="{14F1E0F6-65D7-4B84-87DA-720A1D0EC78D}"/>
            </a:ext>
          </a:extLst>
        </xdr:cNvPr>
        <xdr:cNvSpPr txBox="1"/>
      </xdr:nvSpPr>
      <xdr:spPr>
        <a:xfrm>
          <a:off x="20474940" y="88952613"/>
          <a:ext cx="0" cy="705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7/11</a:t>
          </a:r>
        </a:p>
        <a:p>
          <a:pPr algn="ctr"/>
          <a:endParaRPr kumimoji="1" lang="en-US" altLang="ja-JP" sz="1600" b="1"/>
        </a:p>
      </xdr:txBody>
    </xdr:sp>
    <xdr:clientData/>
  </xdr:twoCellAnchor>
  <xdr:twoCellAnchor>
    <xdr:from>
      <xdr:col>66</xdr:col>
      <xdr:colOff>54120</xdr:colOff>
      <xdr:row>30</xdr:row>
      <xdr:rowOff>259771</xdr:rowOff>
    </xdr:from>
    <xdr:to>
      <xdr:col>67</xdr:col>
      <xdr:colOff>775299</xdr:colOff>
      <xdr:row>33</xdr:row>
      <xdr:rowOff>103908</xdr:rowOff>
    </xdr:to>
    <xdr:sp macro="" textlink="">
      <xdr:nvSpPr>
        <xdr:cNvPr id="98" name="テキスト ボックス 97">
          <a:extLst>
            <a:ext uri="{FF2B5EF4-FFF2-40B4-BE49-F238E27FC236}">
              <a16:creationId xmlns:a16="http://schemas.microsoft.com/office/drawing/2014/main" id="{6226CA65-F5B1-4765-944D-8D08F54CDE2C}"/>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9/30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51954</xdr:colOff>
      <xdr:row>159</xdr:row>
      <xdr:rowOff>244928</xdr:rowOff>
    </xdr:from>
    <xdr:to>
      <xdr:col>67</xdr:col>
      <xdr:colOff>773134</xdr:colOff>
      <xdr:row>162</xdr:row>
      <xdr:rowOff>92776</xdr:rowOff>
    </xdr:to>
    <xdr:sp macro="" textlink="">
      <xdr:nvSpPr>
        <xdr:cNvPr id="99" name="テキスト ボックス 98">
          <a:extLst>
            <a:ext uri="{FF2B5EF4-FFF2-40B4-BE49-F238E27FC236}">
              <a16:creationId xmlns:a16="http://schemas.microsoft.com/office/drawing/2014/main" id="{21725464-B875-4DEE-9FF4-AF46C7F206DE}"/>
            </a:ext>
          </a:extLst>
        </xdr:cNvPr>
        <xdr:cNvSpPr txBox="1"/>
      </xdr:nvSpPr>
      <xdr:spPr>
        <a:xfrm>
          <a:off x="20474940" y="48563348"/>
          <a:ext cx="0" cy="1013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65561</xdr:colOff>
      <xdr:row>104</xdr:row>
      <xdr:rowOff>225136</xdr:rowOff>
    </xdr:from>
    <xdr:to>
      <xdr:col>63</xdr:col>
      <xdr:colOff>786739</xdr:colOff>
      <xdr:row>107</xdr:row>
      <xdr:rowOff>72983</xdr:rowOff>
    </xdr:to>
    <xdr:sp macro="" textlink="">
      <xdr:nvSpPr>
        <xdr:cNvPr id="100" name="テキスト ボックス 99">
          <a:extLst>
            <a:ext uri="{FF2B5EF4-FFF2-40B4-BE49-F238E27FC236}">
              <a16:creationId xmlns:a16="http://schemas.microsoft.com/office/drawing/2014/main" id="{AA8E48BA-44FC-48B3-9A90-D730701090E0}"/>
            </a:ext>
          </a:extLst>
        </xdr:cNvPr>
        <xdr:cNvSpPr txBox="1"/>
      </xdr:nvSpPr>
      <xdr:spPr>
        <a:xfrm>
          <a:off x="20474940" y="52429756"/>
          <a:ext cx="0" cy="1013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7/10</a:t>
          </a:r>
        </a:p>
      </xdr:txBody>
    </xdr:sp>
    <xdr:clientData/>
  </xdr:twoCellAnchor>
  <xdr:twoCellAnchor>
    <xdr:from>
      <xdr:col>66</xdr:col>
      <xdr:colOff>77931</xdr:colOff>
      <xdr:row>174</xdr:row>
      <xdr:rowOff>204108</xdr:rowOff>
    </xdr:from>
    <xdr:to>
      <xdr:col>67</xdr:col>
      <xdr:colOff>744681</xdr:colOff>
      <xdr:row>176</xdr:row>
      <xdr:rowOff>212912</xdr:rowOff>
    </xdr:to>
    <xdr:sp macro="" textlink="">
      <xdr:nvSpPr>
        <xdr:cNvPr id="101" name="テキスト ボックス 100">
          <a:extLst>
            <a:ext uri="{FF2B5EF4-FFF2-40B4-BE49-F238E27FC236}">
              <a16:creationId xmlns:a16="http://schemas.microsoft.com/office/drawing/2014/main" id="{6A3DD5C5-9058-4C9A-820B-9DDDF65490D4}"/>
            </a:ext>
          </a:extLst>
        </xdr:cNvPr>
        <xdr:cNvSpPr txBox="1"/>
      </xdr:nvSpPr>
      <xdr:spPr>
        <a:xfrm>
          <a:off x="20474940" y="69896628"/>
          <a:ext cx="0" cy="786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51955</xdr:colOff>
      <xdr:row>41</xdr:row>
      <xdr:rowOff>155864</xdr:rowOff>
    </xdr:from>
    <xdr:to>
      <xdr:col>57</xdr:col>
      <xdr:colOff>773132</xdr:colOff>
      <xdr:row>44</xdr:row>
      <xdr:rowOff>0</xdr:rowOff>
    </xdr:to>
    <xdr:sp macro="" textlink="">
      <xdr:nvSpPr>
        <xdr:cNvPr id="102" name="テキスト ボックス 101">
          <a:extLst>
            <a:ext uri="{FF2B5EF4-FFF2-40B4-BE49-F238E27FC236}">
              <a16:creationId xmlns:a16="http://schemas.microsoft.com/office/drawing/2014/main" id="{3C6A72C2-3485-4F3A-A2BE-189D005F00E7}"/>
            </a:ext>
          </a:extLst>
        </xdr:cNvPr>
        <xdr:cNvSpPr txBox="1"/>
      </xdr:nvSpPr>
      <xdr:spPr>
        <a:xfrm>
          <a:off x="20474940" y="11166764"/>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77931</xdr:colOff>
      <xdr:row>215</xdr:row>
      <xdr:rowOff>353787</xdr:rowOff>
    </xdr:from>
    <xdr:to>
      <xdr:col>67</xdr:col>
      <xdr:colOff>744681</xdr:colOff>
      <xdr:row>218</xdr:row>
      <xdr:rowOff>11205</xdr:rowOff>
    </xdr:to>
    <xdr:sp macro="" textlink="">
      <xdr:nvSpPr>
        <xdr:cNvPr id="104" name="テキスト ボックス 103">
          <a:extLst>
            <a:ext uri="{FF2B5EF4-FFF2-40B4-BE49-F238E27FC236}">
              <a16:creationId xmlns:a16="http://schemas.microsoft.com/office/drawing/2014/main" id="{712C084D-EA8F-490C-A626-131EEE285A0D}"/>
            </a:ext>
          </a:extLst>
        </xdr:cNvPr>
        <xdr:cNvSpPr txBox="1"/>
      </xdr:nvSpPr>
      <xdr:spPr>
        <a:xfrm>
          <a:off x="20474940" y="77430087"/>
          <a:ext cx="0" cy="823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9/26</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68</xdr:col>
      <xdr:colOff>81642</xdr:colOff>
      <xdr:row>274</xdr:row>
      <xdr:rowOff>285748</xdr:rowOff>
    </xdr:from>
    <xdr:to>
      <xdr:col>69</xdr:col>
      <xdr:colOff>748392</xdr:colOff>
      <xdr:row>276</xdr:row>
      <xdr:rowOff>340178</xdr:rowOff>
    </xdr:to>
    <xdr:sp macro="" textlink="">
      <xdr:nvSpPr>
        <xdr:cNvPr id="105" name="テキスト ボックス 104">
          <a:extLst>
            <a:ext uri="{FF2B5EF4-FFF2-40B4-BE49-F238E27FC236}">
              <a16:creationId xmlns:a16="http://schemas.microsoft.com/office/drawing/2014/main" id="{707CE8BD-F1C3-4408-BF63-5C3790789307}"/>
            </a:ext>
          </a:extLst>
        </xdr:cNvPr>
        <xdr:cNvSpPr txBox="1"/>
      </xdr:nvSpPr>
      <xdr:spPr>
        <a:xfrm>
          <a:off x="20474940" y="96793048"/>
          <a:ext cx="0" cy="8316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65561</xdr:colOff>
      <xdr:row>41</xdr:row>
      <xdr:rowOff>155864</xdr:rowOff>
    </xdr:from>
    <xdr:to>
      <xdr:col>61</xdr:col>
      <xdr:colOff>786738</xdr:colOff>
      <xdr:row>44</xdr:row>
      <xdr:rowOff>0</xdr:rowOff>
    </xdr:to>
    <xdr:sp macro="" textlink="">
      <xdr:nvSpPr>
        <xdr:cNvPr id="106" name="テキスト ボックス 105">
          <a:extLst>
            <a:ext uri="{FF2B5EF4-FFF2-40B4-BE49-F238E27FC236}">
              <a16:creationId xmlns:a16="http://schemas.microsoft.com/office/drawing/2014/main" id="{6D5F887C-BBF7-4DD6-A76F-9836E9C2B886}"/>
            </a:ext>
          </a:extLst>
        </xdr:cNvPr>
        <xdr:cNvSpPr txBox="1"/>
      </xdr:nvSpPr>
      <xdr:spPr>
        <a:xfrm>
          <a:off x="20474940" y="11166764"/>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54428</xdr:colOff>
      <xdr:row>130</xdr:row>
      <xdr:rowOff>277092</xdr:rowOff>
    </xdr:from>
    <xdr:to>
      <xdr:col>69</xdr:col>
      <xdr:colOff>775608</xdr:colOff>
      <xdr:row>133</xdr:row>
      <xdr:rowOff>121228</xdr:rowOff>
    </xdr:to>
    <xdr:sp macro="" textlink="">
      <xdr:nvSpPr>
        <xdr:cNvPr id="107" name="テキスト ボックス 106">
          <a:extLst>
            <a:ext uri="{FF2B5EF4-FFF2-40B4-BE49-F238E27FC236}">
              <a16:creationId xmlns:a16="http://schemas.microsoft.com/office/drawing/2014/main" id="{698EB0EA-D1AE-4CBB-9FEC-45944FACBAD5}"/>
            </a:ext>
          </a:extLst>
        </xdr:cNvPr>
        <xdr:cNvSpPr txBox="1"/>
      </xdr:nvSpPr>
      <xdr:spPr>
        <a:xfrm>
          <a:off x="20474940" y="24112452"/>
          <a:ext cx="0" cy="1009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95250</xdr:colOff>
      <xdr:row>285</xdr:row>
      <xdr:rowOff>285749</xdr:rowOff>
    </xdr:from>
    <xdr:to>
      <xdr:col>69</xdr:col>
      <xdr:colOff>761998</xdr:colOff>
      <xdr:row>287</xdr:row>
      <xdr:rowOff>367393</xdr:rowOff>
    </xdr:to>
    <xdr:sp macro="" textlink="">
      <xdr:nvSpPr>
        <xdr:cNvPr id="108" name="テキスト ボックス 107">
          <a:extLst>
            <a:ext uri="{FF2B5EF4-FFF2-40B4-BE49-F238E27FC236}">
              <a16:creationId xmlns:a16="http://schemas.microsoft.com/office/drawing/2014/main" id="{E31BA770-6AFF-47A0-BFBE-6477935E5AFF}"/>
            </a:ext>
          </a:extLst>
        </xdr:cNvPr>
        <xdr:cNvSpPr txBox="1"/>
      </xdr:nvSpPr>
      <xdr:spPr>
        <a:xfrm>
          <a:off x="20474940" y="92129609"/>
          <a:ext cx="0" cy="858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81642</xdr:colOff>
      <xdr:row>112</xdr:row>
      <xdr:rowOff>394606</xdr:rowOff>
    </xdr:from>
    <xdr:to>
      <xdr:col>67</xdr:col>
      <xdr:colOff>748392</xdr:colOff>
      <xdr:row>114</xdr:row>
      <xdr:rowOff>380999</xdr:rowOff>
    </xdr:to>
    <xdr:sp macro="" textlink="">
      <xdr:nvSpPr>
        <xdr:cNvPr id="109" name="テキスト ボックス 108">
          <a:extLst>
            <a:ext uri="{FF2B5EF4-FFF2-40B4-BE49-F238E27FC236}">
              <a16:creationId xmlns:a16="http://schemas.microsoft.com/office/drawing/2014/main" id="{A5D455A5-00DD-4DD8-9CA4-2BCF96E87352}"/>
            </a:ext>
          </a:extLst>
        </xdr:cNvPr>
        <xdr:cNvSpPr txBox="1"/>
      </xdr:nvSpPr>
      <xdr:spPr>
        <a:xfrm>
          <a:off x="20474940" y="89121886"/>
          <a:ext cx="0" cy="771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39586</xdr:colOff>
      <xdr:row>119</xdr:row>
      <xdr:rowOff>0</xdr:rowOff>
    </xdr:from>
    <xdr:to>
      <xdr:col>69</xdr:col>
      <xdr:colOff>763239</xdr:colOff>
      <xdr:row>121</xdr:row>
      <xdr:rowOff>242454</xdr:rowOff>
    </xdr:to>
    <xdr:sp macro="" textlink="">
      <xdr:nvSpPr>
        <xdr:cNvPr id="111" name="テキスト ボックス 110">
          <a:extLst>
            <a:ext uri="{FF2B5EF4-FFF2-40B4-BE49-F238E27FC236}">
              <a16:creationId xmlns:a16="http://schemas.microsoft.com/office/drawing/2014/main" id="{DE23CAF4-0DFA-4219-BF6A-A5791B81A561}"/>
            </a:ext>
          </a:extLst>
        </xdr:cNvPr>
        <xdr:cNvSpPr txBox="1"/>
      </xdr:nvSpPr>
      <xdr:spPr>
        <a:xfrm>
          <a:off x="20474940" y="19560540"/>
          <a:ext cx="0" cy="101969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10/10</a:t>
          </a:r>
          <a:r>
            <a:rPr kumimoji="1" lang="ja-JP" altLang="en-US" sz="1400" b="1"/>
            <a:t>頃</a:t>
          </a:r>
          <a:endParaRPr kumimoji="1" lang="en-US" altLang="ja-JP" sz="1400" b="1"/>
        </a:p>
        <a:p>
          <a:pPr algn="ctr"/>
          <a:r>
            <a:rPr kumimoji="1" lang="ja-JP" altLang="en-US" sz="1400" b="1"/>
            <a:t>補充完了</a:t>
          </a:r>
          <a:endParaRPr kumimoji="1" lang="en-US" altLang="ja-JP" sz="1400" b="1"/>
        </a:p>
      </xdr:txBody>
    </xdr:sp>
    <xdr:clientData/>
  </xdr:twoCellAnchor>
  <xdr:twoCellAnchor>
    <xdr:from>
      <xdr:col>66</xdr:col>
      <xdr:colOff>40822</xdr:colOff>
      <xdr:row>17</xdr:row>
      <xdr:rowOff>27214</xdr:rowOff>
    </xdr:from>
    <xdr:to>
      <xdr:col>67</xdr:col>
      <xdr:colOff>761999</xdr:colOff>
      <xdr:row>19</xdr:row>
      <xdr:rowOff>265957</xdr:rowOff>
    </xdr:to>
    <xdr:sp macro="" textlink="">
      <xdr:nvSpPr>
        <xdr:cNvPr id="112" name="テキスト ボックス 111">
          <a:extLst>
            <a:ext uri="{FF2B5EF4-FFF2-40B4-BE49-F238E27FC236}">
              <a16:creationId xmlns:a16="http://schemas.microsoft.com/office/drawing/2014/main" id="{596BB806-133F-4BC9-974A-71E8496C5E9C}"/>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9/30</a:t>
          </a:r>
          <a:r>
            <a:rPr kumimoji="1" lang="ja-JP" altLang="en-US" sz="1600" b="1"/>
            <a:t>頃</a:t>
          </a:r>
          <a:br>
            <a:rPr kumimoji="1" lang="en-US" altLang="ja-JP" sz="1600" b="1"/>
          </a:br>
          <a:r>
            <a:rPr kumimoji="1" lang="ja-JP" altLang="en-US" sz="1600" b="1"/>
            <a:t>補充完了</a:t>
          </a:r>
          <a:endParaRPr kumimoji="1" lang="en-US" altLang="ja-JP" sz="1600" b="1"/>
        </a:p>
      </xdr:txBody>
    </xdr:sp>
    <xdr:clientData/>
  </xdr:twoCellAnchor>
  <xdr:twoCellAnchor>
    <xdr:from>
      <xdr:col>70</xdr:col>
      <xdr:colOff>54429</xdr:colOff>
      <xdr:row>17</xdr:row>
      <xdr:rowOff>27214</xdr:rowOff>
    </xdr:from>
    <xdr:to>
      <xdr:col>71</xdr:col>
      <xdr:colOff>775606</xdr:colOff>
      <xdr:row>19</xdr:row>
      <xdr:rowOff>265957</xdr:rowOff>
    </xdr:to>
    <xdr:sp macro="" textlink="">
      <xdr:nvSpPr>
        <xdr:cNvPr id="113" name="テキスト ボックス 112">
          <a:extLst>
            <a:ext uri="{FF2B5EF4-FFF2-40B4-BE49-F238E27FC236}">
              <a16:creationId xmlns:a16="http://schemas.microsoft.com/office/drawing/2014/main" id="{7A5CABAD-3DC1-42A2-BCA2-60B7E187C53C}"/>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40822</xdr:colOff>
      <xdr:row>41</xdr:row>
      <xdr:rowOff>83245</xdr:rowOff>
    </xdr:from>
    <xdr:to>
      <xdr:col>67</xdr:col>
      <xdr:colOff>761999</xdr:colOff>
      <xdr:row>43</xdr:row>
      <xdr:rowOff>321988</xdr:rowOff>
    </xdr:to>
    <xdr:sp macro="" textlink="">
      <xdr:nvSpPr>
        <xdr:cNvPr id="114" name="テキスト ボックス 113">
          <a:extLst>
            <a:ext uri="{FF2B5EF4-FFF2-40B4-BE49-F238E27FC236}">
              <a16:creationId xmlns:a16="http://schemas.microsoft.com/office/drawing/2014/main" id="{B67303F1-3BB5-4660-AC6E-DAA251E22CCF}"/>
            </a:ext>
          </a:extLst>
        </xdr:cNvPr>
        <xdr:cNvSpPr txBox="1"/>
      </xdr:nvSpPr>
      <xdr:spPr>
        <a:xfrm>
          <a:off x="20474940" y="11094145"/>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37620</xdr:colOff>
      <xdr:row>44</xdr:row>
      <xdr:rowOff>90447</xdr:rowOff>
    </xdr:from>
    <xdr:to>
      <xdr:col>69</xdr:col>
      <xdr:colOff>761273</xdr:colOff>
      <xdr:row>46</xdr:row>
      <xdr:rowOff>335301</xdr:rowOff>
    </xdr:to>
    <xdr:sp macro="" textlink="">
      <xdr:nvSpPr>
        <xdr:cNvPr id="115" name="テキスト ボックス 114">
          <a:extLst>
            <a:ext uri="{FF2B5EF4-FFF2-40B4-BE49-F238E27FC236}">
              <a16:creationId xmlns:a16="http://schemas.microsoft.com/office/drawing/2014/main" id="{78225005-0412-4775-B496-0EEAB9034BC6}"/>
            </a:ext>
          </a:extLst>
        </xdr:cNvPr>
        <xdr:cNvSpPr txBox="1"/>
      </xdr:nvSpPr>
      <xdr:spPr>
        <a:xfrm>
          <a:off x="20474940" y="12267207"/>
          <a:ext cx="0" cy="102209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800" b="1"/>
        </a:p>
      </xdr:txBody>
    </xdr:sp>
    <xdr:clientData/>
  </xdr:twoCellAnchor>
  <xdr:twoCellAnchor>
    <xdr:from>
      <xdr:col>68</xdr:col>
      <xdr:colOff>67235</xdr:colOff>
      <xdr:row>17</xdr:row>
      <xdr:rowOff>33617</xdr:rowOff>
    </xdr:from>
    <xdr:to>
      <xdr:col>69</xdr:col>
      <xdr:colOff>790888</xdr:colOff>
      <xdr:row>19</xdr:row>
      <xdr:rowOff>276070</xdr:rowOff>
    </xdr:to>
    <xdr:sp macro="" textlink="">
      <xdr:nvSpPr>
        <xdr:cNvPr id="116" name="テキスト ボックス 115">
          <a:extLst>
            <a:ext uri="{FF2B5EF4-FFF2-40B4-BE49-F238E27FC236}">
              <a16:creationId xmlns:a16="http://schemas.microsoft.com/office/drawing/2014/main" id="{56DC42BE-CB51-4A4C-A024-D1E9793ED23B}"/>
            </a:ext>
          </a:extLst>
        </xdr:cNvPr>
        <xdr:cNvSpPr txBox="1"/>
      </xdr:nvSpPr>
      <xdr:spPr>
        <a:xfrm>
          <a:off x="20474940" y="5992457"/>
          <a:ext cx="0" cy="101969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10/20</a:t>
          </a:r>
          <a:r>
            <a:rPr kumimoji="1" lang="ja-JP" altLang="en-US" sz="1400" b="1"/>
            <a:t>頃</a:t>
          </a:r>
          <a:endParaRPr kumimoji="1" lang="en-US" altLang="ja-JP" sz="1400" b="1"/>
        </a:p>
        <a:p>
          <a:pPr algn="ctr"/>
          <a:r>
            <a:rPr kumimoji="1" lang="ja-JP" altLang="en-US" sz="1400" b="1"/>
            <a:t>補充完了</a:t>
          </a:r>
          <a:endParaRPr kumimoji="1" lang="en-US" altLang="ja-JP" sz="1600" b="1"/>
        </a:p>
      </xdr:txBody>
    </xdr:sp>
    <xdr:clientData/>
  </xdr:twoCellAnchor>
  <xdr:twoCellAnchor>
    <xdr:from>
      <xdr:col>66</xdr:col>
      <xdr:colOff>40822</xdr:colOff>
      <xdr:row>119</xdr:row>
      <xdr:rowOff>27215</xdr:rowOff>
    </xdr:from>
    <xdr:to>
      <xdr:col>67</xdr:col>
      <xdr:colOff>761999</xdr:colOff>
      <xdr:row>121</xdr:row>
      <xdr:rowOff>265959</xdr:rowOff>
    </xdr:to>
    <xdr:sp macro="" textlink="">
      <xdr:nvSpPr>
        <xdr:cNvPr id="117" name="テキスト ボックス 116">
          <a:extLst>
            <a:ext uri="{FF2B5EF4-FFF2-40B4-BE49-F238E27FC236}">
              <a16:creationId xmlns:a16="http://schemas.microsoft.com/office/drawing/2014/main" id="{929C745E-F84B-4A31-9A95-21D231325C9B}"/>
            </a:ext>
          </a:extLst>
        </xdr:cNvPr>
        <xdr:cNvSpPr txBox="1"/>
      </xdr:nvSpPr>
      <xdr:spPr>
        <a:xfrm>
          <a:off x="20474940" y="19587755"/>
          <a:ext cx="0" cy="1015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9/5</a:t>
          </a:r>
        </a:p>
      </xdr:txBody>
    </xdr:sp>
    <xdr:clientData/>
  </xdr:twoCellAnchor>
  <xdr:twoCellAnchor>
    <xdr:from>
      <xdr:col>70</xdr:col>
      <xdr:colOff>40822</xdr:colOff>
      <xdr:row>41</xdr:row>
      <xdr:rowOff>273745</xdr:rowOff>
    </xdr:from>
    <xdr:to>
      <xdr:col>71</xdr:col>
      <xdr:colOff>761999</xdr:colOff>
      <xdr:row>44</xdr:row>
      <xdr:rowOff>117880</xdr:rowOff>
    </xdr:to>
    <xdr:sp macro="" textlink="">
      <xdr:nvSpPr>
        <xdr:cNvPr id="118" name="テキスト ボックス 117">
          <a:extLst>
            <a:ext uri="{FF2B5EF4-FFF2-40B4-BE49-F238E27FC236}">
              <a16:creationId xmlns:a16="http://schemas.microsoft.com/office/drawing/2014/main" id="{77CC0C96-9D1F-41CE-8EDC-3CC5C3A552F1}"/>
            </a:ext>
          </a:extLst>
        </xdr:cNvPr>
        <xdr:cNvSpPr txBox="1"/>
      </xdr:nvSpPr>
      <xdr:spPr>
        <a:xfrm>
          <a:off x="20474940" y="11284645"/>
          <a:ext cx="0" cy="1009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11/30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68035</xdr:colOff>
      <xdr:row>166</xdr:row>
      <xdr:rowOff>0</xdr:rowOff>
    </xdr:from>
    <xdr:to>
      <xdr:col>69</xdr:col>
      <xdr:colOff>734786</xdr:colOff>
      <xdr:row>167</xdr:row>
      <xdr:rowOff>385947</xdr:rowOff>
    </xdr:to>
    <xdr:sp macro="" textlink="">
      <xdr:nvSpPr>
        <xdr:cNvPr id="119" name="テキスト ボックス 118">
          <a:extLst>
            <a:ext uri="{FF2B5EF4-FFF2-40B4-BE49-F238E27FC236}">
              <a16:creationId xmlns:a16="http://schemas.microsoft.com/office/drawing/2014/main" id="{79EB0ACC-4106-4F63-8EA2-8C343ECFE232}"/>
            </a:ext>
          </a:extLst>
        </xdr:cNvPr>
        <xdr:cNvSpPr txBox="1"/>
      </xdr:nvSpPr>
      <xdr:spPr>
        <a:xfrm>
          <a:off x="20474940" y="73578720"/>
          <a:ext cx="0" cy="77456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23</xdr:col>
      <xdr:colOff>100852</xdr:colOff>
      <xdr:row>65</xdr:row>
      <xdr:rowOff>67236</xdr:rowOff>
    </xdr:from>
    <xdr:to>
      <xdr:col>23</xdr:col>
      <xdr:colOff>739587</xdr:colOff>
      <xdr:row>74</xdr:row>
      <xdr:rowOff>313765</xdr:rowOff>
    </xdr:to>
    <xdr:sp macro="" textlink="">
      <xdr:nvSpPr>
        <xdr:cNvPr id="121" name="テキスト ボックス 120">
          <a:extLst>
            <a:ext uri="{FF2B5EF4-FFF2-40B4-BE49-F238E27FC236}">
              <a16:creationId xmlns:a16="http://schemas.microsoft.com/office/drawing/2014/main" id="{19433AB9-5A4D-473A-B25C-FBC255981395}"/>
            </a:ext>
          </a:extLst>
        </xdr:cNvPr>
        <xdr:cNvSpPr txBox="1"/>
      </xdr:nvSpPr>
      <xdr:spPr>
        <a:xfrm>
          <a:off x="13159740" y="14187096"/>
          <a:ext cx="0" cy="374410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シール確認のため、返送</a:t>
          </a:r>
        </a:p>
      </xdr:txBody>
    </xdr:sp>
    <xdr:clientData/>
  </xdr:twoCellAnchor>
  <xdr:twoCellAnchor>
    <xdr:from>
      <xdr:col>23</xdr:col>
      <xdr:colOff>100852</xdr:colOff>
      <xdr:row>116</xdr:row>
      <xdr:rowOff>89647</xdr:rowOff>
    </xdr:from>
    <xdr:to>
      <xdr:col>23</xdr:col>
      <xdr:colOff>739587</xdr:colOff>
      <xdr:row>125</xdr:row>
      <xdr:rowOff>336176</xdr:rowOff>
    </xdr:to>
    <xdr:sp macro="" textlink="">
      <xdr:nvSpPr>
        <xdr:cNvPr id="122" name="テキスト ボックス 121">
          <a:extLst>
            <a:ext uri="{FF2B5EF4-FFF2-40B4-BE49-F238E27FC236}">
              <a16:creationId xmlns:a16="http://schemas.microsoft.com/office/drawing/2014/main" id="{0A663A52-4592-477A-B495-DFF8C328FC08}"/>
            </a:ext>
          </a:extLst>
        </xdr:cNvPr>
        <xdr:cNvSpPr txBox="1"/>
      </xdr:nvSpPr>
      <xdr:spPr>
        <a:xfrm>
          <a:off x="13159740" y="18484327"/>
          <a:ext cx="0" cy="374410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シール確認のため、返送</a:t>
          </a:r>
        </a:p>
      </xdr:txBody>
    </xdr:sp>
    <xdr:clientData/>
  </xdr:twoCellAnchor>
  <xdr:twoCellAnchor>
    <xdr:from>
      <xdr:col>24</xdr:col>
      <xdr:colOff>100852</xdr:colOff>
      <xdr:row>65</xdr:row>
      <xdr:rowOff>67236</xdr:rowOff>
    </xdr:from>
    <xdr:to>
      <xdr:col>24</xdr:col>
      <xdr:colOff>739587</xdr:colOff>
      <xdr:row>74</xdr:row>
      <xdr:rowOff>313765</xdr:rowOff>
    </xdr:to>
    <xdr:sp macro="" textlink="">
      <xdr:nvSpPr>
        <xdr:cNvPr id="123" name="テキスト ボックス 122">
          <a:extLst>
            <a:ext uri="{FF2B5EF4-FFF2-40B4-BE49-F238E27FC236}">
              <a16:creationId xmlns:a16="http://schemas.microsoft.com/office/drawing/2014/main" id="{2FB80087-AA7B-46EA-9AC9-55C922CCA62C}"/>
            </a:ext>
          </a:extLst>
        </xdr:cNvPr>
        <xdr:cNvSpPr txBox="1"/>
      </xdr:nvSpPr>
      <xdr:spPr>
        <a:xfrm>
          <a:off x="13159740" y="14187096"/>
          <a:ext cx="0" cy="374410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シール確認のため、在庫</a:t>
          </a:r>
          <a:r>
            <a:rPr kumimoji="1" lang="en-US" altLang="ja-JP" sz="1100" b="1">
              <a:solidFill>
                <a:schemeClr val="bg1"/>
              </a:solidFill>
            </a:rPr>
            <a:t>0</a:t>
          </a:r>
          <a:endParaRPr kumimoji="1" lang="ja-JP" altLang="en-US" sz="1100" b="1">
            <a:solidFill>
              <a:schemeClr val="bg1"/>
            </a:solidFill>
          </a:endParaRPr>
        </a:p>
      </xdr:txBody>
    </xdr:sp>
    <xdr:clientData/>
  </xdr:twoCellAnchor>
  <xdr:twoCellAnchor>
    <xdr:from>
      <xdr:col>24</xdr:col>
      <xdr:colOff>100852</xdr:colOff>
      <xdr:row>116</xdr:row>
      <xdr:rowOff>89647</xdr:rowOff>
    </xdr:from>
    <xdr:to>
      <xdr:col>24</xdr:col>
      <xdr:colOff>739587</xdr:colOff>
      <xdr:row>125</xdr:row>
      <xdr:rowOff>336176</xdr:rowOff>
    </xdr:to>
    <xdr:sp macro="" textlink="">
      <xdr:nvSpPr>
        <xdr:cNvPr id="124" name="テキスト ボックス 123">
          <a:extLst>
            <a:ext uri="{FF2B5EF4-FFF2-40B4-BE49-F238E27FC236}">
              <a16:creationId xmlns:a16="http://schemas.microsoft.com/office/drawing/2014/main" id="{D81F7750-5D60-444B-AB59-F197065175A8}"/>
            </a:ext>
          </a:extLst>
        </xdr:cNvPr>
        <xdr:cNvSpPr txBox="1"/>
      </xdr:nvSpPr>
      <xdr:spPr>
        <a:xfrm>
          <a:off x="13159740" y="18484327"/>
          <a:ext cx="0" cy="374410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a:t>
          </a:r>
          <a:r>
            <a:rPr kumimoji="1" lang="ja-JP" altLang="ja-JP" sz="1100" b="1">
              <a:solidFill>
                <a:schemeClr val="bg1"/>
              </a:solidFill>
              <a:effectLst/>
              <a:latin typeface="+mn-lt"/>
              <a:ea typeface="+mn-ea"/>
              <a:cs typeface="+mn-cs"/>
            </a:rPr>
            <a:t>在庫</a:t>
          </a:r>
          <a:r>
            <a:rPr kumimoji="1" lang="en-US" altLang="ja-JP" sz="1100" b="1">
              <a:solidFill>
                <a:schemeClr val="bg1"/>
              </a:solidFill>
              <a:effectLst/>
              <a:latin typeface="+mn-lt"/>
              <a:ea typeface="+mn-ea"/>
              <a:cs typeface="+mn-cs"/>
            </a:rPr>
            <a:t>0</a:t>
          </a:r>
          <a:endParaRPr kumimoji="1" lang="ja-JP" altLang="en-US" sz="1100" b="1">
            <a:solidFill>
              <a:schemeClr val="bg1"/>
            </a:solidFill>
          </a:endParaRPr>
        </a:p>
      </xdr:txBody>
    </xdr:sp>
    <xdr:clientData/>
  </xdr:twoCellAnchor>
  <xdr:twoCellAnchor>
    <xdr:from>
      <xdr:col>72</xdr:col>
      <xdr:colOff>43222</xdr:colOff>
      <xdr:row>17</xdr:row>
      <xdr:rowOff>27214</xdr:rowOff>
    </xdr:from>
    <xdr:to>
      <xdr:col>73</xdr:col>
      <xdr:colOff>764399</xdr:colOff>
      <xdr:row>19</xdr:row>
      <xdr:rowOff>265957</xdr:rowOff>
    </xdr:to>
    <xdr:sp macro="" textlink="">
      <xdr:nvSpPr>
        <xdr:cNvPr id="125" name="テキスト ボックス 124">
          <a:extLst>
            <a:ext uri="{FF2B5EF4-FFF2-40B4-BE49-F238E27FC236}">
              <a16:creationId xmlns:a16="http://schemas.microsoft.com/office/drawing/2014/main" id="{474293D9-46AE-488C-8B54-890732A7B77E}"/>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52028</xdr:colOff>
      <xdr:row>68</xdr:row>
      <xdr:rowOff>208911</xdr:rowOff>
    </xdr:from>
    <xdr:to>
      <xdr:col>73</xdr:col>
      <xdr:colOff>773205</xdr:colOff>
      <xdr:row>71</xdr:row>
      <xdr:rowOff>55448</xdr:rowOff>
    </xdr:to>
    <xdr:sp macro="" textlink="">
      <xdr:nvSpPr>
        <xdr:cNvPr id="126" name="テキスト ボックス 125">
          <a:extLst>
            <a:ext uri="{FF2B5EF4-FFF2-40B4-BE49-F238E27FC236}">
              <a16:creationId xmlns:a16="http://schemas.microsoft.com/office/drawing/2014/main" id="{CEAA2F3E-50DF-481F-9ABE-10CA919EBBAE}"/>
            </a:ext>
          </a:extLst>
        </xdr:cNvPr>
        <xdr:cNvSpPr txBox="1"/>
      </xdr:nvSpPr>
      <xdr:spPr>
        <a:xfrm>
          <a:off x="20474940" y="15494631"/>
          <a:ext cx="0" cy="10123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70</xdr:col>
      <xdr:colOff>42915</xdr:colOff>
      <xdr:row>30</xdr:row>
      <xdr:rowOff>259771</xdr:rowOff>
    </xdr:from>
    <xdr:to>
      <xdr:col>71</xdr:col>
      <xdr:colOff>764093</xdr:colOff>
      <xdr:row>33</xdr:row>
      <xdr:rowOff>103908</xdr:rowOff>
    </xdr:to>
    <xdr:sp macro="" textlink="">
      <xdr:nvSpPr>
        <xdr:cNvPr id="127" name="テキスト ボックス 126">
          <a:extLst>
            <a:ext uri="{FF2B5EF4-FFF2-40B4-BE49-F238E27FC236}">
              <a16:creationId xmlns:a16="http://schemas.microsoft.com/office/drawing/2014/main" id="{9E2C9128-2F18-4F8F-9300-25C6437995B7}"/>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11/10</a:t>
          </a:r>
          <a:r>
            <a:rPr kumimoji="1" lang="ja-JP" altLang="en-US" sz="1600" b="1"/>
            <a:t>頃</a:t>
          </a:r>
          <a:endParaRPr kumimoji="0" lang="en-US" altLang="ja-JP" sz="1100" b="0" i="0" u="none" strike="noStrike">
            <a:solidFill>
              <a:schemeClr val="dk1"/>
            </a:solidFill>
            <a:effectLst/>
            <a:latin typeface="+mn-lt"/>
            <a:ea typeface="+mn-ea"/>
            <a:cs typeface="+mn-cs"/>
          </a:endParaRPr>
        </a:p>
        <a:p>
          <a:pPr algn="ctr"/>
          <a:r>
            <a:rPr kumimoji="0" lang="ja-JP" altLang="en-US" sz="1600" b="1" i="0" u="none" strike="noStrike">
              <a:solidFill>
                <a:schemeClr val="dk1"/>
              </a:solidFill>
              <a:effectLst/>
              <a:latin typeface="+mn-lt"/>
              <a:ea typeface="+mn-ea"/>
              <a:cs typeface="+mn-cs"/>
            </a:rPr>
            <a:t>補充完了</a:t>
          </a:r>
          <a:endParaRPr kumimoji="0" lang="en-US" altLang="ja-JP" sz="1600" b="1" i="0" u="none" strike="noStrike">
            <a:solidFill>
              <a:schemeClr val="dk1"/>
            </a:solidFill>
            <a:effectLst/>
            <a:latin typeface="+mn-lt"/>
            <a:ea typeface="+mn-ea"/>
            <a:cs typeface="+mn-cs"/>
          </a:endParaRPr>
        </a:p>
      </xdr:txBody>
    </xdr:sp>
    <xdr:clientData/>
  </xdr:twoCellAnchor>
  <xdr:twoCellAnchor>
    <xdr:from>
      <xdr:col>74</xdr:col>
      <xdr:colOff>42915</xdr:colOff>
      <xdr:row>30</xdr:row>
      <xdr:rowOff>259771</xdr:rowOff>
    </xdr:from>
    <xdr:to>
      <xdr:col>75</xdr:col>
      <xdr:colOff>764093</xdr:colOff>
      <xdr:row>33</xdr:row>
      <xdr:rowOff>103908</xdr:rowOff>
    </xdr:to>
    <xdr:sp macro="" textlink="">
      <xdr:nvSpPr>
        <xdr:cNvPr id="128" name="テキスト ボックス 127">
          <a:extLst>
            <a:ext uri="{FF2B5EF4-FFF2-40B4-BE49-F238E27FC236}">
              <a16:creationId xmlns:a16="http://schemas.microsoft.com/office/drawing/2014/main" id="{6A3A87D4-CC1C-4B46-8EC4-CC55DD7B78D1}"/>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81647</xdr:colOff>
      <xdr:row>55</xdr:row>
      <xdr:rowOff>367392</xdr:rowOff>
    </xdr:from>
    <xdr:to>
      <xdr:col>73</xdr:col>
      <xdr:colOff>748395</xdr:colOff>
      <xdr:row>58</xdr:row>
      <xdr:rowOff>16809</xdr:rowOff>
    </xdr:to>
    <xdr:sp macro="" textlink="">
      <xdr:nvSpPr>
        <xdr:cNvPr id="129" name="テキスト ボックス 128">
          <a:extLst>
            <a:ext uri="{FF2B5EF4-FFF2-40B4-BE49-F238E27FC236}">
              <a16:creationId xmlns:a16="http://schemas.microsoft.com/office/drawing/2014/main" id="{0BB7BE8C-0D66-4E14-812A-F47707A3EFCC}"/>
            </a:ext>
          </a:extLst>
        </xdr:cNvPr>
        <xdr:cNvSpPr txBox="1"/>
      </xdr:nvSpPr>
      <xdr:spPr>
        <a:xfrm>
          <a:off x="20474940" y="58012692"/>
          <a:ext cx="0" cy="81527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70</xdr:col>
      <xdr:colOff>108860</xdr:colOff>
      <xdr:row>55</xdr:row>
      <xdr:rowOff>353785</xdr:rowOff>
    </xdr:from>
    <xdr:to>
      <xdr:col>71</xdr:col>
      <xdr:colOff>775608</xdr:colOff>
      <xdr:row>58</xdr:row>
      <xdr:rowOff>3202</xdr:rowOff>
    </xdr:to>
    <xdr:sp macro="" textlink="">
      <xdr:nvSpPr>
        <xdr:cNvPr id="130" name="テキスト ボックス 129">
          <a:extLst>
            <a:ext uri="{FF2B5EF4-FFF2-40B4-BE49-F238E27FC236}">
              <a16:creationId xmlns:a16="http://schemas.microsoft.com/office/drawing/2014/main" id="{395544C3-BF85-4C78-AADB-7B055EB858E2}"/>
            </a:ext>
          </a:extLst>
        </xdr:cNvPr>
        <xdr:cNvSpPr txBox="1"/>
      </xdr:nvSpPr>
      <xdr:spPr>
        <a:xfrm>
          <a:off x="20474940" y="57999085"/>
          <a:ext cx="0" cy="81527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11</a:t>
          </a:r>
          <a:r>
            <a:rPr kumimoji="1" lang="ja-JP" altLang="en-US" sz="1600" b="1"/>
            <a:t>月</a:t>
          </a:r>
          <a:endParaRPr kumimoji="1" lang="en-US" altLang="ja-JP" sz="1600" b="1"/>
        </a:p>
      </xdr:txBody>
    </xdr:sp>
    <xdr:clientData/>
  </xdr:twoCellAnchor>
  <xdr:twoCellAnchor>
    <xdr:from>
      <xdr:col>72</xdr:col>
      <xdr:colOff>91538</xdr:colOff>
      <xdr:row>166</xdr:row>
      <xdr:rowOff>0</xdr:rowOff>
    </xdr:from>
    <xdr:to>
      <xdr:col>73</xdr:col>
      <xdr:colOff>758288</xdr:colOff>
      <xdr:row>168</xdr:row>
      <xdr:rowOff>11206</xdr:rowOff>
    </xdr:to>
    <xdr:sp macro="" textlink="">
      <xdr:nvSpPr>
        <xdr:cNvPr id="131" name="テキスト ボックス 130">
          <a:extLst>
            <a:ext uri="{FF2B5EF4-FFF2-40B4-BE49-F238E27FC236}">
              <a16:creationId xmlns:a16="http://schemas.microsoft.com/office/drawing/2014/main" id="{ADF7B2F5-F7A3-44D0-92B2-C17EA2DB1E80}"/>
            </a:ext>
          </a:extLst>
        </xdr:cNvPr>
        <xdr:cNvSpPr txBox="1"/>
      </xdr:nvSpPr>
      <xdr:spPr>
        <a:xfrm>
          <a:off x="20474940" y="73578720"/>
          <a:ext cx="0" cy="78844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89138</xdr:colOff>
      <xdr:row>213</xdr:row>
      <xdr:rowOff>230523</xdr:rowOff>
    </xdr:from>
    <xdr:to>
      <xdr:col>73</xdr:col>
      <xdr:colOff>755887</xdr:colOff>
      <xdr:row>215</xdr:row>
      <xdr:rowOff>162116</xdr:rowOff>
    </xdr:to>
    <xdr:sp macro="" textlink="">
      <xdr:nvSpPr>
        <xdr:cNvPr id="132" name="テキスト ボックス 131">
          <a:extLst>
            <a:ext uri="{FF2B5EF4-FFF2-40B4-BE49-F238E27FC236}">
              <a16:creationId xmlns:a16="http://schemas.microsoft.com/office/drawing/2014/main" id="{79EEF265-BD71-453B-B078-CAC765063DBE}"/>
            </a:ext>
          </a:extLst>
        </xdr:cNvPr>
        <xdr:cNvSpPr txBox="1"/>
      </xdr:nvSpPr>
      <xdr:spPr>
        <a:xfrm>
          <a:off x="20474940" y="76529583"/>
          <a:ext cx="0" cy="708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12/12</a:t>
          </a:r>
          <a:endParaRPr kumimoji="1" lang="ja-JP" altLang="en-US" sz="1600" b="1"/>
        </a:p>
      </xdr:txBody>
    </xdr:sp>
    <xdr:clientData/>
  </xdr:twoCellAnchor>
  <xdr:twoCellAnchor>
    <xdr:from>
      <xdr:col>72</xdr:col>
      <xdr:colOff>47225</xdr:colOff>
      <xdr:row>81</xdr:row>
      <xdr:rowOff>78441</xdr:rowOff>
    </xdr:from>
    <xdr:to>
      <xdr:col>73</xdr:col>
      <xdr:colOff>768403</xdr:colOff>
      <xdr:row>83</xdr:row>
      <xdr:rowOff>314784</xdr:rowOff>
    </xdr:to>
    <xdr:sp macro="" textlink="">
      <xdr:nvSpPr>
        <xdr:cNvPr id="133" name="テキスト ボックス 132">
          <a:extLst>
            <a:ext uri="{FF2B5EF4-FFF2-40B4-BE49-F238E27FC236}">
              <a16:creationId xmlns:a16="http://schemas.microsoft.com/office/drawing/2014/main" id="{179F9620-03B0-434E-970C-74C34AD284E4}"/>
            </a:ext>
          </a:extLst>
        </xdr:cNvPr>
        <xdr:cNvSpPr txBox="1"/>
      </xdr:nvSpPr>
      <xdr:spPr>
        <a:xfrm>
          <a:off x="20474940" y="39847221"/>
          <a:ext cx="0"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12/12</a:t>
          </a:r>
        </a:p>
      </xdr:txBody>
    </xdr:sp>
    <xdr:clientData/>
  </xdr:twoCellAnchor>
  <xdr:twoCellAnchor>
    <xdr:from>
      <xdr:col>68</xdr:col>
      <xdr:colOff>38346</xdr:colOff>
      <xdr:row>111</xdr:row>
      <xdr:rowOff>347600</xdr:rowOff>
    </xdr:from>
    <xdr:to>
      <xdr:col>69</xdr:col>
      <xdr:colOff>705096</xdr:colOff>
      <xdr:row>114</xdr:row>
      <xdr:rowOff>40821</xdr:rowOff>
    </xdr:to>
    <xdr:sp macro="" textlink="">
      <xdr:nvSpPr>
        <xdr:cNvPr id="134" name="テキスト ボックス 133">
          <a:extLst>
            <a:ext uri="{FF2B5EF4-FFF2-40B4-BE49-F238E27FC236}">
              <a16:creationId xmlns:a16="http://schemas.microsoft.com/office/drawing/2014/main" id="{7FA56096-6E5A-46DE-AAEA-FB56F927D2EE}"/>
            </a:ext>
          </a:extLst>
        </xdr:cNvPr>
        <xdr:cNvSpPr txBox="1"/>
      </xdr:nvSpPr>
      <xdr:spPr>
        <a:xfrm>
          <a:off x="20474940" y="88693880"/>
          <a:ext cx="0" cy="859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51954</xdr:colOff>
      <xdr:row>103</xdr:row>
      <xdr:rowOff>184315</xdr:rowOff>
    </xdr:from>
    <xdr:to>
      <xdr:col>69</xdr:col>
      <xdr:colOff>773131</xdr:colOff>
      <xdr:row>106</xdr:row>
      <xdr:rowOff>32162</xdr:rowOff>
    </xdr:to>
    <xdr:sp macro="" textlink="">
      <xdr:nvSpPr>
        <xdr:cNvPr id="137" name="テキスト ボックス 136">
          <a:extLst>
            <a:ext uri="{FF2B5EF4-FFF2-40B4-BE49-F238E27FC236}">
              <a16:creationId xmlns:a16="http://schemas.microsoft.com/office/drawing/2014/main" id="{0F4C50AD-0361-46F1-9F39-86AB507DB296}"/>
            </a:ext>
          </a:extLst>
        </xdr:cNvPr>
        <xdr:cNvSpPr txBox="1"/>
      </xdr:nvSpPr>
      <xdr:spPr>
        <a:xfrm>
          <a:off x="20474940" y="52000315"/>
          <a:ext cx="0" cy="1013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54431</xdr:colOff>
      <xdr:row>55</xdr:row>
      <xdr:rowOff>353785</xdr:rowOff>
    </xdr:from>
    <xdr:to>
      <xdr:col>69</xdr:col>
      <xdr:colOff>721179</xdr:colOff>
      <xdr:row>57</xdr:row>
      <xdr:rowOff>381000</xdr:rowOff>
    </xdr:to>
    <xdr:sp macro="" textlink="">
      <xdr:nvSpPr>
        <xdr:cNvPr id="138" name="テキスト ボックス 137">
          <a:extLst>
            <a:ext uri="{FF2B5EF4-FFF2-40B4-BE49-F238E27FC236}">
              <a16:creationId xmlns:a16="http://schemas.microsoft.com/office/drawing/2014/main" id="{F1987BE0-5A18-441F-8BF8-17AD08E2D55A}"/>
            </a:ext>
          </a:extLst>
        </xdr:cNvPr>
        <xdr:cNvSpPr txBox="1"/>
      </xdr:nvSpPr>
      <xdr:spPr>
        <a:xfrm>
          <a:off x="20474940" y="57999085"/>
          <a:ext cx="0" cy="804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174</xdr:row>
      <xdr:rowOff>215314</xdr:rowOff>
    </xdr:from>
    <xdr:to>
      <xdr:col>69</xdr:col>
      <xdr:colOff>755885</xdr:colOff>
      <xdr:row>176</xdr:row>
      <xdr:rowOff>291353</xdr:rowOff>
    </xdr:to>
    <xdr:sp macro="" textlink="">
      <xdr:nvSpPr>
        <xdr:cNvPr id="139" name="テキスト ボックス 138">
          <a:extLst>
            <a:ext uri="{FF2B5EF4-FFF2-40B4-BE49-F238E27FC236}">
              <a16:creationId xmlns:a16="http://schemas.microsoft.com/office/drawing/2014/main" id="{C39AE7D0-4AE2-406F-84B0-BB173B83EAC8}"/>
            </a:ext>
          </a:extLst>
        </xdr:cNvPr>
        <xdr:cNvSpPr txBox="1"/>
      </xdr:nvSpPr>
      <xdr:spPr>
        <a:xfrm>
          <a:off x="20474940" y="69907834"/>
          <a:ext cx="0"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60832</xdr:colOff>
      <xdr:row>81</xdr:row>
      <xdr:rowOff>78441</xdr:rowOff>
    </xdr:from>
    <xdr:to>
      <xdr:col>77</xdr:col>
      <xdr:colOff>782009</xdr:colOff>
      <xdr:row>83</xdr:row>
      <xdr:rowOff>314784</xdr:rowOff>
    </xdr:to>
    <xdr:sp macro="" textlink="">
      <xdr:nvSpPr>
        <xdr:cNvPr id="141" name="テキスト ボックス 140">
          <a:extLst>
            <a:ext uri="{FF2B5EF4-FFF2-40B4-BE49-F238E27FC236}">
              <a16:creationId xmlns:a16="http://schemas.microsoft.com/office/drawing/2014/main" id="{A867A6E2-8296-42F9-AF83-187F1E499213}"/>
            </a:ext>
          </a:extLst>
        </xdr:cNvPr>
        <xdr:cNvSpPr txBox="1"/>
      </xdr:nvSpPr>
      <xdr:spPr>
        <a:xfrm>
          <a:off x="20474940" y="39847221"/>
          <a:ext cx="0"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2/13</a:t>
          </a:r>
        </a:p>
      </xdr:txBody>
    </xdr:sp>
    <xdr:clientData/>
  </xdr:twoCellAnchor>
  <xdr:twoCellAnchor>
    <xdr:from>
      <xdr:col>76</xdr:col>
      <xdr:colOff>56829</xdr:colOff>
      <xdr:row>17</xdr:row>
      <xdr:rowOff>27214</xdr:rowOff>
    </xdr:from>
    <xdr:to>
      <xdr:col>77</xdr:col>
      <xdr:colOff>778005</xdr:colOff>
      <xdr:row>19</xdr:row>
      <xdr:rowOff>265957</xdr:rowOff>
    </xdr:to>
    <xdr:sp macro="" textlink="">
      <xdr:nvSpPr>
        <xdr:cNvPr id="142" name="テキスト ボックス 141">
          <a:extLst>
            <a:ext uri="{FF2B5EF4-FFF2-40B4-BE49-F238E27FC236}">
              <a16:creationId xmlns:a16="http://schemas.microsoft.com/office/drawing/2014/main" id="{C9BD5015-8D1E-4598-9857-8A89D8FD6923}"/>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80</xdr:col>
      <xdr:colOff>60831</xdr:colOff>
      <xdr:row>92</xdr:row>
      <xdr:rowOff>51226</xdr:rowOff>
    </xdr:from>
    <xdr:to>
      <xdr:col>81</xdr:col>
      <xdr:colOff>782009</xdr:colOff>
      <xdr:row>94</xdr:row>
      <xdr:rowOff>287570</xdr:rowOff>
    </xdr:to>
    <xdr:sp macro="" textlink="">
      <xdr:nvSpPr>
        <xdr:cNvPr id="143" name="テキスト ボックス 142">
          <a:extLst>
            <a:ext uri="{FF2B5EF4-FFF2-40B4-BE49-F238E27FC236}">
              <a16:creationId xmlns:a16="http://schemas.microsoft.com/office/drawing/2014/main" id="{26538044-4FCB-4A4F-B05E-29883993E361}"/>
            </a:ext>
          </a:extLst>
        </xdr:cNvPr>
        <xdr:cNvSpPr txBox="1"/>
      </xdr:nvSpPr>
      <xdr:spPr>
        <a:xfrm>
          <a:off x="20474940" y="44094826"/>
          <a:ext cx="0"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76</xdr:col>
      <xdr:colOff>78150</xdr:colOff>
      <xdr:row>155</xdr:row>
      <xdr:rowOff>350583</xdr:rowOff>
    </xdr:from>
    <xdr:to>
      <xdr:col>77</xdr:col>
      <xdr:colOff>799327</xdr:colOff>
      <xdr:row>158</xdr:row>
      <xdr:rowOff>192320</xdr:rowOff>
    </xdr:to>
    <xdr:sp macro="" textlink="">
      <xdr:nvSpPr>
        <xdr:cNvPr id="144" name="テキスト ボックス 143">
          <a:extLst>
            <a:ext uri="{FF2B5EF4-FFF2-40B4-BE49-F238E27FC236}">
              <a16:creationId xmlns:a16="http://schemas.microsoft.com/office/drawing/2014/main" id="{2F73004F-1E17-423D-B257-3A3B47EF60F5}"/>
            </a:ext>
          </a:extLst>
        </xdr:cNvPr>
        <xdr:cNvSpPr txBox="1"/>
      </xdr:nvSpPr>
      <xdr:spPr>
        <a:xfrm>
          <a:off x="20474940" y="47114523"/>
          <a:ext cx="0" cy="100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80</xdr:col>
      <xdr:colOff>60832</xdr:colOff>
      <xdr:row>155</xdr:row>
      <xdr:rowOff>350584</xdr:rowOff>
    </xdr:from>
    <xdr:to>
      <xdr:col>81</xdr:col>
      <xdr:colOff>782009</xdr:colOff>
      <xdr:row>158</xdr:row>
      <xdr:rowOff>192321</xdr:rowOff>
    </xdr:to>
    <xdr:sp macro="" textlink="">
      <xdr:nvSpPr>
        <xdr:cNvPr id="145" name="テキスト ボックス 144">
          <a:extLst>
            <a:ext uri="{FF2B5EF4-FFF2-40B4-BE49-F238E27FC236}">
              <a16:creationId xmlns:a16="http://schemas.microsoft.com/office/drawing/2014/main" id="{1D707069-6DDF-49D8-8E63-7BA3E07C3EC3}"/>
            </a:ext>
          </a:extLst>
        </xdr:cNvPr>
        <xdr:cNvSpPr txBox="1"/>
      </xdr:nvSpPr>
      <xdr:spPr>
        <a:xfrm>
          <a:off x="20474940" y="47114524"/>
          <a:ext cx="0" cy="100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76</xdr:col>
      <xdr:colOff>61921</xdr:colOff>
      <xdr:row>174</xdr:row>
      <xdr:rowOff>215314</xdr:rowOff>
    </xdr:from>
    <xdr:to>
      <xdr:col>77</xdr:col>
      <xdr:colOff>728670</xdr:colOff>
      <xdr:row>176</xdr:row>
      <xdr:rowOff>291353</xdr:rowOff>
    </xdr:to>
    <xdr:sp macro="" textlink="">
      <xdr:nvSpPr>
        <xdr:cNvPr id="146" name="テキスト ボックス 145">
          <a:extLst>
            <a:ext uri="{FF2B5EF4-FFF2-40B4-BE49-F238E27FC236}">
              <a16:creationId xmlns:a16="http://schemas.microsoft.com/office/drawing/2014/main" id="{643F5C96-7CDE-44C4-91E7-40893709E7E5}"/>
            </a:ext>
          </a:extLst>
        </xdr:cNvPr>
        <xdr:cNvSpPr txBox="1"/>
      </xdr:nvSpPr>
      <xdr:spPr>
        <a:xfrm>
          <a:off x="20474940" y="69907834"/>
          <a:ext cx="0"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174</xdr:row>
      <xdr:rowOff>92849</xdr:rowOff>
    </xdr:from>
    <xdr:to>
      <xdr:col>81</xdr:col>
      <xdr:colOff>742278</xdr:colOff>
      <xdr:row>176</xdr:row>
      <xdr:rowOff>168888</xdr:rowOff>
    </xdr:to>
    <xdr:sp macro="" textlink="">
      <xdr:nvSpPr>
        <xdr:cNvPr id="147" name="テキスト ボックス 146">
          <a:extLst>
            <a:ext uri="{FF2B5EF4-FFF2-40B4-BE49-F238E27FC236}">
              <a16:creationId xmlns:a16="http://schemas.microsoft.com/office/drawing/2014/main" id="{8113DF38-F7C7-488D-BC3F-993C3A4B85BF}"/>
            </a:ext>
          </a:extLst>
        </xdr:cNvPr>
        <xdr:cNvSpPr txBox="1"/>
      </xdr:nvSpPr>
      <xdr:spPr>
        <a:xfrm>
          <a:off x="20474940" y="69785369"/>
          <a:ext cx="0"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72</xdr:col>
      <xdr:colOff>81642</xdr:colOff>
      <xdr:row>112</xdr:row>
      <xdr:rowOff>208909</xdr:rowOff>
    </xdr:from>
    <xdr:to>
      <xdr:col>73</xdr:col>
      <xdr:colOff>748393</xdr:colOff>
      <xdr:row>114</xdr:row>
      <xdr:rowOff>142904</xdr:rowOff>
    </xdr:to>
    <xdr:sp macro="" textlink="">
      <xdr:nvSpPr>
        <xdr:cNvPr id="148" name="テキスト ボックス 147">
          <a:extLst>
            <a:ext uri="{FF2B5EF4-FFF2-40B4-BE49-F238E27FC236}">
              <a16:creationId xmlns:a16="http://schemas.microsoft.com/office/drawing/2014/main" id="{321E4A24-A179-4B71-9BF8-4AAAB213BBBF}"/>
            </a:ext>
          </a:extLst>
        </xdr:cNvPr>
        <xdr:cNvSpPr txBox="1"/>
      </xdr:nvSpPr>
      <xdr:spPr>
        <a:xfrm>
          <a:off x="20474940" y="88943809"/>
          <a:ext cx="0" cy="711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12/5</a:t>
          </a:r>
        </a:p>
      </xdr:txBody>
    </xdr:sp>
    <xdr:clientData/>
  </xdr:twoCellAnchor>
  <xdr:twoCellAnchor>
    <xdr:from>
      <xdr:col>82</xdr:col>
      <xdr:colOff>70436</xdr:colOff>
      <xdr:row>17</xdr:row>
      <xdr:rowOff>27214</xdr:rowOff>
    </xdr:from>
    <xdr:to>
      <xdr:col>83</xdr:col>
      <xdr:colOff>791612</xdr:colOff>
      <xdr:row>19</xdr:row>
      <xdr:rowOff>265957</xdr:rowOff>
    </xdr:to>
    <xdr:sp macro="" textlink="">
      <xdr:nvSpPr>
        <xdr:cNvPr id="153" name="テキスト ボックス 152">
          <a:extLst>
            <a:ext uri="{FF2B5EF4-FFF2-40B4-BE49-F238E27FC236}">
              <a16:creationId xmlns:a16="http://schemas.microsoft.com/office/drawing/2014/main" id="{6CC25818-EFCE-499E-8FC0-C69FAA370D8C}"/>
            </a:ext>
          </a:extLst>
        </xdr:cNvPr>
        <xdr:cNvSpPr txBox="1"/>
      </xdr:nvSpPr>
      <xdr:spPr>
        <a:xfrm>
          <a:off x="20474940" y="5986054"/>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5/7</a:t>
          </a:r>
        </a:p>
      </xdr:txBody>
    </xdr:sp>
    <xdr:clientData/>
  </xdr:twoCellAnchor>
  <xdr:twoCellAnchor>
    <xdr:from>
      <xdr:col>82</xdr:col>
      <xdr:colOff>42915</xdr:colOff>
      <xdr:row>30</xdr:row>
      <xdr:rowOff>259771</xdr:rowOff>
    </xdr:from>
    <xdr:to>
      <xdr:col>83</xdr:col>
      <xdr:colOff>764093</xdr:colOff>
      <xdr:row>33</xdr:row>
      <xdr:rowOff>103908</xdr:rowOff>
    </xdr:to>
    <xdr:sp macro="" textlink="">
      <xdr:nvSpPr>
        <xdr:cNvPr id="154" name="テキスト ボックス 153">
          <a:extLst>
            <a:ext uri="{FF2B5EF4-FFF2-40B4-BE49-F238E27FC236}">
              <a16:creationId xmlns:a16="http://schemas.microsoft.com/office/drawing/2014/main" id="{96D5AE1F-B966-4D5D-B48E-6F3CBEF70209}"/>
            </a:ext>
          </a:extLst>
        </xdr:cNvPr>
        <xdr:cNvSpPr txBox="1"/>
      </xdr:nvSpPr>
      <xdr:spPr>
        <a:xfrm>
          <a:off x="20474940" y="28369951"/>
          <a:ext cx="0"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49627</xdr:colOff>
      <xdr:row>81</xdr:row>
      <xdr:rowOff>78441</xdr:rowOff>
    </xdr:from>
    <xdr:to>
      <xdr:col>83</xdr:col>
      <xdr:colOff>770804</xdr:colOff>
      <xdr:row>83</xdr:row>
      <xdr:rowOff>314784</xdr:rowOff>
    </xdr:to>
    <xdr:sp macro="" textlink="">
      <xdr:nvSpPr>
        <xdr:cNvPr id="155" name="テキスト ボックス 154">
          <a:extLst>
            <a:ext uri="{FF2B5EF4-FFF2-40B4-BE49-F238E27FC236}">
              <a16:creationId xmlns:a16="http://schemas.microsoft.com/office/drawing/2014/main" id="{573C1585-FC4C-4494-9114-EFCEBB2D6FEA}"/>
            </a:ext>
          </a:extLst>
        </xdr:cNvPr>
        <xdr:cNvSpPr txBox="1"/>
      </xdr:nvSpPr>
      <xdr:spPr>
        <a:xfrm>
          <a:off x="20474940" y="39847221"/>
          <a:ext cx="0"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5/30</a:t>
          </a:r>
        </a:p>
        <a:p>
          <a:pPr algn="ctr"/>
          <a:r>
            <a:rPr kumimoji="1" lang="ja-JP" altLang="en-US" sz="1600" b="1"/>
            <a:t>補充完了</a:t>
          </a:r>
          <a:endParaRPr kumimoji="1" lang="en-US" altLang="ja-JP" sz="1600" b="1"/>
        </a:p>
      </xdr:txBody>
    </xdr:sp>
    <xdr:clientData/>
  </xdr:twoCellAnchor>
  <xdr:twoCellAnchor>
    <xdr:from>
      <xdr:col>82</xdr:col>
      <xdr:colOff>60832</xdr:colOff>
      <xdr:row>55</xdr:row>
      <xdr:rowOff>146475</xdr:rowOff>
    </xdr:from>
    <xdr:to>
      <xdr:col>83</xdr:col>
      <xdr:colOff>782008</xdr:colOff>
      <xdr:row>57</xdr:row>
      <xdr:rowOff>382819</xdr:rowOff>
    </xdr:to>
    <xdr:sp macro="" textlink="">
      <xdr:nvSpPr>
        <xdr:cNvPr id="156" name="テキスト ボックス 155">
          <a:extLst>
            <a:ext uri="{FF2B5EF4-FFF2-40B4-BE49-F238E27FC236}">
              <a16:creationId xmlns:a16="http://schemas.microsoft.com/office/drawing/2014/main" id="{0EBD66C8-87EB-4DCD-9919-CA73BBD6F0A3}"/>
            </a:ext>
          </a:extLst>
        </xdr:cNvPr>
        <xdr:cNvSpPr txBox="1"/>
      </xdr:nvSpPr>
      <xdr:spPr>
        <a:xfrm>
          <a:off x="20474940" y="57791775"/>
          <a:ext cx="0"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80</xdr:col>
      <xdr:colOff>56828</xdr:colOff>
      <xdr:row>112</xdr:row>
      <xdr:rowOff>45623</xdr:rowOff>
    </xdr:from>
    <xdr:to>
      <xdr:col>81</xdr:col>
      <xdr:colOff>723580</xdr:colOff>
      <xdr:row>113</xdr:row>
      <xdr:rowOff>371824</xdr:rowOff>
    </xdr:to>
    <xdr:sp macro="" textlink="">
      <xdr:nvSpPr>
        <xdr:cNvPr id="158" name="テキスト ボックス 157">
          <a:extLst>
            <a:ext uri="{FF2B5EF4-FFF2-40B4-BE49-F238E27FC236}">
              <a16:creationId xmlns:a16="http://schemas.microsoft.com/office/drawing/2014/main" id="{9AF703D4-740F-44A9-99F6-3A197D0649B0}"/>
            </a:ext>
          </a:extLst>
        </xdr:cNvPr>
        <xdr:cNvSpPr txBox="1"/>
      </xdr:nvSpPr>
      <xdr:spPr>
        <a:xfrm>
          <a:off x="20474940" y="88780523"/>
          <a:ext cx="0" cy="714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84</xdr:col>
      <xdr:colOff>70436</xdr:colOff>
      <xdr:row>42</xdr:row>
      <xdr:rowOff>13607</xdr:rowOff>
    </xdr:from>
    <xdr:to>
      <xdr:col>85</xdr:col>
      <xdr:colOff>791612</xdr:colOff>
      <xdr:row>44</xdr:row>
      <xdr:rowOff>252350</xdr:rowOff>
    </xdr:to>
    <xdr:sp macro="" textlink="">
      <xdr:nvSpPr>
        <xdr:cNvPr id="163" name="テキスト ボックス 162">
          <a:extLst>
            <a:ext uri="{FF2B5EF4-FFF2-40B4-BE49-F238E27FC236}">
              <a16:creationId xmlns:a16="http://schemas.microsoft.com/office/drawing/2014/main" id="{09C8175A-B0BB-4212-86FA-8DD84204ADC6}"/>
            </a:ext>
          </a:extLst>
        </xdr:cNvPr>
        <xdr:cNvSpPr txBox="1"/>
      </xdr:nvSpPr>
      <xdr:spPr>
        <a:xfrm>
          <a:off x="20474940" y="11413127"/>
          <a:ext cx="0"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86</xdr:col>
      <xdr:colOff>54432</xdr:colOff>
      <xdr:row>42</xdr:row>
      <xdr:rowOff>13607</xdr:rowOff>
    </xdr:from>
    <xdr:to>
      <xdr:col>87</xdr:col>
      <xdr:colOff>775608</xdr:colOff>
      <xdr:row>44</xdr:row>
      <xdr:rowOff>252350</xdr:rowOff>
    </xdr:to>
    <xdr:sp macro="" textlink="">
      <xdr:nvSpPr>
        <xdr:cNvPr id="164" name="テキスト ボックス 163">
          <a:extLst>
            <a:ext uri="{FF2B5EF4-FFF2-40B4-BE49-F238E27FC236}">
              <a16:creationId xmlns:a16="http://schemas.microsoft.com/office/drawing/2014/main" id="{01895F28-69D8-4F3A-B7CA-632DDEDF3E6E}"/>
            </a:ext>
          </a:extLst>
        </xdr:cNvPr>
        <xdr:cNvSpPr txBox="1"/>
      </xdr:nvSpPr>
      <xdr:spPr>
        <a:xfrm>
          <a:off x="20529372" y="11413127"/>
          <a:ext cx="1528896"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7/31</a:t>
          </a:r>
        </a:p>
      </xdr:txBody>
    </xdr:sp>
    <xdr:clientData/>
  </xdr:twoCellAnchor>
  <xdr:twoCellAnchor>
    <xdr:from>
      <xdr:col>82</xdr:col>
      <xdr:colOff>52028</xdr:colOff>
      <xdr:row>119</xdr:row>
      <xdr:rowOff>290555</xdr:rowOff>
    </xdr:from>
    <xdr:to>
      <xdr:col>83</xdr:col>
      <xdr:colOff>773204</xdr:colOff>
      <xdr:row>122</xdr:row>
      <xdr:rowOff>137091</xdr:rowOff>
    </xdr:to>
    <xdr:sp macro="" textlink="">
      <xdr:nvSpPr>
        <xdr:cNvPr id="165" name="テキスト ボックス 164">
          <a:extLst>
            <a:ext uri="{FF2B5EF4-FFF2-40B4-BE49-F238E27FC236}">
              <a16:creationId xmlns:a16="http://schemas.microsoft.com/office/drawing/2014/main" id="{826165C7-2E35-420E-B893-1A79AE28A72D}"/>
            </a:ext>
          </a:extLst>
        </xdr:cNvPr>
        <xdr:cNvSpPr txBox="1"/>
      </xdr:nvSpPr>
      <xdr:spPr>
        <a:xfrm>
          <a:off x="20474940" y="19851095"/>
          <a:ext cx="0" cy="1012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52028</xdr:colOff>
      <xdr:row>130</xdr:row>
      <xdr:rowOff>317769</xdr:rowOff>
    </xdr:from>
    <xdr:to>
      <xdr:col>83</xdr:col>
      <xdr:colOff>773204</xdr:colOff>
      <xdr:row>133</xdr:row>
      <xdr:rowOff>164306</xdr:rowOff>
    </xdr:to>
    <xdr:sp macro="" textlink="">
      <xdr:nvSpPr>
        <xdr:cNvPr id="166" name="テキスト ボックス 165">
          <a:extLst>
            <a:ext uri="{FF2B5EF4-FFF2-40B4-BE49-F238E27FC236}">
              <a16:creationId xmlns:a16="http://schemas.microsoft.com/office/drawing/2014/main" id="{289731A9-DFB1-4827-A43C-6531411E8CB3}"/>
            </a:ext>
          </a:extLst>
        </xdr:cNvPr>
        <xdr:cNvSpPr txBox="1"/>
      </xdr:nvSpPr>
      <xdr:spPr>
        <a:xfrm>
          <a:off x="20474940" y="24153129"/>
          <a:ext cx="0" cy="10123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60832</xdr:colOff>
      <xdr:row>103</xdr:row>
      <xdr:rowOff>268941</xdr:rowOff>
    </xdr:from>
    <xdr:to>
      <xdr:col>83</xdr:col>
      <xdr:colOff>782009</xdr:colOff>
      <xdr:row>106</xdr:row>
      <xdr:rowOff>110678</xdr:rowOff>
    </xdr:to>
    <xdr:sp macro="" textlink="">
      <xdr:nvSpPr>
        <xdr:cNvPr id="167" name="テキスト ボックス 166">
          <a:extLst>
            <a:ext uri="{FF2B5EF4-FFF2-40B4-BE49-F238E27FC236}">
              <a16:creationId xmlns:a16="http://schemas.microsoft.com/office/drawing/2014/main" id="{3B50F5DB-8939-4170-927B-089D5566CCF1}"/>
            </a:ext>
          </a:extLst>
        </xdr:cNvPr>
        <xdr:cNvSpPr txBox="1"/>
      </xdr:nvSpPr>
      <xdr:spPr>
        <a:xfrm>
          <a:off x="20474940" y="52084941"/>
          <a:ext cx="0" cy="100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5/1</a:t>
          </a:r>
        </a:p>
      </xdr:txBody>
    </xdr:sp>
    <xdr:clientData/>
  </xdr:twoCellAnchor>
  <xdr:twoCellAnchor>
    <xdr:from>
      <xdr:col>84</xdr:col>
      <xdr:colOff>74439</xdr:colOff>
      <xdr:row>103</xdr:row>
      <xdr:rowOff>268941</xdr:rowOff>
    </xdr:from>
    <xdr:to>
      <xdr:col>85</xdr:col>
      <xdr:colOff>795616</xdr:colOff>
      <xdr:row>106</xdr:row>
      <xdr:rowOff>110678</xdr:rowOff>
    </xdr:to>
    <xdr:sp macro="" textlink="">
      <xdr:nvSpPr>
        <xdr:cNvPr id="168" name="テキスト ボックス 167">
          <a:extLst>
            <a:ext uri="{FF2B5EF4-FFF2-40B4-BE49-F238E27FC236}">
              <a16:creationId xmlns:a16="http://schemas.microsoft.com/office/drawing/2014/main" id="{4D250B1D-BDC3-48CB-BDE9-B2E2CED6F4A0}"/>
            </a:ext>
          </a:extLst>
        </xdr:cNvPr>
        <xdr:cNvSpPr txBox="1"/>
      </xdr:nvSpPr>
      <xdr:spPr>
        <a:xfrm>
          <a:off x="20474940" y="52084941"/>
          <a:ext cx="0" cy="100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84</xdr:col>
      <xdr:colOff>29618</xdr:colOff>
      <xdr:row>81</xdr:row>
      <xdr:rowOff>78441</xdr:rowOff>
    </xdr:from>
    <xdr:to>
      <xdr:col>85</xdr:col>
      <xdr:colOff>750794</xdr:colOff>
      <xdr:row>83</xdr:row>
      <xdr:rowOff>314784</xdr:rowOff>
    </xdr:to>
    <xdr:sp macro="" textlink="">
      <xdr:nvSpPr>
        <xdr:cNvPr id="169" name="テキスト ボックス 168">
          <a:extLst>
            <a:ext uri="{FF2B5EF4-FFF2-40B4-BE49-F238E27FC236}">
              <a16:creationId xmlns:a16="http://schemas.microsoft.com/office/drawing/2014/main" id="{6B57AD4F-6A38-47C5-841A-3D047BB8AFBE}"/>
            </a:ext>
          </a:extLst>
        </xdr:cNvPr>
        <xdr:cNvSpPr txBox="1"/>
      </xdr:nvSpPr>
      <xdr:spPr>
        <a:xfrm>
          <a:off x="20474940" y="39847221"/>
          <a:ext cx="0"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86</xdr:col>
      <xdr:colOff>87754</xdr:colOff>
      <xdr:row>17</xdr:row>
      <xdr:rowOff>27214</xdr:rowOff>
    </xdr:from>
    <xdr:to>
      <xdr:col>87</xdr:col>
      <xdr:colOff>808930</xdr:colOff>
      <xdr:row>19</xdr:row>
      <xdr:rowOff>265957</xdr:rowOff>
    </xdr:to>
    <xdr:sp macro="" textlink="">
      <xdr:nvSpPr>
        <xdr:cNvPr id="170" name="テキスト ボックス 169">
          <a:extLst>
            <a:ext uri="{FF2B5EF4-FFF2-40B4-BE49-F238E27FC236}">
              <a16:creationId xmlns:a16="http://schemas.microsoft.com/office/drawing/2014/main" id="{40169206-B911-4E43-A35C-50CC06FF49B3}"/>
            </a:ext>
          </a:extLst>
        </xdr:cNvPr>
        <xdr:cNvSpPr txBox="1"/>
      </xdr:nvSpPr>
      <xdr:spPr>
        <a:xfrm>
          <a:off x="20562694" y="5986054"/>
          <a:ext cx="1528896"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35947</xdr:colOff>
      <xdr:row>130</xdr:row>
      <xdr:rowOff>317769</xdr:rowOff>
    </xdr:from>
    <xdr:to>
      <xdr:col>87</xdr:col>
      <xdr:colOff>759596</xdr:colOff>
      <xdr:row>133</xdr:row>
      <xdr:rowOff>164306</xdr:rowOff>
    </xdr:to>
    <xdr:sp macro="" textlink="">
      <xdr:nvSpPr>
        <xdr:cNvPr id="171" name="テキスト ボックス 170">
          <a:extLst>
            <a:ext uri="{FF2B5EF4-FFF2-40B4-BE49-F238E27FC236}">
              <a16:creationId xmlns:a16="http://schemas.microsoft.com/office/drawing/2014/main" id="{1A8A25B7-7414-4E07-B49E-F10D4EFEC648}"/>
            </a:ext>
          </a:extLst>
        </xdr:cNvPr>
        <xdr:cNvSpPr txBox="1"/>
      </xdr:nvSpPr>
      <xdr:spPr>
        <a:xfrm>
          <a:off x="20510887" y="24153129"/>
          <a:ext cx="1531369" cy="10123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52028</xdr:colOff>
      <xdr:row>119</xdr:row>
      <xdr:rowOff>290555</xdr:rowOff>
    </xdr:from>
    <xdr:to>
      <xdr:col>87</xdr:col>
      <xdr:colOff>773204</xdr:colOff>
      <xdr:row>122</xdr:row>
      <xdr:rowOff>137091</xdr:rowOff>
    </xdr:to>
    <xdr:sp macro="" textlink="">
      <xdr:nvSpPr>
        <xdr:cNvPr id="172" name="テキスト ボックス 171">
          <a:extLst>
            <a:ext uri="{FF2B5EF4-FFF2-40B4-BE49-F238E27FC236}">
              <a16:creationId xmlns:a16="http://schemas.microsoft.com/office/drawing/2014/main" id="{85BA3405-BDC5-4D9D-9B45-90A23E6383C6}"/>
            </a:ext>
          </a:extLst>
        </xdr:cNvPr>
        <xdr:cNvSpPr txBox="1"/>
      </xdr:nvSpPr>
      <xdr:spPr>
        <a:xfrm>
          <a:off x="20526968" y="19851095"/>
          <a:ext cx="1528896" cy="1012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42915</xdr:colOff>
      <xdr:row>147</xdr:row>
      <xdr:rowOff>69271</xdr:rowOff>
    </xdr:from>
    <xdr:to>
      <xdr:col>87</xdr:col>
      <xdr:colOff>764092</xdr:colOff>
      <xdr:row>149</xdr:row>
      <xdr:rowOff>308016</xdr:rowOff>
    </xdr:to>
    <xdr:sp macro="" textlink="">
      <xdr:nvSpPr>
        <xdr:cNvPr id="173" name="テキスト ボックス 172">
          <a:extLst>
            <a:ext uri="{FF2B5EF4-FFF2-40B4-BE49-F238E27FC236}">
              <a16:creationId xmlns:a16="http://schemas.microsoft.com/office/drawing/2014/main" id="{C09FE60E-89D4-4776-9858-92B178A2A275}"/>
            </a:ext>
          </a:extLst>
        </xdr:cNvPr>
        <xdr:cNvSpPr txBox="1"/>
      </xdr:nvSpPr>
      <xdr:spPr>
        <a:xfrm>
          <a:off x="20517855" y="34785991"/>
          <a:ext cx="1528897" cy="101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7/1</a:t>
          </a:r>
        </a:p>
      </xdr:txBody>
    </xdr:sp>
    <xdr:clientData/>
  </xdr:twoCellAnchor>
  <xdr:twoCellAnchor>
    <xdr:from>
      <xdr:col>88</xdr:col>
      <xdr:colOff>40821</xdr:colOff>
      <xdr:row>159</xdr:row>
      <xdr:rowOff>160085</xdr:rowOff>
    </xdr:from>
    <xdr:to>
      <xdr:col>89</xdr:col>
      <xdr:colOff>761997</xdr:colOff>
      <xdr:row>162</xdr:row>
      <xdr:rowOff>1821</xdr:rowOff>
    </xdr:to>
    <xdr:sp macro="" textlink="">
      <xdr:nvSpPr>
        <xdr:cNvPr id="174" name="テキスト ボックス 173">
          <a:extLst>
            <a:ext uri="{FF2B5EF4-FFF2-40B4-BE49-F238E27FC236}">
              <a16:creationId xmlns:a16="http://schemas.microsoft.com/office/drawing/2014/main" id="{C5D4C008-4313-4067-89C4-BA6215512DDB}"/>
            </a:ext>
          </a:extLst>
        </xdr:cNvPr>
        <xdr:cNvSpPr txBox="1"/>
      </xdr:nvSpPr>
      <xdr:spPr>
        <a:xfrm>
          <a:off x="22131201" y="48478505"/>
          <a:ext cx="1528896" cy="10075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88</xdr:col>
      <xdr:colOff>68036</xdr:colOff>
      <xdr:row>55</xdr:row>
      <xdr:rowOff>146475</xdr:rowOff>
    </xdr:from>
    <xdr:to>
      <xdr:col>89</xdr:col>
      <xdr:colOff>789212</xdr:colOff>
      <xdr:row>57</xdr:row>
      <xdr:rowOff>382819</xdr:rowOff>
    </xdr:to>
    <xdr:sp macro="" textlink="">
      <xdr:nvSpPr>
        <xdr:cNvPr id="175" name="テキスト ボックス 174">
          <a:extLst>
            <a:ext uri="{FF2B5EF4-FFF2-40B4-BE49-F238E27FC236}">
              <a16:creationId xmlns:a16="http://schemas.microsoft.com/office/drawing/2014/main" id="{F6F01ACE-5648-4E88-B50C-B1739AE7E97C}"/>
            </a:ext>
          </a:extLst>
        </xdr:cNvPr>
        <xdr:cNvSpPr txBox="1"/>
      </xdr:nvSpPr>
      <xdr:spPr>
        <a:xfrm>
          <a:off x="22158416" y="57791775"/>
          <a:ext cx="1528896"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7/31</a:t>
          </a:r>
        </a:p>
      </xdr:txBody>
    </xdr:sp>
    <xdr:clientData/>
  </xdr:twoCellAnchor>
  <xdr:twoCellAnchor>
    <xdr:from>
      <xdr:col>86</xdr:col>
      <xdr:colOff>81643</xdr:colOff>
      <xdr:row>216</xdr:row>
      <xdr:rowOff>149678</xdr:rowOff>
    </xdr:from>
    <xdr:to>
      <xdr:col>87</xdr:col>
      <xdr:colOff>748391</xdr:colOff>
      <xdr:row>218</xdr:row>
      <xdr:rowOff>225717</xdr:rowOff>
    </xdr:to>
    <xdr:sp macro="" textlink="">
      <xdr:nvSpPr>
        <xdr:cNvPr id="176" name="テキスト ボックス 175">
          <a:extLst>
            <a:ext uri="{FF2B5EF4-FFF2-40B4-BE49-F238E27FC236}">
              <a16:creationId xmlns:a16="http://schemas.microsoft.com/office/drawing/2014/main" id="{E560ABB3-37D8-4DEE-A65D-9A5FE8F951C7}"/>
            </a:ext>
          </a:extLst>
        </xdr:cNvPr>
        <xdr:cNvSpPr txBox="1"/>
      </xdr:nvSpPr>
      <xdr:spPr>
        <a:xfrm>
          <a:off x="20556583" y="77614598"/>
          <a:ext cx="1474468"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endParaRPr kumimoji="1" lang="ja-JP" altLang="en-US" sz="1600" b="1"/>
        </a:p>
      </xdr:txBody>
    </xdr:sp>
    <xdr:clientData/>
  </xdr:twoCellAnchor>
  <xdr:twoCellAnchor>
    <xdr:from>
      <xdr:col>86</xdr:col>
      <xdr:colOff>138471</xdr:colOff>
      <xdr:row>286</xdr:row>
      <xdr:rowOff>54799</xdr:rowOff>
    </xdr:from>
    <xdr:to>
      <xdr:col>87</xdr:col>
      <xdr:colOff>805223</xdr:colOff>
      <xdr:row>287</xdr:row>
      <xdr:rowOff>381000</xdr:rowOff>
    </xdr:to>
    <xdr:sp macro="" textlink="">
      <xdr:nvSpPr>
        <xdr:cNvPr id="177" name="テキスト ボックス 176">
          <a:extLst>
            <a:ext uri="{FF2B5EF4-FFF2-40B4-BE49-F238E27FC236}">
              <a16:creationId xmlns:a16="http://schemas.microsoft.com/office/drawing/2014/main" id="{CE96FFD5-F46F-49B3-B8D0-0B67657D4710}"/>
            </a:ext>
          </a:extLst>
        </xdr:cNvPr>
        <xdr:cNvSpPr txBox="1"/>
      </xdr:nvSpPr>
      <xdr:spPr>
        <a:xfrm>
          <a:off x="20613411" y="92287279"/>
          <a:ext cx="1474472" cy="714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p>
        <a:p>
          <a:pPr algn="ctr"/>
          <a:endParaRPr kumimoji="1" lang="en-US" altLang="ja-JP" sz="1600" b="1"/>
        </a:p>
      </xdr:txBody>
    </xdr:sp>
    <xdr:clientData/>
  </xdr:twoCellAnchor>
  <xdr:twoCellAnchor>
    <xdr:from>
      <xdr:col>86</xdr:col>
      <xdr:colOff>138471</xdr:colOff>
      <xdr:row>275</xdr:row>
      <xdr:rowOff>0</xdr:rowOff>
    </xdr:from>
    <xdr:to>
      <xdr:col>87</xdr:col>
      <xdr:colOff>805223</xdr:colOff>
      <xdr:row>276</xdr:row>
      <xdr:rowOff>326201</xdr:rowOff>
    </xdr:to>
    <xdr:sp macro="" textlink="">
      <xdr:nvSpPr>
        <xdr:cNvPr id="178" name="テキスト ボックス 177">
          <a:extLst>
            <a:ext uri="{FF2B5EF4-FFF2-40B4-BE49-F238E27FC236}">
              <a16:creationId xmlns:a16="http://schemas.microsoft.com/office/drawing/2014/main" id="{679DD655-D2F6-4FCA-9C6A-385D7F52F077}"/>
            </a:ext>
          </a:extLst>
        </xdr:cNvPr>
        <xdr:cNvSpPr txBox="1"/>
      </xdr:nvSpPr>
      <xdr:spPr>
        <a:xfrm>
          <a:off x="20613411" y="96895920"/>
          <a:ext cx="1474472" cy="714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p>
        <a:p>
          <a:pPr algn="ctr"/>
          <a:endParaRPr kumimoji="1" lang="en-US" altLang="ja-JP" sz="1600" b="1"/>
        </a:p>
      </xdr:txBody>
    </xdr:sp>
    <xdr:clientData/>
  </xdr:twoCellAnchor>
  <xdr:twoCellAnchor>
    <xdr:from>
      <xdr:col>90</xdr:col>
      <xdr:colOff>81643</xdr:colOff>
      <xdr:row>165</xdr:row>
      <xdr:rowOff>209712</xdr:rowOff>
    </xdr:from>
    <xdr:to>
      <xdr:col>91</xdr:col>
      <xdr:colOff>748392</xdr:colOff>
      <xdr:row>167</xdr:row>
      <xdr:rowOff>285750</xdr:rowOff>
    </xdr:to>
    <xdr:sp macro="" textlink="">
      <xdr:nvSpPr>
        <xdr:cNvPr id="180" name="テキスト ボックス 179">
          <a:extLst>
            <a:ext uri="{FF2B5EF4-FFF2-40B4-BE49-F238E27FC236}">
              <a16:creationId xmlns:a16="http://schemas.microsoft.com/office/drawing/2014/main" id="{A2E0720E-0CB1-485D-A914-7F2AA9ED7F57}"/>
            </a:ext>
          </a:extLst>
        </xdr:cNvPr>
        <xdr:cNvSpPr txBox="1"/>
      </xdr:nvSpPr>
      <xdr:spPr>
        <a:xfrm>
          <a:off x="23787463" y="73399812"/>
          <a:ext cx="1474469" cy="853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9/4</a:t>
          </a:r>
          <a:endParaRPr kumimoji="1" lang="ja-JP" altLang="en-US" sz="1600" b="1"/>
        </a:p>
      </xdr:txBody>
    </xdr:sp>
    <xdr:clientData/>
  </xdr:twoCellAnchor>
  <xdr:twoCellAnchor>
    <xdr:from>
      <xdr:col>86</xdr:col>
      <xdr:colOff>54428</xdr:colOff>
      <xdr:row>55</xdr:row>
      <xdr:rowOff>146475</xdr:rowOff>
    </xdr:from>
    <xdr:to>
      <xdr:col>87</xdr:col>
      <xdr:colOff>775604</xdr:colOff>
      <xdr:row>57</xdr:row>
      <xdr:rowOff>382819</xdr:rowOff>
    </xdr:to>
    <xdr:sp macro="" textlink="">
      <xdr:nvSpPr>
        <xdr:cNvPr id="183" name="テキスト ボックス 182">
          <a:extLst>
            <a:ext uri="{FF2B5EF4-FFF2-40B4-BE49-F238E27FC236}">
              <a16:creationId xmlns:a16="http://schemas.microsoft.com/office/drawing/2014/main" id="{906F4569-9B3C-4506-9270-4E5C4B48AE0B}"/>
            </a:ext>
          </a:extLst>
        </xdr:cNvPr>
        <xdr:cNvSpPr txBox="1"/>
      </xdr:nvSpPr>
      <xdr:spPr>
        <a:xfrm>
          <a:off x="20529368" y="57791775"/>
          <a:ext cx="1528896"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a:t>
          </a:r>
        </a:p>
      </xdr:txBody>
    </xdr:sp>
    <xdr:clientData/>
  </xdr:twoCellAnchor>
  <xdr:twoCellAnchor>
    <xdr:from>
      <xdr:col>78</xdr:col>
      <xdr:colOff>56522</xdr:colOff>
      <xdr:row>147</xdr:row>
      <xdr:rowOff>69271</xdr:rowOff>
    </xdr:from>
    <xdr:to>
      <xdr:col>79</xdr:col>
      <xdr:colOff>777700</xdr:colOff>
      <xdr:row>149</xdr:row>
      <xdr:rowOff>308016</xdr:rowOff>
    </xdr:to>
    <xdr:sp macro="" textlink="">
      <xdr:nvSpPr>
        <xdr:cNvPr id="184" name="テキスト ボックス 183">
          <a:extLst>
            <a:ext uri="{FF2B5EF4-FFF2-40B4-BE49-F238E27FC236}">
              <a16:creationId xmlns:a16="http://schemas.microsoft.com/office/drawing/2014/main" id="{4933FD57-7117-4B81-849A-01B499CBC0F4}"/>
            </a:ext>
          </a:extLst>
        </xdr:cNvPr>
        <xdr:cNvSpPr txBox="1"/>
      </xdr:nvSpPr>
      <xdr:spPr>
        <a:xfrm>
          <a:off x="20474940" y="34785991"/>
          <a:ext cx="0" cy="101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3/31</a:t>
          </a:r>
        </a:p>
      </xdr:txBody>
    </xdr:sp>
    <xdr:clientData/>
  </xdr:twoCellAnchor>
  <xdr:twoCellAnchor>
    <xdr:from>
      <xdr:col>82</xdr:col>
      <xdr:colOff>116700</xdr:colOff>
      <xdr:row>112</xdr:row>
      <xdr:rowOff>233402</xdr:rowOff>
    </xdr:from>
    <xdr:to>
      <xdr:col>83</xdr:col>
      <xdr:colOff>783452</xdr:colOff>
      <xdr:row>114</xdr:row>
      <xdr:rowOff>164996</xdr:rowOff>
    </xdr:to>
    <xdr:sp macro="" textlink="">
      <xdr:nvSpPr>
        <xdr:cNvPr id="185" name="テキスト ボックス 184">
          <a:extLst>
            <a:ext uri="{FF2B5EF4-FFF2-40B4-BE49-F238E27FC236}">
              <a16:creationId xmlns:a16="http://schemas.microsoft.com/office/drawing/2014/main" id="{ACC0D0F6-C3D6-4AE2-8B9C-E09ADA628C83}"/>
            </a:ext>
          </a:extLst>
        </xdr:cNvPr>
        <xdr:cNvSpPr txBox="1"/>
      </xdr:nvSpPr>
      <xdr:spPr>
        <a:xfrm>
          <a:off x="20474940" y="88968302"/>
          <a:ext cx="0" cy="708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88</xdr:col>
      <xdr:colOff>56828</xdr:colOff>
      <xdr:row>112</xdr:row>
      <xdr:rowOff>385802</xdr:rowOff>
    </xdr:from>
    <xdr:to>
      <xdr:col>89</xdr:col>
      <xdr:colOff>723580</xdr:colOff>
      <xdr:row>114</xdr:row>
      <xdr:rowOff>317396</xdr:rowOff>
    </xdr:to>
    <xdr:sp macro="" textlink="">
      <xdr:nvSpPr>
        <xdr:cNvPr id="186" name="テキスト ボックス 185">
          <a:extLst>
            <a:ext uri="{FF2B5EF4-FFF2-40B4-BE49-F238E27FC236}">
              <a16:creationId xmlns:a16="http://schemas.microsoft.com/office/drawing/2014/main" id="{B88632C0-0518-4D8D-871C-17FB5D79C217}"/>
            </a:ext>
          </a:extLst>
        </xdr:cNvPr>
        <xdr:cNvSpPr txBox="1"/>
      </xdr:nvSpPr>
      <xdr:spPr>
        <a:xfrm>
          <a:off x="22147208" y="89120702"/>
          <a:ext cx="1474472" cy="708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7/28</a:t>
          </a:r>
        </a:p>
      </xdr:txBody>
    </xdr:sp>
    <xdr:clientData/>
  </xdr:twoCellAnchor>
  <xdr:twoCellAnchor>
    <xdr:from>
      <xdr:col>88</xdr:col>
      <xdr:colOff>70435</xdr:colOff>
      <xdr:row>17</xdr:row>
      <xdr:rowOff>27214</xdr:rowOff>
    </xdr:from>
    <xdr:to>
      <xdr:col>89</xdr:col>
      <xdr:colOff>791611</xdr:colOff>
      <xdr:row>19</xdr:row>
      <xdr:rowOff>265957</xdr:rowOff>
    </xdr:to>
    <xdr:sp macro="" textlink="">
      <xdr:nvSpPr>
        <xdr:cNvPr id="187" name="テキスト ボックス 186">
          <a:extLst>
            <a:ext uri="{FF2B5EF4-FFF2-40B4-BE49-F238E27FC236}">
              <a16:creationId xmlns:a16="http://schemas.microsoft.com/office/drawing/2014/main" id="{D5196DEF-7F48-439F-976A-DC968043E376}"/>
            </a:ext>
          </a:extLst>
        </xdr:cNvPr>
        <xdr:cNvSpPr txBox="1"/>
      </xdr:nvSpPr>
      <xdr:spPr>
        <a:xfrm>
          <a:off x="22160815" y="5986054"/>
          <a:ext cx="1528896"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8/7</a:t>
          </a:r>
        </a:p>
      </xdr:txBody>
    </xdr:sp>
    <xdr:clientData/>
  </xdr:twoCellAnchor>
  <xdr:twoCellAnchor>
    <xdr:from>
      <xdr:col>92</xdr:col>
      <xdr:colOff>41912</xdr:colOff>
      <xdr:row>42</xdr:row>
      <xdr:rowOff>0</xdr:rowOff>
    </xdr:from>
    <xdr:to>
      <xdr:col>93</xdr:col>
      <xdr:colOff>763088</xdr:colOff>
      <xdr:row>44</xdr:row>
      <xdr:rowOff>238743</xdr:rowOff>
    </xdr:to>
    <xdr:sp macro="" textlink="">
      <xdr:nvSpPr>
        <xdr:cNvPr id="188" name="テキスト ボックス 187">
          <a:extLst>
            <a:ext uri="{FF2B5EF4-FFF2-40B4-BE49-F238E27FC236}">
              <a16:creationId xmlns:a16="http://schemas.microsoft.com/office/drawing/2014/main" id="{3667635C-B7A3-4E92-B6DD-FFE09068139D}"/>
            </a:ext>
          </a:extLst>
        </xdr:cNvPr>
        <xdr:cNvSpPr txBox="1"/>
      </xdr:nvSpPr>
      <xdr:spPr>
        <a:xfrm>
          <a:off x="25363172" y="11399520"/>
          <a:ext cx="1528896"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10/2</a:t>
          </a:r>
        </a:p>
      </xdr:txBody>
    </xdr:sp>
    <xdr:clientData/>
  </xdr:twoCellAnchor>
  <xdr:twoCellAnchor>
    <xdr:from>
      <xdr:col>86</xdr:col>
      <xdr:colOff>65634</xdr:colOff>
      <xdr:row>68</xdr:row>
      <xdr:rowOff>100054</xdr:rowOff>
    </xdr:from>
    <xdr:to>
      <xdr:col>87</xdr:col>
      <xdr:colOff>786812</xdr:colOff>
      <xdr:row>70</xdr:row>
      <xdr:rowOff>341198</xdr:rowOff>
    </xdr:to>
    <xdr:sp macro="" textlink="">
      <xdr:nvSpPr>
        <xdr:cNvPr id="189" name="テキスト ボックス 188">
          <a:extLst>
            <a:ext uri="{FF2B5EF4-FFF2-40B4-BE49-F238E27FC236}">
              <a16:creationId xmlns:a16="http://schemas.microsoft.com/office/drawing/2014/main" id="{E150DD6C-CBA3-4C55-AA5B-BCF84BAC39A0}"/>
            </a:ext>
          </a:extLst>
        </xdr:cNvPr>
        <xdr:cNvSpPr txBox="1"/>
      </xdr:nvSpPr>
      <xdr:spPr>
        <a:xfrm>
          <a:off x="20540574" y="15385774"/>
          <a:ext cx="1528898" cy="1018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t>納期予定</a:t>
          </a:r>
          <a:endParaRPr kumimoji="1" lang="en-US" altLang="ja-JP" sz="1600" b="1" u="none"/>
        </a:p>
        <a:p>
          <a:pPr algn="ctr"/>
          <a:r>
            <a:rPr kumimoji="1" lang="en-US" altLang="ja-JP" sz="1600" b="1"/>
            <a:t>7/3</a:t>
          </a:r>
        </a:p>
      </xdr:txBody>
    </xdr:sp>
    <xdr:clientData/>
  </xdr:twoCellAnchor>
  <xdr:twoCellAnchor>
    <xdr:from>
      <xdr:col>88</xdr:col>
      <xdr:colOff>54428</xdr:colOff>
      <xdr:row>92</xdr:row>
      <xdr:rowOff>51226</xdr:rowOff>
    </xdr:from>
    <xdr:to>
      <xdr:col>89</xdr:col>
      <xdr:colOff>775604</xdr:colOff>
      <xdr:row>94</xdr:row>
      <xdr:rowOff>287570</xdr:rowOff>
    </xdr:to>
    <xdr:sp macro="" textlink="">
      <xdr:nvSpPr>
        <xdr:cNvPr id="190" name="テキスト ボックス 189">
          <a:extLst>
            <a:ext uri="{FF2B5EF4-FFF2-40B4-BE49-F238E27FC236}">
              <a16:creationId xmlns:a16="http://schemas.microsoft.com/office/drawing/2014/main" id="{5CE9700F-9259-4798-9EC1-15047AAE9B90}"/>
            </a:ext>
          </a:extLst>
        </xdr:cNvPr>
        <xdr:cNvSpPr txBox="1"/>
      </xdr:nvSpPr>
      <xdr:spPr>
        <a:xfrm>
          <a:off x="22144808" y="44094826"/>
          <a:ext cx="1528896"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88</xdr:col>
      <xdr:colOff>54428</xdr:colOff>
      <xdr:row>81</xdr:row>
      <xdr:rowOff>78441</xdr:rowOff>
    </xdr:from>
    <xdr:to>
      <xdr:col>89</xdr:col>
      <xdr:colOff>775604</xdr:colOff>
      <xdr:row>83</xdr:row>
      <xdr:rowOff>314784</xdr:rowOff>
    </xdr:to>
    <xdr:sp macro="" textlink="">
      <xdr:nvSpPr>
        <xdr:cNvPr id="191" name="テキスト ボックス 190">
          <a:extLst>
            <a:ext uri="{FF2B5EF4-FFF2-40B4-BE49-F238E27FC236}">
              <a16:creationId xmlns:a16="http://schemas.microsoft.com/office/drawing/2014/main" id="{F43F0002-4ECD-4723-86E6-D730AB12F83B}"/>
            </a:ext>
          </a:extLst>
        </xdr:cNvPr>
        <xdr:cNvSpPr txBox="1"/>
      </xdr:nvSpPr>
      <xdr:spPr>
        <a:xfrm>
          <a:off x="22144808" y="39847221"/>
          <a:ext cx="1528896"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96</xdr:col>
      <xdr:colOff>56030</xdr:colOff>
      <xdr:row>42</xdr:row>
      <xdr:rowOff>0</xdr:rowOff>
    </xdr:from>
    <xdr:to>
      <xdr:col>97</xdr:col>
      <xdr:colOff>777206</xdr:colOff>
      <xdr:row>44</xdr:row>
      <xdr:rowOff>238743</xdr:rowOff>
    </xdr:to>
    <xdr:sp macro="" textlink="">
      <xdr:nvSpPr>
        <xdr:cNvPr id="192" name="テキスト ボックス 191">
          <a:extLst>
            <a:ext uri="{FF2B5EF4-FFF2-40B4-BE49-F238E27FC236}">
              <a16:creationId xmlns:a16="http://schemas.microsoft.com/office/drawing/2014/main" id="{315B5D90-F63B-4511-AAC6-2463F7C913CD}"/>
            </a:ext>
          </a:extLst>
        </xdr:cNvPr>
        <xdr:cNvSpPr txBox="1"/>
      </xdr:nvSpPr>
      <xdr:spPr>
        <a:xfrm>
          <a:off x="28608170" y="11399520"/>
          <a:ext cx="1528896" cy="1015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12/4</a:t>
          </a:r>
        </a:p>
      </xdr:txBody>
    </xdr:sp>
    <xdr:clientData/>
  </xdr:twoCellAnchor>
  <xdr:twoCellAnchor>
    <xdr:from>
      <xdr:col>92</xdr:col>
      <xdr:colOff>56030</xdr:colOff>
      <xdr:row>119</xdr:row>
      <xdr:rowOff>290555</xdr:rowOff>
    </xdr:from>
    <xdr:to>
      <xdr:col>93</xdr:col>
      <xdr:colOff>777205</xdr:colOff>
      <xdr:row>122</xdr:row>
      <xdr:rowOff>137091</xdr:rowOff>
    </xdr:to>
    <xdr:sp macro="" textlink="">
      <xdr:nvSpPr>
        <xdr:cNvPr id="193" name="テキスト ボックス 192">
          <a:extLst>
            <a:ext uri="{FF2B5EF4-FFF2-40B4-BE49-F238E27FC236}">
              <a16:creationId xmlns:a16="http://schemas.microsoft.com/office/drawing/2014/main" id="{569997FA-E22C-4264-A451-BF50595BD5BF}"/>
            </a:ext>
          </a:extLst>
        </xdr:cNvPr>
        <xdr:cNvSpPr txBox="1"/>
      </xdr:nvSpPr>
      <xdr:spPr>
        <a:xfrm>
          <a:off x="25377290" y="19851095"/>
          <a:ext cx="1528895" cy="1012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10/30</a:t>
          </a:r>
        </a:p>
      </xdr:txBody>
    </xdr:sp>
    <xdr:clientData/>
  </xdr:twoCellAnchor>
  <xdr:twoCellAnchor>
    <xdr:from>
      <xdr:col>92</xdr:col>
      <xdr:colOff>44824</xdr:colOff>
      <xdr:row>130</xdr:row>
      <xdr:rowOff>317769</xdr:rowOff>
    </xdr:from>
    <xdr:to>
      <xdr:col>93</xdr:col>
      <xdr:colOff>768472</xdr:colOff>
      <xdr:row>133</xdr:row>
      <xdr:rowOff>164306</xdr:rowOff>
    </xdr:to>
    <xdr:sp macro="" textlink="">
      <xdr:nvSpPr>
        <xdr:cNvPr id="194" name="テキスト ボックス 193">
          <a:extLst>
            <a:ext uri="{FF2B5EF4-FFF2-40B4-BE49-F238E27FC236}">
              <a16:creationId xmlns:a16="http://schemas.microsoft.com/office/drawing/2014/main" id="{A961B42F-0AD3-4895-B7EA-051716F2390C}"/>
            </a:ext>
          </a:extLst>
        </xdr:cNvPr>
        <xdr:cNvSpPr txBox="1"/>
      </xdr:nvSpPr>
      <xdr:spPr>
        <a:xfrm>
          <a:off x="25366084" y="24153129"/>
          <a:ext cx="1531368" cy="10123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10/2</a:t>
          </a:r>
        </a:p>
      </xdr:txBody>
    </xdr:sp>
    <xdr:clientData/>
  </xdr:twoCellAnchor>
  <xdr:twoCellAnchor>
    <xdr:from>
      <xdr:col>88</xdr:col>
      <xdr:colOff>52028</xdr:colOff>
      <xdr:row>30</xdr:row>
      <xdr:rowOff>259771</xdr:rowOff>
    </xdr:from>
    <xdr:to>
      <xdr:col>89</xdr:col>
      <xdr:colOff>773205</xdr:colOff>
      <xdr:row>33</xdr:row>
      <xdr:rowOff>103908</xdr:rowOff>
    </xdr:to>
    <xdr:sp macro="" textlink="">
      <xdr:nvSpPr>
        <xdr:cNvPr id="195" name="テキスト ボックス 194">
          <a:extLst>
            <a:ext uri="{FF2B5EF4-FFF2-40B4-BE49-F238E27FC236}">
              <a16:creationId xmlns:a16="http://schemas.microsoft.com/office/drawing/2014/main" id="{0177B6BF-3323-4422-9BED-516FC779234C}"/>
            </a:ext>
          </a:extLst>
        </xdr:cNvPr>
        <xdr:cNvSpPr txBox="1"/>
      </xdr:nvSpPr>
      <xdr:spPr>
        <a:xfrm>
          <a:off x="22142408" y="28369951"/>
          <a:ext cx="1528897"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7/31</a:t>
          </a:r>
        </a:p>
      </xdr:txBody>
    </xdr:sp>
    <xdr:clientData/>
  </xdr:twoCellAnchor>
  <xdr:twoCellAnchor>
    <xdr:from>
      <xdr:col>92</xdr:col>
      <xdr:colOff>56029</xdr:colOff>
      <xdr:row>30</xdr:row>
      <xdr:rowOff>259771</xdr:rowOff>
    </xdr:from>
    <xdr:to>
      <xdr:col>93</xdr:col>
      <xdr:colOff>777206</xdr:colOff>
      <xdr:row>33</xdr:row>
      <xdr:rowOff>103908</xdr:rowOff>
    </xdr:to>
    <xdr:sp macro="" textlink="">
      <xdr:nvSpPr>
        <xdr:cNvPr id="196" name="テキスト ボックス 195">
          <a:extLst>
            <a:ext uri="{FF2B5EF4-FFF2-40B4-BE49-F238E27FC236}">
              <a16:creationId xmlns:a16="http://schemas.microsoft.com/office/drawing/2014/main" id="{ACB293CE-E68C-4E28-90FF-BA2A68B8B7F4}"/>
            </a:ext>
          </a:extLst>
        </xdr:cNvPr>
        <xdr:cNvSpPr txBox="1"/>
      </xdr:nvSpPr>
      <xdr:spPr>
        <a:xfrm>
          <a:off x="25377289" y="28369951"/>
          <a:ext cx="1528897"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56029</xdr:colOff>
      <xdr:row>81</xdr:row>
      <xdr:rowOff>88627</xdr:rowOff>
    </xdr:from>
    <xdr:to>
      <xdr:col>93</xdr:col>
      <xdr:colOff>777205</xdr:colOff>
      <xdr:row>83</xdr:row>
      <xdr:rowOff>324970</xdr:rowOff>
    </xdr:to>
    <xdr:sp macro="" textlink="">
      <xdr:nvSpPr>
        <xdr:cNvPr id="197" name="テキスト ボックス 196">
          <a:extLst>
            <a:ext uri="{FF2B5EF4-FFF2-40B4-BE49-F238E27FC236}">
              <a16:creationId xmlns:a16="http://schemas.microsoft.com/office/drawing/2014/main" id="{B5666DB4-7112-49AF-9294-217862E2206E}"/>
            </a:ext>
          </a:extLst>
        </xdr:cNvPr>
        <xdr:cNvSpPr txBox="1"/>
      </xdr:nvSpPr>
      <xdr:spPr>
        <a:xfrm>
          <a:off x="25377289" y="39857407"/>
          <a:ext cx="1528896"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60832</xdr:colOff>
      <xdr:row>103</xdr:row>
      <xdr:rowOff>268941</xdr:rowOff>
    </xdr:from>
    <xdr:to>
      <xdr:col>93</xdr:col>
      <xdr:colOff>782009</xdr:colOff>
      <xdr:row>106</xdr:row>
      <xdr:rowOff>110678</xdr:rowOff>
    </xdr:to>
    <xdr:sp macro="" textlink="">
      <xdr:nvSpPr>
        <xdr:cNvPr id="198" name="テキスト ボックス 197">
          <a:extLst>
            <a:ext uri="{FF2B5EF4-FFF2-40B4-BE49-F238E27FC236}">
              <a16:creationId xmlns:a16="http://schemas.microsoft.com/office/drawing/2014/main" id="{44C2133F-1D9F-4331-B8ED-ABF3385D4079}"/>
            </a:ext>
          </a:extLst>
        </xdr:cNvPr>
        <xdr:cNvSpPr txBox="1"/>
      </xdr:nvSpPr>
      <xdr:spPr>
        <a:xfrm>
          <a:off x="25382092" y="52084941"/>
          <a:ext cx="1528897" cy="100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100853</xdr:colOff>
      <xdr:row>55</xdr:row>
      <xdr:rowOff>146475</xdr:rowOff>
    </xdr:from>
    <xdr:to>
      <xdr:col>94</xdr:col>
      <xdr:colOff>15206</xdr:colOff>
      <xdr:row>57</xdr:row>
      <xdr:rowOff>382819</xdr:rowOff>
    </xdr:to>
    <xdr:sp macro="" textlink="">
      <xdr:nvSpPr>
        <xdr:cNvPr id="199" name="テキスト ボックス 198">
          <a:extLst>
            <a:ext uri="{FF2B5EF4-FFF2-40B4-BE49-F238E27FC236}">
              <a16:creationId xmlns:a16="http://schemas.microsoft.com/office/drawing/2014/main" id="{9098BA83-4626-4786-B452-C15714581E1C}"/>
            </a:ext>
          </a:extLst>
        </xdr:cNvPr>
        <xdr:cNvSpPr txBox="1"/>
      </xdr:nvSpPr>
      <xdr:spPr>
        <a:xfrm>
          <a:off x="25422113" y="57791775"/>
          <a:ext cx="1529793"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67235</xdr:colOff>
      <xdr:row>174</xdr:row>
      <xdr:rowOff>33618</xdr:rowOff>
    </xdr:from>
    <xdr:to>
      <xdr:col>93</xdr:col>
      <xdr:colOff>733983</xdr:colOff>
      <xdr:row>176</xdr:row>
      <xdr:rowOff>109657</xdr:rowOff>
    </xdr:to>
    <xdr:sp macro="" textlink="">
      <xdr:nvSpPr>
        <xdr:cNvPr id="203" name="テキスト ボックス 202">
          <a:extLst>
            <a:ext uri="{FF2B5EF4-FFF2-40B4-BE49-F238E27FC236}">
              <a16:creationId xmlns:a16="http://schemas.microsoft.com/office/drawing/2014/main" id="{2D9CF852-1EED-4DDF-8F47-D0B3A5401544}"/>
            </a:ext>
          </a:extLst>
        </xdr:cNvPr>
        <xdr:cNvSpPr txBox="1"/>
      </xdr:nvSpPr>
      <xdr:spPr>
        <a:xfrm>
          <a:off x="25388495" y="69726138"/>
          <a:ext cx="1474468"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9/17</a:t>
          </a:r>
          <a:endParaRPr kumimoji="1" lang="ja-JP" altLang="en-US" sz="1600" b="1"/>
        </a:p>
      </xdr:txBody>
    </xdr:sp>
    <xdr:clientData/>
  </xdr:twoCellAnchor>
  <xdr:twoCellAnchor>
    <xdr:from>
      <xdr:col>96</xdr:col>
      <xdr:colOff>67235</xdr:colOff>
      <xdr:row>174</xdr:row>
      <xdr:rowOff>33618</xdr:rowOff>
    </xdr:from>
    <xdr:to>
      <xdr:col>97</xdr:col>
      <xdr:colOff>733983</xdr:colOff>
      <xdr:row>176</xdr:row>
      <xdr:rowOff>109657</xdr:rowOff>
    </xdr:to>
    <xdr:sp macro="" textlink="">
      <xdr:nvSpPr>
        <xdr:cNvPr id="204" name="テキスト ボックス 203">
          <a:extLst>
            <a:ext uri="{FF2B5EF4-FFF2-40B4-BE49-F238E27FC236}">
              <a16:creationId xmlns:a16="http://schemas.microsoft.com/office/drawing/2014/main" id="{68A3FFA6-FBD2-4DDB-9A64-C5384E50C2EB}"/>
            </a:ext>
          </a:extLst>
        </xdr:cNvPr>
        <xdr:cNvSpPr txBox="1"/>
      </xdr:nvSpPr>
      <xdr:spPr>
        <a:xfrm>
          <a:off x="28619375" y="69726138"/>
          <a:ext cx="1474468"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12/1</a:t>
          </a:r>
          <a:endParaRPr kumimoji="1" lang="ja-JP" altLang="en-US" sz="1600" b="1"/>
        </a:p>
      </xdr:txBody>
    </xdr:sp>
    <xdr:clientData/>
  </xdr:twoCellAnchor>
  <xdr:twoCellAnchor>
    <xdr:from>
      <xdr:col>92</xdr:col>
      <xdr:colOff>95250</xdr:colOff>
      <xdr:row>165</xdr:row>
      <xdr:rowOff>209712</xdr:rowOff>
    </xdr:from>
    <xdr:to>
      <xdr:col>93</xdr:col>
      <xdr:colOff>761999</xdr:colOff>
      <xdr:row>167</xdr:row>
      <xdr:rowOff>285750</xdr:rowOff>
    </xdr:to>
    <xdr:sp macro="" textlink="">
      <xdr:nvSpPr>
        <xdr:cNvPr id="205" name="テキスト ボックス 204">
          <a:extLst>
            <a:ext uri="{FF2B5EF4-FFF2-40B4-BE49-F238E27FC236}">
              <a16:creationId xmlns:a16="http://schemas.microsoft.com/office/drawing/2014/main" id="{6BAD3AF7-58DF-4689-B4F8-5FA916833D83}"/>
            </a:ext>
          </a:extLst>
        </xdr:cNvPr>
        <xdr:cNvSpPr txBox="1"/>
      </xdr:nvSpPr>
      <xdr:spPr>
        <a:xfrm>
          <a:off x="25416510" y="73399812"/>
          <a:ext cx="1474469" cy="853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10/2</a:t>
          </a:r>
          <a:endParaRPr kumimoji="1" lang="ja-JP" altLang="en-US" sz="1600" b="1"/>
        </a:p>
      </xdr:txBody>
    </xdr:sp>
    <xdr:clientData/>
  </xdr:twoCellAnchor>
  <xdr:twoCellAnchor>
    <xdr:from>
      <xdr:col>92</xdr:col>
      <xdr:colOff>68036</xdr:colOff>
      <xdr:row>112</xdr:row>
      <xdr:rowOff>385802</xdr:rowOff>
    </xdr:from>
    <xdr:to>
      <xdr:col>93</xdr:col>
      <xdr:colOff>734788</xdr:colOff>
      <xdr:row>114</xdr:row>
      <xdr:rowOff>317396</xdr:rowOff>
    </xdr:to>
    <xdr:sp macro="" textlink="">
      <xdr:nvSpPr>
        <xdr:cNvPr id="206" name="テキスト ボックス 205">
          <a:extLst>
            <a:ext uri="{FF2B5EF4-FFF2-40B4-BE49-F238E27FC236}">
              <a16:creationId xmlns:a16="http://schemas.microsoft.com/office/drawing/2014/main" id="{D5B3FA63-9B78-4C73-B7EE-FFC6DAFD7770}"/>
            </a:ext>
          </a:extLst>
        </xdr:cNvPr>
        <xdr:cNvSpPr txBox="1"/>
      </xdr:nvSpPr>
      <xdr:spPr>
        <a:xfrm>
          <a:off x="25389296" y="89120702"/>
          <a:ext cx="1474472" cy="708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9/22</a:t>
          </a:r>
        </a:p>
      </xdr:txBody>
    </xdr:sp>
    <xdr:clientData/>
  </xdr:twoCellAnchor>
  <xdr:twoCellAnchor>
    <xdr:from>
      <xdr:col>86</xdr:col>
      <xdr:colOff>0</xdr:colOff>
      <xdr:row>81</xdr:row>
      <xdr:rowOff>65315</xdr:rowOff>
    </xdr:from>
    <xdr:to>
      <xdr:col>87</xdr:col>
      <xdr:colOff>721176</xdr:colOff>
      <xdr:row>83</xdr:row>
      <xdr:rowOff>301658</xdr:rowOff>
    </xdr:to>
    <xdr:sp macro="" textlink="">
      <xdr:nvSpPr>
        <xdr:cNvPr id="207" name="テキスト ボックス 206">
          <a:extLst>
            <a:ext uri="{FF2B5EF4-FFF2-40B4-BE49-F238E27FC236}">
              <a16:creationId xmlns:a16="http://schemas.microsoft.com/office/drawing/2014/main" id="{9BE4ED54-4884-415B-BE68-8426A115244E}"/>
            </a:ext>
          </a:extLst>
        </xdr:cNvPr>
        <xdr:cNvSpPr txBox="1"/>
      </xdr:nvSpPr>
      <xdr:spPr>
        <a:xfrm>
          <a:off x="20474940" y="39834095"/>
          <a:ext cx="1528896" cy="101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92</xdr:col>
      <xdr:colOff>76200</xdr:colOff>
      <xdr:row>159</xdr:row>
      <xdr:rowOff>54428</xdr:rowOff>
    </xdr:from>
    <xdr:to>
      <xdr:col>93</xdr:col>
      <xdr:colOff>797377</xdr:colOff>
      <xdr:row>161</xdr:row>
      <xdr:rowOff>288050</xdr:rowOff>
    </xdr:to>
    <xdr:sp macro="" textlink="">
      <xdr:nvSpPr>
        <xdr:cNvPr id="208" name="テキスト ボックス 207">
          <a:extLst>
            <a:ext uri="{FF2B5EF4-FFF2-40B4-BE49-F238E27FC236}">
              <a16:creationId xmlns:a16="http://schemas.microsoft.com/office/drawing/2014/main" id="{2D0E0767-D5E0-4887-B1C5-3005F3425C96}"/>
            </a:ext>
          </a:extLst>
        </xdr:cNvPr>
        <xdr:cNvSpPr txBox="1"/>
      </xdr:nvSpPr>
      <xdr:spPr>
        <a:xfrm>
          <a:off x="25397460" y="48372848"/>
          <a:ext cx="1528897" cy="10108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10/1</a:t>
          </a:r>
        </a:p>
      </xdr:txBody>
    </xdr:sp>
    <xdr:clientData/>
  </xdr:twoCellAnchor>
  <xdr:twoCellAnchor>
    <xdr:from>
      <xdr:col>94</xdr:col>
      <xdr:colOff>65315</xdr:colOff>
      <xdr:row>55</xdr:row>
      <xdr:rowOff>97972</xdr:rowOff>
    </xdr:from>
    <xdr:to>
      <xdr:col>95</xdr:col>
      <xdr:colOff>785210</xdr:colOff>
      <xdr:row>57</xdr:row>
      <xdr:rowOff>334316</xdr:rowOff>
    </xdr:to>
    <xdr:sp macro="" textlink="">
      <xdr:nvSpPr>
        <xdr:cNvPr id="209" name="テキスト ボックス 208">
          <a:extLst>
            <a:ext uri="{FF2B5EF4-FFF2-40B4-BE49-F238E27FC236}">
              <a16:creationId xmlns:a16="http://schemas.microsoft.com/office/drawing/2014/main" id="{41FB890C-0842-4817-BEC4-973E321BFBDA}"/>
            </a:ext>
          </a:extLst>
        </xdr:cNvPr>
        <xdr:cNvSpPr txBox="1"/>
      </xdr:nvSpPr>
      <xdr:spPr>
        <a:xfrm>
          <a:off x="27002015" y="57743272"/>
          <a:ext cx="1527615"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11/2</a:t>
          </a:r>
        </a:p>
      </xdr:txBody>
    </xdr:sp>
    <xdr:clientData/>
  </xdr:twoCellAnchor>
  <xdr:twoCellAnchor>
    <xdr:from>
      <xdr:col>98</xdr:col>
      <xdr:colOff>76200</xdr:colOff>
      <xdr:row>55</xdr:row>
      <xdr:rowOff>10886</xdr:rowOff>
    </xdr:from>
    <xdr:to>
      <xdr:col>99</xdr:col>
      <xdr:colOff>796095</xdr:colOff>
      <xdr:row>57</xdr:row>
      <xdr:rowOff>247230</xdr:rowOff>
    </xdr:to>
    <xdr:sp macro="" textlink="">
      <xdr:nvSpPr>
        <xdr:cNvPr id="210" name="テキスト ボックス 209">
          <a:extLst>
            <a:ext uri="{FF2B5EF4-FFF2-40B4-BE49-F238E27FC236}">
              <a16:creationId xmlns:a16="http://schemas.microsoft.com/office/drawing/2014/main" id="{0A891F7A-6E69-4F28-B787-B16D605AF8D5}"/>
            </a:ext>
          </a:extLst>
        </xdr:cNvPr>
        <xdr:cNvSpPr txBox="1"/>
      </xdr:nvSpPr>
      <xdr:spPr>
        <a:xfrm>
          <a:off x="30243780" y="57656186"/>
          <a:ext cx="1527615" cy="101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1/4</a:t>
          </a:r>
        </a:p>
      </xdr:txBody>
    </xdr:sp>
    <xdr:clientData/>
  </xdr:twoCellAnchor>
  <xdr:twoCellAnchor>
    <xdr:from>
      <xdr:col>94</xdr:col>
      <xdr:colOff>81816</xdr:colOff>
      <xdr:row>17</xdr:row>
      <xdr:rowOff>184067</xdr:rowOff>
    </xdr:from>
    <xdr:to>
      <xdr:col>95</xdr:col>
      <xdr:colOff>802992</xdr:colOff>
      <xdr:row>20</xdr:row>
      <xdr:rowOff>30924</xdr:rowOff>
    </xdr:to>
    <xdr:sp macro="" textlink="">
      <xdr:nvSpPr>
        <xdr:cNvPr id="211" name="テキスト ボックス 210">
          <a:extLst>
            <a:ext uri="{FF2B5EF4-FFF2-40B4-BE49-F238E27FC236}">
              <a16:creationId xmlns:a16="http://schemas.microsoft.com/office/drawing/2014/main" id="{37179A50-2519-406E-B8F7-5E49A4856D19}"/>
            </a:ext>
          </a:extLst>
        </xdr:cNvPr>
        <xdr:cNvSpPr txBox="1"/>
      </xdr:nvSpPr>
      <xdr:spPr>
        <a:xfrm>
          <a:off x="27018516" y="6142907"/>
          <a:ext cx="1528896" cy="1012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11/2</a:t>
          </a:r>
        </a:p>
      </xdr:txBody>
    </xdr:sp>
    <xdr:clientData/>
  </xdr:twoCellAnchor>
  <xdr:twoCellAnchor>
    <xdr:from>
      <xdr:col>84</xdr:col>
      <xdr:colOff>54429</xdr:colOff>
      <xdr:row>16</xdr:row>
      <xdr:rowOff>380999</xdr:rowOff>
    </xdr:from>
    <xdr:to>
      <xdr:col>85</xdr:col>
      <xdr:colOff>775605</xdr:colOff>
      <xdr:row>19</xdr:row>
      <xdr:rowOff>227856</xdr:rowOff>
    </xdr:to>
    <xdr:sp macro="" textlink="">
      <xdr:nvSpPr>
        <xdr:cNvPr id="212" name="テキスト ボックス 211">
          <a:extLst>
            <a:ext uri="{FF2B5EF4-FFF2-40B4-BE49-F238E27FC236}">
              <a16:creationId xmlns:a16="http://schemas.microsoft.com/office/drawing/2014/main" id="{A8C69881-6DC7-4E25-BE47-92262838BB9B}"/>
            </a:ext>
          </a:extLst>
        </xdr:cNvPr>
        <xdr:cNvSpPr txBox="1"/>
      </xdr:nvSpPr>
      <xdr:spPr>
        <a:xfrm>
          <a:off x="20474940" y="5951219"/>
          <a:ext cx="0" cy="1012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94</xdr:col>
      <xdr:colOff>76200</xdr:colOff>
      <xdr:row>68</xdr:row>
      <xdr:rowOff>152399</xdr:rowOff>
    </xdr:from>
    <xdr:to>
      <xdr:col>95</xdr:col>
      <xdr:colOff>797378</xdr:colOff>
      <xdr:row>71</xdr:row>
      <xdr:rowOff>1657</xdr:rowOff>
    </xdr:to>
    <xdr:sp macro="" textlink="">
      <xdr:nvSpPr>
        <xdr:cNvPr id="213" name="テキスト ボックス 212">
          <a:extLst>
            <a:ext uri="{FF2B5EF4-FFF2-40B4-BE49-F238E27FC236}">
              <a16:creationId xmlns:a16="http://schemas.microsoft.com/office/drawing/2014/main" id="{3E6BB2CE-5776-458A-968C-72C9AF732400}"/>
            </a:ext>
          </a:extLst>
        </xdr:cNvPr>
        <xdr:cNvSpPr txBox="1"/>
      </xdr:nvSpPr>
      <xdr:spPr>
        <a:xfrm>
          <a:off x="27012900" y="15438119"/>
          <a:ext cx="1528898" cy="1015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t>納期予定</a:t>
          </a:r>
          <a:endParaRPr kumimoji="1" lang="en-US" altLang="ja-JP" sz="1600" b="1" u="none"/>
        </a:p>
        <a:p>
          <a:pPr algn="ctr"/>
          <a:r>
            <a:rPr kumimoji="1" lang="en-US" altLang="ja-JP" sz="1600" b="1"/>
            <a:t>10/20</a:t>
          </a:r>
        </a:p>
      </xdr:txBody>
    </xdr:sp>
    <xdr:clientData/>
  </xdr:twoCellAnchor>
  <xdr:twoCellAnchor>
    <xdr:from>
      <xdr:col>94</xdr:col>
      <xdr:colOff>87086</xdr:colOff>
      <xdr:row>130</xdr:row>
      <xdr:rowOff>337458</xdr:rowOff>
    </xdr:from>
    <xdr:to>
      <xdr:col>96</xdr:col>
      <xdr:colOff>5191</xdr:colOff>
      <xdr:row>133</xdr:row>
      <xdr:rowOff>183995</xdr:rowOff>
    </xdr:to>
    <xdr:sp macro="" textlink="">
      <xdr:nvSpPr>
        <xdr:cNvPr id="214" name="テキスト ボックス 213">
          <a:extLst>
            <a:ext uri="{FF2B5EF4-FFF2-40B4-BE49-F238E27FC236}">
              <a16:creationId xmlns:a16="http://schemas.microsoft.com/office/drawing/2014/main" id="{533C2C49-C175-409B-A06A-A73D6C748E8B}"/>
            </a:ext>
          </a:extLst>
        </xdr:cNvPr>
        <xdr:cNvSpPr txBox="1"/>
      </xdr:nvSpPr>
      <xdr:spPr>
        <a:xfrm>
          <a:off x="27023786" y="24172818"/>
          <a:ext cx="1533545" cy="10123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11/2</a:t>
          </a:r>
        </a:p>
      </xdr:txBody>
    </xdr:sp>
    <xdr:clientData/>
  </xdr:twoCellAnchor>
  <xdr:twoCellAnchor>
    <xdr:from>
      <xdr:col>94</xdr:col>
      <xdr:colOff>54429</xdr:colOff>
      <xdr:row>30</xdr:row>
      <xdr:rowOff>283029</xdr:rowOff>
    </xdr:from>
    <xdr:to>
      <xdr:col>95</xdr:col>
      <xdr:colOff>775606</xdr:colOff>
      <xdr:row>33</xdr:row>
      <xdr:rowOff>127166</xdr:rowOff>
    </xdr:to>
    <xdr:sp macro="" textlink="">
      <xdr:nvSpPr>
        <xdr:cNvPr id="215" name="テキスト ボックス 214">
          <a:extLst>
            <a:ext uri="{FF2B5EF4-FFF2-40B4-BE49-F238E27FC236}">
              <a16:creationId xmlns:a16="http://schemas.microsoft.com/office/drawing/2014/main" id="{777ADC35-127E-4D2D-A34C-3D405DBE497C}"/>
            </a:ext>
          </a:extLst>
        </xdr:cNvPr>
        <xdr:cNvSpPr txBox="1"/>
      </xdr:nvSpPr>
      <xdr:spPr>
        <a:xfrm>
          <a:off x="26991129" y="28393209"/>
          <a:ext cx="1528897"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11/2</a:t>
          </a:r>
        </a:p>
      </xdr:txBody>
    </xdr:sp>
    <xdr:clientData/>
  </xdr:twoCellAnchor>
  <xdr:twoCellAnchor>
    <xdr:from>
      <xdr:col>96</xdr:col>
      <xdr:colOff>21772</xdr:colOff>
      <xdr:row>30</xdr:row>
      <xdr:rowOff>293914</xdr:rowOff>
    </xdr:from>
    <xdr:to>
      <xdr:col>97</xdr:col>
      <xdr:colOff>742950</xdr:colOff>
      <xdr:row>33</xdr:row>
      <xdr:rowOff>138051</xdr:rowOff>
    </xdr:to>
    <xdr:sp macro="" textlink="">
      <xdr:nvSpPr>
        <xdr:cNvPr id="216" name="テキスト ボックス 215">
          <a:extLst>
            <a:ext uri="{FF2B5EF4-FFF2-40B4-BE49-F238E27FC236}">
              <a16:creationId xmlns:a16="http://schemas.microsoft.com/office/drawing/2014/main" id="{AC03C627-AB85-4DBD-8E2E-8F68E376D744}"/>
            </a:ext>
          </a:extLst>
        </xdr:cNvPr>
        <xdr:cNvSpPr txBox="1"/>
      </xdr:nvSpPr>
      <xdr:spPr>
        <a:xfrm>
          <a:off x="28573912" y="28404094"/>
          <a:ext cx="1528898" cy="1009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12/1</a:t>
          </a:r>
        </a:p>
      </xdr:txBody>
    </xdr:sp>
    <xdr:clientData/>
  </xdr:twoCellAnchor>
  <xdr:twoCellAnchor>
    <xdr:from>
      <xdr:col>94</xdr:col>
      <xdr:colOff>152400</xdr:colOff>
      <xdr:row>216</xdr:row>
      <xdr:rowOff>261257</xdr:rowOff>
    </xdr:from>
    <xdr:to>
      <xdr:col>96</xdr:col>
      <xdr:colOff>13606</xdr:colOff>
      <xdr:row>218</xdr:row>
      <xdr:rowOff>337296</xdr:rowOff>
    </xdr:to>
    <xdr:sp macro="" textlink="">
      <xdr:nvSpPr>
        <xdr:cNvPr id="217" name="テキスト ボックス 216">
          <a:extLst>
            <a:ext uri="{FF2B5EF4-FFF2-40B4-BE49-F238E27FC236}">
              <a16:creationId xmlns:a16="http://schemas.microsoft.com/office/drawing/2014/main" id="{DE800A03-F6C0-4730-AAEB-8571A1C78197}"/>
            </a:ext>
          </a:extLst>
        </xdr:cNvPr>
        <xdr:cNvSpPr txBox="1"/>
      </xdr:nvSpPr>
      <xdr:spPr>
        <a:xfrm>
          <a:off x="27089100" y="77726177"/>
          <a:ext cx="1476646" cy="853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11/2</a:t>
          </a:r>
          <a:endParaRPr kumimoji="1" lang="ja-JP" altLang="en-US" sz="1600" b="1"/>
        </a:p>
      </xdr:txBody>
    </xdr:sp>
    <xdr:clientData/>
  </xdr:twoCellAnchor>
  <xdr:twoCellAnchor>
    <xdr:from>
      <xdr:col>84</xdr:col>
      <xdr:colOff>119743</xdr:colOff>
      <xdr:row>112</xdr:row>
      <xdr:rowOff>381000</xdr:rowOff>
    </xdr:from>
    <xdr:to>
      <xdr:col>85</xdr:col>
      <xdr:colOff>775610</xdr:colOff>
      <xdr:row>114</xdr:row>
      <xdr:rowOff>315314</xdr:rowOff>
    </xdr:to>
    <xdr:sp macro="" textlink="">
      <xdr:nvSpPr>
        <xdr:cNvPr id="218" name="テキスト ボックス 217">
          <a:extLst>
            <a:ext uri="{FF2B5EF4-FFF2-40B4-BE49-F238E27FC236}">
              <a16:creationId xmlns:a16="http://schemas.microsoft.com/office/drawing/2014/main" id="{9AD7BBE3-3E9C-4F04-8EAE-CF5CA723D81D}"/>
            </a:ext>
          </a:extLst>
        </xdr:cNvPr>
        <xdr:cNvSpPr txBox="1"/>
      </xdr:nvSpPr>
      <xdr:spPr>
        <a:xfrm>
          <a:off x="20474940" y="89115900"/>
          <a:ext cx="0" cy="7115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86</xdr:col>
      <xdr:colOff>65314</xdr:colOff>
      <xdr:row>112</xdr:row>
      <xdr:rowOff>370115</xdr:rowOff>
    </xdr:from>
    <xdr:to>
      <xdr:col>87</xdr:col>
      <xdr:colOff>721181</xdr:colOff>
      <xdr:row>114</xdr:row>
      <xdr:rowOff>304429</xdr:rowOff>
    </xdr:to>
    <xdr:sp macro="" textlink="">
      <xdr:nvSpPr>
        <xdr:cNvPr id="219" name="テキスト ボックス 218">
          <a:extLst>
            <a:ext uri="{FF2B5EF4-FFF2-40B4-BE49-F238E27FC236}">
              <a16:creationId xmlns:a16="http://schemas.microsoft.com/office/drawing/2014/main" id="{C88A166B-F6B3-44CD-AB9E-E67B8D6B9DF4}"/>
            </a:ext>
          </a:extLst>
        </xdr:cNvPr>
        <xdr:cNvSpPr txBox="1"/>
      </xdr:nvSpPr>
      <xdr:spPr>
        <a:xfrm>
          <a:off x="20540254" y="89105015"/>
          <a:ext cx="1463587" cy="7115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84</xdr:col>
      <xdr:colOff>65315</xdr:colOff>
      <xdr:row>92</xdr:row>
      <xdr:rowOff>43543</xdr:rowOff>
    </xdr:from>
    <xdr:to>
      <xdr:col>85</xdr:col>
      <xdr:colOff>786492</xdr:colOff>
      <xdr:row>94</xdr:row>
      <xdr:rowOff>277166</xdr:rowOff>
    </xdr:to>
    <xdr:sp macro="" textlink="">
      <xdr:nvSpPr>
        <xdr:cNvPr id="220" name="テキスト ボックス 219">
          <a:extLst>
            <a:ext uri="{FF2B5EF4-FFF2-40B4-BE49-F238E27FC236}">
              <a16:creationId xmlns:a16="http://schemas.microsoft.com/office/drawing/2014/main" id="{6F93F5B9-ABE0-4452-BF52-C88BEFAF4075}"/>
            </a:ext>
          </a:extLst>
        </xdr:cNvPr>
        <xdr:cNvSpPr txBox="1"/>
      </xdr:nvSpPr>
      <xdr:spPr>
        <a:xfrm>
          <a:off x="20474940" y="44087143"/>
          <a:ext cx="0" cy="1010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2</xdr:col>
      <xdr:colOff>151658</xdr:colOff>
      <xdr:row>187</xdr:row>
      <xdr:rowOff>344135</xdr:rowOff>
    </xdr:from>
    <xdr:to>
      <xdr:col>2</xdr:col>
      <xdr:colOff>1525217</xdr:colOff>
      <xdr:row>191</xdr:row>
      <xdr:rowOff>221673</xdr:rowOff>
    </xdr:to>
    <xdr:sp macro="" textlink="">
      <xdr:nvSpPr>
        <xdr:cNvPr id="221" name="テキスト ボックス 220">
          <a:extLst>
            <a:ext uri="{FF2B5EF4-FFF2-40B4-BE49-F238E27FC236}">
              <a16:creationId xmlns:a16="http://schemas.microsoft.com/office/drawing/2014/main" id="{4CA5A890-2306-477A-90EA-59A87181D5C4}"/>
            </a:ext>
          </a:extLst>
        </xdr:cNvPr>
        <xdr:cNvSpPr txBox="1"/>
      </xdr:nvSpPr>
      <xdr:spPr>
        <a:xfrm>
          <a:off x="1523258" y="72235371"/>
          <a:ext cx="1373559" cy="1429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56</xdr:col>
      <xdr:colOff>95250</xdr:colOff>
      <xdr:row>189</xdr:row>
      <xdr:rowOff>204108</xdr:rowOff>
    </xdr:from>
    <xdr:to>
      <xdr:col>57</xdr:col>
      <xdr:colOff>761999</xdr:colOff>
      <xdr:row>190</xdr:row>
      <xdr:rowOff>135701</xdr:rowOff>
    </xdr:to>
    <xdr:sp macro="" textlink="">
      <xdr:nvSpPr>
        <xdr:cNvPr id="222" name="テキスト ボックス 221">
          <a:extLst>
            <a:ext uri="{FF2B5EF4-FFF2-40B4-BE49-F238E27FC236}">
              <a16:creationId xmlns:a16="http://schemas.microsoft.com/office/drawing/2014/main" id="{1349645F-E4C8-4AEC-AFE4-4D51896EAF31}"/>
            </a:ext>
          </a:extLst>
        </xdr:cNvPr>
        <xdr:cNvSpPr txBox="1"/>
      </xdr:nvSpPr>
      <xdr:spPr>
        <a:xfrm>
          <a:off x="20504727" y="67052290"/>
          <a:ext cx="0" cy="707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189</xdr:row>
      <xdr:rowOff>204108</xdr:rowOff>
    </xdr:from>
    <xdr:to>
      <xdr:col>67</xdr:col>
      <xdr:colOff>744681</xdr:colOff>
      <xdr:row>190</xdr:row>
      <xdr:rowOff>212912</xdr:rowOff>
    </xdr:to>
    <xdr:sp macro="" textlink="">
      <xdr:nvSpPr>
        <xdr:cNvPr id="223" name="テキスト ボックス 222">
          <a:extLst>
            <a:ext uri="{FF2B5EF4-FFF2-40B4-BE49-F238E27FC236}">
              <a16:creationId xmlns:a16="http://schemas.microsoft.com/office/drawing/2014/main" id="{D01B84CE-F788-4C14-AA1C-4078E2652595}"/>
            </a:ext>
          </a:extLst>
        </xdr:cNvPr>
        <xdr:cNvSpPr txBox="1"/>
      </xdr:nvSpPr>
      <xdr:spPr>
        <a:xfrm>
          <a:off x="20504727" y="67052290"/>
          <a:ext cx="0" cy="7846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189</xdr:row>
      <xdr:rowOff>215314</xdr:rowOff>
    </xdr:from>
    <xdr:to>
      <xdr:col>69</xdr:col>
      <xdr:colOff>755885</xdr:colOff>
      <xdr:row>190</xdr:row>
      <xdr:rowOff>291353</xdr:rowOff>
    </xdr:to>
    <xdr:sp macro="" textlink="">
      <xdr:nvSpPr>
        <xdr:cNvPr id="224" name="テキスト ボックス 223">
          <a:extLst>
            <a:ext uri="{FF2B5EF4-FFF2-40B4-BE49-F238E27FC236}">
              <a16:creationId xmlns:a16="http://schemas.microsoft.com/office/drawing/2014/main" id="{53D44014-1D6A-4B74-9CDE-B963D18FB9CE}"/>
            </a:ext>
          </a:extLst>
        </xdr:cNvPr>
        <xdr:cNvSpPr txBox="1"/>
      </xdr:nvSpPr>
      <xdr:spPr>
        <a:xfrm>
          <a:off x="20504727" y="67063496"/>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189</xdr:row>
      <xdr:rowOff>215314</xdr:rowOff>
    </xdr:from>
    <xdr:to>
      <xdr:col>77</xdr:col>
      <xdr:colOff>728670</xdr:colOff>
      <xdr:row>190</xdr:row>
      <xdr:rowOff>291353</xdr:rowOff>
    </xdr:to>
    <xdr:sp macro="" textlink="">
      <xdr:nvSpPr>
        <xdr:cNvPr id="225" name="テキスト ボックス 224">
          <a:extLst>
            <a:ext uri="{FF2B5EF4-FFF2-40B4-BE49-F238E27FC236}">
              <a16:creationId xmlns:a16="http://schemas.microsoft.com/office/drawing/2014/main" id="{6728408C-0BDE-41DE-860B-02D8B9A73746}"/>
            </a:ext>
          </a:extLst>
        </xdr:cNvPr>
        <xdr:cNvSpPr txBox="1"/>
      </xdr:nvSpPr>
      <xdr:spPr>
        <a:xfrm>
          <a:off x="20504727" y="67063496"/>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189</xdr:row>
      <xdr:rowOff>92849</xdr:rowOff>
    </xdr:from>
    <xdr:to>
      <xdr:col>81</xdr:col>
      <xdr:colOff>742278</xdr:colOff>
      <xdr:row>190</xdr:row>
      <xdr:rowOff>168888</xdr:rowOff>
    </xdr:to>
    <xdr:sp macro="" textlink="">
      <xdr:nvSpPr>
        <xdr:cNvPr id="226" name="テキスト ボックス 225">
          <a:extLst>
            <a:ext uri="{FF2B5EF4-FFF2-40B4-BE49-F238E27FC236}">
              <a16:creationId xmlns:a16="http://schemas.microsoft.com/office/drawing/2014/main" id="{083F2BA5-834B-4B21-8340-85341AE11048}"/>
            </a:ext>
          </a:extLst>
        </xdr:cNvPr>
        <xdr:cNvSpPr txBox="1"/>
      </xdr:nvSpPr>
      <xdr:spPr>
        <a:xfrm>
          <a:off x="20504727" y="66941031"/>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2</xdr:col>
      <xdr:colOff>96240</xdr:colOff>
      <xdr:row>204</xdr:row>
      <xdr:rowOff>164027</xdr:rowOff>
    </xdr:from>
    <xdr:to>
      <xdr:col>2</xdr:col>
      <xdr:colOff>1469799</xdr:colOff>
      <xdr:row>208</xdr:row>
      <xdr:rowOff>41565</xdr:rowOff>
    </xdr:to>
    <xdr:sp macro="" textlink="">
      <xdr:nvSpPr>
        <xdr:cNvPr id="229" name="テキスト ボックス 228">
          <a:extLst>
            <a:ext uri="{FF2B5EF4-FFF2-40B4-BE49-F238E27FC236}">
              <a16:creationId xmlns:a16="http://schemas.microsoft.com/office/drawing/2014/main" id="{5F06E8B2-689B-4CFC-A11F-44F29E09C3CF}"/>
            </a:ext>
          </a:extLst>
        </xdr:cNvPr>
        <xdr:cNvSpPr txBox="1"/>
      </xdr:nvSpPr>
      <xdr:spPr>
        <a:xfrm>
          <a:off x="1467840" y="78650027"/>
          <a:ext cx="1373559" cy="1429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56</xdr:col>
      <xdr:colOff>95250</xdr:colOff>
      <xdr:row>204</xdr:row>
      <xdr:rowOff>204108</xdr:rowOff>
    </xdr:from>
    <xdr:to>
      <xdr:col>57</xdr:col>
      <xdr:colOff>761999</xdr:colOff>
      <xdr:row>206</xdr:row>
      <xdr:rowOff>135701</xdr:rowOff>
    </xdr:to>
    <xdr:sp macro="" textlink="">
      <xdr:nvSpPr>
        <xdr:cNvPr id="230" name="テキスト ボックス 229">
          <a:extLst>
            <a:ext uri="{FF2B5EF4-FFF2-40B4-BE49-F238E27FC236}">
              <a16:creationId xmlns:a16="http://schemas.microsoft.com/office/drawing/2014/main" id="{8D474315-879F-4AA6-8FF3-4EB312379361}"/>
            </a:ext>
          </a:extLst>
        </xdr:cNvPr>
        <xdr:cNvSpPr txBox="1"/>
      </xdr:nvSpPr>
      <xdr:spPr>
        <a:xfrm>
          <a:off x="20504727" y="71319490"/>
          <a:ext cx="0" cy="707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204</xdr:row>
      <xdr:rowOff>204108</xdr:rowOff>
    </xdr:from>
    <xdr:to>
      <xdr:col>67</xdr:col>
      <xdr:colOff>744681</xdr:colOff>
      <xdr:row>206</xdr:row>
      <xdr:rowOff>212912</xdr:rowOff>
    </xdr:to>
    <xdr:sp macro="" textlink="">
      <xdr:nvSpPr>
        <xdr:cNvPr id="231" name="テキスト ボックス 230">
          <a:extLst>
            <a:ext uri="{FF2B5EF4-FFF2-40B4-BE49-F238E27FC236}">
              <a16:creationId xmlns:a16="http://schemas.microsoft.com/office/drawing/2014/main" id="{8F29FFD1-A901-45AB-B7F3-F22EBF1EA9FC}"/>
            </a:ext>
          </a:extLst>
        </xdr:cNvPr>
        <xdr:cNvSpPr txBox="1"/>
      </xdr:nvSpPr>
      <xdr:spPr>
        <a:xfrm>
          <a:off x="20504727" y="71319490"/>
          <a:ext cx="0" cy="7846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204</xdr:row>
      <xdr:rowOff>215314</xdr:rowOff>
    </xdr:from>
    <xdr:to>
      <xdr:col>69</xdr:col>
      <xdr:colOff>755885</xdr:colOff>
      <xdr:row>206</xdr:row>
      <xdr:rowOff>291353</xdr:rowOff>
    </xdr:to>
    <xdr:sp macro="" textlink="">
      <xdr:nvSpPr>
        <xdr:cNvPr id="232" name="テキスト ボックス 231">
          <a:extLst>
            <a:ext uri="{FF2B5EF4-FFF2-40B4-BE49-F238E27FC236}">
              <a16:creationId xmlns:a16="http://schemas.microsoft.com/office/drawing/2014/main" id="{265ED245-7015-4359-A8C5-18DCAABE3065}"/>
            </a:ext>
          </a:extLst>
        </xdr:cNvPr>
        <xdr:cNvSpPr txBox="1"/>
      </xdr:nvSpPr>
      <xdr:spPr>
        <a:xfrm>
          <a:off x="20504727" y="71330696"/>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204</xdr:row>
      <xdr:rowOff>215314</xdr:rowOff>
    </xdr:from>
    <xdr:to>
      <xdr:col>77</xdr:col>
      <xdr:colOff>728670</xdr:colOff>
      <xdr:row>206</xdr:row>
      <xdr:rowOff>291353</xdr:rowOff>
    </xdr:to>
    <xdr:sp macro="" textlink="">
      <xdr:nvSpPr>
        <xdr:cNvPr id="233" name="テキスト ボックス 232">
          <a:extLst>
            <a:ext uri="{FF2B5EF4-FFF2-40B4-BE49-F238E27FC236}">
              <a16:creationId xmlns:a16="http://schemas.microsoft.com/office/drawing/2014/main" id="{38D702AA-854C-464A-B5ED-4ADCE11EBEDA}"/>
            </a:ext>
          </a:extLst>
        </xdr:cNvPr>
        <xdr:cNvSpPr txBox="1"/>
      </xdr:nvSpPr>
      <xdr:spPr>
        <a:xfrm>
          <a:off x="20504727" y="71330696"/>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204</xdr:row>
      <xdr:rowOff>92849</xdr:rowOff>
    </xdr:from>
    <xdr:to>
      <xdr:col>81</xdr:col>
      <xdr:colOff>742278</xdr:colOff>
      <xdr:row>206</xdr:row>
      <xdr:rowOff>168888</xdr:rowOff>
    </xdr:to>
    <xdr:sp macro="" textlink="">
      <xdr:nvSpPr>
        <xdr:cNvPr id="234" name="テキスト ボックス 233">
          <a:extLst>
            <a:ext uri="{FF2B5EF4-FFF2-40B4-BE49-F238E27FC236}">
              <a16:creationId xmlns:a16="http://schemas.microsoft.com/office/drawing/2014/main" id="{2DAF3B69-6879-44F2-8A5C-66F722546D06}"/>
            </a:ext>
          </a:extLst>
        </xdr:cNvPr>
        <xdr:cNvSpPr txBox="1"/>
      </xdr:nvSpPr>
      <xdr:spPr>
        <a:xfrm>
          <a:off x="20504727" y="71208231"/>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56</xdr:col>
      <xdr:colOff>95250</xdr:colOff>
      <xdr:row>256</xdr:row>
      <xdr:rowOff>204108</xdr:rowOff>
    </xdr:from>
    <xdr:to>
      <xdr:col>57</xdr:col>
      <xdr:colOff>761999</xdr:colOff>
      <xdr:row>257</xdr:row>
      <xdr:rowOff>0</xdr:rowOff>
    </xdr:to>
    <xdr:sp macro="" textlink="">
      <xdr:nvSpPr>
        <xdr:cNvPr id="254" name="テキスト ボックス 253">
          <a:extLst>
            <a:ext uri="{FF2B5EF4-FFF2-40B4-BE49-F238E27FC236}">
              <a16:creationId xmlns:a16="http://schemas.microsoft.com/office/drawing/2014/main" id="{ADB7B70E-5CAC-4C86-B751-5C6EC73C6BAE}"/>
            </a:ext>
          </a:extLst>
        </xdr:cNvPr>
        <xdr:cNvSpPr txBox="1"/>
      </xdr:nvSpPr>
      <xdr:spPr>
        <a:xfrm>
          <a:off x="20504727" y="89164144"/>
          <a:ext cx="0" cy="707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256</xdr:row>
      <xdr:rowOff>204108</xdr:rowOff>
    </xdr:from>
    <xdr:to>
      <xdr:col>67</xdr:col>
      <xdr:colOff>744681</xdr:colOff>
      <xdr:row>257</xdr:row>
      <xdr:rowOff>0</xdr:rowOff>
    </xdr:to>
    <xdr:sp macro="" textlink="">
      <xdr:nvSpPr>
        <xdr:cNvPr id="255" name="テキスト ボックス 254">
          <a:extLst>
            <a:ext uri="{FF2B5EF4-FFF2-40B4-BE49-F238E27FC236}">
              <a16:creationId xmlns:a16="http://schemas.microsoft.com/office/drawing/2014/main" id="{B7BADDC0-DD5E-4110-98EA-CD0D88A97285}"/>
            </a:ext>
          </a:extLst>
        </xdr:cNvPr>
        <xdr:cNvSpPr txBox="1"/>
      </xdr:nvSpPr>
      <xdr:spPr>
        <a:xfrm>
          <a:off x="20504727" y="89164144"/>
          <a:ext cx="0" cy="784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256</xdr:row>
      <xdr:rowOff>215314</xdr:rowOff>
    </xdr:from>
    <xdr:to>
      <xdr:col>69</xdr:col>
      <xdr:colOff>755885</xdr:colOff>
      <xdr:row>257</xdr:row>
      <xdr:rowOff>0</xdr:rowOff>
    </xdr:to>
    <xdr:sp macro="" textlink="">
      <xdr:nvSpPr>
        <xdr:cNvPr id="256" name="テキスト ボックス 255">
          <a:extLst>
            <a:ext uri="{FF2B5EF4-FFF2-40B4-BE49-F238E27FC236}">
              <a16:creationId xmlns:a16="http://schemas.microsoft.com/office/drawing/2014/main" id="{27C32278-5D89-4135-93A5-928C671C3BAD}"/>
            </a:ext>
          </a:extLst>
        </xdr:cNvPr>
        <xdr:cNvSpPr txBox="1"/>
      </xdr:nvSpPr>
      <xdr:spPr>
        <a:xfrm>
          <a:off x="20504727" y="89175350"/>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256</xdr:row>
      <xdr:rowOff>215314</xdr:rowOff>
    </xdr:from>
    <xdr:to>
      <xdr:col>77</xdr:col>
      <xdr:colOff>728670</xdr:colOff>
      <xdr:row>257</xdr:row>
      <xdr:rowOff>0</xdr:rowOff>
    </xdr:to>
    <xdr:sp macro="" textlink="">
      <xdr:nvSpPr>
        <xdr:cNvPr id="257" name="テキスト ボックス 256">
          <a:extLst>
            <a:ext uri="{FF2B5EF4-FFF2-40B4-BE49-F238E27FC236}">
              <a16:creationId xmlns:a16="http://schemas.microsoft.com/office/drawing/2014/main" id="{0D2CCF9F-074D-409D-B43F-16F058101E9D}"/>
            </a:ext>
          </a:extLst>
        </xdr:cNvPr>
        <xdr:cNvSpPr txBox="1"/>
      </xdr:nvSpPr>
      <xdr:spPr>
        <a:xfrm>
          <a:off x="20504727" y="89175350"/>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256</xdr:row>
      <xdr:rowOff>92849</xdr:rowOff>
    </xdr:from>
    <xdr:to>
      <xdr:col>81</xdr:col>
      <xdr:colOff>742278</xdr:colOff>
      <xdr:row>257</xdr:row>
      <xdr:rowOff>0</xdr:rowOff>
    </xdr:to>
    <xdr:sp macro="" textlink="">
      <xdr:nvSpPr>
        <xdr:cNvPr id="258" name="テキスト ボックス 257">
          <a:extLst>
            <a:ext uri="{FF2B5EF4-FFF2-40B4-BE49-F238E27FC236}">
              <a16:creationId xmlns:a16="http://schemas.microsoft.com/office/drawing/2014/main" id="{DD94E04C-B9EF-4A2E-855A-D887AE2C78B4}"/>
            </a:ext>
          </a:extLst>
        </xdr:cNvPr>
        <xdr:cNvSpPr txBox="1"/>
      </xdr:nvSpPr>
      <xdr:spPr>
        <a:xfrm>
          <a:off x="20504727" y="89052885"/>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56</xdr:col>
      <xdr:colOff>95250</xdr:colOff>
      <xdr:row>184</xdr:row>
      <xdr:rowOff>204108</xdr:rowOff>
    </xdr:from>
    <xdr:to>
      <xdr:col>57</xdr:col>
      <xdr:colOff>761999</xdr:colOff>
      <xdr:row>186</xdr:row>
      <xdr:rowOff>135701</xdr:rowOff>
    </xdr:to>
    <xdr:sp macro="" textlink="">
      <xdr:nvSpPr>
        <xdr:cNvPr id="278" name="テキスト ボックス 277">
          <a:extLst>
            <a:ext uri="{FF2B5EF4-FFF2-40B4-BE49-F238E27FC236}">
              <a16:creationId xmlns:a16="http://schemas.microsoft.com/office/drawing/2014/main" id="{A4B0FADD-40F0-44DF-8012-35F052DB9B3F}"/>
            </a:ext>
          </a:extLst>
        </xdr:cNvPr>
        <xdr:cNvSpPr txBox="1"/>
      </xdr:nvSpPr>
      <xdr:spPr>
        <a:xfrm>
          <a:off x="20504727" y="72871199"/>
          <a:ext cx="0" cy="319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184</xdr:row>
      <xdr:rowOff>204108</xdr:rowOff>
    </xdr:from>
    <xdr:to>
      <xdr:col>67</xdr:col>
      <xdr:colOff>744681</xdr:colOff>
      <xdr:row>186</xdr:row>
      <xdr:rowOff>212912</xdr:rowOff>
    </xdr:to>
    <xdr:sp macro="" textlink="">
      <xdr:nvSpPr>
        <xdr:cNvPr id="279" name="テキスト ボックス 278">
          <a:extLst>
            <a:ext uri="{FF2B5EF4-FFF2-40B4-BE49-F238E27FC236}">
              <a16:creationId xmlns:a16="http://schemas.microsoft.com/office/drawing/2014/main" id="{1868B861-DBA6-4D9E-B02F-759D8ED43303}"/>
            </a:ext>
          </a:extLst>
        </xdr:cNvPr>
        <xdr:cNvSpPr txBox="1"/>
      </xdr:nvSpPr>
      <xdr:spPr>
        <a:xfrm>
          <a:off x="20504727" y="72871199"/>
          <a:ext cx="0" cy="396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184</xdr:row>
      <xdr:rowOff>215314</xdr:rowOff>
    </xdr:from>
    <xdr:to>
      <xdr:col>69</xdr:col>
      <xdr:colOff>755885</xdr:colOff>
      <xdr:row>186</xdr:row>
      <xdr:rowOff>291353</xdr:rowOff>
    </xdr:to>
    <xdr:sp macro="" textlink="">
      <xdr:nvSpPr>
        <xdr:cNvPr id="280" name="テキスト ボックス 279">
          <a:extLst>
            <a:ext uri="{FF2B5EF4-FFF2-40B4-BE49-F238E27FC236}">
              <a16:creationId xmlns:a16="http://schemas.microsoft.com/office/drawing/2014/main" id="{B30DEBC2-3A58-45C3-BE6C-C02AF6625AEF}"/>
            </a:ext>
          </a:extLst>
        </xdr:cNvPr>
        <xdr:cNvSpPr txBox="1"/>
      </xdr:nvSpPr>
      <xdr:spPr>
        <a:xfrm>
          <a:off x="20504727" y="72882405"/>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184</xdr:row>
      <xdr:rowOff>215314</xdr:rowOff>
    </xdr:from>
    <xdr:to>
      <xdr:col>77</xdr:col>
      <xdr:colOff>728670</xdr:colOff>
      <xdr:row>186</xdr:row>
      <xdr:rowOff>291353</xdr:rowOff>
    </xdr:to>
    <xdr:sp macro="" textlink="">
      <xdr:nvSpPr>
        <xdr:cNvPr id="281" name="テキスト ボックス 280">
          <a:extLst>
            <a:ext uri="{FF2B5EF4-FFF2-40B4-BE49-F238E27FC236}">
              <a16:creationId xmlns:a16="http://schemas.microsoft.com/office/drawing/2014/main" id="{0DF96CD3-CF88-4FE6-99C4-CDE866390A7F}"/>
            </a:ext>
          </a:extLst>
        </xdr:cNvPr>
        <xdr:cNvSpPr txBox="1"/>
      </xdr:nvSpPr>
      <xdr:spPr>
        <a:xfrm>
          <a:off x="20504727" y="72882405"/>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184</xdr:row>
      <xdr:rowOff>92849</xdr:rowOff>
    </xdr:from>
    <xdr:to>
      <xdr:col>81</xdr:col>
      <xdr:colOff>742278</xdr:colOff>
      <xdr:row>186</xdr:row>
      <xdr:rowOff>168888</xdr:rowOff>
    </xdr:to>
    <xdr:sp macro="" textlink="">
      <xdr:nvSpPr>
        <xdr:cNvPr id="282" name="テキスト ボックス 281">
          <a:extLst>
            <a:ext uri="{FF2B5EF4-FFF2-40B4-BE49-F238E27FC236}">
              <a16:creationId xmlns:a16="http://schemas.microsoft.com/office/drawing/2014/main" id="{00B361B6-CB54-4C62-9D3C-6163D4C85431}"/>
            </a:ext>
          </a:extLst>
        </xdr:cNvPr>
        <xdr:cNvSpPr txBox="1"/>
      </xdr:nvSpPr>
      <xdr:spPr>
        <a:xfrm>
          <a:off x="20504727" y="72759940"/>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2</xdr:col>
      <xdr:colOff>151658</xdr:colOff>
      <xdr:row>229</xdr:row>
      <xdr:rowOff>344135</xdr:rowOff>
    </xdr:from>
    <xdr:to>
      <xdr:col>2</xdr:col>
      <xdr:colOff>1525217</xdr:colOff>
      <xdr:row>233</xdr:row>
      <xdr:rowOff>221673</xdr:rowOff>
    </xdr:to>
    <xdr:sp macro="" textlink="">
      <xdr:nvSpPr>
        <xdr:cNvPr id="285" name="テキスト ボックス 284">
          <a:extLst>
            <a:ext uri="{FF2B5EF4-FFF2-40B4-BE49-F238E27FC236}">
              <a16:creationId xmlns:a16="http://schemas.microsoft.com/office/drawing/2014/main" id="{2774E009-1B87-4BCD-A688-CB7176BA5085}"/>
            </a:ext>
          </a:extLst>
        </xdr:cNvPr>
        <xdr:cNvSpPr txBox="1"/>
      </xdr:nvSpPr>
      <xdr:spPr>
        <a:xfrm>
          <a:off x="1523258" y="72235371"/>
          <a:ext cx="1373559" cy="1429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56</xdr:col>
      <xdr:colOff>95250</xdr:colOff>
      <xdr:row>231</xdr:row>
      <xdr:rowOff>204108</xdr:rowOff>
    </xdr:from>
    <xdr:to>
      <xdr:col>57</xdr:col>
      <xdr:colOff>761999</xdr:colOff>
      <xdr:row>232</xdr:row>
      <xdr:rowOff>135701</xdr:rowOff>
    </xdr:to>
    <xdr:sp macro="" textlink="">
      <xdr:nvSpPr>
        <xdr:cNvPr id="286" name="テキスト ボックス 285">
          <a:extLst>
            <a:ext uri="{FF2B5EF4-FFF2-40B4-BE49-F238E27FC236}">
              <a16:creationId xmlns:a16="http://schemas.microsoft.com/office/drawing/2014/main" id="{C1A33AD8-F36E-464E-B3FF-3D874FC6E789}"/>
            </a:ext>
          </a:extLst>
        </xdr:cNvPr>
        <xdr:cNvSpPr txBox="1"/>
      </xdr:nvSpPr>
      <xdr:spPr>
        <a:xfrm>
          <a:off x="20504727" y="72871199"/>
          <a:ext cx="0" cy="319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231</xdr:row>
      <xdr:rowOff>204108</xdr:rowOff>
    </xdr:from>
    <xdr:to>
      <xdr:col>67</xdr:col>
      <xdr:colOff>744681</xdr:colOff>
      <xdr:row>232</xdr:row>
      <xdr:rowOff>212912</xdr:rowOff>
    </xdr:to>
    <xdr:sp macro="" textlink="">
      <xdr:nvSpPr>
        <xdr:cNvPr id="287" name="テキスト ボックス 286">
          <a:extLst>
            <a:ext uri="{FF2B5EF4-FFF2-40B4-BE49-F238E27FC236}">
              <a16:creationId xmlns:a16="http://schemas.microsoft.com/office/drawing/2014/main" id="{058E4AB3-0498-4ED6-99EE-94B6770D1750}"/>
            </a:ext>
          </a:extLst>
        </xdr:cNvPr>
        <xdr:cNvSpPr txBox="1"/>
      </xdr:nvSpPr>
      <xdr:spPr>
        <a:xfrm>
          <a:off x="20504727" y="72871199"/>
          <a:ext cx="0" cy="396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231</xdr:row>
      <xdr:rowOff>215314</xdr:rowOff>
    </xdr:from>
    <xdr:to>
      <xdr:col>69</xdr:col>
      <xdr:colOff>755885</xdr:colOff>
      <xdr:row>232</xdr:row>
      <xdr:rowOff>291353</xdr:rowOff>
    </xdr:to>
    <xdr:sp macro="" textlink="">
      <xdr:nvSpPr>
        <xdr:cNvPr id="288" name="テキスト ボックス 287">
          <a:extLst>
            <a:ext uri="{FF2B5EF4-FFF2-40B4-BE49-F238E27FC236}">
              <a16:creationId xmlns:a16="http://schemas.microsoft.com/office/drawing/2014/main" id="{52BB8D7C-FBA1-41D5-9DF7-990ECB481F0D}"/>
            </a:ext>
          </a:extLst>
        </xdr:cNvPr>
        <xdr:cNvSpPr txBox="1"/>
      </xdr:nvSpPr>
      <xdr:spPr>
        <a:xfrm>
          <a:off x="20504727" y="72882405"/>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231</xdr:row>
      <xdr:rowOff>215314</xdr:rowOff>
    </xdr:from>
    <xdr:to>
      <xdr:col>77</xdr:col>
      <xdr:colOff>728670</xdr:colOff>
      <xdr:row>232</xdr:row>
      <xdr:rowOff>291353</xdr:rowOff>
    </xdr:to>
    <xdr:sp macro="" textlink="">
      <xdr:nvSpPr>
        <xdr:cNvPr id="289" name="テキスト ボックス 288">
          <a:extLst>
            <a:ext uri="{FF2B5EF4-FFF2-40B4-BE49-F238E27FC236}">
              <a16:creationId xmlns:a16="http://schemas.microsoft.com/office/drawing/2014/main" id="{E90A562A-FE67-4945-9009-9D0EEE38CFA3}"/>
            </a:ext>
          </a:extLst>
        </xdr:cNvPr>
        <xdr:cNvSpPr txBox="1"/>
      </xdr:nvSpPr>
      <xdr:spPr>
        <a:xfrm>
          <a:off x="20504727" y="72882405"/>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231</xdr:row>
      <xdr:rowOff>92849</xdr:rowOff>
    </xdr:from>
    <xdr:to>
      <xdr:col>81</xdr:col>
      <xdr:colOff>742278</xdr:colOff>
      <xdr:row>232</xdr:row>
      <xdr:rowOff>168888</xdr:rowOff>
    </xdr:to>
    <xdr:sp macro="" textlink="">
      <xdr:nvSpPr>
        <xdr:cNvPr id="290" name="テキスト ボックス 289">
          <a:extLst>
            <a:ext uri="{FF2B5EF4-FFF2-40B4-BE49-F238E27FC236}">
              <a16:creationId xmlns:a16="http://schemas.microsoft.com/office/drawing/2014/main" id="{EF981E37-5207-4BBE-84D3-01EF9AB77F1F}"/>
            </a:ext>
          </a:extLst>
        </xdr:cNvPr>
        <xdr:cNvSpPr txBox="1"/>
      </xdr:nvSpPr>
      <xdr:spPr>
        <a:xfrm>
          <a:off x="20504727" y="72759940"/>
          <a:ext cx="0" cy="46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56</xdr:col>
      <xdr:colOff>95250</xdr:colOff>
      <xdr:row>226</xdr:row>
      <xdr:rowOff>204108</xdr:rowOff>
    </xdr:from>
    <xdr:to>
      <xdr:col>57</xdr:col>
      <xdr:colOff>761999</xdr:colOff>
      <xdr:row>228</xdr:row>
      <xdr:rowOff>135701</xdr:rowOff>
    </xdr:to>
    <xdr:sp macro="" textlink="">
      <xdr:nvSpPr>
        <xdr:cNvPr id="291" name="テキスト ボックス 290">
          <a:extLst>
            <a:ext uri="{FF2B5EF4-FFF2-40B4-BE49-F238E27FC236}">
              <a16:creationId xmlns:a16="http://schemas.microsoft.com/office/drawing/2014/main" id="{BFFD6D02-416E-48A4-AAD3-5318BEDE4D12}"/>
            </a:ext>
          </a:extLst>
        </xdr:cNvPr>
        <xdr:cNvSpPr txBox="1"/>
      </xdr:nvSpPr>
      <xdr:spPr>
        <a:xfrm>
          <a:off x="20504727" y="70931563"/>
          <a:ext cx="0" cy="707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226</xdr:row>
      <xdr:rowOff>204108</xdr:rowOff>
    </xdr:from>
    <xdr:to>
      <xdr:col>67</xdr:col>
      <xdr:colOff>744681</xdr:colOff>
      <xdr:row>228</xdr:row>
      <xdr:rowOff>212912</xdr:rowOff>
    </xdr:to>
    <xdr:sp macro="" textlink="">
      <xdr:nvSpPr>
        <xdr:cNvPr id="292" name="テキスト ボックス 291">
          <a:extLst>
            <a:ext uri="{FF2B5EF4-FFF2-40B4-BE49-F238E27FC236}">
              <a16:creationId xmlns:a16="http://schemas.microsoft.com/office/drawing/2014/main" id="{14A47A94-E366-42E9-9BD1-55053DDC868E}"/>
            </a:ext>
          </a:extLst>
        </xdr:cNvPr>
        <xdr:cNvSpPr txBox="1"/>
      </xdr:nvSpPr>
      <xdr:spPr>
        <a:xfrm>
          <a:off x="20504727" y="70931563"/>
          <a:ext cx="0" cy="7846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226</xdr:row>
      <xdr:rowOff>215314</xdr:rowOff>
    </xdr:from>
    <xdr:to>
      <xdr:col>69</xdr:col>
      <xdr:colOff>755885</xdr:colOff>
      <xdr:row>228</xdr:row>
      <xdr:rowOff>291353</xdr:rowOff>
    </xdr:to>
    <xdr:sp macro="" textlink="">
      <xdr:nvSpPr>
        <xdr:cNvPr id="293" name="テキスト ボックス 292">
          <a:extLst>
            <a:ext uri="{FF2B5EF4-FFF2-40B4-BE49-F238E27FC236}">
              <a16:creationId xmlns:a16="http://schemas.microsoft.com/office/drawing/2014/main" id="{9E34F8DF-D545-44DC-97D5-3E6ADDBB176B}"/>
            </a:ext>
          </a:extLst>
        </xdr:cNvPr>
        <xdr:cNvSpPr txBox="1"/>
      </xdr:nvSpPr>
      <xdr:spPr>
        <a:xfrm>
          <a:off x="20504727" y="70942769"/>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226</xdr:row>
      <xdr:rowOff>215314</xdr:rowOff>
    </xdr:from>
    <xdr:to>
      <xdr:col>77</xdr:col>
      <xdr:colOff>728670</xdr:colOff>
      <xdr:row>228</xdr:row>
      <xdr:rowOff>291353</xdr:rowOff>
    </xdr:to>
    <xdr:sp macro="" textlink="">
      <xdr:nvSpPr>
        <xdr:cNvPr id="294" name="テキスト ボックス 293">
          <a:extLst>
            <a:ext uri="{FF2B5EF4-FFF2-40B4-BE49-F238E27FC236}">
              <a16:creationId xmlns:a16="http://schemas.microsoft.com/office/drawing/2014/main" id="{D9742421-8CB1-4A8F-9155-167B6B606265}"/>
            </a:ext>
          </a:extLst>
        </xdr:cNvPr>
        <xdr:cNvSpPr txBox="1"/>
      </xdr:nvSpPr>
      <xdr:spPr>
        <a:xfrm>
          <a:off x="20504727" y="70942769"/>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226</xdr:row>
      <xdr:rowOff>92849</xdr:rowOff>
    </xdr:from>
    <xdr:to>
      <xdr:col>81</xdr:col>
      <xdr:colOff>742278</xdr:colOff>
      <xdr:row>228</xdr:row>
      <xdr:rowOff>168888</xdr:rowOff>
    </xdr:to>
    <xdr:sp macro="" textlink="">
      <xdr:nvSpPr>
        <xdr:cNvPr id="295" name="テキスト ボックス 294">
          <a:extLst>
            <a:ext uri="{FF2B5EF4-FFF2-40B4-BE49-F238E27FC236}">
              <a16:creationId xmlns:a16="http://schemas.microsoft.com/office/drawing/2014/main" id="{5269F9E2-D5C0-4115-8B4C-34424C9512B2}"/>
            </a:ext>
          </a:extLst>
        </xdr:cNvPr>
        <xdr:cNvSpPr txBox="1"/>
      </xdr:nvSpPr>
      <xdr:spPr>
        <a:xfrm>
          <a:off x="20504727" y="70820304"/>
          <a:ext cx="0" cy="85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2</xdr:col>
      <xdr:colOff>96240</xdr:colOff>
      <xdr:row>246</xdr:row>
      <xdr:rowOff>164027</xdr:rowOff>
    </xdr:from>
    <xdr:to>
      <xdr:col>2</xdr:col>
      <xdr:colOff>1469799</xdr:colOff>
      <xdr:row>250</xdr:row>
      <xdr:rowOff>41565</xdr:rowOff>
    </xdr:to>
    <xdr:sp macro="" textlink="">
      <xdr:nvSpPr>
        <xdr:cNvPr id="296" name="テキスト ボックス 295">
          <a:extLst>
            <a:ext uri="{FF2B5EF4-FFF2-40B4-BE49-F238E27FC236}">
              <a16:creationId xmlns:a16="http://schemas.microsoft.com/office/drawing/2014/main" id="{0B062C40-94AE-4C83-9F60-E9E57898FF91}"/>
            </a:ext>
          </a:extLst>
        </xdr:cNvPr>
        <xdr:cNvSpPr txBox="1"/>
      </xdr:nvSpPr>
      <xdr:spPr>
        <a:xfrm>
          <a:off x="1467840" y="78650027"/>
          <a:ext cx="1373559" cy="1429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56</xdr:col>
      <xdr:colOff>95250</xdr:colOff>
      <xdr:row>246</xdr:row>
      <xdr:rowOff>204108</xdr:rowOff>
    </xdr:from>
    <xdr:to>
      <xdr:col>57</xdr:col>
      <xdr:colOff>761999</xdr:colOff>
      <xdr:row>248</xdr:row>
      <xdr:rowOff>135701</xdr:rowOff>
    </xdr:to>
    <xdr:sp macro="" textlink="">
      <xdr:nvSpPr>
        <xdr:cNvPr id="297" name="テキスト ボックス 296">
          <a:extLst>
            <a:ext uri="{FF2B5EF4-FFF2-40B4-BE49-F238E27FC236}">
              <a16:creationId xmlns:a16="http://schemas.microsoft.com/office/drawing/2014/main" id="{D6F387D4-5B1D-4D79-B878-7EA853CC2873}"/>
            </a:ext>
          </a:extLst>
        </xdr:cNvPr>
        <xdr:cNvSpPr txBox="1"/>
      </xdr:nvSpPr>
      <xdr:spPr>
        <a:xfrm>
          <a:off x="20504727" y="78690108"/>
          <a:ext cx="0" cy="707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246</xdr:row>
      <xdr:rowOff>204108</xdr:rowOff>
    </xdr:from>
    <xdr:to>
      <xdr:col>67</xdr:col>
      <xdr:colOff>744681</xdr:colOff>
      <xdr:row>248</xdr:row>
      <xdr:rowOff>212912</xdr:rowOff>
    </xdr:to>
    <xdr:sp macro="" textlink="">
      <xdr:nvSpPr>
        <xdr:cNvPr id="298" name="テキスト ボックス 297">
          <a:extLst>
            <a:ext uri="{FF2B5EF4-FFF2-40B4-BE49-F238E27FC236}">
              <a16:creationId xmlns:a16="http://schemas.microsoft.com/office/drawing/2014/main" id="{28A08727-AA03-4537-97DF-ED1A2FBAD50A}"/>
            </a:ext>
          </a:extLst>
        </xdr:cNvPr>
        <xdr:cNvSpPr txBox="1"/>
      </xdr:nvSpPr>
      <xdr:spPr>
        <a:xfrm>
          <a:off x="20504727" y="78690108"/>
          <a:ext cx="0" cy="784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246</xdr:row>
      <xdr:rowOff>215314</xdr:rowOff>
    </xdr:from>
    <xdr:to>
      <xdr:col>69</xdr:col>
      <xdr:colOff>755885</xdr:colOff>
      <xdr:row>248</xdr:row>
      <xdr:rowOff>291353</xdr:rowOff>
    </xdr:to>
    <xdr:sp macro="" textlink="">
      <xdr:nvSpPr>
        <xdr:cNvPr id="299" name="テキスト ボックス 298">
          <a:extLst>
            <a:ext uri="{FF2B5EF4-FFF2-40B4-BE49-F238E27FC236}">
              <a16:creationId xmlns:a16="http://schemas.microsoft.com/office/drawing/2014/main" id="{5C3459D5-BF6C-4370-9C13-8C24D5F7B07E}"/>
            </a:ext>
          </a:extLst>
        </xdr:cNvPr>
        <xdr:cNvSpPr txBox="1"/>
      </xdr:nvSpPr>
      <xdr:spPr>
        <a:xfrm>
          <a:off x="20504727" y="78701314"/>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246</xdr:row>
      <xdr:rowOff>215314</xdr:rowOff>
    </xdr:from>
    <xdr:to>
      <xdr:col>77</xdr:col>
      <xdr:colOff>728670</xdr:colOff>
      <xdr:row>248</xdr:row>
      <xdr:rowOff>291353</xdr:rowOff>
    </xdr:to>
    <xdr:sp macro="" textlink="">
      <xdr:nvSpPr>
        <xdr:cNvPr id="300" name="テキスト ボックス 299">
          <a:extLst>
            <a:ext uri="{FF2B5EF4-FFF2-40B4-BE49-F238E27FC236}">
              <a16:creationId xmlns:a16="http://schemas.microsoft.com/office/drawing/2014/main" id="{613D12CB-5D1E-4EF5-B8BD-314FA30E9CFA}"/>
            </a:ext>
          </a:extLst>
        </xdr:cNvPr>
        <xdr:cNvSpPr txBox="1"/>
      </xdr:nvSpPr>
      <xdr:spPr>
        <a:xfrm>
          <a:off x="20504727" y="78701314"/>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246</xdr:row>
      <xdr:rowOff>92849</xdr:rowOff>
    </xdr:from>
    <xdr:to>
      <xdr:col>81</xdr:col>
      <xdr:colOff>742278</xdr:colOff>
      <xdr:row>248</xdr:row>
      <xdr:rowOff>168888</xdr:rowOff>
    </xdr:to>
    <xdr:sp macro="" textlink="">
      <xdr:nvSpPr>
        <xdr:cNvPr id="301" name="テキスト ボックス 300">
          <a:extLst>
            <a:ext uri="{FF2B5EF4-FFF2-40B4-BE49-F238E27FC236}">
              <a16:creationId xmlns:a16="http://schemas.microsoft.com/office/drawing/2014/main" id="{4E244321-5470-47F7-A373-24FE1B520383}"/>
            </a:ext>
          </a:extLst>
        </xdr:cNvPr>
        <xdr:cNvSpPr txBox="1"/>
      </xdr:nvSpPr>
      <xdr:spPr>
        <a:xfrm>
          <a:off x="20504727" y="78578849"/>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2</xdr:col>
      <xdr:colOff>96240</xdr:colOff>
      <xdr:row>204</xdr:row>
      <xdr:rowOff>164027</xdr:rowOff>
    </xdr:from>
    <xdr:to>
      <xdr:col>2</xdr:col>
      <xdr:colOff>1469799</xdr:colOff>
      <xdr:row>208</xdr:row>
      <xdr:rowOff>41566</xdr:rowOff>
    </xdr:to>
    <xdr:sp macro="" textlink="">
      <xdr:nvSpPr>
        <xdr:cNvPr id="302" name="テキスト ボックス 301">
          <a:extLst>
            <a:ext uri="{FF2B5EF4-FFF2-40B4-BE49-F238E27FC236}">
              <a16:creationId xmlns:a16="http://schemas.microsoft.com/office/drawing/2014/main" id="{A637BF8B-8315-4A04-886D-87818AB4877A}"/>
            </a:ext>
          </a:extLst>
        </xdr:cNvPr>
        <xdr:cNvSpPr txBox="1"/>
      </xdr:nvSpPr>
      <xdr:spPr>
        <a:xfrm>
          <a:off x="1467840" y="78650027"/>
          <a:ext cx="1373559" cy="1429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2</xdr:col>
      <xdr:colOff>138545</xdr:colOff>
      <xdr:row>253</xdr:row>
      <xdr:rowOff>83128</xdr:rowOff>
    </xdr:from>
    <xdr:to>
      <xdr:col>2</xdr:col>
      <xdr:colOff>1512104</xdr:colOff>
      <xdr:row>256</xdr:row>
      <xdr:rowOff>348594</xdr:rowOff>
    </xdr:to>
    <xdr:sp macro="" textlink="">
      <xdr:nvSpPr>
        <xdr:cNvPr id="303" name="テキスト ボックス 302">
          <a:extLst>
            <a:ext uri="{FF2B5EF4-FFF2-40B4-BE49-F238E27FC236}">
              <a16:creationId xmlns:a16="http://schemas.microsoft.com/office/drawing/2014/main" id="{23AEB7A4-F3A9-4D78-9593-4272B4958E48}"/>
            </a:ext>
          </a:extLst>
        </xdr:cNvPr>
        <xdr:cNvSpPr txBox="1"/>
      </xdr:nvSpPr>
      <xdr:spPr>
        <a:xfrm>
          <a:off x="1510145" y="97577564"/>
          <a:ext cx="1373559" cy="1429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2</xdr:col>
      <xdr:colOff>151658</xdr:colOff>
      <xdr:row>263</xdr:row>
      <xdr:rowOff>344135</xdr:rowOff>
    </xdr:from>
    <xdr:to>
      <xdr:col>2</xdr:col>
      <xdr:colOff>1525217</xdr:colOff>
      <xdr:row>267</xdr:row>
      <xdr:rowOff>221673</xdr:rowOff>
    </xdr:to>
    <xdr:sp macro="" textlink="">
      <xdr:nvSpPr>
        <xdr:cNvPr id="304" name="テキスト ボックス 303">
          <a:extLst>
            <a:ext uri="{FF2B5EF4-FFF2-40B4-BE49-F238E27FC236}">
              <a16:creationId xmlns:a16="http://schemas.microsoft.com/office/drawing/2014/main" id="{B367378B-6CA4-4076-B386-436FFD40CCB7}"/>
            </a:ext>
          </a:extLst>
        </xdr:cNvPr>
        <xdr:cNvSpPr txBox="1"/>
      </xdr:nvSpPr>
      <xdr:spPr>
        <a:xfrm>
          <a:off x="1523258" y="88528317"/>
          <a:ext cx="1373559" cy="1429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発注ロット</a:t>
          </a:r>
          <a:endParaRPr kumimoji="1" lang="en-US" altLang="ja-JP" sz="1400" b="1" i="0" u="none" strike="noStrike" kern="0" cap="none" spc="0" normalizeH="0" baseline="0" noProof="0">
            <a:ln>
              <a:noFill/>
            </a:ln>
            <a:solidFill>
              <a:srgbClr val="FF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色</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:600</a:t>
          </a:r>
        </a:p>
      </xdr:txBody>
    </xdr:sp>
    <xdr:clientData/>
  </xdr:twoCellAnchor>
  <xdr:twoCellAnchor>
    <xdr:from>
      <xdr:col>56</xdr:col>
      <xdr:colOff>95250</xdr:colOff>
      <xdr:row>265</xdr:row>
      <xdr:rowOff>204108</xdr:rowOff>
    </xdr:from>
    <xdr:to>
      <xdr:col>57</xdr:col>
      <xdr:colOff>761999</xdr:colOff>
      <xdr:row>266</xdr:row>
      <xdr:rowOff>135701</xdr:rowOff>
    </xdr:to>
    <xdr:sp macro="" textlink="">
      <xdr:nvSpPr>
        <xdr:cNvPr id="305" name="テキスト ボックス 304">
          <a:extLst>
            <a:ext uri="{FF2B5EF4-FFF2-40B4-BE49-F238E27FC236}">
              <a16:creationId xmlns:a16="http://schemas.microsoft.com/office/drawing/2014/main" id="{791073B0-0250-43D3-99EC-BF6A23DF847C}"/>
            </a:ext>
          </a:extLst>
        </xdr:cNvPr>
        <xdr:cNvSpPr txBox="1"/>
      </xdr:nvSpPr>
      <xdr:spPr>
        <a:xfrm>
          <a:off x="20504727" y="89164144"/>
          <a:ext cx="0" cy="319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265</xdr:row>
      <xdr:rowOff>204108</xdr:rowOff>
    </xdr:from>
    <xdr:to>
      <xdr:col>67</xdr:col>
      <xdr:colOff>744681</xdr:colOff>
      <xdr:row>266</xdr:row>
      <xdr:rowOff>212912</xdr:rowOff>
    </xdr:to>
    <xdr:sp macro="" textlink="">
      <xdr:nvSpPr>
        <xdr:cNvPr id="306" name="テキスト ボックス 305">
          <a:extLst>
            <a:ext uri="{FF2B5EF4-FFF2-40B4-BE49-F238E27FC236}">
              <a16:creationId xmlns:a16="http://schemas.microsoft.com/office/drawing/2014/main" id="{194DD610-2011-4005-8690-91A773DAF66A}"/>
            </a:ext>
          </a:extLst>
        </xdr:cNvPr>
        <xdr:cNvSpPr txBox="1"/>
      </xdr:nvSpPr>
      <xdr:spPr>
        <a:xfrm>
          <a:off x="20504727" y="89164144"/>
          <a:ext cx="0" cy="396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265</xdr:row>
      <xdr:rowOff>215314</xdr:rowOff>
    </xdr:from>
    <xdr:to>
      <xdr:col>69</xdr:col>
      <xdr:colOff>755885</xdr:colOff>
      <xdr:row>266</xdr:row>
      <xdr:rowOff>291353</xdr:rowOff>
    </xdr:to>
    <xdr:sp macro="" textlink="">
      <xdr:nvSpPr>
        <xdr:cNvPr id="307" name="テキスト ボックス 306">
          <a:extLst>
            <a:ext uri="{FF2B5EF4-FFF2-40B4-BE49-F238E27FC236}">
              <a16:creationId xmlns:a16="http://schemas.microsoft.com/office/drawing/2014/main" id="{B015A07B-D9BF-4FCB-BEC9-7E645124DA98}"/>
            </a:ext>
          </a:extLst>
        </xdr:cNvPr>
        <xdr:cNvSpPr txBox="1"/>
      </xdr:nvSpPr>
      <xdr:spPr>
        <a:xfrm>
          <a:off x="20504727" y="89175350"/>
          <a:ext cx="0" cy="463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265</xdr:row>
      <xdr:rowOff>215314</xdr:rowOff>
    </xdr:from>
    <xdr:to>
      <xdr:col>77</xdr:col>
      <xdr:colOff>728670</xdr:colOff>
      <xdr:row>266</xdr:row>
      <xdr:rowOff>291353</xdr:rowOff>
    </xdr:to>
    <xdr:sp macro="" textlink="">
      <xdr:nvSpPr>
        <xdr:cNvPr id="308" name="テキスト ボックス 307">
          <a:extLst>
            <a:ext uri="{FF2B5EF4-FFF2-40B4-BE49-F238E27FC236}">
              <a16:creationId xmlns:a16="http://schemas.microsoft.com/office/drawing/2014/main" id="{26BE2D7E-71DD-46B4-B5DD-5EEBD34C2A4D}"/>
            </a:ext>
          </a:extLst>
        </xdr:cNvPr>
        <xdr:cNvSpPr txBox="1"/>
      </xdr:nvSpPr>
      <xdr:spPr>
        <a:xfrm>
          <a:off x="20504727" y="89175350"/>
          <a:ext cx="0" cy="463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265</xdr:row>
      <xdr:rowOff>92849</xdr:rowOff>
    </xdr:from>
    <xdr:to>
      <xdr:col>81</xdr:col>
      <xdr:colOff>742278</xdr:colOff>
      <xdr:row>266</xdr:row>
      <xdr:rowOff>168888</xdr:rowOff>
    </xdr:to>
    <xdr:sp macro="" textlink="">
      <xdr:nvSpPr>
        <xdr:cNvPr id="309" name="テキスト ボックス 308">
          <a:extLst>
            <a:ext uri="{FF2B5EF4-FFF2-40B4-BE49-F238E27FC236}">
              <a16:creationId xmlns:a16="http://schemas.microsoft.com/office/drawing/2014/main" id="{BE02F45A-CAE7-4789-9E10-34976A512F93}"/>
            </a:ext>
          </a:extLst>
        </xdr:cNvPr>
        <xdr:cNvSpPr txBox="1"/>
      </xdr:nvSpPr>
      <xdr:spPr>
        <a:xfrm>
          <a:off x="20504727" y="89052885"/>
          <a:ext cx="0" cy="463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56</xdr:col>
      <xdr:colOff>95250</xdr:colOff>
      <xdr:row>260</xdr:row>
      <xdr:rowOff>204108</xdr:rowOff>
    </xdr:from>
    <xdr:to>
      <xdr:col>57</xdr:col>
      <xdr:colOff>761999</xdr:colOff>
      <xdr:row>262</xdr:row>
      <xdr:rowOff>135701</xdr:rowOff>
    </xdr:to>
    <xdr:sp macro="" textlink="">
      <xdr:nvSpPr>
        <xdr:cNvPr id="310" name="テキスト ボックス 309">
          <a:extLst>
            <a:ext uri="{FF2B5EF4-FFF2-40B4-BE49-F238E27FC236}">
              <a16:creationId xmlns:a16="http://schemas.microsoft.com/office/drawing/2014/main" id="{388A775C-3F75-4DAD-9F88-767E42B5B081}"/>
            </a:ext>
          </a:extLst>
        </xdr:cNvPr>
        <xdr:cNvSpPr txBox="1"/>
      </xdr:nvSpPr>
      <xdr:spPr>
        <a:xfrm>
          <a:off x="20504727" y="87224508"/>
          <a:ext cx="0" cy="707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66</xdr:col>
      <xdr:colOff>77931</xdr:colOff>
      <xdr:row>260</xdr:row>
      <xdr:rowOff>204108</xdr:rowOff>
    </xdr:from>
    <xdr:to>
      <xdr:col>67</xdr:col>
      <xdr:colOff>744681</xdr:colOff>
      <xdr:row>262</xdr:row>
      <xdr:rowOff>212912</xdr:rowOff>
    </xdr:to>
    <xdr:sp macro="" textlink="">
      <xdr:nvSpPr>
        <xdr:cNvPr id="311" name="テキスト ボックス 310">
          <a:extLst>
            <a:ext uri="{FF2B5EF4-FFF2-40B4-BE49-F238E27FC236}">
              <a16:creationId xmlns:a16="http://schemas.microsoft.com/office/drawing/2014/main" id="{42C95772-FDE2-41BA-BE57-21724145D658}"/>
            </a:ext>
          </a:extLst>
        </xdr:cNvPr>
        <xdr:cNvSpPr txBox="1"/>
      </xdr:nvSpPr>
      <xdr:spPr>
        <a:xfrm>
          <a:off x="20504727" y="87224508"/>
          <a:ext cx="0" cy="784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260</xdr:row>
      <xdr:rowOff>215314</xdr:rowOff>
    </xdr:from>
    <xdr:to>
      <xdr:col>69</xdr:col>
      <xdr:colOff>755885</xdr:colOff>
      <xdr:row>262</xdr:row>
      <xdr:rowOff>291353</xdr:rowOff>
    </xdr:to>
    <xdr:sp macro="" textlink="">
      <xdr:nvSpPr>
        <xdr:cNvPr id="312" name="テキスト ボックス 311">
          <a:extLst>
            <a:ext uri="{FF2B5EF4-FFF2-40B4-BE49-F238E27FC236}">
              <a16:creationId xmlns:a16="http://schemas.microsoft.com/office/drawing/2014/main" id="{86F7A2AF-23E6-46E5-A1E8-DC7EFEFA7AF5}"/>
            </a:ext>
          </a:extLst>
        </xdr:cNvPr>
        <xdr:cNvSpPr txBox="1"/>
      </xdr:nvSpPr>
      <xdr:spPr>
        <a:xfrm>
          <a:off x="20504727" y="87235714"/>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76</xdr:col>
      <xdr:colOff>61921</xdr:colOff>
      <xdr:row>260</xdr:row>
      <xdr:rowOff>215314</xdr:rowOff>
    </xdr:from>
    <xdr:to>
      <xdr:col>77</xdr:col>
      <xdr:colOff>728670</xdr:colOff>
      <xdr:row>262</xdr:row>
      <xdr:rowOff>291353</xdr:rowOff>
    </xdr:to>
    <xdr:sp macro="" textlink="">
      <xdr:nvSpPr>
        <xdr:cNvPr id="313" name="テキスト ボックス 312">
          <a:extLst>
            <a:ext uri="{FF2B5EF4-FFF2-40B4-BE49-F238E27FC236}">
              <a16:creationId xmlns:a16="http://schemas.microsoft.com/office/drawing/2014/main" id="{2691AEA9-8157-46F3-80EE-14415273E884}"/>
            </a:ext>
          </a:extLst>
        </xdr:cNvPr>
        <xdr:cNvSpPr txBox="1"/>
      </xdr:nvSpPr>
      <xdr:spPr>
        <a:xfrm>
          <a:off x="20504727" y="87235714"/>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260</xdr:row>
      <xdr:rowOff>92849</xdr:rowOff>
    </xdr:from>
    <xdr:to>
      <xdr:col>81</xdr:col>
      <xdr:colOff>742278</xdr:colOff>
      <xdr:row>262</xdr:row>
      <xdr:rowOff>168888</xdr:rowOff>
    </xdr:to>
    <xdr:sp macro="" textlink="">
      <xdr:nvSpPr>
        <xdr:cNvPr id="314" name="テキスト ボックス 313">
          <a:extLst>
            <a:ext uri="{FF2B5EF4-FFF2-40B4-BE49-F238E27FC236}">
              <a16:creationId xmlns:a16="http://schemas.microsoft.com/office/drawing/2014/main" id="{94E531F4-8B2B-41C1-B9F2-069740A1306D}"/>
            </a:ext>
          </a:extLst>
        </xdr:cNvPr>
        <xdr:cNvSpPr txBox="1"/>
      </xdr:nvSpPr>
      <xdr:spPr>
        <a:xfrm>
          <a:off x="20504727" y="87113249"/>
          <a:ext cx="0" cy="851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44</xdr:col>
      <xdr:colOff>54429</xdr:colOff>
      <xdr:row>41</xdr:row>
      <xdr:rowOff>68035</xdr:rowOff>
    </xdr:from>
    <xdr:to>
      <xdr:col>45</xdr:col>
      <xdr:colOff>775607</xdr:colOff>
      <xdr:row>45</xdr:row>
      <xdr:rowOff>326572</xdr:rowOff>
    </xdr:to>
    <xdr:sp macro="" textlink="">
      <xdr:nvSpPr>
        <xdr:cNvPr id="3" name="テキスト ボックス 2">
          <a:extLst>
            <a:ext uri="{FF2B5EF4-FFF2-40B4-BE49-F238E27FC236}">
              <a16:creationId xmlns:a16="http://schemas.microsoft.com/office/drawing/2014/main" id="{925AAF26-8B2C-0E6C-B73F-7DDF83BC302B}"/>
            </a:ext>
          </a:extLst>
        </xdr:cNvPr>
        <xdr:cNvSpPr txBox="1"/>
      </xdr:nvSpPr>
      <xdr:spPr>
        <a:xfrm>
          <a:off x="22356536" y="16995321"/>
          <a:ext cx="1537607" cy="18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※10/16</a:t>
          </a:r>
          <a:r>
            <a:rPr kumimoji="1" lang="ja-JP" altLang="en-US" sz="1600" b="1"/>
            <a:t>入荷</a:t>
          </a:r>
          <a:endParaRPr kumimoji="1" lang="en-US" altLang="ja-JP" sz="1600" b="1"/>
        </a:p>
        <a:p>
          <a:pPr algn="ctr"/>
          <a:endParaRPr kumimoji="1" lang="en-US" altLang="ja-JP" sz="16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54428</xdr:colOff>
      <xdr:row>124</xdr:row>
      <xdr:rowOff>380999</xdr:rowOff>
    </xdr:from>
    <xdr:to>
      <xdr:col>45</xdr:col>
      <xdr:colOff>775606</xdr:colOff>
      <xdr:row>128</xdr:row>
      <xdr:rowOff>285750</xdr:rowOff>
    </xdr:to>
    <xdr:sp macro="" textlink="">
      <xdr:nvSpPr>
        <xdr:cNvPr id="5" name="テキスト ボックス 4">
          <a:extLst>
            <a:ext uri="{FF2B5EF4-FFF2-40B4-BE49-F238E27FC236}">
              <a16:creationId xmlns:a16="http://schemas.microsoft.com/office/drawing/2014/main" id="{7A01F97F-2278-4E59-BD24-7371DDE299EE}"/>
            </a:ext>
          </a:extLst>
        </xdr:cNvPr>
        <xdr:cNvSpPr txBox="1"/>
      </xdr:nvSpPr>
      <xdr:spPr>
        <a:xfrm>
          <a:off x="22356535" y="52782106"/>
          <a:ext cx="1537607" cy="1483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400" b="1"/>
            <a:t>※10/3</a:t>
          </a:r>
          <a:r>
            <a:rPr kumimoji="1" lang="ja-JP" altLang="en-US" sz="1400" b="1"/>
            <a:t>入荷</a:t>
          </a:r>
          <a:endParaRPr kumimoji="1" lang="en-US" altLang="ja-JP" sz="1400" b="1"/>
        </a:p>
        <a:p>
          <a:pPr algn="ctr"/>
          <a:endParaRPr kumimoji="1" lang="en-US" altLang="ja-JP" sz="16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54429</xdr:colOff>
      <xdr:row>188</xdr:row>
      <xdr:rowOff>27213</xdr:rowOff>
    </xdr:from>
    <xdr:to>
      <xdr:col>45</xdr:col>
      <xdr:colOff>775607</xdr:colOff>
      <xdr:row>191</xdr:row>
      <xdr:rowOff>231321</xdr:rowOff>
    </xdr:to>
    <xdr:sp macro="" textlink="">
      <xdr:nvSpPr>
        <xdr:cNvPr id="7" name="テキスト ボックス 6">
          <a:extLst>
            <a:ext uri="{FF2B5EF4-FFF2-40B4-BE49-F238E27FC236}">
              <a16:creationId xmlns:a16="http://schemas.microsoft.com/office/drawing/2014/main" id="{39C0F9BB-C018-4504-BE40-8AFC7EDB7D8A}"/>
            </a:ext>
          </a:extLst>
        </xdr:cNvPr>
        <xdr:cNvSpPr txBox="1"/>
      </xdr:nvSpPr>
      <xdr:spPr>
        <a:xfrm>
          <a:off x="22356536" y="79247999"/>
          <a:ext cx="1537607" cy="1387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※9/11</a:t>
          </a:r>
          <a:r>
            <a:rPr kumimoji="1" lang="ja-JP" altLang="en-US" sz="1400" b="1"/>
            <a:t>入荷</a:t>
          </a:r>
          <a:endParaRPr kumimoji="1" lang="en-US" altLang="ja-JP" sz="1400" b="1"/>
        </a:p>
        <a:p>
          <a:pPr algn="ctr"/>
          <a:endParaRPr kumimoji="1" lang="en-US" altLang="ja-JP" sz="1400" b="1"/>
        </a:p>
        <a:p>
          <a:pPr algn="ctr"/>
          <a:r>
            <a:rPr kumimoji="1" lang="en-US" altLang="ja-JP" sz="1600" b="1"/>
            <a:t>9/20</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68036</xdr:colOff>
      <xdr:row>225</xdr:row>
      <xdr:rowOff>40821</xdr:rowOff>
    </xdr:from>
    <xdr:to>
      <xdr:col>45</xdr:col>
      <xdr:colOff>789214</xdr:colOff>
      <xdr:row>228</xdr:row>
      <xdr:rowOff>244928</xdr:rowOff>
    </xdr:to>
    <xdr:sp macro="" textlink="">
      <xdr:nvSpPr>
        <xdr:cNvPr id="8" name="テキスト ボックス 7">
          <a:extLst>
            <a:ext uri="{FF2B5EF4-FFF2-40B4-BE49-F238E27FC236}">
              <a16:creationId xmlns:a16="http://schemas.microsoft.com/office/drawing/2014/main" id="{BF87345C-F794-4360-902D-3E1CEB9A881F}"/>
            </a:ext>
          </a:extLst>
        </xdr:cNvPr>
        <xdr:cNvSpPr txBox="1"/>
      </xdr:nvSpPr>
      <xdr:spPr>
        <a:xfrm>
          <a:off x="22370143" y="95426892"/>
          <a:ext cx="1537607" cy="1387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※10/10</a:t>
          </a:r>
          <a:r>
            <a:rPr kumimoji="1" lang="ja-JP" altLang="en-US" sz="1400" b="1"/>
            <a:t>入荷</a:t>
          </a:r>
          <a:endParaRPr kumimoji="1" lang="en-US" altLang="ja-JP" sz="1400" b="1"/>
        </a:p>
        <a:p>
          <a:pPr algn="ctr"/>
          <a:endParaRPr kumimoji="1" lang="en-US" altLang="ja-JP" sz="1400" b="1"/>
        </a:p>
        <a:p>
          <a:pPr algn="ctr"/>
          <a:r>
            <a:rPr kumimoji="1" lang="en-US" altLang="ja-JP" sz="1600" b="1"/>
            <a:t>10/28</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44</xdr:col>
      <xdr:colOff>54428</xdr:colOff>
      <xdr:row>252</xdr:row>
      <xdr:rowOff>81644</xdr:rowOff>
    </xdr:from>
    <xdr:to>
      <xdr:col>45</xdr:col>
      <xdr:colOff>775606</xdr:colOff>
      <xdr:row>253</xdr:row>
      <xdr:rowOff>285751</xdr:rowOff>
    </xdr:to>
    <xdr:sp macro="" textlink="">
      <xdr:nvSpPr>
        <xdr:cNvPr id="9" name="テキスト ボックス 8">
          <a:extLst>
            <a:ext uri="{FF2B5EF4-FFF2-40B4-BE49-F238E27FC236}">
              <a16:creationId xmlns:a16="http://schemas.microsoft.com/office/drawing/2014/main" id="{C6A612E1-B313-4C9B-A1A4-8ECECE457E4B}"/>
            </a:ext>
          </a:extLst>
        </xdr:cNvPr>
        <xdr:cNvSpPr txBox="1"/>
      </xdr:nvSpPr>
      <xdr:spPr>
        <a:xfrm>
          <a:off x="22356535" y="107292323"/>
          <a:ext cx="1537607" cy="598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※10/10</a:t>
          </a:r>
          <a:r>
            <a:rPr kumimoji="1" lang="ja-JP" altLang="en-US" sz="1400" b="1"/>
            <a:t>入荷</a:t>
          </a:r>
          <a:endParaRPr kumimoji="1" lang="en-US" altLang="ja-JP" sz="1400" b="1"/>
        </a:p>
      </xdr:txBody>
    </xdr:sp>
    <xdr:clientData/>
  </xdr:twoCellAnchor>
  <xdr:twoCellAnchor>
    <xdr:from>
      <xdr:col>48</xdr:col>
      <xdr:colOff>74222</xdr:colOff>
      <xdr:row>160</xdr:row>
      <xdr:rowOff>387557</xdr:rowOff>
    </xdr:from>
    <xdr:to>
      <xdr:col>49</xdr:col>
      <xdr:colOff>740971</xdr:colOff>
      <xdr:row>163</xdr:row>
      <xdr:rowOff>163285</xdr:rowOff>
    </xdr:to>
    <xdr:sp macro="" textlink="">
      <xdr:nvSpPr>
        <xdr:cNvPr id="10" name="テキスト ボックス 9">
          <a:extLst>
            <a:ext uri="{FF2B5EF4-FFF2-40B4-BE49-F238E27FC236}">
              <a16:creationId xmlns:a16="http://schemas.microsoft.com/office/drawing/2014/main" id="{134533C1-0CCC-4938-9610-B2C8F3F436F5}"/>
            </a:ext>
          </a:extLst>
        </xdr:cNvPr>
        <xdr:cNvSpPr txBox="1"/>
      </xdr:nvSpPr>
      <xdr:spPr>
        <a:xfrm>
          <a:off x="31778865" y="63048450"/>
          <a:ext cx="1483177" cy="959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46</xdr:col>
      <xdr:colOff>89063</xdr:colOff>
      <xdr:row>15</xdr:row>
      <xdr:rowOff>69273</xdr:rowOff>
    </xdr:from>
    <xdr:to>
      <xdr:col>47</xdr:col>
      <xdr:colOff>807768</xdr:colOff>
      <xdr:row>17</xdr:row>
      <xdr:rowOff>311727</xdr:rowOff>
    </xdr:to>
    <xdr:sp macro="" textlink="">
      <xdr:nvSpPr>
        <xdr:cNvPr id="12" name="テキスト ボックス 11">
          <a:extLst>
            <a:ext uri="{FF2B5EF4-FFF2-40B4-BE49-F238E27FC236}">
              <a16:creationId xmlns:a16="http://schemas.microsoft.com/office/drawing/2014/main" id="{29CE00CB-BAD2-3B24-54BF-2C1F6E6D12C8}"/>
            </a:ext>
          </a:extLst>
        </xdr:cNvPr>
        <xdr:cNvSpPr txBox="1"/>
      </xdr:nvSpPr>
      <xdr:spPr>
        <a:xfrm>
          <a:off x="25685336" y="5593773"/>
          <a:ext cx="1532659" cy="10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11/22</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51953</xdr:colOff>
      <xdr:row>30</xdr:row>
      <xdr:rowOff>155864</xdr:rowOff>
    </xdr:from>
    <xdr:to>
      <xdr:col>49</xdr:col>
      <xdr:colOff>773131</xdr:colOff>
      <xdr:row>33</xdr:row>
      <xdr:rowOff>0</xdr:rowOff>
    </xdr:to>
    <xdr:sp macro="" textlink="">
      <xdr:nvSpPr>
        <xdr:cNvPr id="13" name="テキスト ボックス 12">
          <a:extLst>
            <a:ext uri="{FF2B5EF4-FFF2-40B4-BE49-F238E27FC236}">
              <a16:creationId xmlns:a16="http://schemas.microsoft.com/office/drawing/2014/main" id="{4E6FA321-49EF-2C89-2D3B-758B2D592569}"/>
            </a:ext>
          </a:extLst>
        </xdr:cNvPr>
        <xdr:cNvSpPr txBox="1"/>
      </xdr:nvSpPr>
      <xdr:spPr>
        <a:xfrm>
          <a:off x="25509680" y="12451773"/>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51954</xdr:colOff>
      <xdr:row>41</xdr:row>
      <xdr:rowOff>277091</xdr:rowOff>
    </xdr:from>
    <xdr:to>
      <xdr:col>51</xdr:col>
      <xdr:colOff>773132</xdr:colOff>
      <xdr:row>44</xdr:row>
      <xdr:rowOff>121227</xdr:rowOff>
    </xdr:to>
    <xdr:sp macro="" textlink="">
      <xdr:nvSpPr>
        <xdr:cNvPr id="14" name="テキスト ボックス 13">
          <a:extLst>
            <a:ext uri="{FF2B5EF4-FFF2-40B4-BE49-F238E27FC236}">
              <a16:creationId xmlns:a16="http://schemas.microsoft.com/office/drawing/2014/main" id="{8FDB23DF-7D96-4267-D0BB-9D075890EA5F}"/>
            </a:ext>
          </a:extLst>
        </xdr:cNvPr>
        <xdr:cNvSpPr txBox="1"/>
      </xdr:nvSpPr>
      <xdr:spPr>
        <a:xfrm>
          <a:off x="27137590" y="17352818"/>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51953</xdr:colOff>
      <xdr:row>63</xdr:row>
      <xdr:rowOff>277092</xdr:rowOff>
    </xdr:from>
    <xdr:to>
      <xdr:col>49</xdr:col>
      <xdr:colOff>773131</xdr:colOff>
      <xdr:row>66</xdr:row>
      <xdr:rowOff>121228</xdr:rowOff>
    </xdr:to>
    <xdr:sp macro="" textlink="">
      <xdr:nvSpPr>
        <xdr:cNvPr id="16" name="テキスト ボックス 15">
          <a:extLst>
            <a:ext uri="{FF2B5EF4-FFF2-40B4-BE49-F238E27FC236}">
              <a16:creationId xmlns:a16="http://schemas.microsoft.com/office/drawing/2014/main" id="{C5F74AF0-2747-FF75-AEA1-0388D68BE5FF}"/>
            </a:ext>
          </a:extLst>
        </xdr:cNvPr>
        <xdr:cNvSpPr txBox="1"/>
      </xdr:nvSpPr>
      <xdr:spPr>
        <a:xfrm>
          <a:off x="25509680" y="26895137"/>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69270</xdr:colOff>
      <xdr:row>63</xdr:row>
      <xdr:rowOff>277092</xdr:rowOff>
    </xdr:from>
    <xdr:to>
      <xdr:col>57</xdr:col>
      <xdr:colOff>790449</xdr:colOff>
      <xdr:row>66</xdr:row>
      <xdr:rowOff>121228</xdr:rowOff>
    </xdr:to>
    <xdr:sp macro="" textlink="">
      <xdr:nvSpPr>
        <xdr:cNvPr id="17" name="テキスト ボックス 16">
          <a:extLst>
            <a:ext uri="{FF2B5EF4-FFF2-40B4-BE49-F238E27FC236}">
              <a16:creationId xmlns:a16="http://schemas.microsoft.com/office/drawing/2014/main" id="{45B214EE-7B03-A199-711B-007A672D97AA}"/>
            </a:ext>
          </a:extLst>
        </xdr:cNvPr>
        <xdr:cNvSpPr txBox="1"/>
      </xdr:nvSpPr>
      <xdr:spPr>
        <a:xfrm>
          <a:off x="32038634" y="26895137"/>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51955</xdr:colOff>
      <xdr:row>74</xdr:row>
      <xdr:rowOff>259771</xdr:rowOff>
    </xdr:from>
    <xdr:to>
      <xdr:col>51</xdr:col>
      <xdr:colOff>773133</xdr:colOff>
      <xdr:row>77</xdr:row>
      <xdr:rowOff>103908</xdr:rowOff>
    </xdr:to>
    <xdr:sp macro="" textlink="">
      <xdr:nvSpPr>
        <xdr:cNvPr id="19" name="テキスト ボックス 18">
          <a:extLst>
            <a:ext uri="{FF2B5EF4-FFF2-40B4-BE49-F238E27FC236}">
              <a16:creationId xmlns:a16="http://schemas.microsoft.com/office/drawing/2014/main" id="{D8917F36-FAA1-790C-87E6-FBD59A47D8E1}"/>
            </a:ext>
          </a:extLst>
        </xdr:cNvPr>
        <xdr:cNvSpPr txBox="1"/>
      </xdr:nvSpPr>
      <xdr:spPr>
        <a:xfrm>
          <a:off x="27137591" y="31657635"/>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51955</xdr:colOff>
      <xdr:row>74</xdr:row>
      <xdr:rowOff>259771</xdr:rowOff>
    </xdr:from>
    <xdr:to>
      <xdr:col>53</xdr:col>
      <xdr:colOff>773133</xdr:colOff>
      <xdr:row>77</xdr:row>
      <xdr:rowOff>103908</xdr:rowOff>
    </xdr:to>
    <xdr:sp macro="" textlink="">
      <xdr:nvSpPr>
        <xdr:cNvPr id="20" name="テキスト ボックス 19">
          <a:extLst>
            <a:ext uri="{FF2B5EF4-FFF2-40B4-BE49-F238E27FC236}">
              <a16:creationId xmlns:a16="http://schemas.microsoft.com/office/drawing/2014/main" id="{8BCEAFB5-7298-E042-6CEA-2CE23D1EE16B}"/>
            </a:ext>
          </a:extLst>
        </xdr:cNvPr>
        <xdr:cNvSpPr txBox="1"/>
      </xdr:nvSpPr>
      <xdr:spPr>
        <a:xfrm>
          <a:off x="28765500" y="31657635"/>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3/5</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48</xdr:col>
      <xdr:colOff>51955</xdr:colOff>
      <xdr:row>88</xdr:row>
      <xdr:rowOff>207818</xdr:rowOff>
    </xdr:from>
    <xdr:to>
      <xdr:col>49</xdr:col>
      <xdr:colOff>773133</xdr:colOff>
      <xdr:row>91</xdr:row>
      <xdr:rowOff>51954</xdr:rowOff>
    </xdr:to>
    <xdr:sp macro="" textlink="">
      <xdr:nvSpPr>
        <xdr:cNvPr id="21" name="テキスト ボックス 20">
          <a:extLst>
            <a:ext uri="{FF2B5EF4-FFF2-40B4-BE49-F238E27FC236}">
              <a16:creationId xmlns:a16="http://schemas.microsoft.com/office/drawing/2014/main" id="{BC92963C-28C3-774E-1B49-15B497BCE942}"/>
            </a:ext>
          </a:extLst>
        </xdr:cNvPr>
        <xdr:cNvSpPr txBox="1"/>
      </xdr:nvSpPr>
      <xdr:spPr>
        <a:xfrm>
          <a:off x="25509682" y="37580454"/>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50</xdr:col>
      <xdr:colOff>34636</xdr:colOff>
      <xdr:row>124</xdr:row>
      <xdr:rowOff>0</xdr:rowOff>
    </xdr:from>
    <xdr:to>
      <xdr:col>51</xdr:col>
      <xdr:colOff>755814</xdr:colOff>
      <xdr:row>126</xdr:row>
      <xdr:rowOff>242455</xdr:rowOff>
    </xdr:to>
    <xdr:sp macro="" textlink="">
      <xdr:nvSpPr>
        <xdr:cNvPr id="25" name="テキスト ボックス 24">
          <a:extLst>
            <a:ext uri="{FF2B5EF4-FFF2-40B4-BE49-F238E27FC236}">
              <a16:creationId xmlns:a16="http://schemas.microsoft.com/office/drawing/2014/main" id="{A7F31787-83C6-47AD-82F0-0E6300D08948}"/>
            </a:ext>
          </a:extLst>
        </xdr:cNvPr>
        <xdr:cNvSpPr txBox="1"/>
      </xdr:nvSpPr>
      <xdr:spPr>
        <a:xfrm>
          <a:off x="27120272" y="52872409"/>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1/6</a:t>
          </a:r>
          <a:r>
            <a:rPr kumimoji="1" lang="ja-JP" altLang="en-US" sz="1600" b="1"/>
            <a:t>（未入庫）</a:t>
          </a:r>
          <a:endParaRPr kumimoji="1" lang="en-US" altLang="ja-JP" sz="1600" b="1"/>
        </a:p>
      </xdr:txBody>
    </xdr:sp>
    <xdr:clientData/>
  </xdr:twoCellAnchor>
  <xdr:twoCellAnchor>
    <xdr:from>
      <xdr:col>46</xdr:col>
      <xdr:colOff>91540</xdr:colOff>
      <xdr:row>176</xdr:row>
      <xdr:rowOff>41195</xdr:rowOff>
    </xdr:from>
    <xdr:to>
      <xdr:col>47</xdr:col>
      <xdr:colOff>758289</xdr:colOff>
      <xdr:row>178</xdr:row>
      <xdr:rowOff>54429</xdr:rowOff>
    </xdr:to>
    <xdr:sp macro="" textlink="">
      <xdr:nvSpPr>
        <xdr:cNvPr id="26" name="テキスト ボックス 25">
          <a:extLst>
            <a:ext uri="{FF2B5EF4-FFF2-40B4-BE49-F238E27FC236}">
              <a16:creationId xmlns:a16="http://schemas.microsoft.com/office/drawing/2014/main" id="{87FB6514-AEFB-1BFD-F80C-2E4F12F0E647}"/>
            </a:ext>
          </a:extLst>
        </xdr:cNvPr>
        <xdr:cNvSpPr txBox="1"/>
      </xdr:nvSpPr>
      <xdr:spPr>
        <a:xfrm>
          <a:off x="30163326" y="69002195"/>
          <a:ext cx="1483177" cy="802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50</xdr:col>
      <xdr:colOff>77934</xdr:colOff>
      <xdr:row>176</xdr:row>
      <xdr:rowOff>54802</xdr:rowOff>
    </xdr:from>
    <xdr:to>
      <xdr:col>51</xdr:col>
      <xdr:colOff>762001</xdr:colOff>
      <xdr:row>178</xdr:row>
      <xdr:rowOff>95250</xdr:rowOff>
    </xdr:to>
    <xdr:sp macro="" textlink="">
      <xdr:nvSpPr>
        <xdr:cNvPr id="27" name="テキスト ボックス 26">
          <a:extLst>
            <a:ext uri="{FF2B5EF4-FFF2-40B4-BE49-F238E27FC236}">
              <a16:creationId xmlns:a16="http://schemas.microsoft.com/office/drawing/2014/main" id="{C1C69DD4-4EFC-59FD-7F5B-CA3D1E85616A}"/>
            </a:ext>
          </a:extLst>
        </xdr:cNvPr>
        <xdr:cNvSpPr txBox="1"/>
      </xdr:nvSpPr>
      <xdr:spPr>
        <a:xfrm>
          <a:off x="33415434" y="69015802"/>
          <a:ext cx="1500496" cy="8296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2/8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48</xdr:col>
      <xdr:colOff>54428</xdr:colOff>
      <xdr:row>252</xdr:row>
      <xdr:rowOff>40821</xdr:rowOff>
    </xdr:from>
    <xdr:to>
      <xdr:col>49</xdr:col>
      <xdr:colOff>775606</xdr:colOff>
      <xdr:row>253</xdr:row>
      <xdr:rowOff>353785</xdr:rowOff>
    </xdr:to>
    <xdr:sp macro="" textlink="">
      <xdr:nvSpPr>
        <xdr:cNvPr id="28" name="テキスト ボックス 27">
          <a:extLst>
            <a:ext uri="{FF2B5EF4-FFF2-40B4-BE49-F238E27FC236}">
              <a16:creationId xmlns:a16="http://schemas.microsoft.com/office/drawing/2014/main" id="{21ADB81E-CAA1-BAD9-54F0-1322471FB845}"/>
            </a:ext>
          </a:extLst>
        </xdr:cNvPr>
        <xdr:cNvSpPr txBox="1"/>
      </xdr:nvSpPr>
      <xdr:spPr>
        <a:xfrm>
          <a:off x="31759071" y="98964750"/>
          <a:ext cx="1537606" cy="707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12/10</a:t>
          </a:r>
          <a:r>
            <a:rPr kumimoji="1" lang="ja-JP" altLang="en-US" sz="1400" b="1"/>
            <a:t>頃</a:t>
          </a:r>
          <a:endParaRPr kumimoji="1" lang="en-US" altLang="ja-JP" sz="1400" b="1"/>
        </a:p>
        <a:p>
          <a:pPr algn="ctr"/>
          <a:r>
            <a:rPr kumimoji="1" lang="ja-JP" altLang="en-US" sz="1400" b="1"/>
            <a:t>補充完了</a:t>
          </a:r>
          <a:endParaRPr kumimoji="1" lang="en-US" altLang="ja-JP" sz="1400" b="1"/>
        </a:p>
      </xdr:txBody>
    </xdr:sp>
    <xdr:clientData/>
  </xdr:twoCellAnchor>
  <xdr:twoCellAnchor>
    <xdr:from>
      <xdr:col>46</xdr:col>
      <xdr:colOff>54427</xdr:colOff>
      <xdr:row>255</xdr:row>
      <xdr:rowOff>86593</xdr:rowOff>
    </xdr:from>
    <xdr:to>
      <xdr:col>47</xdr:col>
      <xdr:colOff>775605</xdr:colOff>
      <xdr:row>256</xdr:row>
      <xdr:rowOff>303070</xdr:rowOff>
    </xdr:to>
    <xdr:sp macro="" textlink="">
      <xdr:nvSpPr>
        <xdr:cNvPr id="29" name="テキスト ボックス 28">
          <a:extLst>
            <a:ext uri="{FF2B5EF4-FFF2-40B4-BE49-F238E27FC236}">
              <a16:creationId xmlns:a16="http://schemas.microsoft.com/office/drawing/2014/main" id="{9E4BF2E0-A23C-20F8-5A92-BA09C784BAF2}"/>
            </a:ext>
          </a:extLst>
        </xdr:cNvPr>
        <xdr:cNvSpPr txBox="1"/>
      </xdr:nvSpPr>
      <xdr:spPr>
        <a:xfrm>
          <a:off x="29854070" y="100180736"/>
          <a:ext cx="1537606" cy="611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a:t>
          </a:r>
          <a:r>
            <a:rPr kumimoji="1" lang="ja-JP" altLang="en-US" sz="1400" b="1"/>
            <a:t>入荷</a:t>
          </a:r>
          <a:r>
            <a:rPr kumimoji="1" lang="en-US" altLang="ja-JP" sz="1400" b="1"/>
            <a:t>11/22</a:t>
          </a:r>
        </a:p>
        <a:p>
          <a:pPr algn="ctr"/>
          <a:r>
            <a:rPr kumimoji="1" lang="en-US" altLang="ja-JP" sz="1400" b="1"/>
            <a:t>11/29</a:t>
          </a:r>
          <a:r>
            <a:rPr kumimoji="1" lang="ja-JP" altLang="en-US" sz="1400" b="1"/>
            <a:t>補充完了</a:t>
          </a:r>
          <a:endParaRPr kumimoji="1" lang="en-US" altLang="ja-JP" sz="1400" b="1"/>
        </a:p>
      </xdr:txBody>
    </xdr:sp>
    <xdr:clientData/>
  </xdr:twoCellAnchor>
  <xdr:twoCellAnchor>
    <xdr:from>
      <xdr:col>2</xdr:col>
      <xdr:colOff>40822</xdr:colOff>
      <xdr:row>21</xdr:row>
      <xdr:rowOff>122464</xdr:rowOff>
    </xdr:from>
    <xdr:to>
      <xdr:col>2</xdr:col>
      <xdr:colOff>1414381</xdr:colOff>
      <xdr:row>25</xdr:row>
      <xdr:rowOff>342651</xdr:rowOff>
    </xdr:to>
    <xdr:sp macro="" textlink="">
      <xdr:nvSpPr>
        <xdr:cNvPr id="32" name="テキスト ボックス 31">
          <a:extLst>
            <a:ext uri="{FF2B5EF4-FFF2-40B4-BE49-F238E27FC236}">
              <a16:creationId xmlns:a16="http://schemas.microsoft.com/office/drawing/2014/main" id="{375B6E48-B984-4F52-AB8F-DEE4E47B2012}"/>
            </a:ext>
          </a:extLst>
        </xdr:cNvPr>
        <xdr:cNvSpPr txBox="1"/>
      </xdr:nvSpPr>
      <xdr:spPr>
        <a:xfrm>
          <a:off x="1401536" y="8368393"/>
          <a:ext cx="1373559" cy="1798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32</xdr:row>
      <xdr:rowOff>122464</xdr:rowOff>
    </xdr:from>
    <xdr:to>
      <xdr:col>2</xdr:col>
      <xdr:colOff>1414381</xdr:colOff>
      <xdr:row>36</xdr:row>
      <xdr:rowOff>342651</xdr:rowOff>
    </xdr:to>
    <xdr:sp macro="" textlink="">
      <xdr:nvSpPr>
        <xdr:cNvPr id="33" name="テキスト ボックス 32">
          <a:extLst>
            <a:ext uri="{FF2B5EF4-FFF2-40B4-BE49-F238E27FC236}">
              <a16:creationId xmlns:a16="http://schemas.microsoft.com/office/drawing/2014/main" id="{3302B19D-E7C9-C7AD-A139-4EF8B78510DE}"/>
            </a:ext>
          </a:extLst>
        </xdr:cNvPr>
        <xdr:cNvSpPr txBox="1"/>
      </xdr:nvSpPr>
      <xdr:spPr>
        <a:xfrm>
          <a:off x="1426277" y="1321500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43</xdr:row>
      <xdr:rowOff>122463</xdr:rowOff>
    </xdr:from>
    <xdr:to>
      <xdr:col>2</xdr:col>
      <xdr:colOff>1414381</xdr:colOff>
      <xdr:row>47</xdr:row>
      <xdr:rowOff>342651</xdr:rowOff>
    </xdr:to>
    <xdr:sp macro="" textlink="">
      <xdr:nvSpPr>
        <xdr:cNvPr id="34" name="テキスト ボックス 33">
          <a:extLst>
            <a:ext uri="{FF2B5EF4-FFF2-40B4-BE49-F238E27FC236}">
              <a16:creationId xmlns:a16="http://schemas.microsoft.com/office/drawing/2014/main" id="{62A1E821-5F8C-4286-AECB-E0378DBB4B7A}"/>
            </a:ext>
          </a:extLst>
        </xdr:cNvPr>
        <xdr:cNvSpPr txBox="1"/>
      </xdr:nvSpPr>
      <xdr:spPr>
        <a:xfrm>
          <a:off x="1426277" y="17994827"/>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54</xdr:row>
      <xdr:rowOff>122463</xdr:rowOff>
    </xdr:from>
    <xdr:to>
      <xdr:col>2</xdr:col>
      <xdr:colOff>1414381</xdr:colOff>
      <xdr:row>58</xdr:row>
      <xdr:rowOff>342650</xdr:rowOff>
    </xdr:to>
    <xdr:sp macro="" textlink="">
      <xdr:nvSpPr>
        <xdr:cNvPr id="35" name="テキスト ボックス 34">
          <a:extLst>
            <a:ext uri="{FF2B5EF4-FFF2-40B4-BE49-F238E27FC236}">
              <a16:creationId xmlns:a16="http://schemas.microsoft.com/office/drawing/2014/main" id="{202A41D4-B304-1148-F38E-B790BECB6313}"/>
            </a:ext>
          </a:extLst>
        </xdr:cNvPr>
        <xdr:cNvSpPr txBox="1"/>
      </xdr:nvSpPr>
      <xdr:spPr>
        <a:xfrm>
          <a:off x="1426277" y="22774645"/>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65</xdr:row>
      <xdr:rowOff>122463</xdr:rowOff>
    </xdr:from>
    <xdr:to>
      <xdr:col>2</xdr:col>
      <xdr:colOff>1414381</xdr:colOff>
      <xdr:row>69</xdr:row>
      <xdr:rowOff>342650</xdr:rowOff>
    </xdr:to>
    <xdr:sp macro="" textlink="">
      <xdr:nvSpPr>
        <xdr:cNvPr id="36" name="テキスト ボックス 35">
          <a:extLst>
            <a:ext uri="{FF2B5EF4-FFF2-40B4-BE49-F238E27FC236}">
              <a16:creationId xmlns:a16="http://schemas.microsoft.com/office/drawing/2014/main" id="{A08CB279-5B72-DAAB-2322-B9D40D933926}"/>
            </a:ext>
          </a:extLst>
        </xdr:cNvPr>
        <xdr:cNvSpPr txBox="1"/>
      </xdr:nvSpPr>
      <xdr:spPr>
        <a:xfrm>
          <a:off x="1426277" y="27537145"/>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76</xdr:row>
      <xdr:rowOff>122463</xdr:rowOff>
    </xdr:from>
    <xdr:to>
      <xdr:col>2</xdr:col>
      <xdr:colOff>1414381</xdr:colOff>
      <xdr:row>80</xdr:row>
      <xdr:rowOff>342650</xdr:rowOff>
    </xdr:to>
    <xdr:sp macro="" textlink="">
      <xdr:nvSpPr>
        <xdr:cNvPr id="37" name="テキスト ボックス 36">
          <a:extLst>
            <a:ext uri="{FF2B5EF4-FFF2-40B4-BE49-F238E27FC236}">
              <a16:creationId xmlns:a16="http://schemas.microsoft.com/office/drawing/2014/main" id="{A0D93943-A696-842C-6549-B45942260126}"/>
            </a:ext>
          </a:extLst>
        </xdr:cNvPr>
        <xdr:cNvSpPr txBox="1"/>
      </xdr:nvSpPr>
      <xdr:spPr>
        <a:xfrm>
          <a:off x="1426277" y="32316963"/>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93</xdr:row>
      <xdr:rowOff>139782</xdr:rowOff>
    </xdr:from>
    <xdr:to>
      <xdr:col>2</xdr:col>
      <xdr:colOff>1414381</xdr:colOff>
      <xdr:row>97</xdr:row>
      <xdr:rowOff>359969</xdr:rowOff>
    </xdr:to>
    <xdr:sp macro="" textlink="">
      <xdr:nvSpPr>
        <xdr:cNvPr id="38" name="テキスト ボックス 37">
          <a:extLst>
            <a:ext uri="{FF2B5EF4-FFF2-40B4-BE49-F238E27FC236}">
              <a16:creationId xmlns:a16="http://schemas.microsoft.com/office/drawing/2014/main" id="{D22E08D1-B348-D667-DAEF-4AABF218E4F5}"/>
            </a:ext>
          </a:extLst>
        </xdr:cNvPr>
        <xdr:cNvSpPr txBox="1"/>
      </xdr:nvSpPr>
      <xdr:spPr>
        <a:xfrm>
          <a:off x="1426277" y="3950400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106</xdr:row>
      <xdr:rowOff>122463</xdr:rowOff>
    </xdr:from>
    <xdr:to>
      <xdr:col>2</xdr:col>
      <xdr:colOff>1414381</xdr:colOff>
      <xdr:row>110</xdr:row>
      <xdr:rowOff>342651</xdr:rowOff>
    </xdr:to>
    <xdr:sp macro="" textlink="">
      <xdr:nvSpPr>
        <xdr:cNvPr id="39" name="テキスト ボックス 38">
          <a:extLst>
            <a:ext uri="{FF2B5EF4-FFF2-40B4-BE49-F238E27FC236}">
              <a16:creationId xmlns:a16="http://schemas.microsoft.com/office/drawing/2014/main" id="{4E9ECA71-1479-EFC6-5014-E2282CD91D84}"/>
            </a:ext>
          </a:extLst>
        </xdr:cNvPr>
        <xdr:cNvSpPr txBox="1"/>
      </xdr:nvSpPr>
      <xdr:spPr>
        <a:xfrm>
          <a:off x="1426277" y="45045827"/>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a:p>
          <a:pPr algn="ctr"/>
          <a:endParaRPr kumimoji="1" lang="ja-JP" altLang="en-US" sz="1400" b="1"/>
        </a:p>
      </xdr:txBody>
    </xdr:sp>
    <xdr:clientData/>
  </xdr:twoCellAnchor>
  <xdr:twoCellAnchor>
    <xdr:from>
      <xdr:col>2</xdr:col>
      <xdr:colOff>40822</xdr:colOff>
      <xdr:row>116</xdr:row>
      <xdr:rowOff>122464</xdr:rowOff>
    </xdr:from>
    <xdr:to>
      <xdr:col>2</xdr:col>
      <xdr:colOff>1414381</xdr:colOff>
      <xdr:row>120</xdr:row>
      <xdr:rowOff>342651</xdr:rowOff>
    </xdr:to>
    <xdr:sp macro="" textlink="">
      <xdr:nvSpPr>
        <xdr:cNvPr id="40" name="テキスト ボックス 39">
          <a:extLst>
            <a:ext uri="{FF2B5EF4-FFF2-40B4-BE49-F238E27FC236}">
              <a16:creationId xmlns:a16="http://schemas.microsoft.com/office/drawing/2014/main" id="{F65953C7-2600-1F39-6F52-A427D84C238D}"/>
            </a:ext>
          </a:extLst>
        </xdr:cNvPr>
        <xdr:cNvSpPr txBox="1"/>
      </xdr:nvSpPr>
      <xdr:spPr>
        <a:xfrm>
          <a:off x="1426277" y="4941000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125</xdr:row>
      <xdr:rowOff>122463</xdr:rowOff>
    </xdr:from>
    <xdr:to>
      <xdr:col>2</xdr:col>
      <xdr:colOff>1414381</xdr:colOff>
      <xdr:row>129</xdr:row>
      <xdr:rowOff>342650</xdr:rowOff>
    </xdr:to>
    <xdr:sp macro="" textlink="">
      <xdr:nvSpPr>
        <xdr:cNvPr id="41" name="テキスト ボックス 40">
          <a:extLst>
            <a:ext uri="{FF2B5EF4-FFF2-40B4-BE49-F238E27FC236}">
              <a16:creationId xmlns:a16="http://schemas.microsoft.com/office/drawing/2014/main" id="{1F5509C0-12FA-CF5A-75C9-43103D4F9D73}"/>
            </a:ext>
          </a:extLst>
        </xdr:cNvPr>
        <xdr:cNvSpPr txBox="1"/>
      </xdr:nvSpPr>
      <xdr:spPr>
        <a:xfrm>
          <a:off x="1426277" y="53393190"/>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150</xdr:row>
      <xdr:rowOff>139780</xdr:rowOff>
    </xdr:from>
    <xdr:to>
      <xdr:col>2</xdr:col>
      <xdr:colOff>1414381</xdr:colOff>
      <xdr:row>154</xdr:row>
      <xdr:rowOff>359967</xdr:rowOff>
    </xdr:to>
    <xdr:sp macro="" textlink="">
      <xdr:nvSpPr>
        <xdr:cNvPr id="42" name="テキスト ボックス 41">
          <a:extLst>
            <a:ext uri="{FF2B5EF4-FFF2-40B4-BE49-F238E27FC236}">
              <a16:creationId xmlns:a16="http://schemas.microsoft.com/office/drawing/2014/main" id="{6C8DF4F2-F0E3-6D5D-5089-7B847555C606}"/>
            </a:ext>
          </a:extLst>
        </xdr:cNvPr>
        <xdr:cNvSpPr txBox="1"/>
      </xdr:nvSpPr>
      <xdr:spPr>
        <a:xfrm>
          <a:off x="1426277" y="63766780"/>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163</xdr:row>
      <xdr:rowOff>139779</xdr:rowOff>
    </xdr:from>
    <xdr:to>
      <xdr:col>2</xdr:col>
      <xdr:colOff>1414381</xdr:colOff>
      <xdr:row>167</xdr:row>
      <xdr:rowOff>359967</xdr:rowOff>
    </xdr:to>
    <xdr:sp macro="" textlink="">
      <xdr:nvSpPr>
        <xdr:cNvPr id="44" name="テキスト ボックス 43">
          <a:extLst>
            <a:ext uri="{FF2B5EF4-FFF2-40B4-BE49-F238E27FC236}">
              <a16:creationId xmlns:a16="http://schemas.microsoft.com/office/drawing/2014/main" id="{1208937C-8EF8-58E9-FE2C-DCE72505CCA6}"/>
            </a:ext>
          </a:extLst>
        </xdr:cNvPr>
        <xdr:cNvSpPr txBox="1"/>
      </xdr:nvSpPr>
      <xdr:spPr>
        <a:xfrm>
          <a:off x="1426277" y="69343234"/>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179</xdr:row>
      <xdr:rowOff>139780</xdr:rowOff>
    </xdr:from>
    <xdr:to>
      <xdr:col>2</xdr:col>
      <xdr:colOff>1414381</xdr:colOff>
      <xdr:row>183</xdr:row>
      <xdr:rowOff>359967</xdr:rowOff>
    </xdr:to>
    <xdr:sp macro="" textlink="">
      <xdr:nvSpPr>
        <xdr:cNvPr id="45" name="テキスト ボックス 44">
          <a:extLst>
            <a:ext uri="{FF2B5EF4-FFF2-40B4-BE49-F238E27FC236}">
              <a16:creationId xmlns:a16="http://schemas.microsoft.com/office/drawing/2014/main" id="{AA0FDA8E-8F54-B7F8-3818-92575B72B267}"/>
            </a:ext>
          </a:extLst>
        </xdr:cNvPr>
        <xdr:cNvSpPr txBox="1"/>
      </xdr:nvSpPr>
      <xdr:spPr>
        <a:xfrm>
          <a:off x="1426277" y="76097325"/>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xdr:txBody>
    </xdr:sp>
    <xdr:clientData/>
  </xdr:twoCellAnchor>
  <xdr:twoCellAnchor>
    <xdr:from>
      <xdr:col>2</xdr:col>
      <xdr:colOff>40822</xdr:colOff>
      <xdr:row>189</xdr:row>
      <xdr:rowOff>299357</xdr:rowOff>
    </xdr:from>
    <xdr:to>
      <xdr:col>2</xdr:col>
      <xdr:colOff>1414381</xdr:colOff>
      <xdr:row>192</xdr:row>
      <xdr:rowOff>342649</xdr:rowOff>
    </xdr:to>
    <xdr:sp macro="" textlink="">
      <xdr:nvSpPr>
        <xdr:cNvPr id="47" name="テキスト ボックス 46">
          <a:extLst>
            <a:ext uri="{FF2B5EF4-FFF2-40B4-BE49-F238E27FC236}">
              <a16:creationId xmlns:a16="http://schemas.microsoft.com/office/drawing/2014/main" id="{5E41896A-DDD6-8417-0FC7-F6971290058E}"/>
            </a:ext>
          </a:extLst>
        </xdr:cNvPr>
        <xdr:cNvSpPr txBox="1"/>
      </xdr:nvSpPr>
      <xdr:spPr>
        <a:xfrm>
          <a:off x="1401536" y="74390250"/>
          <a:ext cx="1373559" cy="12271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197</xdr:row>
      <xdr:rowOff>139780</xdr:rowOff>
    </xdr:from>
    <xdr:to>
      <xdr:col>2</xdr:col>
      <xdr:colOff>1414381</xdr:colOff>
      <xdr:row>201</xdr:row>
      <xdr:rowOff>359967</xdr:rowOff>
    </xdr:to>
    <xdr:sp macro="" textlink="">
      <xdr:nvSpPr>
        <xdr:cNvPr id="48" name="テキスト ボックス 47">
          <a:extLst>
            <a:ext uri="{FF2B5EF4-FFF2-40B4-BE49-F238E27FC236}">
              <a16:creationId xmlns:a16="http://schemas.microsoft.com/office/drawing/2014/main" id="{50EC5322-71CA-C201-ED40-4A201F2C0892}"/>
            </a:ext>
          </a:extLst>
        </xdr:cNvPr>
        <xdr:cNvSpPr txBox="1"/>
      </xdr:nvSpPr>
      <xdr:spPr>
        <a:xfrm>
          <a:off x="1426277" y="8406368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0000"/>
              </a:solidFill>
              <a:effectLst/>
              <a:uLnTx/>
              <a:uFillTx/>
              <a:latin typeface="+mn-lt"/>
              <a:ea typeface="+mn-ea"/>
              <a:cs typeface="+mn-cs"/>
            </a:rPr>
            <a:t>型</a:t>
          </a:r>
          <a:r>
            <a:rPr kumimoji="1" lang="en-US" altLang="ja-JP" sz="1400" b="1" i="0" u="none" strike="noStrike" kern="0" cap="none" spc="0" normalizeH="0" baseline="0" noProof="0">
              <a:ln>
                <a:noFill/>
              </a:ln>
              <a:solidFill>
                <a:srgbClr val="FF0000"/>
              </a:solidFill>
              <a:effectLst/>
              <a:uLnTx/>
              <a:uFillTx/>
              <a:latin typeface="+mn-lt"/>
              <a:ea typeface="+mn-ea"/>
              <a:cs typeface="+mn-cs"/>
            </a:rPr>
            <a:t>:300</a:t>
          </a:r>
        </a:p>
      </xdr:txBody>
    </xdr:sp>
    <xdr:clientData/>
  </xdr:twoCellAnchor>
  <xdr:twoCellAnchor>
    <xdr:from>
      <xdr:col>2</xdr:col>
      <xdr:colOff>40822</xdr:colOff>
      <xdr:row>208</xdr:row>
      <xdr:rowOff>122462</xdr:rowOff>
    </xdr:from>
    <xdr:to>
      <xdr:col>2</xdr:col>
      <xdr:colOff>1414381</xdr:colOff>
      <xdr:row>212</xdr:row>
      <xdr:rowOff>342649</xdr:rowOff>
    </xdr:to>
    <xdr:sp macro="" textlink="">
      <xdr:nvSpPr>
        <xdr:cNvPr id="49" name="テキスト ボックス 48">
          <a:extLst>
            <a:ext uri="{FF2B5EF4-FFF2-40B4-BE49-F238E27FC236}">
              <a16:creationId xmlns:a16="http://schemas.microsoft.com/office/drawing/2014/main" id="{6C5AC030-9ECD-51E2-FAAD-32B864EA082A}"/>
            </a:ext>
          </a:extLst>
        </xdr:cNvPr>
        <xdr:cNvSpPr txBox="1"/>
      </xdr:nvSpPr>
      <xdr:spPr>
        <a:xfrm>
          <a:off x="1426277" y="88808871"/>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217</xdr:row>
      <xdr:rowOff>27214</xdr:rowOff>
    </xdr:from>
    <xdr:to>
      <xdr:col>2</xdr:col>
      <xdr:colOff>1414381</xdr:colOff>
      <xdr:row>219</xdr:row>
      <xdr:rowOff>359968</xdr:rowOff>
    </xdr:to>
    <xdr:sp macro="" textlink="">
      <xdr:nvSpPr>
        <xdr:cNvPr id="50" name="テキスト ボックス 49">
          <a:extLst>
            <a:ext uri="{FF2B5EF4-FFF2-40B4-BE49-F238E27FC236}">
              <a16:creationId xmlns:a16="http://schemas.microsoft.com/office/drawing/2014/main" id="{D8251344-6D85-DB0A-2D40-95FC34A28349}"/>
            </a:ext>
          </a:extLst>
        </xdr:cNvPr>
        <xdr:cNvSpPr txBox="1"/>
      </xdr:nvSpPr>
      <xdr:spPr>
        <a:xfrm>
          <a:off x="1401536" y="85153500"/>
          <a:ext cx="1373559" cy="1121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228</xdr:row>
      <xdr:rowOff>139781</xdr:rowOff>
    </xdr:from>
    <xdr:to>
      <xdr:col>2</xdr:col>
      <xdr:colOff>1414381</xdr:colOff>
      <xdr:row>232</xdr:row>
      <xdr:rowOff>359968</xdr:rowOff>
    </xdr:to>
    <xdr:sp macro="" textlink="">
      <xdr:nvSpPr>
        <xdr:cNvPr id="51" name="テキスト ボックス 50">
          <a:extLst>
            <a:ext uri="{FF2B5EF4-FFF2-40B4-BE49-F238E27FC236}">
              <a16:creationId xmlns:a16="http://schemas.microsoft.com/office/drawing/2014/main" id="{EABF07AE-22F4-2507-D699-5D77C027BC91}"/>
            </a:ext>
          </a:extLst>
        </xdr:cNvPr>
        <xdr:cNvSpPr txBox="1"/>
      </xdr:nvSpPr>
      <xdr:spPr>
        <a:xfrm>
          <a:off x="1426277" y="97589190"/>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237</xdr:row>
      <xdr:rowOff>139781</xdr:rowOff>
    </xdr:from>
    <xdr:to>
      <xdr:col>2</xdr:col>
      <xdr:colOff>1414381</xdr:colOff>
      <xdr:row>241</xdr:row>
      <xdr:rowOff>359968</xdr:rowOff>
    </xdr:to>
    <xdr:sp macro="" textlink="">
      <xdr:nvSpPr>
        <xdr:cNvPr id="52" name="テキスト ボックス 51">
          <a:extLst>
            <a:ext uri="{FF2B5EF4-FFF2-40B4-BE49-F238E27FC236}">
              <a16:creationId xmlns:a16="http://schemas.microsoft.com/office/drawing/2014/main" id="{DA7385B5-7AE7-AC0B-6D12-5135C42C4211}"/>
            </a:ext>
          </a:extLst>
        </xdr:cNvPr>
        <xdr:cNvSpPr txBox="1"/>
      </xdr:nvSpPr>
      <xdr:spPr>
        <a:xfrm>
          <a:off x="1426277" y="101572372"/>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246</xdr:row>
      <xdr:rowOff>139781</xdr:rowOff>
    </xdr:from>
    <xdr:to>
      <xdr:col>2</xdr:col>
      <xdr:colOff>1414381</xdr:colOff>
      <xdr:row>250</xdr:row>
      <xdr:rowOff>359969</xdr:rowOff>
    </xdr:to>
    <xdr:sp macro="" textlink="">
      <xdr:nvSpPr>
        <xdr:cNvPr id="53" name="テキスト ボックス 52">
          <a:extLst>
            <a:ext uri="{FF2B5EF4-FFF2-40B4-BE49-F238E27FC236}">
              <a16:creationId xmlns:a16="http://schemas.microsoft.com/office/drawing/2014/main" id="{AB071B52-C511-91DC-59BD-19EE0DF69A35}"/>
            </a:ext>
          </a:extLst>
        </xdr:cNvPr>
        <xdr:cNvSpPr txBox="1"/>
      </xdr:nvSpPr>
      <xdr:spPr>
        <a:xfrm>
          <a:off x="1426277" y="105555554"/>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251</xdr:row>
      <xdr:rowOff>72984</xdr:rowOff>
    </xdr:from>
    <xdr:to>
      <xdr:col>2</xdr:col>
      <xdr:colOff>1414381</xdr:colOff>
      <xdr:row>253</xdr:row>
      <xdr:rowOff>329043</xdr:rowOff>
    </xdr:to>
    <xdr:sp macro="" textlink="">
      <xdr:nvSpPr>
        <xdr:cNvPr id="54" name="テキスト ボックス 53">
          <a:extLst>
            <a:ext uri="{FF2B5EF4-FFF2-40B4-BE49-F238E27FC236}">
              <a16:creationId xmlns:a16="http://schemas.microsoft.com/office/drawing/2014/main" id="{E7790151-503B-00B7-61F0-BC88C0B37BAE}"/>
            </a:ext>
          </a:extLst>
        </xdr:cNvPr>
        <xdr:cNvSpPr txBox="1"/>
      </xdr:nvSpPr>
      <xdr:spPr>
        <a:xfrm>
          <a:off x="1401536" y="88505805"/>
          <a:ext cx="1373559" cy="103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255</xdr:row>
      <xdr:rowOff>51955</xdr:rowOff>
    </xdr:from>
    <xdr:to>
      <xdr:col>2</xdr:col>
      <xdr:colOff>1414381</xdr:colOff>
      <xdr:row>256</xdr:row>
      <xdr:rowOff>359968</xdr:rowOff>
    </xdr:to>
    <xdr:sp macro="" textlink="">
      <xdr:nvSpPr>
        <xdr:cNvPr id="55" name="テキスト ボックス 54">
          <a:extLst>
            <a:ext uri="{FF2B5EF4-FFF2-40B4-BE49-F238E27FC236}">
              <a16:creationId xmlns:a16="http://schemas.microsoft.com/office/drawing/2014/main" id="{BD796426-E238-2470-A611-73B7A3D46D35}"/>
            </a:ext>
          </a:extLst>
        </xdr:cNvPr>
        <xdr:cNvSpPr txBox="1"/>
      </xdr:nvSpPr>
      <xdr:spPr>
        <a:xfrm>
          <a:off x="1426277" y="101051591"/>
          <a:ext cx="1373559" cy="7063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400" b="1"/>
            <a:t>発注ロット</a:t>
          </a:r>
          <a:endParaRPr kumimoji="1" lang="en-US" altLang="ja-JP" sz="1400" b="1"/>
        </a:p>
        <a:p>
          <a:pPr algn="ctr"/>
          <a:r>
            <a:rPr kumimoji="1" lang="ja-JP" altLang="en-US" sz="1400" b="1"/>
            <a:t>なし</a:t>
          </a:r>
          <a:endParaRPr kumimoji="1" lang="en-US" altLang="ja-JP" sz="1400" b="1"/>
        </a:p>
      </xdr:txBody>
    </xdr:sp>
    <xdr:clientData/>
  </xdr:twoCellAnchor>
  <xdr:twoCellAnchor>
    <xdr:from>
      <xdr:col>2</xdr:col>
      <xdr:colOff>40822</xdr:colOff>
      <xdr:row>266</xdr:row>
      <xdr:rowOff>122463</xdr:rowOff>
    </xdr:from>
    <xdr:to>
      <xdr:col>2</xdr:col>
      <xdr:colOff>1414381</xdr:colOff>
      <xdr:row>270</xdr:row>
      <xdr:rowOff>342650</xdr:rowOff>
    </xdr:to>
    <xdr:sp macro="" textlink="">
      <xdr:nvSpPr>
        <xdr:cNvPr id="56" name="テキスト ボックス 55">
          <a:extLst>
            <a:ext uri="{FF2B5EF4-FFF2-40B4-BE49-F238E27FC236}">
              <a16:creationId xmlns:a16="http://schemas.microsoft.com/office/drawing/2014/main" id="{7302B91E-55BE-386C-2907-612229D5603E}"/>
            </a:ext>
          </a:extLst>
        </xdr:cNvPr>
        <xdr:cNvSpPr txBox="1"/>
      </xdr:nvSpPr>
      <xdr:spPr>
        <a:xfrm>
          <a:off x="1426277" y="11426659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2</xdr:col>
      <xdr:colOff>40822</xdr:colOff>
      <xdr:row>276</xdr:row>
      <xdr:rowOff>139781</xdr:rowOff>
    </xdr:from>
    <xdr:to>
      <xdr:col>2</xdr:col>
      <xdr:colOff>1414381</xdr:colOff>
      <xdr:row>280</xdr:row>
      <xdr:rowOff>359968</xdr:rowOff>
    </xdr:to>
    <xdr:sp macro="" textlink="">
      <xdr:nvSpPr>
        <xdr:cNvPr id="57" name="テキスト ボックス 56">
          <a:extLst>
            <a:ext uri="{FF2B5EF4-FFF2-40B4-BE49-F238E27FC236}">
              <a16:creationId xmlns:a16="http://schemas.microsoft.com/office/drawing/2014/main" id="{D7A0FDE8-05B8-C49E-C985-867844EA883E}"/>
            </a:ext>
          </a:extLst>
        </xdr:cNvPr>
        <xdr:cNvSpPr txBox="1"/>
      </xdr:nvSpPr>
      <xdr:spPr>
        <a:xfrm>
          <a:off x="1426277" y="118648099"/>
          <a:ext cx="1373559" cy="18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a:t>発注</a:t>
          </a:r>
          <a:r>
            <a:rPr kumimoji="1" lang="ja-JP" altLang="en-US" sz="1400" b="1" i="0" u="none" strike="noStrike" kern="0" cap="none" spc="0" normalizeH="0" baseline="0" noProof="0">
              <a:ln>
                <a:noFill/>
              </a:ln>
              <a:solidFill>
                <a:prstClr val="black"/>
              </a:solidFill>
              <a:effectLst/>
              <a:uLnTx/>
              <a:uFillTx/>
              <a:latin typeface="+mn-lt"/>
              <a:ea typeface="+mn-ea"/>
              <a:cs typeface="+mn-cs"/>
            </a:rPr>
            <a:t>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44</xdr:col>
      <xdr:colOff>54429</xdr:colOff>
      <xdr:row>196</xdr:row>
      <xdr:rowOff>27213</xdr:rowOff>
    </xdr:from>
    <xdr:to>
      <xdr:col>45</xdr:col>
      <xdr:colOff>775607</xdr:colOff>
      <xdr:row>199</xdr:row>
      <xdr:rowOff>231321</xdr:rowOff>
    </xdr:to>
    <xdr:sp macro="" textlink="">
      <xdr:nvSpPr>
        <xdr:cNvPr id="2" name="テキスト ボックス 1">
          <a:extLst>
            <a:ext uri="{FF2B5EF4-FFF2-40B4-BE49-F238E27FC236}">
              <a16:creationId xmlns:a16="http://schemas.microsoft.com/office/drawing/2014/main" id="{CE515FF9-DB46-49C3-C8FB-E24B1906A2BF}"/>
            </a:ext>
          </a:extLst>
        </xdr:cNvPr>
        <xdr:cNvSpPr txBox="1"/>
      </xdr:nvSpPr>
      <xdr:spPr>
        <a:xfrm>
          <a:off x="20927786" y="76880356"/>
          <a:ext cx="1537607" cy="1387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a:t>
          </a:r>
          <a:r>
            <a:rPr kumimoji="1" lang="ja-JP" altLang="en-US" sz="1400" b="1"/>
            <a:t>月入荷</a:t>
          </a:r>
          <a:endParaRPr kumimoji="1" lang="en-US" altLang="ja-JP" sz="1400" b="1"/>
        </a:p>
      </xdr:txBody>
    </xdr:sp>
    <xdr:clientData/>
  </xdr:twoCellAnchor>
  <xdr:twoCellAnchor>
    <xdr:from>
      <xdr:col>2</xdr:col>
      <xdr:colOff>40822</xdr:colOff>
      <xdr:row>246</xdr:row>
      <xdr:rowOff>139781</xdr:rowOff>
    </xdr:from>
    <xdr:to>
      <xdr:col>2</xdr:col>
      <xdr:colOff>1414381</xdr:colOff>
      <xdr:row>250</xdr:row>
      <xdr:rowOff>359968</xdr:rowOff>
    </xdr:to>
    <xdr:sp macro="" textlink="">
      <xdr:nvSpPr>
        <xdr:cNvPr id="69" name="テキスト ボックス 68">
          <a:extLst>
            <a:ext uri="{FF2B5EF4-FFF2-40B4-BE49-F238E27FC236}">
              <a16:creationId xmlns:a16="http://schemas.microsoft.com/office/drawing/2014/main" id="{65CBC9D8-D56A-4201-8764-5B2B52DEE399}"/>
            </a:ext>
          </a:extLst>
        </xdr:cNvPr>
        <xdr:cNvSpPr txBox="1"/>
      </xdr:nvSpPr>
      <xdr:spPr>
        <a:xfrm>
          <a:off x="1401536" y="93158210"/>
          <a:ext cx="1373559" cy="1798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発注ロット</a:t>
          </a:r>
          <a:endParaRPr kumimoji="1" lang="en-US" altLang="ja-JP" sz="14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色</a:t>
          </a:r>
          <a:r>
            <a:rPr kumimoji="1" lang="en-US" altLang="ja-JP" sz="1400" b="1" i="0" u="none" strike="noStrike" kern="0" cap="none" spc="0" normalizeH="0" baseline="0" noProof="0">
              <a:ln>
                <a:noFill/>
              </a:ln>
              <a:solidFill>
                <a:prstClr val="black"/>
              </a:solidFill>
              <a:effectLst/>
              <a:uLnTx/>
              <a:uFillTx/>
              <a:latin typeface="+mn-lt"/>
              <a:ea typeface="+mn-ea"/>
              <a:cs typeface="+mn-cs"/>
            </a:rPr>
            <a:t>:300</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n-lt"/>
              <a:ea typeface="+mn-ea"/>
              <a:cs typeface="+mn-cs"/>
            </a:rPr>
            <a:t>型</a:t>
          </a:r>
          <a:r>
            <a:rPr kumimoji="1" lang="en-US" altLang="ja-JP" sz="1400" b="1" i="0" u="none" strike="noStrike" kern="0" cap="none" spc="0" normalizeH="0" baseline="0" noProof="0">
              <a:ln>
                <a:noFill/>
              </a:ln>
              <a:solidFill>
                <a:prstClr val="black"/>
              </a:solidFill>
              <a:effectLst/>
              <a:uLnTx/>
              <a:uFillTx/>
              <a:latin typeface="+mn-lt"/>
              <a:ea typeface="+mn-ea"/>
              <a:cs typeface="+mn-cs"/>
            </a:rPr>
            <a:t>:600</a:t>
          </a:r>
        </a:p>
      </xdr:txBody>
    </xdr:sp>
    <xdr:clientData/>
  </xdr:twoCellAnchor>
  <xdr:twoCellAnchor>
    <xdr:from>
      <xdr:col>54</xdr:col>
      <xdr:colOff>55665</xdr:colOff>
      <xdr:row>41</xdr:row>
      <xdr:rowOff>277091</xdr:rowOff>
    </xdr:from>
    <xdr:to>
      <xdr:col>55</xdr:col>
      <xdr:colOff>776842</xdr:colOff>
      <xdr:row>44</xdr:row>
      <xdr:rowOff>121227</xdr:rowOff>
    </xdr:to>
    <xdr:sp macro="" textlink="">
      <xdr:nvSpPr>
        <xdr:cNvPr id="22" name="テキスト ボックス 21">
          <a:extLst>
            <a:ext uri="{FF2B5EF4-FFF2-40B4-BE49-F238E27FC236}">
              <a16:creationId xmlns:a16="http://schemas.microsoft.com/office/drawing/2014/main" id="{FD14D87C-1CB0-1633-2094-AFAF0AD800CC}"/>
            </a:ext>
          </a:extLst>
        </xdr:cNvPr>
        <xdr:cNvSpPr txBox="1"/>
      </xdr:nvSpPr>
      <xdr:spPr>
        <a:xfrm>
          <a:off x="34250415" y="16020555"/>
          <a:ext cx="1537606"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4/5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39586</xdr:colOff>
      <xdr:row>52</xdr:row>
      <xdr:rowOff>0</xdr:rowOff>
    </xdr:from>
    <xdr:to>
      <xdr:col>57</xdr:col>
      <xdr:colOff>763238</xdr:colOff>
      <xdr:row>54</xdr:row>
      <xdr:rowOff>242454</xdr:rowOff>
    </xdr:to>
    <xdr:sp macro="" textlink="">
      <xdr:nvSpPr>
        <xdr:cNvPr id="43" name="テキスト ボックス 42">
          <a:extLst>
            <a:ext uri="{FF2B5EF4-FFF2-40B4-BE49-F238E27FC236}">
              <a16:creationId xmlns:a16="http://schemas.microsoft.com/office/drawing/2014/main" id="{30C6033F-C75E-491D-1F56-3FE2C7940A88}"/>
            </a:ext>
          </a:extLst>
        </xdr:cNvPr>
        <xdr:cNvSpPr txBox="1"/>
      </xdr:nvSpPr>
      <xdr:spPr>
        <a:xfrm>
          <a:off x="30778122" y="20084143"/>
          <a:ext cx="1540080" cy="1031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5/9</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56</xdr:col>
      <xdr:colOff>34637</xdr:colOff>
      <xdr:row>74</xdr:row>
      <xdr:rowOff>259771</xdr:rowOff>
    </xdr:from>
    <xdr:to>
      <xdr:col>57</xdr:col>
      <xdr:colOff>755815</xdr:colOff>
      <xdr:row>77</xdr:row>
      <xdr:rowOff>103908</xdr:rowOff>
    </xdr:to>
    <xdr:sp macro="" textlink="">
      <xdr:nvSpPr>
        <xdr:cNvPr id="46" name="テキスト ボックス 45">
          <a:extLst>
            <a:ext uri="{FF2B5EF4-FFF2-40B4-BE49-F238E27FC236}">
              <a16:creationId xmlns:a16="http://schemas.microsoft.com/office/drawing/2014/main" id="{76426BA8-1D1B-BBAB-31BD-14255F38931C}"/>
            </a:ext>
          </a:extLst>
        </xdr:cNvPr>
        <xdr:cNvSpPr txBox="1"/>
      </xdr:nvSpPr>
      <xdr:spPr>
        <a:xfrm>
          <a:off x="30653182" y="29267726"/>
          <a:ext cx="153513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4/2</a:t>
          </a:r>
        </a:p>
        <a:p>
          <a:pPr algn="ctr"/>
          <a:r>
            <a:rPr kumimoji="1" lang="ja-JP" altLang="en-US" sz="1600" b="1"/>
            <a:t>補充完了</a:t>
          </a:r>
          <a:endParaRPr kumimoji="1" lang="en-US" altLang="ja-JP" sz="1600" b="1"/>
        </a:p>
      </xdr:txBody>
    </xdr:sp>
    <xdr:clientData/>
  </xdr:twoCellAnchor>
  <xdr:twoCellAnchor>
    <xdr:from>
      <xdr:col>58</xdr:col>
      <xdr:colOff>69273</xdr:colOff>
      <xdr:row>103</xdr:row>
      <xdr:rowOff>0</xdr:rowOff>
    </xdr:from>
    <xdr:to>
      <xdr:col>59</xdr:col>
      <xdr:colOff>790452</xdr:colOff>
      <xdr:row>105</xdr:row>
      <xdr:rowOff>242455</xdr:rowOff>
    </xdr:to>
    <xdr:sp macro="" textlink="">
      <xdr:nvSpPr>
        <xdr:cNvPr id="59" name="テキスト ボックス 58">
          <a:extLst>
            <a:ext uri="{FF2B5EF4-FFF2-40B4-BE49-F238E27FC236}">
              <a16:creationId xmlns:a16="http://schemas.microsoft.com/office/drawing/2014/main" id="{BEC4C73F-DF88-1DE3-16C2-3FE29B4DF7A3}"/>
            </a:ext>
          </a:extLst>
        </xdr:cNvPr>
        <xdr:cNvSpPr txBox="1"/>
      </xdr:nvSpPr>
      <xdr:spPr>
        <a:xfrm>
          <a:off x="32575500" y="40541864"/>
          <a:ext cx="1535134"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68036</xdr:colOff>
      <xdr:row>225</xdr:row>
      <xdr:rowOff>380999</xdr:rowOff>
    </xdr:from>
    <xdr:to>
      <xdr:col>53</xdr:col>
      <xdr:colOff>734786</xdr:colOff>
      <xdr:row>228</xdr:row>
      <xdr:rowOff>54429</xdr:rowOff>
    </xdr:to>
    <xdr:sp macro="" textlink="">
      <xdr:nvSpPr>
        <xdr:cNvPr id="70" name="テキスト ボックス 69">
          <a:extLst>
            <a:ext uri="{FF2B5EF4-FFF2-40B4-BE49-F238E27FC236}">
              <a16:creationId xmlns:a16="http://schemas.microsoft.com/office/drawing/2014/main" id="{55E9974D-B1E7-414D-A2B0-A576464455AF}"/>
            </a:ext>
          </a:extLst>
        </xdr:cNvPr>
        <xdr:cNvSpPr txBox="1"/>
      </xdr:nvSpPr>
      <xdr:spPr>
        <a:xfrm>
          <a:off x="28506965" y="88664142"/>
          <a:ext cx="1483178" cy="857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3/5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51954</xdr:colOff>
      <xdr:row>30</xdr:row>
      <xdr:rowOff>155864</xdr:rowOff>
    </xdr:from>
    <xdr:to>
      <xdr:col>59</xdr:col>
      <xdr:colOff>773131</xdr:colOff>
      <xdr:row>33</xdr:row>
      <xdr:rowOff>0</xdr:rowOff>
    </xdr:to>
    <xdr:sp macro="" textlink="">
      <xdr:nvSpPr>
        <xdr:cNvPr id="71" name="テキスト ボックス 70">
          <a:extLst>
            <a:ext uri="{FF2B5EF4-FFF2-40B4-BE49-F238E27FC236}">
              <a16:creationId xmlns:a16="http://schemas.microsoft.com/office/drawing/2014/main" id="{D150B19D-0A94-FDAB-14EC-7CAAB8BDE84A}"/>
            </a:ext>
          </a:extLst>
        </xdr:cNvPr>
        <xdr:cNvSpPr txBox="1"/>
      </xdr:nvSpPr>
      <xdr:spPr>
        <a:xfrm>
          <a:off x="37337999" y="11655137"/>
          <a:ext cx="1535132" cy="10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5/9</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48</xdr:col>
      <xdr:colOff>54430</xdr:colOff>
      <xdr:row>188</xdr:row>
      <xdr:rowOff>27213</xdr:rowOff>
    </xdr:from>
    <xdr:to>
      <xdr:col>49</xdr:col>
      <xdr:colOff>775607</xdr:colOff>
      <xdr:row>192</xdr:row>
      <xdr:rowOff>56030</xdr:rowOff>
    </xdr:to>
    <xdr:sp macro="" textlink="">
      <xdr:nvSpPr>
        <xdr:cNvPr id="4" name="テキスト ボックス 3">
          <a:extLst>
            <a:ext uri="{FF2B5EF4-FFF2-40B4-BE49-F238E27FC236}">
              <a16:creationId xmlns:a16="http://schemas.microsoft.com/office/drawing/2014/main" id="{22B2D6ED-E8A5-BA2F-8F5F-8D512263946E}"/>
            </a:ext>
          </a:extLst>
        </xdr:cNvPr>
        <xdr:cNvSpPr txBox="1"/>
      </xdr:nvSpPr>
      <xdr:spPr>
        <a:xfrm>
          <a:off x="29178518" y="73302478"/>
          <a:ext cx="1539207" cy="1597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※12/3</a:t>
          </a:r>
          <a:r>
            <a:rPr kumimoji="1" lang="ja-JP" altLang="en-US" sz="1400" b="1"/>
            <a:t>仕様替え完了</a:t>
          </a:r>
          <a:endParaRPr kumimoji="1" lang="en-US" altLang="ja-JP" sz="1400" b="1"/>
        </a:p>
        <a:p>
          <a:pPr algn="ctr"/>
          <a:endParaRPr kumimoji="1" lang="en-US" altLang="ja-JP" sz="1400" b="1"/>
        </a:p>
        <a:p>
          <a:pPr algn="ctr"/>
          <a:r>
            <a:rPr kumimoji="1" lang="en-US" altLang="ja-JP" sz="1600" b="1"/>
            <a:t>12/15</a:t>
          </a:r>
          <a:r>
            <a:rPr kumimoji="1" lang="ja-JP" altLang="en-US" sz="1600" b="1"/>
            <a:t>頃</a:t>
          </a:r>
          <a:endParaRPr kumimoji="1" lang="en-US" altLang="ja-JP" sz="1600" b="1"/>
        </a:p>
        <a:p>
          <a:pPr algn="ctr"/>
          <a:r>
            <a:rPr kumimoji="1" lang="en-US" altLang="ja-JP" sz="1600" b="1"/>
            <a:t>EC</a:t>
          </a:r>
          <a:r>
            <a:rPr kumimoji="1" lang="ja-JP" altLang="en-US" sz="1600" b="1"/>
            <a:t>補充完了</a:t>
          </a:r>
        </a:p>
      </xdr:txBody>
    </xdr:sp>
    <xdr:clientData/>
  </xdr:twoCellAnchor>
  <xdr:twoCellAnchor>
    <xdr:from>
      <xdr:col>48</xdr:col>
      <xdr:colOff>51954</xdr:colOff>
      <xdr:row>15</xdr:row>
      <xdr:rowOff>69273</xdr:rowOff>
    </xdr:from>
    <xdr:to>
      <xdr:col>49</xdr:col>
      <xdr:colOff>773132</xdr:colOff>
      <xdr:row>17</xdr:row>
      <xdr:rowOff>311727</xdr:rowOff>
    </xdr:to>
    <xdr:sp macro="" textlink="">
      <xdr:nvSpPr>
        <xdr:cNvPr id="6" name="テキスト ボックス 5">
          <a:extLst>
            <a:ext uri="{FF2B5EF4-FFF2-40B4-BE49-F238E27FC236}">
              <a16:creationId xmlns:a16="http://schemas.microsoft.com/office/drawing/2014/main" id="{053A9DF1-152B-4C8A-AD2F-7037357613BC}"/>
            </a:ext>
          </a:extLst>
        </xdr:cNvPr>
        <xdr:cNvSpPr txBox="1"/>
      </xdr:nvSpPr>
      <xdr:spPr>
        <a:xfrm>
          <a:off x="33389454" y="5552952"/>
          <a:ext cx="1537607" cy="1031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51954</xdr:colOff>
      <xdr:row>52</xdr:row>
      <xdr:rowOff>0</xdr:rowOff>
    </xdr:from>
    <xdr:to>
      <xdr:col>49</xdr:col>
      <xdr:colOff>773132</xdr:colOff>
      <xdr:row>54</xdr:row>
      <xdr:rowOff>242454</xdr:rowOff>
    </xdr:to>
    <xdr:sp macro="" textlink="">
      <xdr:nvSpPr>
        <xdr:cNvPr id="62" name="テキスト ボックス 61">
          <a:extLst>
            <a:ext uri="{FF2B5EF4-FFF2-40B4-BE49-F238E27FC236}">
              <a16:creationId xmlns:a16="http://schemas.microsoft.com/office/drawing/2014/main" id="{C1D61173-A209-40B1-BF80-CB092C3D80DD}"/>
            </a:ext>
          </a:extLst>
        </xdr:cNvPr>
        <xdr:cNvSpPr txBox="1"/>
      </xdr:nvSpPr>
      <xdr:spPr>
        <a:xfrm>
          <a:off x="30123740" y="20084143"/>
          <a:ext cx="1537606" cy="1031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48</xdr:col>
      <xdr:colOff>51954</xdr:colOff>
      <xdr:row>74</xdr:row>
      <xdr:rowOff>259771</xdr:rowOff>
    </xdr:from>
    <xdr:to>
      <xdr:col>49</xdr:col>
      <xdr:colOff>773132</xdr:colOff>
      <xdr:row>77</xdr:row>
      <xdr:rowOff>103908</xdr:rowOff>
    </xdr:to>
    <xdr:sp macro="" textlink="">
      <xdr:nvSpPr>
        <xdr:cNvPr id="63" name="テキスト ボックス 62">
          <a:extLst>
            <a:ext uri="{FF2B5EF4-FFF2-40B4-BE49-F238E27FC236}">
              <a16:creationId xmlns:a16="http://schemas.microsoft.com/office/drawing/2014/main" id="{37A6BD63-B2B9-45B2-AB2E-B9BCDEB38F05}"/>
            </a:ext>
          </a:extLst>
        </xdr:cNvPr>
        <xdr:cNvSpPr txBox="1"/>
      </xdr:nvSpPr>
      <xdr:spPr>
        <a:xfrm>
          <a:off x="30123740" y="29011664"/>
          <a:ext cx="1537606"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40823</xdr:colOff>
      <xdr:row>88</xdr:row>
      <xdr:rowOff>207818</xdr:rowOff>
    </xdr:from>
    <xdr:to>
      <xdr:col>53</xdr:col>
      <xdr:colOff>762000</xdr:colOff>
      <xdr:row>91</xdr:row>
      <xdr:rowOff>51954</xdr:rowOff>
    </xdr:to>
    <xdr:sp macro="" textlink="">
      <xdr:nvSpPr>
        <xdr:cNvPr id="64" name="テキスト ボックス 63">
          <a:extLst>
            <a:ext uri="{FF2B5EF4-FFF2-40B4-BE49-F238E27FC236}">
              <a16:creationId xmlns:a16="http://schemas.microsoft.com/office/drawing/2014/main" id="{70C8EEA0-5BDD-875B-4AF8-F9B0728B5AAA}"/>
            </a:ext>
          </a:extLst>
        </xdr:cNvPr>
        <xdr:cNvSpPr txBox="1"/>
      </xdr:nvSpPr>
      <xdr:spPr>
        <a:xfrm>
          <a:off x="35011180" y="34484211"/>
          <a:ext cx="1537606"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3/5</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62</xdr:col>
      <xdr:colOff>55662</xdr:colOff>
      <xdr:row>63</xdr:row>
      <xdr:rowOff>277092</xdr:rowOff>
    </xdr:from>
    <xdr:to>
      <xdr:col>63</xdr:col>
      <xdr:colOff>776842</xdr:colOff>
      <xdr:row>66</xdr:row>
      <xdr:rowOff>121228</xdr:rowOff>
    </xdr:to>
    <xdr:sp macro="" textlink="">
      <xdr:nvSpPr>
        <xdr:cNvPr id="66" name="テキスト ボックス 65">
          <a:extLst>
            <a:ext uri="{FF2B5EF4-FFF2-40B4-BE49-F238E27FC236}">
              <a16:creationId xmlns:a16="http://schemas.microsoft.com/office/drawing/2014/main" id="{1D1F56C2-FA8B-56F3-9C9A-799BB199CBFE}"/>
            </a:ext>
          </a:extLst>
        </xdr:cNvPr>
        <xdr:cNvSpPr txBox="1"/>
      </xdr:nvSpPr>
      <xdr:spPr>
        <a:xfrm>
          <a:off x="40781841" y="24688306"/>
          <a:ext cx="1537608"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7/31</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55666</xdr:colOff>
      <xdr:row>41</xdr:row>
      <xdr:rowOff>277091</xdr:rowOff>
    </xdr:from>
    <xdr:to>
      <xdr:col>59</xdr:col>
      <xdr:colOff>776843</xdr:colOff>
      <xdr:row>44</xdr:row>
      <xdr:rowOff>121227</xdr:rowOff>
    </xdr:to>
    <xdr:sp macro="" textlink="">
      <xdr:nvSpPr>
        <xdr:cNvPr id="67" name="テキスト ボックス 66">
          <a:extLst>
            <a:ext uri="{FF2B5EF4-FFF2-40B4-BE49-F238E27FC236}">
              <a16:creationId xmlns:a16="http://schemas.microsoft.com/office/drawing/2014/main" id="{A9506D3C-7281-EF40-CE8F-8044BD6D3CE3}"/>
            </a:ext>
          </a:extLst>
        </xdr:cNvPr>
        <xdr:cNvSpPr txBox="1"/>
      </xdr:nvSpPr>
      <xdr:spPr>
        <a:xfrm>
          <a:off x="33393166" y="16020555"/>
          <a:ext cx="1537606"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5</a:t>
          </a:r>
          <a:r>
            <a:rPr kumimoji="1" lang="ja-JP" altLang="en-US" sz="1600" b="1"/>
            <a:t>月下旬</a:t>
          </a:r>
          <a:endParaRPr kumimoji="1" lang="en-US" altLang="ja-JP" sz="1600" b="1"/>
        </a:p>
      </xdr:txBody>
    </xdr:sp>
    <xdr:clientData/>
  </xdr:twoCellAnchor>
  <xdr:twoCellAnchor>
    <xdr:from>
      <xdr:col>60</xdr:col>
      <xdr:colOff>48243</xdr:colOff>
      <xdr:row>126</xdr:row>
      <xdr:rowOff>190499</xdr:rowOff>
    </xdr:from>
    <xdr:to>
      <xdr:col>61</xdr:col>
      <xdr:colOff>769421</xdr:colOff>
      <xdr:row>129</xdr:row>
      <xdr:rowOff>38347</xdr:rowOff>
    </xdr:to>
    <xdr:sp macro="" textlink="">
      <xdr:nvSpPr>
        <xdr:cNvPr id="68" name="テキスト ボックス 67">
          <a:extLst>
            <a:ext uri="{FF2B5EF4-FFF2-40B4-BE49-F238E27FC236}">
              <a16:creationId xmlns:a16="http://schemas.microsoft.com/office/drawing/2014/main" id="{3C0541AF-F448-55D5-DF17-CD122B93C8C3}"/>
            </a:ext>
          </a:extLst>
        </xdr:cNvPr>
        <xdr:cNvSpPr txBox="1"/>
      </xdr:nvSpPr>
      <xdr:spPr>
        <a:xfrm>
          <a:off x="39141564" y="49434749"/>
          <a:ext cx="1537607" cy="1031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48242</xdr:colOff>
      <xdr:row>122</xdr:row>
      <xdr:rowOff>312964</xdr:rowOff>
    </xdr:from>
    <xdr:to>
      <xdr:col>63</xdr:col>
      <xdr:colOff>769421</xdr:colOff>
      <xdr:row>125</xdr:row>
      <xdr:rowOff>160811</xdr:rowOff>
    </xdr:to>
    <xdr:sp macro="" textlink="">
      <xdr:nvSpPr>
        <xdr:cNvPr id="72" name="テキスト ボックス 71">
          <a:extLst>
            <a:ext uri="{FF2B5EF4-FFF2-40B4-BE49-F238E27FC236}">
              <a16:creationId xmlns:a16="http://schemas.microsoft.com/office/drawing/2014/main" id="{52552EF2-5A4F-BA21-C0B9-0FB5EED19E7F}"/>
            </a:ext>
          </a:extLst>
        </xdr:cNvPr>
        <xdr:cNvSpPr txBox="1"/>
      </xdr:nvSpPr>
      <xdr:spPr>
        <a:xfrm>
          <a:off x="15646830" y="47478523"/>
          <a:ext cx="1539209" cy="10244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7/10</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58</xdr:col>
      <xdr:colOff>48244</xdr:colOff>
      <xdr:row>114</xdr:row>
      <xdr:rowOff>258536</xdr:rowOff>
    </xdr:from>
    <xdr:to>
      <xdr:col>59</xdr:col>
      <xdr:colOff>769422</xdr:colOff>
      <xdr:row>117</xdr:row>
      <xdr:rowOff>106383</xdr:rowOff>
    </xdr:to>
    <xdr:sp macro="" textlink="">
      <xdr:nvSpPr>
        <xdr:cNvPr id="73" name="テキスト ボックス 72">
          <a:extLst>
            <a:ext uri="{FF2B5EF4-FFF2-40B4-BE49-F238E27FC236}">
              <a16:creationId xmlns:a16="http://schemas.microsoft.com/office/drawing/2014/main" id="{523B0AD9-7EBE-C84B-3627-CB630A094407}"/>
            </a:ext>
          </a:extLst>
        </xdr:cNvPr>
        <xdr:cNvSpPr txBox="1"/>
      </xdr:nvSpPr>
      <xdr:spPr>
        <a:xfrm>
          <a:off x="37508708" y="44767500"/>
          <a:ext cx="1537607" cy="1031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68036</xdr:colOff>
      <xdr:row>188</xdr:row>
      <xdr:rowOff>40821</xdr:rowOff>
    </xdr:from>
    <xdr:to>
      <xdr:col>59</xdr:col>
      <xdr:colOff>734785</xdr:colOff>
      <xdr:row>190</xdr:row>
      <xdr:rowOff>54428</xdr:rowOff>
    </xdr:to>
    <xdr:sp macro="" textlink="">
      <xdr:nvSpPr>
        <xdr:cNvPr id="75" name="テキスト ボックス 74">
          <a:extLst>
            <a:ext uri="{FF2B5EF4-FFF2-40B4-BE49-F238E27FC236}">
              <a16:creationId xmlns:a16="http://schemas.microsoft.com/office/drawing/2014/main" id="{B5602E9B-DD1D-4458-B350-37E4D0D034F1}"/>
            </a:ext>
          </a:extLst>
        </xdr:cNvPr>
        <xdr:cNvSpPr txBox="1"/>
      </xdr:nvSpPr>
      <xdr:spPr>
        <a:xfrm>
          <a:off x="24520072" y="63627000"/>
          <a:ext cx="1483177" cy="802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95250</xdr:colOff>
      <xdr:row>206</xdr:row>
      <xdr:rowOff>204108</xdr:rowOff>
    </xdr:from>
    <xdr:to>
      <xdr:col>57</xdr:col>
      <xdr:colOff>761999</xdr:colOff>
      <xdr:row>208</xdr:row>
      <xdr:rowOff>135701</xdr:rowOff>
    </xdr:to>
    <xdr:sp macro="" textlink="">
      <xdr:nvSpPr>
        <xdr:cNvPr id="11" name="テキスト ボックス 10">
          <a:extLst>
            <a:ext uri="{FF2B5EF4-FFF2-40B4-BE49-F238E27FC236}">
              <a16:creationId xmlns:a16="http://schemas.microsoft.com/office/drawing/2014/main" id="{0A00B193-3B2C-4F6D-B11A-BDDD3F597569}"/>
            </a:ext>
          </a:extLst>
        </xdr:cNvPr>
        <xdr:cNvSpPr txBox="1"/>
      </xdr:nvSpPr>
      <xdr:spPr>
        <a:xfrm>
          <a:off x="34290000" y="80989715"/>
          <a:ext cx="1483178" cy="720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4/18</a:t>
          </a:r>
          <a:endParaRPr kumimoji="1" lang="ja-JP" altLang="en-US" sz="1600" b="1"/>
        </a:p>
      </xdr:txBody>
    </xdr:sp>
    <xdr:clientData/>
  </xdr:twoCellAnchor>
  <xdr:twoCellAnchor>
    <xdr:from>
      <xdr:col>58</xdr:col>
      <xdr:colOff>81643</xdr:colOff>
      <xdr:row>235</xdr:row>
      <xdr:rowOff>163286</xdr:rowOff>
    </xdr:from>
    <xdr:to>
      <xdr:col>59</xdr:col>
      <xdr:colOff>748392</xdr:colOff>
      <xdr:row>237</xdr:row>
      <xdr:rowOff>231322</xdr:rowOff>
    </xdr:to>
    <xdr:sp macro="" textlink="">
      <xdr:nvSpPr>
        <xdr:cNvPr id="15" name="テキスト ボックス 14">
          <a:extLst>
            <a:ext uri="{FF2B5EF4-FFF2-40B4-BE49-F238E27FC236}">
              <a16:creationId xmlns:a16="http://schemas.microsoft.com/office/drawing/2014/main" id="{4CC7CAB3-0F00-431A-B1D2-5939C6E0A8DB}"/>
            </a:ext>
          </a:extLst>
        </xdr:cNvPr>
        <xdr:cNvSpPr txBox="1"/>
      </xdr:nvSpPr>
      <xdr:spPr>
        <a:xfrm>
          <a:off x="24533679" y="82282393"/>
          <a:ext cx="1483177"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81643</xdr:colOff>
      <xdr:row>236</xdr:row>
      <xdr:rowOff>341414</xdr:rowOff>
    </xdr:from>
    <xdr:to>
      <xdr:col>63</xdr:col>
      <xdr:colOff>748393</xdr:colOff>
      <xdr:row>238</xdr:row>
      <xdr:rowOff>382235</xdr:rowOff>
    </xdr:to>
    <xdr:sp macro="" textlink="">
      <xdr:nvSpPr>
        <xdr:cNvPr id="18" name="テキスト ボックス 17">
          <a:extLst>
            <a:ext uri="{FF2B5EF4-FFF2-40B4-BE49-F238E27FC236}">
              <a16:creationId xmlns:a16="http://schemas.microsoft.com/office/drawing/2014/main" id="{B1902BBE-FA03-D551-0F94-2CEB0B8694A9}"/>
            </a:ext>
          </a:extLst>
        </xdr:cNvPr>
        <xdr:cNvSpPr txBox="1"/>
      </xdr:nvSpPr>
      <xdr:spPr>
        <a:xfrm>
          <a:off x="18075234" y="93565187"/>
          <a:ext cx="1480704" cy="83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7/10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81643</xdr:colOff>
      <xdr:row>246</xdr:row>
      <xdr:rowOff>68035</xdr:rowOff>
    </xdr:from>
    <xdr:to>
      <xdr:col>63</xdr:col>
      <xdr:colOff>748393</xdr:colOff>
      <xdr:row>248</xdr:row>
      <xdr:rowOff>190500</xdr:rowOff>
    </xdr:to>
    <xdr:sp macro="" textlink="">
      <xdr:nvSpPr>
        <xdr:cNvPr id="24" name="テキスト ボックス 23">
          <a:extLst>
            <a:ext uri="{FF2B5EF4-FFF2-40B4-BE49-F238E27FC236}">
              <a16:creationId xmlns:a16="http://schemas.microsoft.com/office/drawing/2014/main" id="{000F3935-D057-1132-EF3F-CF081894789D}"/>
            </a:ext>
          </a:extLst>
        </xdr:cNvPr>
        <xdr:cNvSpPr txBox="1"/>
      </xdr:nvSpPr>
      <xdr:spPr>
        <a:xfrm>
          <a:off x="18165536" y="96392999"/>
          <a:ext cx="1483178" cy="9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7/10</a:t>
          </a:r>
          <a:r>
            <a:rPr kumimoji="1" lang="ja-JP" altLang="en-US" sz="1600" b="1"/>
            <a:t>頃</a:t>
          </a:r>
        </a:p>
        <a:p>
          <a:pPr algn="ctr"/>
          <a:r>
            <a:rPr kumimoji="1" lang="ja-JP" altLang="en-US" sz="1600" b="1"/>
            <a:t>補充完了</a:t>
          </a:r>
        </a:p>
      </xdr:txBody>
    </xdr:sp>
    <xdr:clientData/>
  </xdr:twoCellAnchor>
  <xdr:twoCellAnchor>
    <xdr:from>
      <xdr:col>60</xdr:col>
      <xdr:colOff>81643</xdr:colOff>
      <xdr:row>251</xdr:row>
      <xdr:rowOff>340179</xdr:rowOff>
    </xdr:from>
    <xdr:to>
      <xdr:col>61</xdr:col>
      <xdr:colOff>748392</xdr:colOff>
      <xdr:row>253</xdr:row>
      <xdr:rowOff>367019</xdr:rowOff>
    </xdr:to>
    <xdr:sp macro="" textlink="">
      <xdr:nvSpPr>
        <xdr:cNvPr id="74" name="テキスト ボックス 73">
          <a:extLst>
            <a:ext uri="{FF2B5EF4-FFF2-40B4-BE49-F238E27FC236}">
              <a16:creationId xmlns:a16="http://schemas.microsoft.com/office/drawing/2014/main" id="{DE79DDE4-58C9-4C54-33E9-E2AD29A1F999}"/>
            </a:ext>
          </a:extLst>
        </xdr:cNvPr>
        <xdr:cNvSpPr txBox="1"/>
      </xdr:nvSpPr>
      <xdr:spPr>
        <a:xfrm>
          <a:off x="26166536" y="88773000"/>
          <a:ext cx="1483177" cy="802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81642</xdr:colOff>
      <xdr:row>251</xdr:row>
      <xdr:rowOff>326572</xdr:rowOff>
    </xdr:from>
    <xdr:to>
      <xdr:col>67</xdr:col>
      <xdr:colOff>748392</xdr:colOff>
      <xdr:row>254</xdr:row>
      <xdr:rowOff>0</xdr:rowOff>
    </xdr:to>
    <xdr:sp macro="" textlink="">
      <xdr:nvSpPr>
        <xdr:cNvPr id="76" name="テキスト ボックス 75">
          <a:extLst>
            <a:ext uri="{FF2B5EF4-FFF2-40B4-BE49-F238E27FC236}">
              <a16:creationId xmlns:a16="http://schemas.microsoft.com/office/drawing/2014/main" id="{B9A0CFFA-EE78-64D6-E478-844CB24A795E}"/>
            </a:ext>
          </a:extLst>
        </xdr:cNvPr>
        <xdr:cNvSpPr txBox="1"/>
      </xdr:nvSpPr>
      <xdr:spPr>
        <a:xfrm>
          <a:off x="18981963" y="88759393"/>
          <a:ext cx="1483179" cy="843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95249</xdr:colOff>
      <xdr:row>255</xdr:row>
      <xdr:rowOff>163285</xdr:rowOff>
    </xdr:from>
    <xdr:to>
      <xdr:col>57</xdr:col>
      <xdr:colOff>761998</xdr:colOff>
      <xdr:row>257</xdr:row>
      <xdr:rowOff>159575</xdr:rowOff>
    </xdr:to>
    <xdr:sp macro="" textlink="">
      <xdr:nvSpPr>
        <xdr:cNvPr id="77" name="テキスト ボックス 76">
          <a:extLst>
            <a:ext uri="{FF2B5EF4-FFF2-40B4-BE49-F238E27FC236}">
              <a16:creationId xmlns:a16="http://schemas.microsoft.com/office/drawing/2014/main" id="{0C39C0D4-5C5B-DF79-E665-48C87590A20C}"/>
            </a:ext>
          </a:extLst>
        </xdr:cNvPr>
        <xdr:cNvSpPr txBox="1"/>
      </xdr:nvSpPr>
      <xdr:spPr>
        <a:xfrm>
          <a:off x="30592567" y="90962512"/>
          <a:ext cx="1480704" cy="792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122465</xdr:colOff>
      <xdr:row>176</xdr:row>
      <xdr:rowOff>68034</xdr:rowOff>
    </xdr:from>
    <xdr:to>
      <xdr:col>59</xdr:col>
      <xdr:colOff>789214</xdr:colOff>
      <xdr:row>178</xdr:row>
      <xdr:rowOff>136071</xdr:rowOff>
    </xdr:to>
    <xdr:sp macro="" textlink="">
      <xdr:nvSpPr>
        <xdr:cNvPr id="65" name="テキスト ボックス 64">
          <a:extLst>
            <a:ext uri="{FF2B5EF4-FFF2-40B4-BE49-F238E27FC236}">
              <a16:creationId xmlns:a16="http://schemas.microsoft.com/office/drawing/2014/main" id="{786B30DE-3C94-4739-A4B4-58CCA9545BB6}"/>
            </a:ext>
          </a:extLst>
        </xdr:cNvPr>
        <xdr:cNvSpPr txBox="1"/>
      </xdr:nvSpPr>
      <xdr:spPr>
        <a:xfrm>
          <a:off x="22166036" y="58918927"/>
          <a:ext cx="1483178" cy="857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86590</xdr:colOff>
      <xdr:row>263</xdr:row>
      <xdr:rowOff>388792</xdr:rowOff>
    </xdr:from>
    <xdr:to>
      <xdr:col>57</xdr:col>
      <xdr:colOff>753339</xdr:colOff>
      <xdr:row>266</xdr:row>
      <xdr:rowOff>108857</xdr:rowOff>
    </xdr:to>
    <xdr:sp macro="" textlink="">
      <xdr:nvSpPr>
        <xdr:cNvPr id="78" name="テキスト ボックス 77">
          <a:extLst>
            <a:ext uri="{FF2B5EF4-FFF2-40B4-BE49-F238E27FC236}">
              <a16:creationId xmlns:a16="http://schemas.microsoft.com/office/drawing/2014/main" id="{E2645568-3658-46B5-B25B-A36151DA53B9}"/>
            </a:ext>
          </a:extLst>
        </xdr:cNvPr>
        <xdr:cNvSpPr txBox="1"/>
      </xdr:nvSpPr>
      <xdr:spPr>
        <a:xfrm>
          <a:off x="25423090" y="93135078"/>
          <a:ext cx="1483178" cy="903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86590</xdr:colOff>
      <xdr:row>275</xdr:row>
      <xdr:rowOff>242454</xdr:rowOff>
    </xdr:from>
    <xdr:to>
      <xdr:col>57</xdr:col>
      <xdr:colOff>753339</xdr:colOff>
      <xdr:row>277</xdr:row>
      <xdr:rowOff>363682</xdr:rowOff>
    </xdr:to>
    <xdr:sp macro="" textlink="">
      <xdr:nvSpPr>
        <xdr:cNvPr id="79" name="テキスト ボックス 78">
          <a:extLst>
            <a:ext uri="{FF2B5EF4-FFF2-40B4-BE49-F238E27FC236}">
              <a16:creationId xmlns:a16="http://schemas.microsoft.com/office/drawing/2014/main" id="{53DBA297-0169-4FD3-8651-1EB013A7BF36}"/>
            </a:ext>
          </a:extLst>
        </xdr:cNvPr>
        <xdr:cNvSpPr txBox="1"/>
      </xdr:nvSpPr>
      <xdr:spPr>
        <a:xfrm>
          <a:off x="23656635" y="98592409"/>
          <a:ext cx="1480704" cy="917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77934</xdr:colOff>
      <xdr:row>176</xdr:row>
      <xdr:rowOff>41195</xdr:rowOff>
    </xdr:from>
    <xdr:to>
      <xdr:col>57</xdr:col>
      <xdr:colOff>744683</xdr:colOff>
      <xdr:row>178</xdr:row>
      <xdr:rowOff>51955</xdr:rowOff>
    </xdr:to>
    <xdr:sp macro="" textlink="">
      <xdr:nvSpPr>
        <xdr:cNvPr id="30" name="テキスト ボックス 29">
          <a:extLst>
            <a:ext uri="{FF2B5EF4-FFF2-40B4-BE49-F238E27FC236}">
              <a16:creationId xmlns:a16="http://schemas.microsoft.com/office/drawing/2014/main" id="{86D9C528-71FD-4375-9364-1574F4C009BF}"/>
            </a:ext>
          </a:extLst>
        </xdr:cNvPr>
        <xdr:cNvSpPr txBox="1"/>
      </xdr:nvSpPr>
      <xdr:spPr>
        <a:xfrm>
          <a:off x="31614343" y="59667695"/>
          <a:ext cx="1480704" cy="807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4/18</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60</xdr:col>
      <xdr:colOff>48244</xdr:colOff>
      <xdr:row>71</xdr:row>
      <xdr:rowOff>314199</xdr:rowOff>
    </xdr:from>
    <xdr:to>
      <xdr:col>61</xdr:col>
      <xdr:colOff>769422</xdr:colOff>
      <xdr:row>74</xdr:row>
      <xdr:rowOff>158337</xdr:rowOff>
    </xdr:to>
    <xdr:sp macro="" textlink="">
      <xdr:nvSpPr>
        <xdr:cNvPr id="31" name="テキスト ボックス 30">
          <a:extLst>
            <a:ext uri="{FF2B5EF4-FFF2-40B4-BE49-F238E27FC236}">
              <a16:creationId xmlns:a16="http://schemas.microsoft.com/office/drawing/2014/main" id="{88C6E5F1-B824-4526-BAD9-5CCC036D01D0}"/>
            </a:ext>
          </a:extLst>
        </xdr:cNvPr>
        <xdr:cNvSpPr txBox="1"/>
      </xdr:nvSpPr>
      <xdr:spPr>
        <a:xfrm>
          <a:off x="22200673" y="27637342"/>
          <a:ext cx="1537606" cy="1027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6/20</a:t>
          </a:r>
        </a:p>
      </xdr:txBody>
    </xdr:sp>
    <xdr:clientData/>
  </xdr:twoCellAnchor>
  <xdr:twoCellAnchor>
    <xdr:from>
      <xdr:col>58</xdr:col>
      <xdr:colOff>54428</xdr:colOff>
      <xdr:row>17</xdr:row>
      <xdr:rowOff>27214</xdr:rowOff>
    </xdr:from>
    <xdr:to>
      <xdr:col>59</xdr:col>
      <xdr:colOff>775605</xdr:colOff>
      <xdr:row>19</xdr:row>
      <xdr:rowOff>265957</xdr:rowOff>
    </xdr:to>
    <xdr:sp macro="" textlink="">
      <xdr:nvSpPr>
        <xdr:cNvPr id="58" name="テキスト ボックス 57">
          <a:extLst>
            <a:ext uri="{FF2B5EF4-FFF2-40B4-BE49-F238E27FC236}">
              <a16:creationId xmlns:a16="http://schemas.microsoft.com/office/drawing/2014/main" id="{58A2D562-94E7-4D67-8B34-BCD34735D44A}"/>
            </a:ext>
          </a:extLst>
        </xdr:cNvPr>
        <xdr:cNvSpPr txBox="1"/>
      </xdr:nvSpPr>
      <xdr:spPr>
        <a:xfrm>
          <a:off x="39923357" y="6300107"/>
          <a:ext cx="1537605"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5/15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40821</xdr:colOff>
      <xdr:row>17</xdr:row>
      <xdr:rowOff>27214</xdr:rowOff>
    </xdr:from>
    <xdr:to>
      <xdr:col>61</xdr:col>
      <xdr:colOff>761998</xdr:colOff>
      <xdr:row>19</xdr:row>
      <xdr:rowOff>265957</xdr:rowOff>
    </xdr:to>
    <xdr:sp macro="" textlink="">
      <xdr:nvSpPr>
        <xdr:cNvPr id="61" name="テキスト ボックス 60">
          <a:extLst>
            <a:ext uri="{FF2B5EF4-FFF2-40B4-BE49-F238E27FC236}">
              <a16:creationId xmlns:a16="http://schemas.microsoft.com/office/drawing/2014/main" id="{E522B26D-31F4-2953-B89C-E9F8F1104413}"/>
            </a:ext>
          </a:extLst>
        </xdr:cNvPr>
        <xdr:cNvSpPr txBox="1"/>
      </xdr:nvSpPr>
      <xdr:spPr>
        <a:xfrm>
          <a:off x="35011178" y="6300107"/>
          <a:ext cx="1537606"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68036</xdr:colOff>
      <xdr:row>41</xdr:row>
      <xdr:rowOff>277091</xdr:rowOff>
    </xdr:from>
    <xdr:to>
      <xdr:col>63</xdr:col>
      <xdr:colOff>789213</xdr:colOff>
      <xdr:row>44</xdr:row>
      <xdr:rowOff>121227</xdr:rowOff>
    </xdr:to>
    <xdr:sp macro="" textlink="">
      <xdr:nvSpPr>
        <xdr:cNvPr id="80" name="テキスト ボックス 79">
          <a:extLst>
            <a:ext uri="{FF2B5EF4-FFF2-40B4-BE49-F238E27FC236}">
              <a16:creationId xmlns:a16="http://schemas.microsoft.com/office/drawing/2014/main" id="{A77A7503-E488-A9EE-5FEA-4480D16BB275}"/>
            </a:ext>
          </a:extLst>
        </xdr:cNvPr>
        <xdr:cNvSpPr txBox="1"/>
      </xdr:nvSpPr>
      <xdr:spPr>
        <a:xfrm>
          <a:off x="43202679" y="16020555"/>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54</xdr:col>
      <xdr:colOff>54429</xdr:colOff>
      <xdr:row>15</xdr:row>
      <xdr:rowOff>54428</xdr:rowOff>
    </xdr:from>
    <xdr:to>
      <xdr:col>55</xdr:col>
      <xdr:colOff>775605</xdr:colOff>
      <xdr:row>17</xdr:row>
      <xdr:rowOff>293171</xdr:rowOff>
    </xdr:to>
    <xdr:sp macro="" textlink="">
      <xdr:nvSpPr>
        <xdr:cNvPr id="81" name="テキスト ボックス 80">
          <a:extLst>
            <a:ext uri="{FF2B5EF4-FFF2-40B4-BE49-F238E27FC236}">
              <a16:creationId xmlns:a16="http://schemas.microsoft.com/office/drawing/2014/main" id="{6AEECDBF-64F0-E9D6-9940-3351AFBE37AB}"/>
            </a:ext>
          </a:extLst>
        </xdr:cNvPr>
        <xdr:cNvSpPr txBox="1"/>
      </xdr:nvSpPr>
      <xdr:spPr>
        <a:xfrm>
          <a:off x="36657643" y="5538107"/>
          <a:ext cx="1537605"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3/21</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58</xdr:col>
      <xdr:colOff>95249</xdr:colOff>
      <xdr:row>196</xdr:row>
      <xdr:rowOff>176893</xdr:rowOff>
    </xdr:from>
    <xdr:to>
      <xdr:col>59</xdr:col>
      <xdr:colOff>761999</xdr:colOff>
      <xdr:row>198</xdr:row>
      <xdr:rowOff>204107</xdr:rowOff>
    </xdr:to>
    <xdr:sp macro="" textlink="">
      <xdr:nvSpPr>
        <xdr:cNvPr id="82" name="テキスト ボックス 81">
          <a:extLst>
            <a:ext uri="{FF2B5EF4-FFF2-40B4-BE49-F238E27FC236}">
              <a16:creationId xmlns:a16="http://schemas.microsoft.com/office/drawing/2014/main" id="{4F460602-E315-1CEE-164B-A38155EDD419}"/>
            </a:ext>
          </a:extLst>
        </xdr:cNvPr>
        <xdr:cNvSpPr txBox="1"/>
      </xdr:nvSpPr>
      <xdr:spPr>
        <a:xfrm>
          <a:off x="22138820" y="66919929"/>
          <a:ext cx="1483179" cy="816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54429</xdr:colOff>
      <xdr:row>15</xdr:row>
      <xdr:rowOff>54428</xdr:rowOff>
    </xdr:from>
    <xdr:to>
      <xdr:col>53</xdr:col>
      <xdr:colOff>775605</xdr:colOff>
      <xdr:row>17</xdr:row>
      <xdr:rowOff>293171</xdr:rowOff>
    </xdr:to>
    <xdr:sp macro="" textlink="">
      <xdr:nvSpPr>
        <xdr:cNvPr id="83" name="テキスト ボックス 82">
          <a:extLst>
            <a:ext uri="{FF2B5EF4-FFF2-40B4-BE49-F238E27FC236}">
              <a16:creationId xmlns:a16="http://schemas.microsoft.com/office/drawing/2014/main" id="{30E0AB37-7587-4ACB-9F0B-D56CD8381966}"/>
            </a:ext>
          </a:extLst>
        </xdr:cNvPr>
        <xdr:cNvSpPr txBox="1"/>
      </xdr:nvSpPr>
      <xdr:spPr>
        <a:xfrm>
          <a:off x="35024786" y="5538107"/>
          <a:ext cx="1537605"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52</xdr:col>
      <xdr:colOff>51954</xdr:colOff>
      <xdr:row>103</xdr:row>
      <xdr:rowOff>0</xdr:rowOff>
    </xdr:from>
    <xdr:to>
      <xdr:col>53</xdr:col>
      <xdr:colOff>773133</xdr:colOff>
      <xdr:row>105</xdr:row>
      <xdr:rowOff>242455</xdr:rowOff>
    </xdr:to>
    <xdr:sp macro="" textlink="">
      <xdr:nvSpPr>
        <xdr:cNvPr id="89" name="テキスト ボックス 88">
          <a:extLst>
            <a:ext uri="{FF2B5EF4-FFF2-40B4-BE49-F238E27FC236}">
              <a16:creationId xmlns:a16="http://schemas.microsoft.com/office/drawing/2014/main" id="{D8512971-A581-4648-B870-CE4FED62962E}"/>
            </a:ext>
          </a:extLst>
        </xdr:cNvPr>
        <xdr:cNvSpPr txBox="1"/>
      </xdr:nvSpPr>
      <xdr:spPr>
        <a:xfrm>
          <a:off x="36655168" y="40181893"/>
          <a:ext cx="1537608" cy="1031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3/14</a:t>
          </a:r>
        </a:p>
      </xdr:txBody>
    </xdr:sp>
    <xdr:clientData/>
  </xdr:twoCellAnchor>
  <xdr:twoCellAnchor>
    <xdr:from>
      <xdr:col>52</xdr:col>
      <xdr:colOff>51954</xdr:colOff>
      <xdr:row>103</xdr:row>
      <xdr:rowOff>0</xdr:rowOff>
    </xdr:from>
    <xdr:to>
      <xdr:col>53</xdr:col>
      <xdr:colOff>773133</xdr:colOff>
      <xdr:row>105</xdr:row>
      <xdr:rowOff>242455</xdr:rowOff>
    </xdr:to>
    <xdr:sp macro="" textlink="">
      <xdr:nvSpPr>
        <xdr:cNvPr id="90" name="テキスト ボックス 89">
          <a:extLst>
            <a:ext uri="{FF2B5EF4-FFF2-40B4-BE49-F238E27FC236}">
              <a16:creationId xmlns:a16="http://schemas.microsoft.com/office/drawing/2014/main" id="{9F2175F0-C4B5-4DE6-BA0A-EA47C55F527B}"/>
            </a:ext>
          </a:extLst>
        </xdr:cNvPr>
        <xdr:cNvSpPr txBox="1"/>
      </xdr:nvSpPr>
      <xdr:spPr>
        <a:xfrm>
          <a:off x="36655168" y="40181893"/>
          <a:ext cx="1537608" cy="1031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68037</xdr:colOff>
      <xdr:row>176</xdr:row>
      <xdr:rowOff>11205</xdr:rowOff>
    </xdr:from>
    <xdr:to>
      <xdr:col>63</xdr:col>
      <xdr:colOff>734786</xdr:colOff>
      <xdr:row>178</xdr:row>
      <xdr:rowOff>13607</xdr:rowOff>
    </xdr:to>
    <xdr:sp macro="" textlink="">
      <xdr:nvSpPr>
        <xdr:cNvPr id="23" name="テキスト ボックス 22">
          <a:extLst>
            <a:ext uri="{FF2B5EF4-FFF2-40B4-BE49-F238E27FC236}">
              <a16:creationId xmlns:a16="http://schemas.microsoft.com/office/drawing/2014/main" id="{6E6F091A-3E90-70DE-630F-1ADC9AA72A23}"/>
            </a:ext>
          </a:extLst>
        </xdr:cNvPr>
        <xdr:cNvSpPr txBox="1"/>
      </xdr:nvSpPr>
      <xdr:spPr>
        <a:xfrm>
          <a:off x="18849096" y="68344676"/>
          <a:ext cx="1484778" cy="78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7/18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54428</xdr:colOff>
      <xdr:row>41</xdr:row>
      <xdr:rowOff>277091</xdr:rowOff>
    </xdr:from>
    <xdr:to>
      <xdr:col>65</xdr:col>
      <xdr:colOff>775605</xdr:colOff>
      <xdr:row>44</xdr:row>
      <xdr:rowOff>121227</xdr:rowOff>
    </xdr:to>
    <xdr:sp macro="" textlink="">
      <xdr:nvSpPr>
        <xdr:cNvPr id="85" name="テキスト ボックス 84">
          <a:extLst>
            <a:ext uri="{FF2B5EF4-FFF2-40B4-BE49-F238E27FC236}">
              <a16:creationId xmlns:a16="http://schemas.microsoft.com/office/drawing/2014/main" id="{8E6B7725-8B87-D6F6-F4B7-FB847F34D5CF}"/>
            </a:ext>
          </a:extLst>
        </xdr:cNvPr>
        <xdr:cNvSpPr txBox="1"/>
      </xdr:nvSpPr>
      <xdr:spPr>
        <a:xfrm>
          <a:off x="31759071" y="16020555"/>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8/25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95252</xdr:colOff>
      <xdr:row>176</xdr:row>
      <xdr:rowOff>33617</xdr:rowOff>
    </xdr:from>
    <xdr:to>
      <xdr:col>65</xdr:col>
      <xdr:colOff>762001</xdr:colOff>
      <xdr:row>178</xdr:row>
      <xdr:rowOff>44824</xdr:rowOff>
    </xdr:to>
    <xdr:sp macro="" textlink="">
      <xdr:nvSpPr>
        <xdr:cNvPr id="86" name="テキスト ボックス 85">
          <a:extLst>
            <a:ext uri="{FF2B5EF4-FFF2-40B4-BE49-F238E27FC236}">
              <a16:creationId xmlns:a16="http://schemas.microsoft.com/office/drawing/2014/main" id="{53771633-56E5-13F1-454A-07A1956148C1}"/>
            </a:ext>
          </a:extLst>
        </xdr:cNvPr>
        <xdr:cNvSpPr txBox="1"/>
      </xdr:nvSpPr>
      <xdr:spPr>
        <a:xfrm>
          <a:off x="20512370" y="68367088"/>
          <a:ext cx="1484778"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225136</xdr:colOff>
      <xdr:row>73</xdr:row>
      <xdr:rowOff>329043</xdr:rowOff>
    </xdr:from>
    <xdr:to>
      <xdr:col>63</xdr:col>
      <xdr:colOff>692727</xdr:colOff>
      <xdr:row>76</xdr:row>
      <xdr:rowOff>173181</xdr:rowOff>
    </xdr:to>
    <xdr:sp macro="" textlink="">
      <xdr:nvSpPr>
        <xdr:cNvPr id="87" name="テキスト ボックス 86">
          <a:extLst>
            <a:ext uri="{FF2B5EF4-FFF2-40B4-BE49-F238E27FC236}">
              <a16:creationId xmlns:a16="http://schemas.microsoft.com/office/drawing/2014/main" id="{7CA266CA-EA3D-2096-4E04-CC2D47181B1D}"/>
            </a:ext>
          </a:extLst>
        </xdr:cNvPr>
        <xdr:cNvSpPr txBox="1"/>
      </xdr:nvSpPr>
      <xdr:spPr>
        <a:xfrm>
          <a:off x="35259818" y="28696225"/>
          <a:ext cx="1281545" cy="10390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7/10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40821</xdr:colOff>
      <xdr:row>17</xdr:row>
      <xdr:rowOff>27214</xdr:rowOff>
    </xdr:from>
    <xdr:to>
      <xdr:col>65</xdr:col>
      <xdr:colOff>761998</xdr:colOff>
      <xdr:row>19</xdr:row>
      <xdr:rowOff>265957</xdr:rowOff>
    </xdr:to>
    <xdr:sp macro="" textlink="">
      <xdr:nvSpPr>
        <xdr:cNvPr id="84" name="テキスト ボックス 83">
          <a:extLst>
            <a:ext uri="{FF2B5EF4-FFF2-40B4-BE49-F238E27FC236}">
              <a16:creationId xmlns:a16="http://schemas.microsoft.com/office/drawing/2014/main" id="{E980A151-B1F8-96E2-6C37-067F6118FC1A}"/>
            </a:ext>
          </a:extLst>
        </xdr:cNvPr>
        <xdr:cNvSpPr txBox="1"/>
      </xdr:nvSpPr>
      <xdr:spPr>
        <a:xfrm>
          <a:off x="25458964" y="6055178"/>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8/15</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87</xdr:row>
      <xdr:rowOff>246163</xdr:rowOff>
    </xdr:from>
    <xdr:to>
      <xdr:col>65</xdr:col>
      <xdr:colOff>762000</xdr:colOff>
      <xdr:row>90</xdr:row>
      <xdr:rowOff>90300</xdr:rowOff>
    </xdr:to>
    <xdr:sp macro="" textlink="">
      <xdr:nvSpPr>
        <xdr:cNvPr id="92" name="テキスト ボックス 91">
          <a:extLst>
            <a:ext uri="{FF2B5EF4-FFF2-40B4-BE49-F238E27FC236}">
              <a16:creationId xmlns:a16="http://schemas.microsoft.com/office/drawing/2014/main" id="{A74D9217-0260-1223-CFFE-3E0A90FC74D5}"/>
            </a:ext>
          </a:extLst>
        </xdr:cNvPr>
        <xdr:cNvSpPr txBox="1"/>
      </xdr:nvSpPr>
      <xdr:spPr>
        <a:xfrm>
          <a:off x="38276893" y="34127949"/>
          <a:ext cx="1537607"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104</xdr:row>
      <xdr:rowOff>82878</xdr:rowOff>
    </xdr:from>
    <xdr:to>
      <xdr:col>65</xdr:col>
      <xdr:colOff>762000</xdr:colOff>
      <xdr:row>106</xdr:row>
      <xdr:rowOff>321622</xdr:rowOff>
    </xdr:to>
    <xdr:sp macro="" textlink="">
      <xdr:nvSpPr>
        <xdr:cNvPr id="93" name="テキスト ボックス 92">
          <a:extLst>
            <a:ext uri="{FF2B5EF4-FFF2-40B4-BE49-F238E27FC236}">
              <a16:creationId xmlns:a16="http://schemas.microsoft.com/office/drawing/2014/main" id="{752B1919-5158-37EE-1EC1-D2FE31DC8292}"/>
            </a:ext>
          </a:extLst>
        </xdr:cNvPr>
        <xdr:cNvSpPr txBox="1"/>
      </xdr:nvSpPr>
      <xdr:spPr>
        <a:xfrm>
          <a:off x="38276893" y="40659378"/>
          <a:ext cx="1537607"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40822</xdr:colOff>
      <xdr:row>115</xdr:row>
      <xdr:rowOff>137307</xdr:rowOff>
    </xdr:from>
    <xdr:to>
      <xdr:col>65</xdr:col>
      <xdr:colOff>762000</xdr:colOff>
      <xdr:row>117</xdr:row>
      <xdr:rowOff>376050</xdr:rowOff>
    </xdr:to>
    <xdr:sp macro="" textlink="">
      <xdr:nvSpPr>
        <xdr:cNvPr id="94" name="テキスト ボックス 93">
          <a:extLst>
            <a:ext uri="{FF2B5EF4-FFF2-40B4-BE49-F238E27FC236}">
              <a16:creationId xmlns:a16="http://schemas.microsoft.com/office/drawing/2014/main" id="{0A8FBF4B-2328-6F7C-37DB-AB88BD8FDB4C}"/>
            </a:ext>
          </a:extLst>
        </xdr:cNvPr>
        <xdr:cNvSpPr txBox="1"/>
      </xdr:nvSpPr>
      <xdr:spPr>
        <a:xfrm>
          <a:off x="38276893" y="45040878"/>
          <a:ext cx="1537607"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8/10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54</xdr:col>
      <xdr:colOff>34636</xdr:colOff>
      <xdr:row>124</xdr:row>
      <xdr:rowOff>241218</xdr:rowOff>
    </xdr:from>
    <xdr:to>
      <xdr:col>55</xdr:col>
      <xdr:colOff>755814</xdr:colOff>
      <xdr:row>127</xdr:row>
      <xdr:rowOff>85353</xdr:rowOff>
    </xdr:to>
    <xdr:sp macro="" textlink="">
      <xdr:nvSpPr>
        <xdr:cNvPr id="95" name="テキスト ボックス 94">
          <a:extLst>
            <a:ext uri="{FF2B5EF4-FFF2-40B4-BE49-F238E27FC236}">
              <a16:creationId xmlns:a16="http://schemas.microsoft.com/office/drawing/2014/main" id="{D37FFCE3-705F-2385-7CCE-1F91B159965E}"/>
            </a:ext>
          </a:extLst>
        </xdr:cNvPr>
        <xdr:cNvSpPr txBox="1"/>
      </xdr:nvSpPr>
      <xdr:spPr>
        <a:xfrm>
          <a:off x="29943136" y="49130445"/>
          <a:ext cx="1535133" cy="10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solidFill>
                <a:schemeClr val="dk1"/>
              </a:solidFill>
              <a:effectLst/>
              <a:latin typeface="+mn-lt"/>
              <a:ea typeface="+mn-ea"/>
              <a:cs typeface="+mn-cs"/>
            </a:rPr>
            <a:t>3/31</a:t>
          </a:r>
          <a:r>
            <a:rPr kumimoji="1" lang="ja-JP" altLang="ja-JP" sz="1600" b="1">
              <a:solidFill>
                <a:schemeClr val="dk1"/>
              </a:solidFill>
              <a:effectLst/>
              <a:latin typeface="+mn-lt"/>
              <a:ea typeface="+mn-ea"/>
              <a:cs typeface="+mn-cs"/>
            </a:rPr>
            <a:t>頃</a:t>
          </a:r>
          <a:endParaRPr lang="ja-JP" altLang="ja-JP" sz="1600">
            <a:effectLst/>
          </a:endParaRPr>
        </a:p>
        <a:p>
          <a:pPr algn="ctr"/>
          <a:r>
            <a:rPr kumimoji="1" lang="ja-JP" altLang="ja-JP" sz="1600" b="1">
              <a:solidFill>
                <a:schemeClr val="dk1"/>
              </a:solidFill>
              <a:effectLst/>
              <a:latin typeface="+mn-lt"/>
              <a:ea typeface="+mn-ea"/>
              <a:cs typeface="+mn-cs"/>
            </a:rPr>
            <a:t>補充完了</a:t>
          </a:r>
          <a:endParaRPr lang="ja-JP" altLang="ja-JP" sz="1600">
            <a:effectLst/>
          </a:endParaRPr>
        </a:p>
      </xdr:txBody>
    </xdr:sp>
    <xdr:clientData/>
  </xdr:twoCellAnchor>
  <xdr:twoCellAnchor>
    <xdr:from>
      <xdr:col>64</xdr:col>
      <xdr:colOff>34635</xdr:colOff>
      <xdr:row>126</xdr:row>
      <xdr:rowOff>244928</xdr:rowOff>
    </xdr:from>
    <xdr:to>
      <xdr:col>65</xdr:col>
      <xdr:colOff>755814</xdr:colOff>
      <xdr:row>129</xdr:row>
      <xdr:rowOff>92776</xdr:rowOff>
    </xdr:to>
    <xdr:sp macro="" textlink="">
      <xdr:nvSpPr>
        <xdr:cNvPr id="96" name="テキスト ボックス 95">
          <a:extLst>
            <a:ext uri="{FF2B5EF4-FFF2-40B4-BE49-F238E27FC236}">
              <a16:creationId xmlns:a16="http://schemas.microsoft.com/office/drawing/2014/main" id="{BCACBBA9-141F-8E27-F26A-F5F6DDA89284}"/>
            </a:ext>
          </a:extLst>
        </xdr:cNvPr>
        <xdr:cNvSpPr txBox="1"/>
      </xdr:nvSpPr>
      <xdr:spPr>
        <a:xfrm>
          <a:off x="38270706" y="49489178"/>
          <a:ext cx="1537608" cy="1031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8/20</a:t>
          </a:r>
          <a:r>
            <a:rPr kumimoji="1" lang="ja-JP" altLang="en-US" sz="1600" b="1" i="0" u="none" strike="noStrike" kern="0" cap="none" spc="0" normalizeH="0" baseline="0" noProof="0">
              <a:ln>
                <a:noFill/>
              </a:ln>
              <a:solidFill>
                <a:prstClr val="black"/>
              </a:solidFill>
              <a:effectLst/>
              <a:uLnTx/>
              <a:uFillTx/>
              <a:latin typeface="+mn-lt"/>
              <a:ea typeface="+mn-ea"/>
              <a:cs typeface="+mn-cs"/>
            </a:rPr>
            <a:t>頃</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prstClr val="black"/>
              </a:solidFill>
              <a:effectLst/>
              <a:uLnTx/>
              <a:uFillTx/>
              <a:latin typeface="+mn-lt"/>
              <a:ea typeface="+mn-ea"/>
              <a:cs typeface="+mn-cs"/>
            </a:rPr>
            <a:t>補充完了</a:t>
          </a:r>
          <a:endParaRPr kumimoji="1" lang="en-US" altLang="ja-JP" sz="16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58</xdr:col>
      <xdr:colOff>54429</xdr:colOff>
      <xdr:row>255</xdr:row>
      <xdr:rowOff>149678</xdr:rowOff>
    </xdr:from>
    <xdr:to>
      <xdr:col>59</xdr:col>
      <xdr:colOff>721177</xdr:colOff>
      <xdr:row>257</xdr:row>
      <xdr:rowOff>163286</xdr:rowOff>
    </xdr:to>
    <xdr:sp macro="" textlink="">
      <xdr:nvSpPr>
        <xdr:cNvPr id="97" name="テキスト ボックス 96">
          <a:extLst>
            <a:ext uri="{FF2B5EF4-FFF2-40B4-BE49-F238E27FC236}">
              <a16:creationId xmlns:a16="http://schemas.microsoft.com/office/drawing/2014/main" id="{E9CF224C-8947-D1DA-5169-645FB24EA985}"/>
            </a:ext>
          </a:extLst>
        </xdr:cNvPr>
        <xdr:cNvSpPr txBox="1"/>
      </xdr:nvSpPr>
      <xdr:spPr>
        <a:xfrm>
          <a:off x="24506465" y="90133714"/>
          <a:ext cx="1483176" cy="802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95251</xdr:colOff>
      <xdr:row>255</xdr:row>
      <xdr:rowOff>136071</xdr:rowOff>
    </xdr:from>
    <xdr:to>
      <xdr:col>61</xdr:col>
      <xdr:colOff>761999</xdr:colOff>
      <xdr:row>257</xdr:row>
      <xdr:rowOff>145594</xdr:rowOff>
    </xdr:to>
    <xdr:sp macro="" textlink="">
      <xdr:nvSpPr>
        <xdr:cNvPr id="88" name="テキスト ボックス 87">
          <a:extLst>
            <a:ext uri="{FF2B5EF4-FFF2-40B4-BE49-F238E27FC236}">
              <a16:creationId xmlns:a16="http://schemas.microsoft.com/office/drawing/2014/main" id="{1C48D517-D39B-C922-C089-0A134FE09725}"/>
            </a:ext>
          </a:extLst>
        </xdr:cNvPr>
        <xdr:cNvSpPr txBox="1"/>
      </xdr:nvSpPr>
      <xdr:spPr>
        <a:xfrm>
          <a:off x="26180144" y="90120107"/>
          <a:ext cx="1483176" cy="798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6/20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81644</xdr:colOff>
      <xdr:row>255</xdr:row>
      <xdr:rowOff>217713</xdr:rowOff>
    </xdr:from>
    <xdr:to>
      <xdr:col>63</xdr:col>
      <xdr:colOff>748392</xdr:colOff>
      <xdr:row>257</xdr:row>
      <xdr:rowOff>145594</xdr:rowOff>
    </xdr:to>
    <xdr:sp macro="" textlink="">
      <xdr:nvSpPr>
        <xdr:cNvPr id="98" name="テキスト ボックス 97">
          <a:extLst>
            <a:ext uri="{FF2B5EF4-FFF2-40B4-BE49-F238E27FC236}">
              <a16:creationId xmlns:a16="http://schemas.microsoft.com/office/drawing/2014/main" id="{F4B92B0E-E77C-86B0-5687-142080040829}"/>
            </a:ext>
          </a:extLst>
        </xdr:cNvPr>
        <xdr:cNvSpPr txBox="1"/>
      </xdr:nvSpPr>
      <xdr:spPr>
        <a:xfrm>
          <a:off x="35462689" y="91016940"/>
          <a:ext cx="1480703" cy="7245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7/11</a:t>
          </a:r>
        </a:p>
        <a:p>
          <a:pPr algn="ctr"/>
          <a:endParaRPr kumimoji="1" lang="en-US" altLang="ja-JP" sz="1600" b="1"/>
        </a:p>
      </xdr:txBody>
    </xdr:sp>
    <xdr:clientData/>
  </xdr:twoCellAnchor>
  <xdr:twoCellAnchor>
    <xdr:from>
      <xdr:col>66</xdr:col>
      <xdr:colOff>77930</xdr:colOff>
      <xdr:row>196</xdr:row>
      <xdr:rowOff>176893</xdr:rowOff>
    </xdr:from>
    <xdr:to>
      <xdr:col>67</xdr:col>
      <xdr:colOff>744681</xdr:colOff>
      <xdr:row>198</xdr:row>
      <xdr:rowOff>108486</xdr:rowOff>
    </xdr:to>
    <xdr:sp macro="" textlink="">
      <xdr:nvSpPr>
        <xdr:cNvPr id="99" name="テキスト ボックス 98">
          <a:extLst>
            <a:ext uri="{FF2B5EF4-FFF2-40B4-BE49-F238E27FC236}">
              <a16:creationId xmlns:a16="http://schemas.microsoft.com/office/drawing/2014/main" id="{5ACC447C-48D6-C5D5-9379-27674D3FF343}"/>
            </a:ext>
          </a:extLst>
        </xdr:cNvPr>
        <xdr:cNvSpPr txBox="1"/>
      </xdr:nvSpPr>
      <xdr:spPr>
        <a:xfrm>
          <a:off x="39753885" y="67769757"/>
          <a:ext cx="1480705" cy="7282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9/1</a:t>
          </a:r>
        </a:p>
      </xdr:txBody>
    </xdr:sp>
    <xdr:clientData/>
  </xdr:twoCellAnchor>
  <xdr:twoCellAnchor>
    <xdr:from>
      <xdr:col>66</xdr:col>
      <xdr:colOff>54120</xdr:colOff>
      <xdr:row>74</xdr:row>
      <xdr:rowOff>259771</xdr:rowOff>
    </xdr:from>
    <xdr:to>
      <xdr:col>67</xdr:col>
      <xdr:colOff>775299</xdr:colOff>
      <xdr:row>77</xdr:row>
      <xdr:rowOff>103908</xdr:rowOff>
    </xdr:to>
    <xdr:sp macro="" textlink="">
      <xdr:nvSpPr>
        <xdr:cNvPr id="102" name="テキスト ボックス 101">
          <a:extLst>
            <a:ext uri="{FF2B5EF4-FFF2-40B4-BE49-F238E27FC236}">
              <a16:creationId xmlns:a16="http://schemas.microsoft.com/office/drawing/2014/main" id="{D9826097-FBA5-B222-8394-3CA3C7583BFC}"/>
            </a:ext>
          </a:extLst>
        </xdr:cNvPr>
        <xdr:cNvSpPr txBox="1"/>
      </xdr:nvSpPr>
      <xdr:spPr>
        <a:xfrm>
          <a:off x="31891433" y="27858459"/>
          <a:ext cx="1530804" cy="9871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9/30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51954</xdr:colOff>
      <xdr:row>126</xdr:row>
      <xdr:rowOff>244928</xdr:rowOff>
    </xdr:from>
    <xdr:to>
      <xdr:col>67</xdr:col>
      <xdr:colOff>773134</xdr:colOff>
      <xdr:row>129</xdr:row>
      <xdr:rowOff>92776</xdr:rowOff>
    </xdr:to>
    <xdr:sp macro="" textlink="">
      <xdr:nvSpPr>
        <xdr:cNvPr id="103" name="テキスト ボックス 102">
          <a:extLst>
            <a:ext uri="{FF2B5EF4-FFF2-40B4-BE49-F238E27FC236}">
              <a16:creationId xmlns:a16="http://schemas.microsoft.com/office/drawing/2014/main" id="{0252090A-E2ED-3DF8-2E6F-92FB081E6F54}"/>
            </a:ext>
          </a:extLst>
        </xdr:cNvPr>
        <xdr:cNvSpPr txBox="1"/>
      </xdr:nvSpPr>
      <xdr:spPr>
        <a:xfrm>
          <a:off x="39727909" y="49930792"/>
          <a:ext cx="1535134" cy="10428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62</xdr:col>
      <xdr:colOff>65561</xdr:colOff>
      <xdr:row>161</xdr:row>
      <xdr:rowOff>225136</xdr:rowOff>
    </xdr:from>
    <xdr:to>
      <xdr:col>63</xdr:col>
      <xdr:colOff>786739</xdr:colOff>
      <xdr:row>164</xdr:row>
      <xdr:rowOff>72983</xdr:rowOff>
    </xdr:to>
    <xdr:sp macro="" textlink="">
      <xdr:nvSpPr>
        <xdr:cNvPr id="104" name="テキスト ボックス 103">
          <a:extLst>
            <a:ext uri="{FF2B5EF4-FFF2-40B4-BE49-F238E27FC236}">
              <a16:creationId xmlns:a16="http://schemas.microsoft.com/office/drawing/2014/main" id="{77470EA4-DB6B-79BC-A5E5-D055222699DF}"/>
            </a:ext>
          </a:extLst>
        </xdr:cNvPr>
        <xdr:cNvSpPr txBox="1"/>
      </xdr:nvSpPr>
      <xdr:spPr>
        <a:xfrm>
          <a:off x="36485697" y="53894181"/>
          <a:ext cx="1535133" cy="10428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7/10</a:t>
          </a:r>
        </a:p>
      </xdr:txBody>
    </xdr:sp>
    <xdr:clientData/>
  </xdr:twoCellAnchor>
  <xdr:twoCellAnchor>
    <xdr:from>
      <xdr:col>66</xdr:col>
      <xdr:colOff>77931</xdr:colOff>
      <xdr:row>206</xdr:row>
      <xdr:rowOff>204108</xdr:rowOff>
    </xdr:from>
    <xdr:to>
      <xdr:col>67</xdr:col>
      <xdr:colOff>744681</xdr:colOff>
      <xdr:row>208</xdr:row>
      <xdr:rowOff>212912</xdr:rowOff>
    </xdr:to>
    <xdr:sp macro="" textlink="">
      <xdr:nvSpPr>
        <xdr:cNvPr id="105" name="テキスト ボックス 104">
          <a:extLst>
            <a:ext uri="{FF2B5EF4-FFF2-40B4-BE49-F238E27FC236}">
              <a16:creationId xmlns:a16="http://schemas.microsoft.com/office/drawing/2014/main" id="{0CC0DC96-EBDD-8B51-38CC-6CF2F807DF29}"/>
            </a:ext>
          </a:extLst>
        </xdr:cNvPr>
        <xdr:cNvSpPr txBox="1"/>
      </xdr:nvSpPr>
      <xdr:spPr>
        <a:xfrm>
          <a:off x="18858990" y="80292549"/>
          <a:ext cx="1484779" cy="7932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56</xdr:col>
      <xdr:colOff>51955</xdr:colOff>
      <xdr:row>30</xdr:row>
      <xdr:rowOff>155864</xdr:rowOff>
    </xdr:from>
    <xdr:to>
      <xdr:col>57</xdr:col>
      <xdr:colOff>773132</xdr:colOff>
      <xdr:row>33</xdr:row>
      <xdr:rowOff>0</xdr:rowOff>
    </xdr:to>
    <xdr:sp macro="" textlink="">
      <xdr:nvSpPr>
        <xdr:cNvPr id="60" name="テキスト ボックス 59">
          <a:extLst>
            <a:ext uri="{FF2B5EF4-FFF2-40B4-BE49-F238E27FC236}">
              <a16:creationId xmlns:a16="http://schemas.microsoft.com/office/drawing/2014/main" id="{E48256A4-FA11-29DD-CF0B-1905F228C433}"/>
            </a:ext>
          </a:extLst>
        </xdr:cNvPr>
        <xdr:cNvSpPr txBox="1"/>
      </xdr:nvSpPr>
      <xdr:spPr>
        <a:xfrm>
          <a:off x="18842182" y="11412682"/>
          <a:ext cx="1535132"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70</xdr:col>
      <xdr:colOff>64323</xdr:colOff>
      <xdr:row>187</xdr:row>
      <xdr:rowOff>285751</xdr:rowOff>
    </xdr:from>
    <xdr:to>
      <xdr:col>71</xdr:col>
      <xdr:colOff>731074</xdr:colOff>
      <xdr:row>189</xdr:row>
      <xdr:rowOff>217343</xdr:rowOff>
    </xdr:to>
    <xdr:sp macro="" textlink="">
      <xdr:nvSpPr>
        <xdr:cNvPr id="109" name="テキスト ボックス 108">
          <a:extLst>
            <a:ext uri="{FF2B5EF4-FFF2-40B4-BE49-F238E27FC236}">
              <a16:creationId xmlns:a16="http://schemas.microsoft.com/office/drawing/2014/main" id="{8C25D8BD-3ACE-D532-8C89-4404692D3231}"/>
            </a:ext>
          </a:extLst>
        </xdr:cNvPr>
        <xdr:cNvSpPr txBox="1"/>
      </xdr:nvSpPr>
      <xdr:spPr>
        <a:xfrm>
          <a:off x="19889930" y="63477322"/>
          <a:ext cx="1483180" cy="720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11/7</a:t>
          </a:r>
        </a:p>
      </xdr:txBody>
    </xdr:sp>
    <xdr:clientData/>
  </xdr:twoCellAnchor>
  <xdr:twoCellAnchor>
    <xdr:from>
      <xdr:col>66</xdr:col>
      <xdr:colOff>77931</xdr:colOff>
      <xdr:row>225</xdr:row>
      <xdr:rowOff>353787</xdr:rowOff>
    </xdr:from>
    <xdr:to>
      <xdr:col>67</xdr:col>
      <xdr:colOff>744681</xdr:colOff>
      <xdr:row>228</xdr:row>
      <xdr:rowOff>11205</xdr:rowOff>
    </xdr:to>
    <xdr:sp macro="" textlink="">
      <xdr:nvSpPr>
        <xdr:cNvPr id="113" name="テキスト ボックス 112">
          <a:extLst>
            <a:ext uri="{FF2B5EF4-FFF2-40B4-BE49-F238E27FC236}">
              <a16:creationId xmlns:a16="http://schemas.microsoft.com/office/drawing/2014/main" id="{3F55DB67-B5B8-8984-38E2-4D2629605B03}"/>
            </a:ext>
          </a:extLst>
        </xdr:cNvPr>
        <xdr:cNvSpPr txBox="1"/>
      </xdr:nvSpPr>
      <xdr:spPr>
        <a:xfrm>
          <a:off x="18858990" y="87894140"/>
          <a:ext cx="1484779" cy="834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9/26</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68</xdr:col>
      <xdr:colOff>81642</xdr:colOff>
      <xdr:row>275</xdr:row>
      <xdr:rowOff>285748</xdr:rowOff>
    </xdr:from>
    <xdr:to>
      <xdr:col>69</xdr:col>
      <xdr:colOff>748392</xdr:colOff>
      <xdr:row>277</xdr:row>
      <xdr:rowOff>340178</xdr:rowOff>
    </xdr:to>
    <xdr:sp macro="" textlink="">
      <xdr:nvSpPr>
        <xdr:cNvPr id="114" name="テキスト ボックス 113">
          <a:extLst>
            <a:ext uri="{FF2B5EF4-FFF2-40B4-BE49-F238E27FC236}">
              <a16:creationId xmlns:a16="http://schemas.microsoft.com/office/drawing/2014/main" id="{F74D9FF9-8E00-2F5C-21FD-F6722CF7AB20}"/>
            </a:ext>
          </a:extLst>
        </xdr:cNvPr>
        <xdr:cNvSpPr txBox="1"/>
      </xdr:nvSpPr>
      <xdr:spPr>
        <a:xfrm>
          <a:off x="20614821" y="98148319"/>
          <a:ext cx="1483178" cy="843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60</xdr:col>
      <xdr:colOff>65561</xdr:colOff>
      <xdr:row>30</xdr:row>
      <xdr:rowOff>155864</xdr:rowOff>
    </xdr:from>
    <xdr:to>
      <xdr:col>61</xdr:col>
      <xdr:colOff>786738</xdr:colOff>
      <xdr:row>33</xdr:row>
      <xdr:rowOff>0</xdr:rowOff>
    </xdr:to>
    <xdr:sp macro="" textlink="">
      <xdr:nvSpPr>
        <xdr:cNvPr id="115" name="テキスト ボックス 114">
          <a:extLst>
            <a:ext uri="{FF2B5EF4-FFF2-40B4-BE49-F238E27FC236}">
              <a16:creationId xmlns:a16="http://schemas.microsoft.com/office/drawing/2014/main" id="{C2B2056C-064B-4B04-ABE0-C607AEB2B0D7}"/>
            </a:ext>
          </a:extLst>
        </xdr:cNvPr>
        <xdr:cNvSpPr txBox="1"/>
      </xdr:nvSpPr>
      <xdr:spPr>
        <a:xfrm>
          <a:off x="26980490" y="11313721"/>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6/10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54428</xdr:colOff>
      <xdr:row>63</xdr:row>
      <xdr:rowOff>277092</xdr:rowOff>
    </xdr:from>
    <xdr:to>
      <xdr:col>69</xdr:col>
      <xdr:colOff>775608</xdr:colOff>
      <xdr:row>66</xdr:row>
      <xdr:rowOff>121228</xdr:rowOff>
    </xdr:to>
    <xdr:sp macro="" textlink="">
      <xdr:nvSpPr>
        <xdr:cNvPr id="116" name="テキスト ボックス 115">
          <a:extLst>
            <a:ext uri="{FF2B5EF4-FFF2-40B4-BE49-F238E27FC236}">
              <a16:creationId xmlns:a16="http://schemas.microsoft.com/office/drawing/2014/main" id="{D56B7F2A-95ED-989A-28A0-055C6C9F16AC}"/>
            </a:ext>
          </a:extLst>
        </xdr:cNvPr>
        <xdr:cNvSpPr txBox="1"/>
      </xdr:nvSpPr>
      <xdr:spPr>
        <a:xfrm>
          <a:off x="32670749" y="24443378"/>
          <a:ext cx="1537609"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95250</xdr:colOff>
      <xdr:row>263</xdr:row>
      <xdr:rowOff>285749</xdr:rowOff>
    </xdr:from>
    <xdr:to>
      <xdr:col>69</xdr:col>
      <xdr:colOff>761998</xdr:colOff>
      <xdr:row>265</xdr:row>
      <xdr:rowOff>367393</xdr:rowOff>
    </xdr:to>
    <xdr:sp macro="" textlink="">
      <xdr:nvSpPr>
        <xdr:cNvPr id="117" name="テキスト ボックス 116">
          <a:extLst>
            <a:ext uri="{FF2B5EF4-FFF2-40B4-BE49-F238E27FC236}">
              <a16:creationId xmlns:a16="http://schemas.microsoft.com/office/drawing/2014/main" id="{1503DF5B-0C0C-DDDB-E5FA-1C00015251C4}"/>
            </a:ext>
          </a:extLst>
        </xdr:cNvPr>
        <xdr:cNvSpPr txBox="1"/>
      </xdr:nvSpPr>
      <xdr:spPr>
        <a:xfrm>
          <a:off x="20628429" y="93426642"/>
          <a:ext cx="1483176" cy="870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81642</xdr:colOff>
      <xdr:row>255</xdr:row>
      <xdr:rowOff>394606</xdr:rowOff>
    </xdr:from>
    <xdr:to>
      <xdr:col>67</xdr:col>
      <xdr:colOff>748392</xdr:colOff>
      <xdr:row>257</xdr:row>
      <xdr:rowOff>380999</xdr:rowOff>
    </xdr:to>
    <xdr:sp macro="" textlink="">
      <xdr:nvSpPr>
        <xdr:cNvPr id="118" name="テキスト ボックス 117">
          <a:extLst>
            <a:ext uri="{FF2B5EF4-FFF2-40B4-BE49-F238E27FC236}">
              <a16:creationId xmlns:a16="http://schemas.microsoft.com/office/drawing/2014/main" id="{6A57193F-4036-63A7-3656-DD93B136E4C0}"/>
            </a:ext>
          </a:extLst>
        </xdr:cNvPr>
        <xdr:cNvSpPr txBox="1"/>
      </xdr:nvSpPr>
      <xdr:spPr>
        <a:xfrm>
          <a:off x="18981963" y="90378642"/>
          <a:ext cx="1483179" cy="775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9/20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50715</xdr:colOff>
      <xdr:row>187</xdr:row>
      <xdr:rowOff>285751</xdr:rowOff>
    </xdr:from>
    <xdr:to>
      <xdr:col>69</xdr:col>
      <xdr:colOff>717466</xdr:colOff>
      <xdr:row>189</xdr:row>
      <xdr:rowOff>277091</xdr:rowOff>
    </xdr:to>
    <xdr:sp macro="" textlink="">
      <xdr:nvSpPr>
        <xdr:cNvPr id="91" name="テキスト ボックス 90">
          <a:extLst>
            <a:ext uri="{FF2B5EF4-FFF2-40B4-BE49-F238E27FC236}">
              <a16:creationId xmlns:a16="http://schemas.microsoft.com/office/drawing/2014/main" id="{396D3C84-EA3C-46F3-AE2C-8D99062FFD93}"/>
            </a:ext>
          </a:extLst>
        </xdr:cNvPr>
        <xdr:cNvSpPr txBox="1"/>
      </xdr:nvSpPr>
      <xdr:spPr>
        <a:xfrm>
          <a:off x="18243465" y="63477322"/>
          <a:ext cx="1483180" cy="78055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10/3</a:t>
          </a:r>
        </a:p>
      </xdr:txBody>
    </xdr:sp>
    <xdr:clientData/>
  </xdr:twoCellAnchor>
  <xdr:twoCellAnchor>
    <xdr:from>
      <xdr:col>68</xdr:col>
      <xdr:colOff>39586</xdr:colOff>
      <xdr:row>52</xdr:row>
      <xdr:rowOff>0</xdr:rowOff>
    </xdr:from>
    <xdr:to>
      <xdr:col>69</xdr:col>
      <xdr:colOff>763239</xdr:colOff>
      <xdr:row>54</xdr:row>
      <xdr:rowOff>242454</xdr:rowOff>
    </xdr:to>
    <xdr:sp macro="" textlink="">
      <xdr:nvSpPr>
        <xdr:cNvPr id="119" name="テキスト ボックス 118">
          <a:extLst>
            <a:ext uri="{FF2B5EF4-FFF2-40B4-BE49-F238E27FC236}">
              <a16:creationId xmlns:a16="http://schemas.microsoft.com/office/drawing/2014/main" id="{7BD05059-13FE-49BE-9238-6E30C01DFEB5}"/>
            </a:ext>
          </a:extLst>
        </xdr:cNvPr>
        <xdr:cNvSpPr txBox="1"/>
      </xdr:nvSpPr>
      <xdr:spPr>
        <a:xfrm>
          <a:off x="22910792" y="19744765"/>
          <a:ext cx="1541682" cy="102686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10/10</a:t>
          </a:r>
          <a:r>
            <a:rPr kumimoji="1" lang="ja-JP" altLang="en-US" sz="1400" b="1"/>
            <a:t>頃</a:t>
          </a:r>
          <a:endParaRPr kumimoji="1" lang="en-US" altLang="ja-JP" sz="1400" b="1"/>
        </a:p>
        <a:p>
          <a:pPr algn="ctr"/>
          <a:r>
            <a:rPr kumimoji="1" lang="ja-JP" altLang="en-US" sz="1400" b="1"/>
            <a:t>補充完了</a:t>
          </a:r>
          <a:endParaRPr kumimoji="1" lang="en-US" altLang="ja-JP" sz="1400" b="1"/>
        </a:p>
      </xdr:txBody>
    </xdr:sp>
    <xdr:clientData/>
  </xdr:twoCellAnchor>
  <xdr:twoCellAnchor>
    <xdr:from>
      <xdr:col>66</xdr:col>
      <xdr:colOff>40822</xdr:colOff>
      <xdr:row>17</xdr:row>
      <xdr:rowOff>27214</xdr:rowOff>
    </xdr:from>
    <xdr:to>
      <xdr:col>67</xdr:col>
      <xdr:colOff>761999</xdr:colOff>
      <xdr:row>19</xdr:row>
      <xdr:rowOff>265957</xdr:rowOff>
    </xdr:to>
    <xdr:sp macro="" textlink="">
      <xdr:nvSpPr>
        <xdr:cNvPr id="101" name="テキスト ボックス 100">
          <a:extLst>
            <a:ext uri="{FF2B5EF4-FFF2-40B4-BE49-F238E27FC236}">
              <a16:creationId xmlns:a16="http://schemas.microsoft.com/office/drawing/2014/main" id="{DB4BD5C9-311F-1564-3242-6D2B7BDE84A7}"/>
            </a:ext>
          </a:extLst>
        </xdr:cNvPr>
        <xdr:cNvSpPr txBox="1"/>
      </xdr:nvSpPr>
      <xdr:spPr>
        <a:xfrm>
          <a:off x="21390429" y="6055178"/>
          <a:ext cx="1537606"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9/30</a:t>
          </a:r>
          <a:r>
            <a:rPr kumimoji="1" lang="ja-JP" altLang="en-US" sz="1600" b="1"/>
            <a:t>頃</a:t>
          </a:r>
          <a:br>
            <a:rPr kumimoji="1" lang="en-US" altLang="ja-JP" sz="1600" b="1"/>
          </a:br>
          <a:r>
            <a:rPr kumimoji="1" lang="ja-JP" altLang="en-US" sz="1600" b="1"/>
            <a:t>補充完了</a:t>
          </a:r>
          <a:endParaRPr kumimoji="1" lang="en-US" altLang="ja-JP" sz="1600" b="1"/>
        </a:p>
      </xdr:txBody>
    </xdr:sp>
    <xdr:clientData/>
  </xdr:twoCellAnchor>
  <xdr:twoCellAnchor>
    <xdr:from>
      <xdr:col>70</xdr:col>
      <xdr:colOff>54429</xdr:colOff>
      <xdr:row>17</xdr:row>
      <xdr:rowOff>27214</xdr:rowOff>
    </xdr:from>
    <xdr:to>
      <xdr:col>71</xdr:col>
      <xdr:colOff>775606</xdr:colOff>
      <xdr:row>19</xdr:row>
      <xdr:rowOff>265957</xdr:rowOff>
    </xdr:to>
    <xdr:sp macro="" textlink="">
      <xdr:nvSpPr>
        <xdr:cNvPr id="110" name="テキスト ボックス 109">
          <a:extLst>
            <a:ext uri="{FF2B5EF4-FFF2-40B4-BE49-F238E27FC236}">
              <a16:creationId xmlns:a16="http://schemas.microsoft.com/office/drawing/2014/main" id="{7CDC552B-89C2-AA62-244B-C573CC49799E}"/>
            </a:ext>
          </a:extLst>
        </xdr:cNvPr>
        <xdr:cNvSpPr txBox="1"/>
      </xdr:nvSpPr>
      <xdr:spPr>
        <a:xfrm>
          <a:off x="24669750" y="6055178"/>
          <a:ext cx="1537606"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66</xdr:col>
      <xdr:colOff>40822</xdr:colOff>
      <xdr:row>30</xdr:row>
      <xdr:rowOff>83245</xdr:rowOff>
    </xdr:from>
    <xdr:to>
      <xdr:col>67</xdr:col>
      <xdr:colOff>761999</xdr:colOff>
      <xdr:row>32</xdr:row>
      <xdr:rowOff>321988</xdr:rowOff>
    </xdr:to>
    <xdr:sp macro="" textlink="">
      <xdr:nvSpPr>
        <xdr:cNvPr id="120" name="テキスト ボックス 119">
          <a:extLst>
            <a:ext uri="{FF2B5EF4-FFF2-40B4-BE49-F238E27FC236}">
              <a16:creationId xmlns:a16="http://schemas.microsoft.com/office/drawing/2014/main" id="{A161B5A9-60E9-CC77-D4AE-2E0F143ED3E1}"/>
            </a:ext>
          </a:extLst>
        </xdr:cNvPr>
        <xdr:cNvSpPr txBox="1"/>
      </xdr:nvSpPr>
      <xdr:spPr>
        <a:xfrm>
          <a:off x="21275969" y="11199480"/>
          <a:ext cx="1539206" cy="1023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9/26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37620</xdr:colOff>
      <xdr:row>33</xdr:row>
      <xdr:rowOff>90447</xdr:rowOff>
    </xdr:from>
    <xdr:to>
      <xdr:col>69</xdr:col>
      <xdr:colOff>761273</xdr:colOff>
      <xdr:row>35</xdr:row>
      <xdr:rowOff>335301</xdr:rowOff>
    </xdr:to>
    <xdr:sp macro="" textlink="">
      <xdr:nvSpPr>
        <xdr:cNvPr id="123" name="テキスト ボックス 122">
          <a:extLst>
            <a:ext uri="{FF2B5EF4-FFF2-40B4-BE49-F238E27FC236}">
              <a16:creationId xmlns:a16="http://schemas.microsoft.com/office/drawing/2014/main" id="{E888D395-3FC6-4828-B587-BDC2F02209D2}"/>
            </a:ext>
          </a:extLst>
        </xdr:cNvPr>
        <xdr:cNvSpPr txBox="1"/>
      </xdr:nvSpPr>
      <xdr:spPr>
        <a:xfrm>
          <a:off x="20570799" y="12432126"/>
          <a:ext cx="1540081" cy="103406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800" b="1"/>
        </a:p>
      </xdr:txBody>
    </xdr:sp>
    <xdr:clientData/>
  </xdr:twoCellAnchor>
  <xdr:twoCellAnchor>
    <xdr:from>
      <xdr:col>68</xdr:col>
      <xdr:colOff>67235</xdr:colOff>
      <xdr:row>17</xdr:row>
      <xdr:rowOff>33617</xdr:rowOff>
    </xdr:from>
    <xdr:to>
      <xdr:col>69</xdr:col>
      <xdr:colOff>790888</xdr:colOff>
      <xdr:row>19</xdr:row>
      <xdr:rowOff>276070</xdr:rowOff>
    </xdr:to>
    <xdr:sp macro="" textlink="">
      <xdr:nvSpPr>
        <xdr:cNvPr id="124" name="テキスト ボックス 123">
          <a:extLst>
            <a:ext uri="{FF2B5EF4-FFF2-40B4-BE49-F238E27FC236}">
              <a16:creationId xmlns:a16="http://schemas.microsoft.com/office/drawing/2014/main" id="{2ABB141B-F0E9-4BDF-A795-ECF0CC128AAF}"/>
            </a:ext>
          </a:extLst>
        </xdr:cNvPr>
        <xdr:cNvSpPr txBox="1"/>
      </xdr:nvSpPr>
      <xdr:spPr>
        <a:xfrm>
          <a:off x="22938441" y="6051176"/>
          <a:ext cx="1541682" cy="102686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t>10/20</a:t>
          </a:r>
          <a:r>
            <a:rPr kumimoji="1" lang="ja-JP" altLang="en-US" sz="1400" b="1"/>
            <a:t>頃</a:t>
          </a:r>
          <a:endParaRPr kumimoji="1" lang="en-US" altLang="ja-JP" sz="1400" b="1"/>
        </a:p>
        <a:p>
          <a:pPr algn="ctr"/>
          <a:r>
            <a:rPr kumimoji="1" lang="ja-JP" altLang="en-US" sz="1400" b="1"/>
            <a:t>補充完了</a:t>
          </a:r>
          <a:endParaRPr kumimoji="1" lang="en-US" altLang="ja-JP" sz="1600" b="1"/>
        </a:p>
      </xdr:txBody>
    </xdr:sp>
    <xdr:clientData/>
  </xdr:twoCellAnchor>
  <xdr:twoCellAnchor>
    <xdr:from>
      <xdr:col>66</xdr:col>
      <xdr:colOff>40822</xdr:colOff>
      <xdr:row>52</xdr:row>
      <xdr:rowOff>27215</xdr:rowOff>
    </xdr:from>
    <xdr:to>
      <xdr:col>67</xdr:col>
      <xdr:colOff>761999</xdr:colOff>
      <xdr:row>54</xdr:row>
      <xdr:rowOff>265959</xdr:rowOff>
    </xdr:to>
    <xdr:sp macro="" textlink="">
      <xdr:nvSpPr>
        <xdr:cNvPr id="125" name="テキスト ボックス 124">
          <a:extLst>
            <a:ext uri="{FF2B5EF4-FFF2-40B4-BE49-F238E27FC236}">
              <a16:creationId xmlns:a16="http://schemas.microsoft.com/office/drawing/2014/main" id="{43BAB9BA-9F0A-BD08-F991-1194E8E8FF01}"/>
            </a:ext>
          </a:extLst>
        </xdr:cNvPr>
        <xdr:cNvSpPr txBox="1"/>
      </xdr:nvSpPr>
      <xdr:spPr>
        <a:xfrm>
          <a:off x="21275969" y="19771980"/>
          <a:ext cx="1539206" cy="1023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9/5</a:t>
          </a:r>
        </a:p>
      </xdr:txBody>
    </xdr:sp>
    <xdr:clientData/>
  </xdr:twoCellAnchor>
  <xdr:twoCellAnchor>
    <xdr:from>
      <xdr:col>70</xdr:col>
      <xdr:colOff>40822</xdr:colOff>
      <xdr:row>30</xdr:row>
      <xdr:rowOff>273745</xdr:rowOff>
    </xdr:from>
    <xdr:to>
      <xdr:col>71</xdr:col>
      <xdr:colOff>761999</xdr:colOff>
      <xdr:row>33</xdr:row>
      <xdr:rowOff>117880</xdr:rowOff>
    </xdr:to>
    <xdr:sp macro="" textlink="">
      <xdr:nvSpPr>
        <xdr:cNvPr id="128" name="テキスト ボックス 127">
          <a:extLst>
            <a:ext uri="{FF2B5EF4-FFF2-40B4-BE49-F238E27FC236}">
              <a16:creationId xmlns:a16="http://schemas.microsoft.com/office/drawing/2014/main" id="{E134DA6F-7F19-3281-84D0-4F6991AE9261}"/>
            </a:ext>
          </a:extLst>
        </xdr:cNvPr>
        <xdr:cNvSpPr txBox="1"/>
      </xdr:nvSpPr>
      <xdr:spPr>
        <a:xfrm>
          <a:off x="19866429" y="11431602"/>
          <a:ext cx="1537606" cy="102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11/30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68035</xdr:colOff>
      <xdr:row>216</xdr:row>
      <xdr:rowOff>0</xdr:rowOff>
    </xdr:from>
    <xdr:to>
      <xdr:col>69</xdr:col>
      <xdr:colOff>734786</xdr:colOff>
      <xdr:row>217</xdr:row>
      <xdr:rowOff>385947</xdr:rowOff>
    </xdr:to>
    <xdr:sp macro="" textlink="">
      <xdr:nvSpPr>
        <xdr:cNvPr id="132" name="テキスト ボックス 131">
          <a:extLst>
            <a:ext uri="{FF2B5EF4-FFF2-40B4-BE49-F238E27FC236}">
              <a16:creationId xmlns:a16="http://schemas.microsoft.com/office/drawing/2014/main" id="{04920047-A299-48D8-A0DD-630F30D2D1E6}"/>
            </a:ext>
          </a:extLst>
        </xdr:cNvPr>
        <xdr:cNvSpPr txBox="1"/>
      </xdr:nvSpPr>
      <xdr:spPr>
        <a:xfrm>
          <a:off x="18260785" y="74621571"/>
          <a:ext cx="1483180" cy="78055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64</xdr:col>
      <xdr:colOff>86590</xdr:colOff>
      <xdr:row>234</xdr:row>
      <xdr:rowOff>253589</xdr:rowOff>
    </xdr:from>
    <xdr:to>
      <xdr:col>65</xdr:col>
      <xdr:colOff>753339</xdr:colOff>
      <xdr:row>238</xdr:row>
      <xdr:rowOff>207819</xdr:rowOff>
    </xdr:to>
    <xdr:sp macro="" textlink="">
      <xdr:nvSpPr>
        <xdr:cNvPr id="100" name="テキスト ボックス 99">
          <a:extLst>
            <a:ext uri="{FF2B5EF4-FFF2-40B4-BE49-F238E27FC236}">
              <a16:creationId xmlns:a16="http://schemas.microsoft.com/office/drawing/2014/main" id="{AA2970A4-BF67-0B64-EC85-47D99A1B6F98}"/>
            </a:ext>
          </a:extLst>
        </xdr:cNvPr>
        <xdr:cNvSpPr txBox="1"/>
      </xdr:nvSpPr>
      <xdr:spPr>
        <a:xfrm>
          <a:off x="19708090" y="92680725"/>
          <a:ext cx="1480704" cy="1547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8</a:t>
          </a:r>
          <a:r>
            <a:rPr kumimoji="1" lang="ja-JP" altLang="en-US" sz="1600" b="1"/>
            <a:t>月末</a:t>
          </a:r>
          <a:endParaRPr kumimoji="1" lang="en-US" altLang="ja-JP" sz="1600" b="1"/>
        </a:p>
        <a:p>
          <a:pPr algn="ctr"/>
          <a:r>
            <a:rPr kumimoji="1" lang="en-US" altLang="ja-JP" sz="1600" b="1">
              <a:solidFill>
                <a:srgbClr val="FF0000"/>
              </a:solidFill>
            </a:rPr>
            <a:t>※</a:t>
          </a:r>
          <a:r>
            <a:rPr kumimoji="1" lang="ja-JP" altLang="en-US" sz="1600" b="1">
              <a:solidFill>
                <a:srgbClr val="FF0000"/>
              </a:solidFill>
            </a:rPr>
            <a:t>シルク印刷ミス分</a:t>
          </a:r>
          <a:endParaRPr kumimoji="1" lang="en-US" altLang="ja-JP" sz="1600" b="1">
            <a:solidFill>
              <a:srgbClr val="FF0000"/>
            </a:solidFill>
          </a:endParaRPr>
        </a:p>
      </xdr:txBody>
    </xdr:sp>
    <xdr:clientData/>
  </xdr:twoCellAnchor>
  <xdr:twoCellAnchor>
    <xdr:from>
      <xdr:col>23</xdr:col>
      <xdr:colOff>100852</xdr:colOff>
      <xdr:row>38</xdr:row>
      <xdr:rowOff>67236</xdr:rowOff>
    </xdr:from>
    <xdr:to>
      <xdr:col>23</xdr:col>
      <xdr:colOff>739587</xdr:colOff>
      <xdr:row>47</xdr:row>
      <xdr:rowOff>313765</xdr:rowOff>
    </xdr:to>
    <xdr:sp macro="" textlink="">
      <xdr:nvSpPr>
        <xdr:cNvPr id="106" name="テキスト ボックス 105">
          <a:extLst>
            <a:ext uri="{FF2B5EF4-FFF2-40B4-BE49-F238E27FC236}">
              <a16:creationId xmlns:a16="http://schemas.microsoft.com/office/drawing/2014/main" id="{617B249B-78E2-D333-48DC-B47FE151D325}"/>
            </a:ext>
          </a:extLst>
        </xdr:cNvPr>
        <xdr:cNvSpPr txBox="1"/>
      </xdr:nvSpPr>
      <xdr:spPr>
        <a:xfrm>
          <a:off x="10107705" y="14321118"/>
          <a:ext cx="638735" cy="377638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シール確認のため、返送</a:t>
          </a:r>
        </a:p>
      </xdr:txBody>
    </xdr:sp>
    <xdr:clientData/>
  </xdr:twoCellAnchor>
  <xdr:twoCellAnchor>
    <xdr:from>
      <xdr:col>23</xdr:col>
      <xdr:colOff>100852</xdr:colOff>
      <xdr:row>49</xdr:row>
      <xdr:rowOff>89647</xdr:rowOff>
    </xdr:from>
    <xdr:to>
      <xdr:col>23</xdr:col>
      <xdr:colOff>739587</xdr:colOff>
      <xdr:row>58</xdr:row>
      <xdr:rowOff>336176</xdr:rowOff>
    </xdr:to>
    <xdr:sp macro="" textlink="">
      <xdr:nvSpPr>
        <xdr:cNvPr id="111" name="テキスト ボックス 110">
          <a:extLst>
            <a:ext uri="{FF2B5EF4-FFF2-40B4-BE49-F238E27FC236}">
              <a16:creationId xmlns:a16="http://schemas.microsoft.com/office/drawing/2014/main" id="{5863EC5D-092A-9019-731A-5D77D32D6DBD}"/>
            </a:ext>
          </a:extLst>
        </xdr:cNvPr>
        <xdr:cNvSpPr txBox="1"/>
      </xdr:nvSpPr>
      <xdr:spPr>
        <a:xfrm>
          <a:off x="10107705" y="18657794"/>
          <a:ext cx="638735" cy="377638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シール確認のため、返送</a:t>
          </a:r>
        </a:p>
      </xdr:txBody>
    </xdr:sp>
    <xdr:clientData/>
  </xdr:twoCellAnchor>
  <xdr:twoCellAnchor>
    <xdr:from>
      <xdr:col>24</xdr:col>
      <xdr:colOff>100852</xdr:colOff>
      <xdr:row>38</xdr:row>
      <xdr:rowOff>67236</xdr:rowOff>
    </xdr:from>
    <xdr:to>
      <xdr:col>24</xdr:col>
      <xdr:colOff>739587</xdr:colOff>
      <xdr:row>47</xdr:row>
      <xdr:rowOff>313765</xdr:rowOff>
    </xdr:to>
    <xdr:sp macro="" textlink="">
      <xdr:nvSpPr>
        <xdr:cNvPr id="121" name="テキスト ボックス 120">
          <a:extLst>
            <a:ext uri="{FF2B5EF4-FFF2-40B4-BE49-F238E27FC236}">
              <a16:creationId xmlns:a16="http://schemas.microsoft.com/office/drawing/2014/main" id="{02212938-F80B-4AD8-995E-BECD8DADA4B2}"/>
            </a:ext>
          </a:extLst>
        </xdr:cNvPr>
        <xdr:cNvSpPr txBox="1"/>
      </xdr:nvSpPr>
      <xdr:spPr>
        <a:xfrm>
          <a:off x="10107705" y="14321118"/>
          <a:ext cx="638735" cy="377638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シール確認のため、在庫</a:t>
          </a:r>
          <a:r>
            <a:rPr kumimoji="1" lang="en-US" altLang="ja-JP" sz="1100" b="1">
              <a:solidFill>
                <a:schemeClr val="bg1"/>
              </a:solidFill>
            </a:rPr>
            <a:t>0</a:t>
          </a:r>
          <a:endParaRPr kumimoji="1" lang="ja-JP" altLang="en-US" sz="1100" b="1">
            <a:solidFill>
              <a:schemeClr val="bg1"/>
            </a:solidFill>
          </a:endParaRPr>
        </a:p>
      </xdr:txBody>
    </xdr:sp>
    <xdr:clientData/>
  </xdr:twoCellAnchor>
  <xdr:twoCellAnchor>
    <xdr:from>
      <xdr:col>24</xdr:col>
      <xdr:colOff>100852</xdr:colOff>
      <xdr:row>49</xdr:row>
      <xdr:rowOff>89647</xdr:rowOff>
    </xdr:from>
    <xdr:to>
      <xdr:col>24</xdr:col>
      <xdr:colOff>739587</xdr:colOff>
      <xdr:row>58</xdr:row>
      <xdr:rowOff>336176</xdr:rowOff>
    </xdr:to>
    <xdr:sp macro="" textlink="">
      <xdr:nvSpPr>
        <xdr:cNvPr id="126" name="テキスト ボックス 125">
          <a:extLst>
            <a:ext uri="{FF2B5EF4-FFF2-40B4-BE49-F238E27FC236}">
              <a16:creationId xmlns:a16="http://schemas.microsoft.com/office/drawing/2014/main" id="{B06D4DED-0837-4CA2-9D9D-594FE3B33142}"/>
            </a:ext>
          </a:extLst>
        </xdr:cNvPr>
        <xdr:cNvSpPr txBox="1"/>
      </xdr:nvSpPr>
      <xdr:spPr>
        <a:xfrm>
          <a:off x="10107705" y="18657794"/>
          <a:ext cx="638735" cy="377638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1">
              <a:solidFill>
                <a:schemeClr val="bg1"/>
              </a:solidFill>
            </a:rPr>
            <a:t>Amazon</a:t>
          </a:r>
        </a:p>
        <a:p>
          <a:r>
            <a:rPr kumimoji="1" lang="en-US" altLang="ja-JP" sz="1100" b="1">
              <a:solidFill>
                <a:schemeClr val="bg1"/>
              </a:solidFill>
            </a:rPr>
            <a:t>JAN</a:t>
          </a:r>
          <a:r>
            <a:rPr kumimoji="1" lang="ja-JP" altLang="en-US" sz="1100" b="1">
              <a:solidFill>
                <a:schemeClr val="bg1"/>
              </a:solidFill>
            </a:rPr>
            <a:t>シール確認のため、</a:t>
          </a:r>
          <a:r>
            <a:rPr kumimoji="1" lang="ja-JP" altLang="ja-JP" sz="1100" b="1">
              <a:solidFill>
                <a:schemeClr val="bg1"/>
              </a:solidFill>
              <a:effectLst/>
              <a:latin typeface="+mn-lt"/>
              <a:ea typeface="+mn-ea"/>
              <a:cs typeface="+mn-cs"/>
            </a:rPr>
            <a:t>在庫</a:t>
          </a:r>
          <a:r>
            <a:rPr kumimoji="1" lang="en-US" altLang="ja-JP" sz="1100" b="1">
              <a:solidFill>
                <a:schemeClr val="bg1"/>
              </a:solidFill>
              <a:effectLst/>
              <a:latin typeface="+mn-lt"/>
              <a:ea typeface="+mn-ea"/>
              <a:cs typeface="+mn-cs"/>
            </a:rPr>
            <a:t>0</a:t>
          </a:r>
          <a:endParaRPr kumimoji="1" lang="ja-JP" altLang="en-US" sz="1100" b="1">
            <a:solidFill>
              <a:schemeClr val="bg1"/>
            </a:solidFill>
          </a:endParaRPr>
        </a:p>
      </xdr:txBody>
    </xdr:sp>
    <xdr:clientData/>
  </xdr:twoCellAnchor>
  <xdr:twoCellAnchor>
    <xdr:from>
      <xdr:col>72</xdr:col>
      <xdr:colOff>43222</xdr:colOff>
      <xdr:row>17</xdr:row>
      <xdr:rowOff>27214</xdr:rowOff>
    </xdr:from>
    <xdr:to>
      <xdr:col>73</xdr:col>
      <xdr:colOff>764399</xdr:colOff>
      <xdr:row>19</xdr:row>
      <xdr:rowOff>265957</xdr:rowOff>
    </xdr:to>
    <xdr:sp macro="" textlink="">
      <xdr:nvSpPr>
        <xdr:cNvPr id="127" name="テキスト ボックス 126">
          <a:extLst>
            <a:ext uri="{FF2B5EF4-FFF2-40B4-BE49-F238E27FC236}">
              <a16:creationId xmlns:a16="http://schemas.microsoft.com/office/drawing/2014/main" id="{5A6E12DC-65C1-330B-DA99-D6A5AD413A2D}"/>
            </a:ext>
          </a:extLst>
        </xdr:cNvPr>
        <xdr:cNvSpPr txBox="1"/>
      </xdr:nvSpPr>
      <xdr:spPr>
        <a:xfrm>
          <a:off x="26208957" y="6044773"/>
          <a:ext cx="1539207" cy="1023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52028</xdr:colOff>
      <xdr:row>41</xdr:row>
      <xdr:rowOff>208911</xdr:rowOff>
    </xdr:from>
    <xdr:to>
      <xdr:col>73</xdr:col>
      <xdr:colOff>773205</xdr:colOff>
      <xdr:row>44</xdr:row>
      <xdr:rowOff>55448</xdr:rowOff>
    </xdr:to>
    <xdr:sp macro="" textlink="">
      <xdr:nvSpPr>
        <xdr:cNvPr id="133" name="テキスト ボックス 132">
          <a:extLst>
            <a:ext uri="{FF2B5EF4-FFF2-40B4-BE49-F238E27FC236}">
              <a16:creationId xmlns:a16="http://schemas.microsoft.com/office/drawing/2014/main" id="{608E7FEE-4B23-369B-1B96-ACB62DC189AC}"/>
            </a:ext>
          </a:extLst>
        </xdr:cNvPr>
        <xdr:cNvSpPr txBox="1"/>
      </xdr:nvSpPr>
      <xdr:spPr>
        <a:xfrm>
          <a:off x="21415242" y="15707447"/>
          <a:ext cx="1537606" cy="1030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1/9</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70</xdr:col>
      <xdr:colOff>42915</xdr:colOff>
      <xdr:row>74</xdr:row>
      <xdr:rowOff>259771</xdr:rowOff>
    </xdr:from>
    <xdr:to>
      <xdr:col>71</xdr:col>
      <xdr:colOff>764093</xdr:colOff>
      <xdr:row>77</xdr:row>
      <xdr:rowOff>103908</xdr:rowOff>
    </xdr:to>
    <xdr:sp macro="" textlink="">
      <xdr:nvSpPr>
        <xdr:cNvPr id="134" name="テキスト ボックス 133">
          <a:extLst>
            <a:ext uri="{FF2B5EF4-FFF2-40B4-BE49-F238E27FC236}">
              <a16:creationId xmlns:a16="http://schemas.microsoft.com/office/drawing/2014/main" id="{DEA40DEF-DE17-EB2E-B930-8AC57A29DBBE}"/>
            </a:ext>
          </a:extLst>
        </xdr:cNvPr>
        <xdr:cNvSpPr txBox="1"/>
      </xdr:nvSpPr>
      <xdr:spPr>
        <a:xfrm>
          <a:off x="24572591" y="28621859"/>
          <a:ext cx="1539208"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11/10</a:t>
          </a:r>
          <a:r>
            <a:rPr kumimoji="1" lang="ja-JP" altLang="en-US" sz="1600" b="1"/>
            <a:t>頃</a:t>
          </a:r>
          <a:endParaRPr kumimoji="0" lang="en-US" altLang="ja-JP" sz="1100" b="0" i="0" u="none" strike="noStrike">
            <a:solidFill>
              <a:schemeClr val="dk1"/>
            </a:solidFill>
            <a:effectLst/>
            <a:latin typeface="+mn-lt"/>
            <a:ea typeface="+mn-ea"/>
            <a:cs typeface="+mn-cs"/>
          </a:endParaRPr>
        </a:p>
        <a:p>
          <a:pPr algn="ctr"/>
          <a:r>
            <a:rPr kumimoji="0" lang="ja-JP" altLang="en-US" sz="1600" b="1" i="0" u="none" strike="noStrike">
              <a:solidFill>
                <a:schemeClr val="dk1"/>
              </a:solidFill>
              <a:effectLst/>
              <a:latin typeface="+mn-lt"/>
              <a:ea typeface="+mn-ea"/>
              <a:cs typeface="+mn-cs"/>
            </a:rPr>
            <a:t>補充完了</a:t>
          </a:r>
          <a:endParaRPr kumimoji="0" lang="en-US" altLang="ja-JP" sz="1600" b="1" i="0" u="none" strike="noStrike">
            <a:solidFill>
              <a:schemeClr val="dk1"/>
            </a:solidFill>
            <a:effectLst/>
            <a:latin typeface="+mn-lt"/>
            <a:ea typeface="+mn-ea"/>
            <a:cs typeface="+mn-cs"/>
          </a:endParaRPr>
        </a:p>
      </xdr:txBody>
    </xdr:sp>
    <xdr:clientData/>
  </xdr:twoCellAnchor>
  <xdr:twoCellAnchor>
    <xdr:from>
      <xdr:col>74</xdr:col>
      <xdr:colOff>42915</xdr:colOff>
      <xdr:row>74</xdr:row>
      <xdr:rowOff>259771</xdr:rowOff>
    </xdr:from>
    <xdr:to>
      <xdr:col>75</xdr:col>
      <xdr:colOff>764093</xdr:colOff>
      <xdr:row>77</xdr:row>
      <xdr:rowOff>103908</xdr:rowOff>
    </xdr:to>
    <xdr:sp macro="" textlink="">
      <xdr:nvSpPr>
        <xdr:cNvPr id="136" name="テキスト ボックス 135">
          <a:extLst>
            <a:ext uri="{FF2B5EF4-FFF2-40B4-BE49-F238E27FC236}">
              <a16:creationId xmlns:a16="http://schemas.microsoft.com/office/drawing/2014/main" id="{83CE2088-338E-2FCB-50E6-DCA1045EAD1F}"/>
            </a:ext>
          </a:extLst>
        </xdr:cNvPr>
        <xdr:cNvSpPr txBox="1"/>
      </xdr:nvSpPr>
      <xdr:spPr>
        <a:xfrm>
          <a:off x="27844709" y="28621859"/>
          <a:ext cx="1539208"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1/23</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81647</xdr:colOff>
      <xdr:row>175</xdr:row>
      <xdr:rowOff>367392</xdr:rowOff>
    </xdr:from>
    <xdr:to>
      <xdr:col>73</xdr:col>
      <xdr:colOff>748395</xdr:colOff>
      <xdr:row>178</xdr:row>
      <xdr:rowOff>16809</xdr:rowOff>
    </xdr:to>
    <xdr:sp macro="" textlink="">
      <xdr:nvSpPr>
        <xdr:cNvPr id="138" name="テキスト ボックス 137">
          <a:extLst>
            <a:ext uri="{FF2B5EF4-FFF2-40B4-BE49-F238E27FC236}">
              <a16:creationId xmlns:a16="http://schemas.microsoft.com/office/drawing/2014/main" id="{903831B4-D02B-4933-8CC1-D515EDE71944}"/>
            </a:ext>
          </a:extLst>
        </xdr:cNvPr>
        <xdr:cNvSpPr txBox="1"/>
      </xdr:nvSpPr>
      <xdr:spPr>
        <a:xfrm>
          <a:off x="25377326" y="58823678"/>
          <a:ext cx="1483176" cy="83323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70</xdr:col>
      <xdr:colOff>108860</xdr:colOff>
      <xdr:row>175</xdr:row>
      <xdr:rowOff>353785</xdr:rowOff>
    </xdr:from>
    <xdr:to>
      <xdr:col>71</xdr:col>
      <xdr:colOff>775608</xdr:colOff>
      <xdr:row>178</xdr:row>
      <xdr:rowOff>3202</xdr:rowOff>
    </xdr:to>
    <xdr:sp macro="" textlink="">
      <xdr:nvSpPr>
        <xdr:cNvPr id="139" name="テキスト ボックス 138">
          <a:extLst>
            <a:ext uri="{FF2B5EF4-FFF2-40B4-BE49-F238E27FC236}">
              <a16:creationId xmlns:a16="http://schemas.microsoft.com/office/drawing/2014/main" id="{E8595564-6D70-4308-BE62-F94FC297B418}"/>
            </a:ext>
          </a:extLst>
        </xdr:cNvPr>
        <xdr:cNvSpPr txBox="1"/>
      </xdr:nvSpPr>
      <xdr:spPr>
        <a:xfrm>
          <a:off x="23771681" y="58810071"/>
          <a:ext cx="1483177" cy="83323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11</a:t>
          </a:r>
          <a:r>
            <a:rPr kumimoji="1" lang="ja-JP" altLang="en-US" sz="1600" b="1"/>
            <a:t>月</a:t>
          </a:r>
          <a:endParaRPr kumimoji="1" lang="en-US" altLang="ja-JP" sz="1600" b="1"/>
        </a:p>
      </xdr:txBody>
    </xdr:sp>
    <xdr:clientData/>
  </xdr:twoCellAnchor>
  <xdr:twoCellAnchor>
    <xdr:from>
      <xdr:col>72</xdr:col>
      <xdr:colOff>91538</xdr:colOff>
      <xdr:row>216</xdr:row>
      <xdr:rowOff>0</xdr:rowOff>
    </xdr:from>
    <xdr:to>
      <xdr:col>73</xdr:col>
      <xdr:colOff>758288</xdr:colOff>
      <xdr:row>218</xdr:row>
      <xdr:rowOff>11206</xdr:rowOff>
    </xdr:to>
    <xdr:sp macro="" textlink="">
      <xdr:nvSpPr>
        <xdr:cNvPr id="140" name="テキスト ボックス 139">
          <a:extLst>
            <a:ext uri="{FF2B5EF4-FFF2-40B4-BE49-F238E27FC236}">
              <a16:creationId xmlns:a16="http://schemas.microsoft.com/office/drawing/2014/main" id="{43A52AE5-1882-445F-BBEB-3C1B3B223B34}"/>
            </a:ext>
          </a:extLst>
        </xdr:cNvPr>
        <xdr:cNvSpPr txBox="1"/>
      </xdr:nvSpPr>
      <xdr:spPr>
        <a:xfrm>
          <a:off x="26257273" y="84010500"/>
          <a:ext cx="1484780" cy="79561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12/26</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72</xdr:col>
      <xdr:colOff>89138</xdr:colOff>
      <xdr:row>223</xdr:row>
      <xdr:rowOff>230523</xdr:rowOff>
    </xdr:from>
    <xdr:to>
      <xdr:col>73</xdr:col>
      <xdr:colOff>755887</xdr:colOff>
      <xdr:row>225</xdr:row>
      <xdr:rowOff>162116</xdr:rowOff>
    </xdr:to>
    <xdr:sp macro="" textlink="">
      <xdr:nvSpPr>
        <xdr:cNvPr id="141" name="テキスト ボックス 140">
          <a:extLst>
            <a:ext uri="{FF2B5EF4-FFF2-40B4-BE49-F238E27FC236}">
              <a16:creationId xmlns:a16="http://schemas.microsoft.com/office/drawing/2014/main" id="{7BF8758C-3602-4F21-E8E2-C5704A328FE6}"/>
            </a:ext>
          </a:extLst>
        </xdr:cNvPr>
        <xdr:cNvSpPr txBox="1"/>
      </xdr:nvSpPr>
      <xdr:spPr>
        <a:xfrm>
          <a:off x="23778373" y="86986464"/>
          <a:ext cx="1484779" cy="7160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12/12</a:t>
          </a:r>
          <a:endParaRPr kumimoji="1" lang="ja-JP" altLang="en-US" sz="1600" b="1"/>
        </a:p>
      </xdr:txBody>
    </xdr:sp>
    <xdr:clientData/>
  </xdr:twoCellAnchor>
  <xdr:twoCellAnchor>
    <xdr:from>
      <xdr:col>72</xdr:col>
      <xdr:colOff>47225</xdr:colOff>
      <xdr:row>104</xdr:row>
      <xdr:rowOff>78441</xdr:rowOff>
    </xdr:from>
    <xdr:to>
      <xdr:col>73</xdr:col>
      <xdr:colOff>768403</xdr:colOff>
      <xdr:row>106</xdr:row>
      <xdr:rowOff>314784</xdr:rowOff>
    </xdr:to>
    <xdr:sp macro="" textlink="">
      <xdr:nvSpPr>
        <xdr:cNvPr id="142" name="テキスト ボックス 141">
          <a:extLst>
            <a:ext uri="{FF2B5EF4-FFF2-40B4-BE49-F238E27FC236}">
              <a16:creationId xmlns:a16="http://schemas.microsoft.com/office/drawing/2014/main" id="{BEF921CC-AD65-4D61-B567-B4D901B06732}"/>
            </a:ext>
          </a:extLst>
        </xdr:cNvPr>
        <xdr:cNvSpPr txBox="1"/>
      </xdr:nvSpPr>
      <xdr:spPr>
        <a:xfrm>
          <a:off x="21410439" y="40410012"/>
          <a:ext cx="1537607"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12/12</a:t>
          </a:r>
        </a:p>
      </xdr:txBody>
    </xdr:sp>
    <xdr:clientData/>
  </xdr:twoCellAnchor>
  <xdr:twoCellAnchor>
    <xdr:from>
      <xdr:col>68</xdr:col>
      <xdr:colOff>38346</xdr:colOff>
      <xdr:row>254</xdr:row>
      <xdr:rowOff>347600</xdr:rowOff>
    </xdr:from>
    <xdr:to>
      <xdr:col>69</xdr:col>
      <xdr:colOff>705096</xdr:colOff>
      <xdr:row>257</xdr:row>
      <xdr:rowOff>40821</xdr:rowOff>
    </xdr:to>
    <xdr:sp macro="" textlink="">
      <xdr:nvSpPr>
        <xdr:cNvPr id="143" name="テキスト ボックス 142">
          <a:extLst>
            <a:ext uri="{FF2B5EF4-FFF2-40B4-BE49-F238E27FC236}">
              <a16:creationId xmlns:a16="http://schemas.microsoft.com/office/drawing/2014/main" id="{DA297740-0640-DBED-24F0-C86B6D0F74F1}"/>
            </a:ext>
          </a:extLst>
        </xdr:cNvPr>
        <xdr:cNvSpPr txBox="1"/>
      </xdr:nvSpPr>
      <xdr:spPr>
        <a:xfrm>
          <a:off x="20571525" y="89950636"/>
          <a:ext cx="1483178" cy="863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26</xdr:col>
      <xdr:colOff>190501</xdr:colOff>
      <xdr:row>234</xdr:row>
      <xdr:rowOff>212911</xdr:rowOff>
    </xdr:from>
    <xdr:to>
      <xdr:col>26</xdr:col>
      <xdr:colOff>672354</xdr:colOff>
      <xdr:row>241</xdr:row>
      <xdr:rowOff>235323</xdr:rowOff>
    </xdr:to>
    <xdr:sp macro="" textlink="">
      <xdr:nvSpPr>
        <xdr:cNvPr id="131" name="テキスト ボックス 130">
          <a:extLst>
            <a:ext uri="{FF2B5EF4-FFF2-40B4-BE49-F238E27FC236}">
              <a16:creationId xmlns:a16="http://schemas.microsoft.com/office/drawing/2014/main" id="{C90B25DD-3190-5AAA-5125-6FFB52B517AD}"/>
            </a:ext>
          </a:extLst>
        </xdr:cNvPr>
        <xdr:cNvSpPr txBox="1"/>
      </xdr:nvSpPr>
      <xdr:spPr>
        <a:xfrm>
          <a:off x="10197354" y="91283117"/>
          <a:ext cx="481853" cy="276785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26</xdr:col>
      <xdr:colOff>190501</xdr:colOff>
      <xdr:row>243</xdr:row>
      <xdr:rowOff>224117</xdr:rowOff>
    </xdr:from>
    <xdr:to>
      <xdr:col>26</xdr:col>
      <xdr:colOff>672354</xdr:colOff>
      <xdr:row>250</xdr:row>
      <xdr:rowOff>246529</xdr:rowOff>
    </xdr:to>
    <xdr:sp macro="" textlink="">
      <xdr:nvSpPr>
        <xdr:cNvPr id="135" name="テキスト ボックス 134">
          <a:extLst>
            <a:ext uri="{FF2B5EF4-FFF2-40B4-BE49-F238E27FC236}">
              <a16:creationId xmlns:a16="http://schemas.microsoft.com/office/drawing/2014/main" id="{B077D227-3478-A85E-BEB9-85A4404177FB}"/>
            </a:ext>
          </a:extLst>
        </xdr:cNvPr>
        <xdr:cNvSpPr txBox="1"/>
      </xdr:nvSpPr>
      <xdr:spPr>
        <a:xfrm>
          <a:off x="10197354" y="94824176"/>
          <a:ext cx="481853" cy="276785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68</xdr:col>
      <xdr:colOff>51954</xdr:colOff>
      <xdr:row>160</xdr:row>
      <xdr:rowOff>184315</xdr:rowOff>
    </xdr:from>
    <xdr:to>
      <xdr:col>69</xdr:col>
      <xdr:colOff>773131</xdr:colOff>
      <xdr:row>163</xdr:row>
      <xdr:rowOff>32162</xdr:rowOff>
    </xdr:to>
    <xdr:sp macro="" textlink="">
      <xdr:nvSpPr>
        <xdr:cNvPr id="144" name="テキスト ボックス 143">
          <a:extLst>
            <a:ext uri="{FF2B5EF4-FFF2-40B4-BE49-F238E27FC236}">
              <a16:creationId xmlns:a16="http://schemas.microsoft.com/office/drawing/2014/main" id="{8DACBB95-DB12-4875-83D8-D0C5E348B5EB}"/>
            </a:ext>
          </a:extLst>
        </xdr:cNvPr>
        <xdr:cNvSpPr txBox="1"/>
      </xdr:nvSpPr>
      <xdr:spPr>
        <a:xfrm>
          <a:off x="20585133" y="52735101"/>
          <a:ext cx="1537605" cy="1031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54431</xdr:colOff>
      <xdr:row>175</xdr:row>
      <xdr:rowOff>353785</xdr:rowOff>
    </xdr:from>
    <xdr:to>
      <xdr:col>69</xdr:col>
      <xdr:colOff>721179</xdr:colOff>
      <xdr:row>177</xdr:row>
      <xdr:rowOff>381000</xdr:rowOff>
    </xdr:to>
    <xdr:sp macro="" textlink="">
      <xdr:nvSpPr>
        <xdr:cNvPr id="145" name="テキスト ボックス 144">
          <a:extLst>
            <a:ext uri="{FF2B5EF4-FFF2-40B4-BE49-F238E27FC236}">
              <a16:creationId xmlns:a16="http://schemas.microsoft.com/office/drawing/2014/main" id="{7D43DE55-D090-4E16-9036-32254751738C}"/>
            </a:ext>
          </a:extLst>
        </xdr:cNvPr>
        <xdr:cNvSpPr txBox="1"/>
      </xdr:nvSpPr>
      <xdr:spPr>
        <a:xfrm>
          <a:off x="22084395" y="58810071"/>
          <a:ext cx="1483177" cy="816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10/10</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68</xdr:col>
      <xdr:colOff>89135</xdr:colOff>
      <xdr:row>206</xdr:row>
      <xdr:rowOff>215314</xdr:rowOff>
    </xdr:from>
    <xdr:to>
      <xdr:col>69</xdr:col>
      <xdr:colOff>755885</xdr:colOff>
      <xdr:row>208</xdr:row>
      <xdr:rowOff>291353</xdr:rowOff>
    </xdr:to>
    <xdr:sp macro="" textlink="">
      <xdr:nvSpPr>
        <xdr:cNvPr id="146" name="テキスト ボックス 145">
          <a:extLst>
            <a:ext uri="{FF2B5EF4-FFF2-40B4-BE49-F238E27FC236}">
              <a16:creationId xmlns:a16="http://schemas.microsoft.com/office/drawing/2014/main" id="{06CA7558-291E-B3E7-059E-52E837AFFBBD}"/>
            </a:ext>
          </a:extLst>
        </xdr:cNvPr>
        <xdr:cNvSpPr txBox="1"/>
      </xdr:nvSpPr>
      <xdr:spPr>
        <a:xfrm>
          <a:off x="20506253" y="80303755"/>
          <a:ext cx="1484779" cy="860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1"/>
            <a:t>10/30</a:t>
          </a:r>
          <a:r>
            <a:rPr kumimoji="1" lang="ja-JP" altLang="en-US" sz="1600" b="1"/>
            <a:t>頃</a:t>
          </a:r>
          <a:endParaRPr kumimoji="1" lang="en-US" altLang="ja-JP" sz="1600" b="1"/>
        </a:p>
        <a:p>
          <a:pPr algn="ctr"/>
          <a:r>
            <a:rPr kumimoji="1" lang="ja-JP" altLang="en-US" sz="1600" b="1"/>
            <a:t>補充完了</a:t>
          </a:r>
        </a:p>
      </xdr:txBody>
    </xdr:sp>
    <xdr:clientData/>
  </xdr:twoCellAnchor>
  <xdr:twoCellAnchor>
    <xdr:from>
      <xdr:col>72</xdr:col>
      <xdr:colOff>81642</xdr:colOff>
      <xdr:row>252</xdr:row>
      <xdr:rowOff>18408</xdr:rowOff>
    </xdr:from>
    <xdr:to>
      <xdr:col>73</xdr:col>
      <xdr:colOff>748393</xdr:colOff>
      <xdr:row>253</xdr:row>
      <xdr:rowOff>344608</xdr:rowOff>
    </xdr:to>
    <xdr:sp macro="" textlink="">
      <xdr:nvSpPr>
        <xdr:cNvPr id="107" name="テキスト ボックス 106">
          <a:extLst>
            <a:ext uri="{FF2B5EF4-FFF2-40B4-BE49-F238E27FC236}">
              <a16:creationId xmlns:a16="http://schemas.microsoft.com/office/drawing/2014/main" id="{C0384216-6726-CC8A-832C-B3495F6E672A}"/>
            </a:ext>
          </a:extLst>
        </xdr:cNvPr>
        <xdr:cNvSpPr txBox="1"/>
      </xdr:nvSpPr>
      <xdr:spPr>
        <a:xfrm>
          <a:off x="21540106" y="88832229"/>
          <a:ext cx="1483180"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12/1</a:t>
          </a:r>
        </a:p>
      </xdr:txBody>
    </xdr:sp>
    <xdr:clientData/>
  </xdr:twoCellAnchor>
  <xdr:twoCellAnchor>
    <xdr:from>
      <xdr:col>76</xdr:col>
      <xdr:colOff>60832</xdr:colOff>
      <xdr:row>104</xdr:row>
      <xdr:rowOff>78441</xdr:rowOff>
    </xdr:from>
    <xdr:to>
      <xdr:col>77</xdr:col>
      <xdr:colOff>782009</xdr:colOff>
      <xdr:row>106</xdr:row>
      <xdr:rowOff>314784</xdr:rowOff>
    </xdr:to>
    <xdr:sp macro="" textlink="">
      <xdr:nvSpPr>
        <xdr:cNvPr id="108" name="テキスト ボックス 107">
          <a:extLst>
            <a:ext uri="{FF2B5EF4-FFF2-40B4-BE49-F238E27FC236}">
              <a16:creationId xmlns:a16="http://schemas.microsoft.com/office/drawing/2014/main" id="{ADDFB968-2E77-2B15-ED69-99C1152D7860}"/>
            </a:ext>
          </a:extLst>
        </xdr:cNvPr>
        <xdr:cNvSpPr txBox="1"/>
      </xdr:nvSpPr>
      <xdr:spPr>
        <a:xfrm>
          <a:off x="27125439" y="40410012"/>
          <a:ext cx="1537606"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2/13</a:t>
          </a:r>
        </a:p>
      </xdr:txBody>
    </xdr:sp>
    <xdr:clientData/>
  </xdr:twoCellAnchor>
  <xdr:twoCellAnchor>
    <xdr:from>
      <xdr:col>76</xdr:col>
      <xdr:colOff>56829</xdr:colOff>
      <xdr:row>17</xdr:row>
      <xdr:rowOff>27214</xdr:rowOff>
    </xdr:from>
    <xdr:to>
      <xdr:col>77</xdr:col>
      <xdr:colOff>778005</xdr:colOff>
      <xdr:row>19</xdr:row>
      <xdr:rowOff>265957</xdr:rowOff>
    </xdr:to>
    <xdr:sp macro="" textlink="">
      <xdr:nvSpPr>
        <xdr:cNvPr id="112" name="テキスト ボックス 111">
          <a:extLst>
            <a:ext uri="{FF2B5EF4-FFF2-40B4-BE49-F238E27FC236}">
              <a16:creationId xmlns:a16="http://schemas.microsoft.com/office/drawing/2014/main" id="{64C25555-C7F6-B8CC-7736-2721F4C75591}"/>
            </a:ext>
          </a:extLst>
        </xdr:cNvPr>
        <xdr:cNvSpPr txBox="1"/>
      </xdr:nvSpPr>
      <xdr:spPr>
        <a:xfrm>
          <a:off x="27121436" y="6055178"/>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80</xdr:col>
      <xdr:colOff>60831</xdr:colOff>
      <xdr:row>115</xdr:row>
      <xdr:rowOff>51226</xdr:rowOff>
    </xdr:from>
    <xdr:to>
      <xdr:col>81</xdr:col>
      <xdr:colOff>782009</xdr:colOff>
      <xdr:row>117</xdr:row>
      <xdr:rowOff>287570</xdr:rowOff>
    </xdr:to>
    <xdr:sp macro="" textlink="">
      <xdr:nvSpPr>
        <xdr:cNvPr id="149" name="テキスト ボックス 148">
          <a:extLst>
            <a:ext uri="{FF2B5EF4-FFF2-40B4-BE49-F238E27FC236}">
              <a16:creationId xmlns:a16="http://schemas.microsoft.com/office/drawing/2014/main" id="{0392CF90-9480-FB0D-0324-756774C9611D}"/>
            </a:ext>
          </a:extLst>
        </xdr:cNvPr>
        <xdr:cNvSpPr txBox="1"/>
      </xdr:nvSpPr>
      <xdr:spPr>
        <a:xfrm>
          <a:off x="25553195" y="45113135"/>
          <a:ext cx="1535132" cy="1032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76</xdr:col>
      <xdr:colOff>78150</xdr:colOff>
      <xdr:row>122</xdr:row>
      <xdr:rowOff>350583</xdr:rowOff>
    </xdr:from>
    <xdr:to>
      <xdr:col>77</xdr:col>
      <xdr:colOff>799327</xdr:colOff>
      <xdr:row>125</xdr:row>
      <xdr:rowOff>192320</xdr:rowOff>
    </xdr:to>
    <xdr:sp macro="" textlink="">
      <xdr:nvSpPr>
        <xdr:cNvPr id="150" name="テキスト ボックス 149">
          <a:extLst>
            <a:ext uri="{FF2B5EF4-FFF2-40B4-BE49-F238E27FC236}">
              <a16:creationId xmlns:a16="http://schemas.microsoft.com/office/drawing/2014/main" id="{CE7FECB2-B865-92CA-01A9-FA8EA96C66F2}"/>
            </a:ext>
          </a:extLst>
        </xdr:cNvPr>
        <xdr:cNvSpPr txBox="1"/>
      </xdr:nvSpPr>
      <xdr:spPr>
        <a:xfrm>
          <a:off x="22314695" y="48200719"/>
          <a:ext cx="1535132" cy="1036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2/28</a:t>
          </a:r>
          <a:r>
            <a:rPr kumimoji="1" lang="ja-JP" altLang="en-US" sz="1600" b="1"/>
            <a:t>頃</a:t>
          </a:r>
          <a:endParaRPr kumimoji="1" lang="en-US" altLang="ja-JP" sz="1600" b="1"/>
        </a:p>
        <a:p>
          <a:pPr algn="ctr"/>
          <a:r>
            <a:rPr kumimoji="1" lang="ja-JP" altLang="en-US" sz="1600" b="1"/>
            <a:t>補充完了</a:t>
          </a:r>
          <a:endParaRPr kumimoji="1" lang="en-US" altLang="ja-JP" sz="1600" b="1"/>
        </a:p>
      </xdr:txBody>
    </xdr:sp>
    <xdr:clientData/>
  </xdr:twoCellAnchor>
  <xdr:twoCellAnchor>
    <xdr:from>
      <xdr:col>80</xdr:col>
      <xdr:colOff>60832</xdr:colOff>
      <xdr:row>122</xdr:row>
      <xdr:rowOff>350584</xdr:rowOff>
    </xdr:from>
    <xdr:to>
      <xdr:col>81</xdr:col>
      <xdr:colOff>782009</xdr:colOff>
      <xdr:row>125</xdr:row>
      <xdr:rowOff>192321</xdr:rowOff>
    </xdr:to>
    <xdr:sp macro="" textlink="">
      <xdr:nvSpPr>
        <xdr:cNvPr id="151" name="テキスト ボックス 150">
          <a:extLst>
            <a:ext uri="{FF2B5EF4-FFF2-40B4-BE49-F238E27FC236}">
              <a16:creationId xmlns:a16="http://schemas.microsoft.com/office/drawing/2014/main" id="{789D2B4C-8B5A-587E-55CE-585C549B75DC}"/>
            </a:ext>
          </a:extLst>
        </xdr:cNvPr>
        <xdr:cNvSpPr txBox="1"/>
      </xdr:nvSpPr>
      <xdr:spPr>
        <a:xfrm>
          <a:off x="30391153" y="47771477"/>
          <a:ext cx="1537606"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76</xdr:col>
      <xdr:colOff>61921</xdr:colOff>
      <xdr:row>206</xdr:row>
      <xdr:rowOff>215314</xdr:rowOff>
    </xdr:from>
    <xdr:to>
      <xdr:col>77</xdr:col>
      <xdr:colOff>728670</xdr:colOff>
      <xdr:row>208</xdr:row>
      <xdr:rowOff>291353</xdr:rowOff>
    </xdr:to>
    <xdr:sp macro="" textlink="">
      <xdr:nvSpPr>
        <xdr:cNvPr id="152" name="テキスト ボックス 151">
          <a:extLst>
            <a:ext uri="{FF2B5EF4-FFF2-40B4-BE49-F238E27FC236}">
              <a16:creationId xmlns:a16="http://schemas.microsoft.com/office/drawing/2014/main" id="{2E3ED3EA-3F69-A91E-254D-E93BEFB401DE}"/>
            </a:ext>
          </a:extLst>
        </xdr:cNvPr>
        <xdr:cNvSpPr txBox="1"/>
      </xdr:nvSpPr>
      <xdr:spPr>
        <a:xfrm>
          <a:off x="27126528" y="70890814"/>
          <a:ext cx="1483178" cy="865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2/2</a:t>
          </a:r>
          <a:endParaRPr kumimoji="1" lang="ja-JP" altLang="en-US" sz="1600" b="1"/>
        </a:p>
      </xdr:txBody>
    </xdr:sp>
    <xdr:clientData/>
  </xdr:twoCellAnchor>
  <xdr:twoCellAnchor>
    <xdr:from>
      <xdr:col>80</xdr:col>
      <xdr:colOff>75529</xdr:colOff>
      <xdr:row>206</xdr:row>
      <xdr:rowOff>92849</xdr:rowOff>
    </xdr:from>
    <xdr:to>
      <xdr:col>81</xdr:col>
      <xdr:colOff>742278</xdr:colOff>
      <xdr:row>208</xdr:row>
      <xdr:rowOff>168888</xdr:rowOff>
    </xdr:to>
    <xdr:sp macro="" textlink="">
      <xdr:nvSpPr>
        <xdr:cNvPr id="153" name="テキスト ボックス 152">
          <a:extLst>
            <a:ext uri="{FF2B5EF4-FFF2-40B4-BE49-F238E27FC236}">
              <a16:creationId xmlns:a16="http://schemas.microsoft.com/office/drawing/2014/main" id="{A3DC91B7-56B5-0490-3939-368E0278E55D}"/>
            </a:ext>
          </a:extLst>
        </xdr:cNvPr>
        <xdr:cNvSpPr txBox="1"/>
      </xdr:nvSpPr>
      <xdr:spPr>
        <a:xfrm>
          <a:off x="25629743" y="70768349"/>
          <a:ext cx="1483178" cy="865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endParaRPr kumimoji="1" lang="ja-JP" altLang="en-US" sz="1600" b="1"/>
        </a:p>
      </xdr:txBody>
    </xdr:sp>
    <xdr:clientData/>
  </xdr:twoCellAnchor>
  <xdr:twoCellAnchor>
    <xdr:from>
      <xdr:col>72</xdr:col>
      <xdr:colOff>81642</xdr:colOff>
      <xdr:row>255</xdr:row>
      <xdr:rowOff>208909</xdr:rowOff>
    </xdr:from>
    <xdr:to>
      <xdr:col>73</xdr:col>
      <xdr:colOff>748393</xdr:colOff>
      <xdr:row>257</xdr:row>
      <xdr:rowOff>142904</xdr:rowOff>
    </xdr:to>
    <xdr:sp macro="" textlink="">
      <xdr:nvSpPr>
        <xdr:cNvPr id="154" name="テキスト ボックス 153">
          <a:extLst>
            <a:ext uri="{FF2B5EF4-FFF2-40B4-BE49-F238E27FC236}">
              <a16:creationId xmlns:a16="http://schemas.microsoft.com/office/drawing/2014/main" id="{28686051-65BD-429F-4910-0BB952BDADF7}"/>
            </a:ext>
          </a:extLst>
        </xdr:cNvPr>
        <xdr:cNvSpPr txBox="1"/>
      </xdr:nvSpPr>
      <xdr:spPr>
        <a:xfrm>
          <a:off x="21339201" y="89687880"/>
          <a:ext cx="1484780" cy="718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12/5</a:t>
          </a:r>
        </a:p>
      </xdr:txBody>
    </xdr:sp>
    <xdr:clientData/>
  </xdr:twoCellAnchor>
  <xdr:twoCellAnchor>
    <xdr:from>
      <xdr:col>27</xdr:col>
      <xdr:colOff>190501</xdr:colOff>
      <xdr:row>234</xdr:row>
      <xdr:rowOff>212911</xdr:rowOff>
    </xdr:from>
    <xdr:to>
      <xdr:col>27</xdr:col>
      <xdr:colOff>672354</xdr:colOff>
      <xdr:row>241</xdr:row>
      <xdr:rowOff>235323</xdr:rowOff>
    </xdr:to>
    <xdr:sp macro="" textlink="">
      <xdr:nvSpPr>
        <xdr:cNvPr id="156" name="テキスト ボックス 155">
          <a:extLst>
            <a:ext uri="{FF2B5EF4-FFF2-40B4-BE49-F238E27FC236}">
              <a16:creationId xmlns:a16="http://schemas.microsoft.com/office/drawing/2014/main" id="{33C6AB67-8BF9-4AB2-9F80-FB43E0403692}"/>
            </a:ext>
          </a:extLst>
        </xdr:cNvPr>
        <xdr:cNvSpPr txBox="1"/>
      </xdr:nvSpPr>
      <xdr:spPr>
        <a:xfrm>
          <a:off x="9443358" y="8193741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27</xdr:col>
      <xdr:colOff>190501</xdr:colOff>
      <xdr:row>243</xdr:row>
      <xdr:rowOff>224117</xdr:rowOff>
    </xdr:from>
    <xdr:to>
      <xdr:col>27</xdr:col>
      <xdr:colOff>672354</xdr:colOff>
      <xdr:row>250</xdr:row>
      <xdr:rowOff>246529</xdr:rowOff>
    </xdr:to>
    <xdr:sp macro="" textlink="">
      <xdr:nvSpPr>
        <xdr:cNvPr id="157" name="テキスト ボックス 156">
          <a:extLst>
            <a:ext uri="{FF2B5EF4-FFF2-40B4-BE49-F238E27FC236}">
              <a16:creationId xmlns:a16="http://schemas.microsoft.com/office/drawing/2014/main" id="{97420AF1-6192-4D7E-85BB-58A73CE299CF}"/>
            </a:ext>
          </a:extLst>
        </xdr:cNvPr>
        <xdr:cNvSpPr txBox="1"/>
      </xdr:nvSpPr>
      <xdr:spPr>
        <a:xfrm>
          <a:off x="9443358" y="8550008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28</xdr:col>
      <xdr:colOff>190501</xdr:colOff>
      <xdr:row>234</xdr:row>
      <xdr:rowOff>212911</xdr:rowOff>
    </xdr:from>
    <xdr:to>
      <xdr:col>28</xdr:col>
      <xdr:colOff>672354</xdr:colOff>
      <xdr:row>241</xdr:row>
      <xdr:rowOff>235323</xdr:rowOff>
    </xdr:to>
    <xdr:sp macro="" textlink="">
      <xdr:nvSpPr>
        <xdr:cNvPr id="137" name="テキスト ボックス 136">
          <a:extLst>
            <a:ext uri="{FF2B5EF4-FFF2-40B4-BE49-F238E27FC236}">
              <a16:creationId xmlns:a16="http://schemas.microsoft.com/office/drawing/2014/main" id="{7C2DBA31-0709-43E0-8635-8DA24DCB0B06}"/>
            </a:ext>
          </a:extLst>
        </xdr:cNvPr>
        <xdr:cNvSpPr txBox="1"/>
      </xdr:nvSpPr>
      <xdr:spPr>
        <a:xfrm>
          <a:off x="9401736" y="81477970"/>
          <a:ext cx="481853" cy="276785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28</xdr:col>
      <xdr:colOff>190501</xdr:colOff>
      <xdr:row>243</xdr:row>
      <xdr:rowOff>224117</xdr:rowOff>
    </xdr:from>
    <xdr:to>
      <xdr:col>28</xdr:col>
      <xdr:colOff>672354</xdr:colOff>
      <xdr:row>250</xdr:row>
      <xdr:rowOff>246529</xdr:rowOff>
    </xdr:to>
    <xdr:sp macro="" textlink="">
      <xdr:nvSpPr>
        <xdr:cNvPr id="155" name="テキスト ボックス 154">
          <a:extLst>
            <a:ext uri="{FF2B5EF4-FFF2-40B4-BE49-F238E27FC236}">
              <a16:creationId xmlns:a16="http://schemas.microsoft.com/office/drawing/2014/main" id="{D0BEFCCE-F0B2-4349-93D3-CA670393661E}"/>
            </a:ext>
          </a:extLst>
        </xdr:cNvPr>
        <xdr:cNvSpPr txBox="1"/>
      </xdr:nvSpPr>
      <xdr:spPr>
        <a:xfrm>
          <a:off x="9401736" y="85019029"/>
          <a:ext cx="481853" cy="276785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82</xdr:col>
      <xdr:colOff>70436</xdr:colOff>
      <xdr:row>17</xdr:row>
      <xdr:rowOff>27214</xdr:rowOff>
    </xdr:from>
    <xdr:to>
      <xdr:col>83</xdr:col>
      <xdr:colOff>791612</xdr:colOff>
      <xdr:row>19</xdr:row>
      <xdr:rowOff>265957</xdr:rowOff>
    </xdr:to>
    <xdr:sp macro="" textlink="">
      <xdr:nvSpPr>
        <xdr:cNvPr id="158" name="テキスト ボックス 157">
          <a:extLst>
            <a:ext uri="{FF2B5EF4-FFF2-40B4-BE49-F238E27FC236}">
              <a16:creationId xmlns:a16="http://schemas.microsoft.com/office/drawing/2014/main" id="{61928E65-7321-BBA0-253C-DA5627CB90C2}"/>
            </a:ext>
          </a:extLst>
        </xdr:cNvPr>
        <xdr:cNvSpPr txBox="1"/>
      </xdr:nvSpPr>
      <xdr:spPr>
        <a:xfrm>
          <a:off x="30468793" y="6055178"/>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5/7</a:t>
          </a:r>
        </a:p>
      </xdr:txBody>
    </xdr:sp>
    <xdr:clientData/>
  </xdr:twoCellAnchor>
  <xdr:twoCellAnchor>
    <xdr:from>
      <xdr:col>82</xdr:col>
      <xdr:colOff>42915</xdr:colOff>
      <xdr:row>74</xdr:row>
      <xdr:rowOff>259771</xdr:rowOff>
    </xdr:from>
    <xdr:to>
      <xdr:col>83</xdr:col>
      <xdr:colOff>764093</xdr:colOff>
      <xdr:row>77</xdr:row>
      <xdr:rowOff>103908</xdr:rowOff>
    </xdr:to>
    <xdr:sp macro="" textlink="">
      <xdr:nvSpPr>
        <xdr:cNvPr id="159" name="テキスト ボックス 158">
          <a:extLst>
            <a:ext uri="{FF2B5EF4-FFF2-40B4-BE49-F238E27FC236}">
              <a16:creationId xmlns:a16="http://schemas.microsoft.com/office/drawing/2014/main" id="{D4A9741E-4931-65F1-8B2D-24BDA60E7013}"/>
            </a:ext>
          </a:extLst>
        </xdr:cNvPr>
        <xdr:cNvSpPr txBox="1"/>
      </xdr:nvSpPr>
      <xdr:spPr>
        <a:xfrm>
          <a:off x="29570415" y="28766735"/>
          <a:ext cx="1537607" cy="1027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49627</xdr:colOff>
      <xdr:row>104</xdr:row>
      <xdr:rowOff>78441</xdr:rowOff>
    </xdr:from>
    <xdr:to>
      <xdr:col>83</xdr:col>
      <xdr:colOff>770804</xdr:colOff>
      <xdr:row>106</xdr:row>
      <xdr:rowOff>314784</xdr:rowOff>
    </xdr:to>
    <xdr:sp macro="" textlink="">
      <xdr:nvSpPr>
        <xdr:cNvPr id="160" name="テキスト ボックス 159">
          <a:extLst>
            <a:ext uri="{FF2B5EF4-FFF2-40B4-BE49-F238E27FC236}">
              <a16:creationId xmlns:a16="http://schemas.microsoft.com/office/drawing/2014/main" id="{484B03FF-3ACE-4A6C-4307-73A9446FEBC2}"/>
            </a:ext>
          </a:extLst>
        </xdr:cNvPr>
        <xdr:cNvSpPr txBox="1"/>
      </xdr:nvSpPr>
      <xdr:spPr>
        <a:xfrm>
          <a:off x="27022186" y="40195500"/>
          <a:ext cx="1528000"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a:t>5/30</a:t>
          </a:r>
        </a:p>
        <a:p>
          <a:pPr algn="ctr"/>
          <a:r>
            <a:rPr kumimoji="1" lang="ja-JP" altLang="en-US" sz="1600" b="1"/>
            <a:t>補充完了</a:t>
          </a:r>
          <a:endParaRPr kumimoji="1" lang="en-US" altLang="ja-JP" sz="1600" b="1"/>
        </a:p>
      </xdr:txBody>
    </xdr:sp>
    <xdr:clientData/>
  </xdr:twoCellAnchor>
  <xdr:twoCellAnchor>
    <xdr:from>
      <xdr:col>82</xdr:col>
      <xdr:colOff>60832</xdr:colOff>
      <xdr:row>175</xdr:row>
      <xdr:rowOff>146475</xdr:rowOff>
    </xdr:from>
    <xdr:to>
      <xdr:col>83</xdr:col>
      <xdr:colOff>782008</xdr:colOff>
      <xdr:row>177</xdr:row>
      <xdr:rowOff>382819</xdr:rowOff>
    </xdr:to>
    <xdr:sp macro="" textlink="">
      <xdr:nvSpPr>
        <xdr:cNvPr id="162" name="テキスト ボックス 161">
          <a:extLst>
            <a:ext uri="{FF2B5EF4-FFF2-40B4-BE49-F238E27FC236}">
              <a16:creationId xmlns:a16="http://schemas.microsoft.com/office/drawing/2014/main" id="{4D34FADD-7942-C9FC-7DCA-86A706B587E6}"/>
            </a:ext>
          </a:extLst>
        </xdr:cNvPr>
        <xdr:cNvSpPr txBox="1"/>
      </xdr:nvSpPr>
      <xdr:spPr>
        <a:xfrm>
          <a:off x="27302332" y="58602761"/>
          <a:ext cx="1537605"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84</xdr:col>
      <xdr:colOff>91537</xdr:colOff>
      <xdr:row>187</xdr:row>
      <xdr:rowOff>285751</xdr:rowOff>
    </xdr:from>
    <xdr:to>
      <xdr:col>85</xdr:col>
      <xdr:colOff>758288</xdr:colOff>
      <xdr:row>189</xdr:row>
      <xdr:rowOff>217343</xdr:rowOff>
    </xdr:to>
    <xdr:sp macro="" textlink="">
      <xdr:nvSpPr>
        <xdr:cNvPr id="163" name="テキスト ボックス 162">
          <a:extLst>
            <a:ext uri="{FF2B5EF4-FFF2-40B4-BE49-F238E27FC236}">
              <a16:creationId xmlns:a16="http://schemas.microsoft.com/office/drawing/2014/main" id="{B3A6A420-D762-941E-72D8-4F9636AD055C}"/>
            </a:ext>
          </a:extLst>
        </xdr:cNvPr>
        <xdr:cNvSpPr txBox="1"/>
      </xdr:nvSpPr>
      <xdr:spPr>
        <a:xfrm>
          <a:off x="31251894" y="63477322"/>
          <a:ext cx="1483180" cy="720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80</xdr:col>
      <xdr:colOff>56828</xdr:colOff>
      <xdr:row>255</xdr:row>
      <xdr:rowOff>45623</xdr:rowOff>
    </xdr:from>
    <xdr:to>
      <xdr:col>81</xdr:col>
      <xdr:colOff>723580</xdr:colOff>
      <xdr:row>256</xdr:row>
      <xdr:rowOff>371824</xdr:rowOff>
    </xdr:to>
    <xdr:sp macro="" textlink="">
      <xdr:nvSpPr>
        <xdr:cNvPr id="164" name="テキスト ボックス 163">
          <a:extLst>
            <a:ext uri="{FF2B5EF4-FFF2-40B4-BE49-F238E27FC236}">
              <a16:creationId xmlns:a16="http://schemas.microsoft.com/office/drawing/2014/main" id="{3267E977-CBCD-9400-7A08-0F6D462CFAED}"/>
            </a:ext>
          </a:extLst>
        </xdr:cNvPr>
        <xdr:cNvSpPr txBox="1"/>
      </xdr:nvSpPr>
      <xdr:spPr>
        <a:xfrm>
          <a:off x="51144446" y="89524594"/>
          <a:ext cx="1473575" cy="718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4/1</a:t>
          </a:r>
        </a:p>
      </xdr:txBody>
    </xdr:sp>
    <xdr:clientData/>
  </xdr:twoCellAnchor>
  <xdr:twoCellAnchor>
    <xdr:from>
      <xdr:col>28</xdr:col>
      <xdr:colOff>190501</xdr:colOff>
      <xdr:row>234</xdr:row>
      <xdr:rowOff>212911</xdr:rowOff>
    </xdr:from>
    <xdr:to>
      <xdr:col>28</xdr:col>
      <xdr:colOff>672354</xdr:colOff>
      <xdr:row>241</xdr:row>
      <xdr:rowOff>235323</xdr:rowOff>
    </xdr:to>
    <xdr:sp macro="" textlink="">
      <xdr:nvSpPr>
        <xdr:cNvPr id="165" name="テキスト ボックス 164">
          <a:extLst>
            <a:ext uri="{FF2B5EF4-FFF2-40B4-BE49-F238E27FC236}">
              <a16:creationId xmlns:a16="http://schemas.microsoft.com/office/drawing/2014/main" id="{2DA607CF-E739-4CF2-A806-2F8D1F60807E}"/>
            </a:ext>
          </a:extLst>
        </xdr:cNvPr>
        <xdr:cNvSpPr txBox="1"/>
      </xdr:nvSpPr>
      <xdr:spPr>
        <a:xfrm>
          <a:off x="11947072" y="8193741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28</xdr:col>
      <xdr:colOff>190501</xdr:colOff>
      <xdr:row>243</xdr:row>
      <xdr:rowOff>224117</xdr:rowOff>
    </xdr:from>
    <xdr:to>
      <xdr:col>28</xdr:col>
      <xdr:colOff>672354</xdr:colOff>
      <xdr:row>250</xdr:row>
      <xdr:rowOff>246529</xdr:rowOff>
    </xdr:to>
    <xdr:sp macro="" textlink="">
      <xdr:nvSpPr>
        <xdr:cNvPr id="167" name="テキスト ボックス 166">
          <a:extLst>
            <a:ext uri="{FF2B5EF4-FFF2-40B4-BE49-F238E27FC236}">
              <a16:creationId xmlns:a16="http://schemas.microsoft.com/office/drawing/2014/main" id="{FB2E6449-A47A-40E6-BCD1-39AC259866E0}"/>
            </a:ext>
          </a:extLst>
        </xdr:cNvPr>
        <xdr:cNvSpPr txBox="1"/>
      </xdr:nvSpPr>
      <xdr:spPr>
        <a:xfrm>
          <a:off x="11947072" y="8550008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29</xdr:col>
      <xdr:colOff>190501</xdr:colOff>
      <xdr:row>234</xdr:row>
      <xdr:rowOff>212911</xdr:rowOff>
    </xdr:from>
    <xdr:to>
      <xdr:col>29</xdr:col>
      <xdr:colOff>672354</xdr:colOff>
      <xdr:row>241</xdr:row>
      <xdr:rowOff>235323</xdr:rowOff>
    </xdr:to>
    <xdr:sp macro="" textlink="">
      <xdr:nvSpPr>
        <xdr:cNvPr id="168" name="テキスト ボックス 167">
          <a:extLst>
            <a:ext uri="{FF2B5EF4-FFF2-40B4-BE49-F238E27FC236}">
              <a16:creationId xmlns:a16="http://schemas.microsoft.com/office/drawing/2014/main" id="{01E9BE31-F32B-4350-8B69-375889EF1CB3}"/>
            </a:ext>
          </a:extLst>
        </xdr:cNvPr>
        <xdr:cNvSpPr txBox="1"/>
      </xdr:nvSpPr>
      <xdr:spPr>
        <a:xfrm>
          <a:off x="11947072" y="8193741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29</xdr:col>
      <xdr:colOff>190501</xdr:colOff>
      <xdr:row>243</xdr:row>
      <xdr:rowOff>224117</xdr:rowOff>
    </xdr:from>
    <xdr:to>
      <xdr:col>29</xdr:col>
      <xdr:colOff>672354</xdr:colOff>
      <xdr:row>250</xdr:row>
      <xdr:rowOff>246529</xdr:rowOff>
    </xdr:to>
    <xdr:sp macro="" textlink="">
      <xdr:nvSpPr>
        <xdr:cNvPr id="169" name="テキスト ボックス 168">
          <a:extLst>
            <a:ext uri="{FF2B5EF4-FFF2-40B4-BE49-F238E27FC236}">
              <a16:creationId xmlns:a16="http://schemas.microsoft.com/office/drawing/2014/main" id="{B68DF128-ED0D-4192-AE8C-8D627AE25E9A}"/>
            </a:ext>
          </a:extLst>
        </xdr:cNvPr>
        <xdr:cNvSpPr txBox="1"/>
      </xdr:nvSpPr>
      <xdr:spPr>
        <a:xfrm>
          <a:off x="11947072" y="8550008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84</xdr:col>
      <xdr:colOff>70436</xdr:colOff>
      <xdr:row>31</xdr:row>
      <xdr:rowOff>13607</xdr:rowOff>
    </xdr:from>
    <xdr:to>
      <xdr:col>85</xdr:col>
      <xdr:colOff>791612</xdr:colOff>
      <xdr:row>33</xdr:row>
      <xdr:rowOff>252350</xdr:rowOff>
    </xdr:to>
    <xdr:sp macro="" textlink="">
      <xdr:nvSpPr>
        <xdr:cNvPr id="170" name="テキスト ボックス 169">
          <a:extLst>
            <a:ext uri="{FF2B5EF4-FFF2-40B4-BE49-F238E27FC236}">
              <a16:creationId xmlns:a16="http://schemas.microsoft.com/office/drawing/2014/main" id="{00C4F07C-D55F-5F10-A20C-CC590790694D}"/>
            </a:ext>
          </a:extLst>
        </xdr:cNvPr>
        <xdr:cNvSpPr txBox="1"/>
      </xdr:nvSpPr>
      <xdr:spPr>
        <a:xfrm>
          <a:off x="32101650" y="11566071"/>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86</xdr:col>
      <xdr:colOff>54432</xdr:colOff>
      <xdr:row>31</xdr:row>
      <xdr:rowOff>13607</xdr:rowOff>
    </xdr:from>
    <xdr:to>
      <xdr:col>87</xdr:col>
      <xdr:colOff>775608</xdr:colOff>
      <xdr:row>33</xdr:row>
      <xdr:rowOff>252350</xdr:rowOff>
    </xdr:to>
    <xdr:sp macro="" textlink="">
      <xdr:nvSpPr>
        <xdr:cNvPr id="175" name="テキスト ボックス 174">
          <a:extLst>
            <a:ext uri="{FF2B5EF4-FFF2-40B4-BE49-F238E27FC236}">
              <a16:creationId xmlns:a16="http://schemas.microsoft.com/office/drawing/2014/main" id="{C05D462D-153C-255C-8263-F1BC72EE5A43}"/>
            </a:ext>
          </a:extLst>
        </xdr:cNvPr>
        <xdr:cNvSpPr txBox="1"/>
      </xdr:nvSpPr>
      <xdr:spPr>
        <a:xfrm>
          <a:off x="33718503" y="11566071"/>
          <a:ext cx="1537605" cy="1027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7/31</a:t>
          </a:r>
        </a:p>
      </xdr:txBody>
    </xdr:sp>
    <xdr:clientData/>
  </xdr:twoCellAnchor>
  <xdr:twoCellAnchor>
    <xdr:from>
      <xdr:col>82</xdr:col>
      <xdr:colOff>52028</xdr:colOff>
      <xdr:row>52</xdr:row>
      <xdr:rowOff>290555</xdr:rowOff>
    </xdr:from>
    <xdr:to>
      <xdr:col>83</xdr:col>
      <xdr:colOff>773204</xdr:colOff>
      <xdr:row>55</xdr:row>
      <xdr:rowOff>137091</xdr:rowOff>
    </xdr:to>
    <xdr:sp macro="" textlink="">
      <xdr:nvSpPr>
        <xdr:cNvPr id="180" name="テキスト ボックス 179">
          <a:extLst>
            <a:ext uri="{FF2B5EF4-FFF2-40B4-BE49-F238E27FC236}">
              <a16:creationId xmlns:a16="http://schemas.microsoft.com/office/drawing/2014/main" id="{ECE54BB0-EEA4-6EF3-F6B0-0700ECD04116}"/>
            </a:ext>
          </a:extLst>
        </xdr:cNvPr>
        <xdr:cNvSpPr txBox="1"/>
      </xdr:nvSpPr>
      <xdr:spPr>
        <a:xfrm>
          <a:off x="30450385" y="20129769"/>
          <a:ext cx="1537605" cy="1030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52028</xdr:colOff>
      <xdr:row>63</xdr:row>
      <xdr:rowOff>317769</xdr:rowOff>
    </xdr:from>
    <xdr:to>
      <xdr:col>83</xdr:col>
      <xdr:colOff>773204</xdr:colOff>
      <xdr:row>66</xdr:row>
      <xdr:rowOff>164306</xdr:rowOff>
    </xdr:to>
    <xdr:sp macro="" textlink="">
      <xdr:nvSpPr>
        <xdr:cNvPr id="181" name="テキスト ボックス 180">
          <a:extLst>
            <a:ext uri="{FF2B5EF4-FFF2-40B4-BE49-F238E27FC236}">
              <a16:creationId xmlns:a16="http://schemas.microsoft.com/office/drawing/2014/main" id="{8C2A4A11-8F95-AF3B-2D9A-A3C096CDD72D}"/>
            </a:ext>
          </a:extLst>
        </xdr:cNvPr>
        <xdr:cNvSpPr txBox="1"/>
      </xdr:nvSpPr>
      <xdr:spPr>
        <a:xfrm>
          <a:off x="30450385" y="24484055"/>
          <a:ext cx="1537605" cy="1030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a:t>
          </a:r>
          <a:r>
            <a:rPr kumimoji="1" lang="ja-JP" altLang="en-US" sz="1600" b="1"/>
            <a:t>末</a:t>
          </a:r>
          <a:endParaRPr kumimoji="1" lang="en-US" altLang="ja-JP" sz="1600" b="1"/>
        </a:p>
      </xdr:txBody>
    </xdr:sp>
    <xdr:clientData/>
  </xdr:twoCellAnchor>
  <xdr:twoCellAnchor>
    <xdr:from>
      <xdr:col>82</xdr:col>
      <xdr:colOff>60832</xdr:colOff>
      <xdr:row>160</xdr:row>
      <xdr:rowOff>268941</xdr:rowOff>
    </xdr:from>
    <xdr:to>
      <xdr:col>83</xdr:col>
      <xdr:colOff>782009</xdr:colOff>
      <xdr:row>163</xdr:row>
      <xdr:rowOff>110678</xdr:rowOff>
    </xdr:to>
    <xdr:sp macro="" textlink="">
      <xdr:nvSpPr>
        <xdr:cNvPr id="182" name="テキスト ボックス 181">
          <a:extLst>
            <a:ext uri="{FF2B5EF4-FFF2-40B4-BE49-F238E27FC236}">
              <a16:creationId xmlns:a16="http://schemas.microsoft.com/office/drawing/2014/main" id="{8587250B-B303-3FB4-BD6C-FAE25EB77148}"/>
            </a:ext>
          </a:extLst>
        </xdr:cNvPr>
        <xdr:cNvSpPr txBox="1"/>
      </xdr:nvSpPr>
      <xdr:spPr>
        <a:xfrm>
          <a:off x="30459189" y="52819727"/>
          <a:ext cx="1537606"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br>
            <a:rPr kumimoji="1" lang="en-US" altLang="ja-JP" sz="1600" b="1"/>
          </a:br>
          <a:r>
            <a:rPr kumimoji="1" lang="en-US" altLang="ja-JP" sz="1600" b="1"/>
            <a:t>5/1</a:t>
          </a:r>
        </a:p>
      </xdr:txBody>
    </xdr:sp>
    <xdr:clientData/>
  </xdr:twoCellAnchor>
  <xdr:twoCellAnchor>
    <xdr:from>
      <xdr:col>84</xdr:col>
      <xdr:colOff>74439</xdr:colOff>
      <xdr:row>160</xdr:row>
      <xdr:rowOff>268941</xdr:rowOff>
    </xdr:from>
    <xdr:to>
      <xdr:col>85</xdr:col>
      <xdr:colOff>795616</xdr:colOff>
      <xdr:row>163</xdr:row>
      <xdr:rowOff>110678</xdr:rowOff>
    </xdr:to>
    <xdr:sp macro="" textlink="">
      <xdr:nvSpPr>
        <xdr:cNvPr id="183" name="テキスト ボックス 182">
          <a:extLst>
            <a:ext uri="{FF2B5EF4-FFF2-40B4-BE49-F238E27FC236}">
              <a16:creationId xmlns:a16="http://schemas.microsoft.com/office/drawing/2014/main" id="{2A397A38-7FD2-F023-773A-DEA970043B18}"/>
            </a:ext>
          </a:extLst>
        </xdr:cNvPr>
        <xdr:cNvSpPr txBox="1"/>
      </xdr:nvSpPr>
      <xdr:spPr>
        <a:xfrm>
          <a:off x="32105653" y="52819727"/>
          <a:ext cx="1537606"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84</xdr:col>
      <xdr:colOff>29618</xdr:colOff>
      <xdr:row>104</xdr:row>
      <xdr:rowOff>78441</xdr:rowOff>
    </xdr:from>
    <xdr:to>
      <xdr:col>85</xdr:col>
      <xdr:colOff>750794</xdr:colOff>
      <xdr:row>106</xdr:row>
      <xdr:rowOff>314784</xdr:rowOff>
    </xdr:to>
    <xdr:sp macro="" textlink="">
      <xdr:nvSpPr>
        <xdr:cNvPr id="179" name="テキスト ボックス 178">
          <a:extLst>
            <a:ext uri="{FF2B5EF4-FFF2-40B4-BE49-F238E27FC236}">
              <a16:creationId xmlns:a16="http://schemas.microsoft.com/office/drawing/2014/main" id="{C9CDDF41-84D9-2554-3481-80A52B3ECAAB}"/>
            </a:ext>
          </a:extLst>
        </xdr:cNvPr>
        <xdr:cNvSpPr txBox="1"/>
      </xdr:nvSpPr>
      <xdr:spPr>
        <a:xfrm>
          <a:off x="31843118" y="40195500"/>
          <a:ext cx="1528000"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86</xdr:col>
      <xdr:colOff>87754</xdr:colOff>
      <xdr:row>17</xdr:row>
      <xdr:rowOff>27214</xdr:rowOff>
    </xdr:from>
    <xdr:to>
      <xdr:col>87</xdr:col>
      <xdr:colOff>808930</xdr:colOff>
      <xdr:row>19</xdr:row>
      <xdr:rowOff>265957</xdr:rowOff>
    </xdr:to>
    <xdr:sp macro="" textlink="">
      <xdr:nvSpPr>
        <xdr:cNvPr id="122" name="テキスト ボックス 121">
          <a:extLst>
            <a:ext uri="{FF2B5EF4-FFF2-40B4-BE49-F238E27FC236}">
              <a16:creationId xmlns:a16="http://schemas.microsoft.com/office/drawing/2014/main" id="{9741D6C6-7D47-0E5C-7E37-A5F26C5164E9}"/>
            </a:ext>
          </a:extLst>
        </xdr:cNvPr>
        <xdr:cNvSpPr txBox="1"/>
      </xdr:nvSpPr>
      <xdr:spPr>
        <a:xfrm>
          <a:off x="30463845" y="6105896"/>
          <a:ext cx="1535130" cy="10353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35947</xdr:colOff>
      <xdr:row>63</xdr:row>
      <xdr:rowOff>317769</xdr:rowOff>
    </xdr:from>
    <xdr:to>
      <xdr:col>87</xdr:col>
      <xdr:colOff>759596</xdr:colOff>
      <xdr:row>66</xdr:row>
      <xdr:rowOff>164306</xdr:rowOff>
    </xdr:to>
    <xdr:sp macro="" textlink="">
      <xdr:nvSpPr>
        <xdr:cNvPr id="161" name="テキスト ボックス 160">
          <a:extLst>
            <a:ext uri="{FF2B5EF4-FFF2-40B4-BE49-F238E27FC236}">
              <a16:creationId xmlns:a16="http://schemas.microsoft.com/office/drawing/2014/main" id="{68590D8A-1A20-C871-167E-43E123043482}"/>
            </a:ext>
          </a:extLst>
        </xdr:cNvPr>
        <xdr:cNvSpPr txBox="1"/>
      </xdr:nvSpPr>
      <xdr:spPr>
        <a:xfrm>
          <a:off x="30543161" y="24484055"/>
          <a:ext cx="1540078" cy="1030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52028</xdr:colOff>
      <xdr:row>52</xdr:row>
      <xdr:rowOff>290555</xdr:rowOff>
    </xdr:from>
    <xdr:to>
      <xdr:col>87</xdr:col>
      <xdr:colOff>773204</xdr:colOff>
      <xdr:row>55</xdr:row>
      <xdr:rowOff>137091</xdr:rowOff>
    </xdr:to>
    <xdr:sp macro="" textlink="">
      <xdr:nvSpPr>
        <xdr:cNvPr id="173" name="テキスト ボックス 172">
          <a:extLst>
            <a:ext uri="{FF2B5EF4-FFF2-40B4-BE49-F238E27FC236}">
              <a16:creationId xmlns:a16="http://schemas.microsoft.com/office/drawing/2014/main" id="{856E5744-1EDF-64E2-857A-80F84BBA5DAF}"/>
            </a:ext>
          </a:extLst>
        </xdr:cNvPr>
        <xdr:cNvSpPr txBox="1"/>
      </xdr:nvSpPr>
      <xdr:spPr>
        <a:xfrm>
          <a:off x="30428119" y="20310373"/>
          <a:ext cx="1535130" cy="1041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7/13</a:t>
          </a:r>
        </a:p>
      </xdr:txBody>
    </xdr:sp>
    <xdr:clientData/>
  </xdr:twoCellAnchor>
  <xdr:twoCellAnchor>
    <xdr:from>
      <xdr:col>86</xdr:col>
      <xdr:colOff>42915</xdr:colOff>
      <xdr:row>91</xdr:row>
      <xdr:rowOff>69271</xdr:rowOff>
    </xdr:from>
    <xdr:to>
      <xdr:col>87</xdr:col>
      <xdr:colOff>764092</xdr:colOff>
      <xdr:row>93</xdr:row>
      <xdr:rowOff>308016</xdr:rowOff>
    </xdr:to>
    <xdr:sp macro="" textlink="">
      <xdr:nvSpPr>
        <xdr:cNvPr id="174" name="テキスト ボックス 173">
          <a:extLst>
            <a:ext uri="{FF2B5EF4-FFF2-40B4-BE49-F238E27FC236}">
              <a16:creationId xmlns:a16="http://schemas.microsoft.com/office/drawing/2014/main" id="{EC1F5B7F-B96E-87D6-9267-30C00C965E5A}"/>
            </a:ext>
          </a:extLst>
        </xdr:cNvPr>
        <xdr:cNvSpPr txBox="1"/>
      </xdr:nvSpPr>
      <xdr:spPr>
        <a:xfrm>
          <a:off x="30550129" y="35284557"/>
          <a:ext cx="1537606" cy="1027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7/1</a:t>
          </a:r>
        </a:p>
      </xdr:txBody>
    </xdr:sp>
    <xdr:clientData/>
  </xdr:twoCellAnchor>
  <xdr:twoCellAnchor>
    <xdr:from>
      <xdr:col>88</xdr:col>
      <xdr:colOff>40821</xdr:colOff>
      <xdr:row>126</xdr:row>
      <xdr:rowOff>160085</xdr:rowOff>
    </xdr:from>
    <xdr:to>
      <xdr:col>89</xdr:col>
      <xdr:colOff>761997</xdr:colOff>
      <xdr:row>129</xdr:row>
      <xdr:rowOff>1821</xdr:rowOff>
    </xdr:to>
    <xdr:sp macro="" textlink="">
      <xdr:nvSpPr>
        <xdr:cNvPr id="176" name="テキスト ボックス 175">
          <a:extLst>
            <a:ext uri="{FF2B5EF4-FFF2-40B4-BE49-F238E27FC236}">
              <a16:creationId xmlns:a16="http://schemas.microsoft.com/office/drawing/2014/main" id="{33993EDB-D52A-05A3-22C6-EB6F47E72148}"/>
            </a:ext>
          </a:extLst>
        </xdr:cNvPr>
        <xdr:cNvSpPr txBox="1"/>
      </xdr:nvSpPr>
      <xdr:spPr>
        <a:xfrm>
          <a:off x="28860750" y="49159406"/>
          <a:ext cx="1537604"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88</xdr:col>
      <xdr:colOff>68036</xdr:colOff>
      <xdr:row>175</xdr:row>
      <xdr:rowOff>146475</xdr:rowOff>
    </xdr:from>
    <xdr:to>
      <xdr:col>89</xdr:col>
      <xdr:colOff>789212</xdr:colOff>
      <xdr:row>177</xdr:row>
      <xdr:rowOff>382819</xdr:rowOff>
    </xdr:to>
    <xdr:sp macro="" textlink="">
      <xdr:nvSpPr>
        <xdr:cNvPr id="177" name="テキスト ボックス 176">
          <a:extLst>
            <a:ext uri="{FF2B5EF4-FFF2-40B4-BE49-F238E27FC236}">
              <a16:creationId xmlns:a16="http://schemas.microsoft.com/office/drawing/2014/main" id="{CE8C8AA0-49C3-07BE-DDB7-9A6D9DB8BB74}"/>
            </a:ext>
          </a:extLst>
        </xdr:cNvPr>
        <xdr:cNvSpPr txBox="1"/>
      </xdr:nvSpPr>
      <xdr:spPr>
        <a:xfrm>
          <a:off x="32208107" y="58602761"/>
          <a:ext cx="1537605"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7/31</a:t>
          </a:r>
        </a:p>
      </xdr:txBody>
    </xdr:sp>
    <xdr:clientData/>
  </xdr:twoCellAnchor>
  <xdr:twoCellAnchor>
    <xdr:from>
      <xdr:col>86</xdr:col>
      <xdr:colOff>81643</xdr:colOff>
      <xdr:row>226</xdr:row>
      <xdr:rowOff>149678</xdr:rowOff>
    </xdr:from>
    <xdr:to>
      <xdr:col>87</xdr:col>
      <xdr:colOff>748391</xdr:colOff>
      <xdr:row>228</xdr:row>
      <xdr:rowOff>225717</xdr:rowOff>
    </xdr:to>
    <xdr:sp macro="" textlink="">
      <xdr:nvSpPr>
        <xdr:cNvPr id="178" name="テキスト ボックス 177">
          <a:extLst>
            <a:ext uri="{FF2B5EF4-FFF2-40B4-BE49-F238E27FC236}">
              <a16:creationId xmlns:a16="http://schemas.microsoft.com/office/drawing/2014/main" id="{73E1EEBF-B885-490E-AC14-DF8678BE6922}"/>
            </a:ext>
          </a:extLst>
        </xdr:cNvPr>
        <xdr:cNvSpPr txBox="1"/>
      </xdr:nvSpPr>
      <xdr:spPr>
        <a:xfrm>
          <a:off x="30588857" y="78717321"/>
          <a:ext cx="1483177" cy="865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endParaRPr kumimoji="1" lang="ja-JP" altLang="en-US" sz="1600" b="1"/>
        </a:p>
      </xdr:txBody>
    </xdr:sp>
    <xdr:clientData/>
  </xdr:twoCellAnchor>
  <xdr:twoCellAnchor>
    <xdr:from>
      <xdr:col>86</xdr:col>
      <xdr:colOff>138471</xdr:colOff>
      <xdr:row>264</xdr:row>
      <xdr:rowOff>54799</xdr:rowOff>
    </xdr:from>
    <xdr:to>
      <xdr:col>87</xdr:col>
      <xdr:colOff>805223</xdr:colOff>
      <xdr:row>265</xdr:row>
      <xdr:rowOff>381000</xdr:rowOff>
    </xdr:to>
    <xdr:sp macro="" textlink="">
      <xdr:nvSpPr>
        <xdr:cNvPr id="187" name="テキスト ボックス 186">
          <a:extLst>
            <a:ext uri="{FF2B5EF4-FFF2-40B4-BE49-F238E27FC236}">
              <a16:creationId xmlns:a16="http://schemas.microsoft.com/office/drawing/2014/main" id="{9E3290CE-2C71-8A20-75B2-15FD8CBAEB74}"/>
            </a:ext>
          </a:extLst>
        </xdr:cNvPr>
        <xdr:cNvSpPr txBox="1"/>
      </xdr:nvSpPr>
      <xdr:spPr>
        <a:xfrm>
          <a:off x="30645685" y="93590299"/>
          <a:ext cx="1483181"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p>
        <a:p>
          <a:pPr algn="ctr"/>
          <a:endParaRPr kumimoji="1" lang="en-US" altLang="ja-JP" sz="1600" b="1"/>
        </a:p>
      </xdr:txBody>
    </xdr:sp>
    <xdr:clientData/>
  </xdr:twoCellAnchor>
  <xdr:twoCellAnchor>
    <xdr:from>
      <xdr:col>86</xdr:col>
      <xdr:colOff>138471</xdr:colOff>
      <xdr:row>276</xdr:row>
      <xdr:rowOff>0</xdr:rowOff>
    </xdr:from>
    <xdr:to>
      <xdr:col>87</xdr:col>
      <xdr:colOff>805223</xdr:colOff>
      <xdr:row>277</xdr:row>
      <xdr:rowOff>326201</xdr:rowOff>
    </xdr:to>
    <xdr:sp macro="" textlink="">
      <xdr:nvSpPr>
        <xdr:cNvPr id="188" name="テキスト ボックス 187">
          <a:extLst>
            <a:ext uri="{FF2B5EF4-FFF2-40B4-BE49-F238E27FC236}">
              <a16:creationId xmlns:a16="http://schemas.microsoft.com/office/drawing/2014/main" id="{2022BFD1-AC99-19D1-5DA9-8EA3A49A865B}"/>
            </a:ext>
          </a:extLst>
        </xdr:cNvPr>
        <xdr:cNvSpPr txBox="1"/>
      </xdr:nvSpPr>
      <xdr:spPr>
        <a:xfrm>
          <a:off x="30645685" y="98257179"/>
          <a:ext cx="1483181"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7/13</a:t>
          </a:r>
        </a:p>
        <a:p>
          <a:pPr algn="ctr"/>
          <a:endParaRPr kumimoji="1" lang="en-US" altLang="ja-JP" sz="1600" b="1"/>
        </a:p>
      </xdr:txBody>
    </xdr:sp>
    <xdr:clientData/>
  </xdr:twoCellAnchor>
  <xdr:twoCellAnchor>
    <xdr:from>
      <xdr:col>86</xdr:col>
      <xdr:colOff>149676</xdr:colOff>
      <xdr:row>252</xdr:row>
      <xdr:rowOff>0</xdr:rowOff>
    </xdr:from>
    <xdr:to>
      <xdr:col>88</xdr:col>
      <xdr:colOff>0</xdr:colOff>
      <xdr:row>253</xdr:row>
      <xdr:rowOff>326200</xdr:rowOff>
    </xdr:to>
    <xdr:sp macro="" textlink="">
      <xdr:nvSpPr>
        <xdr:cNvPr id="189" name="テキスト ボックス 188">
          <a:extLst>
            <a:ext uri="{FF2B5EF4-FFF2-40B4-BE49-F238E27FC236}">
              <a16:creationId xmlns:a16="http://schemas.microsoft.com/office/drawing/2014/main" id="{F88711C6-8182-C65E-F7A7-40AA85580F5E}"/>
            </a:ext>
          </a:extLst>
        </xdr:cNvPr>
        <xdr:cNvSpPr txBox="1"/>
      </xdr:nvSpPr>
      <xdr:spPr>
        <a:xfrm>
          <a:off x="30656890" y="88813821"/>
          <a:ext cx="1483181"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90</xdr:col>
      <xdr:colOff>81643</xdr:colOff>
      <xdr:row>215</xdr:row>
      <xdr:rowOff>209712</xdr:rowOff>
    </xdr:from>
    <xdr:to>
      <xdr:col>91</xdr:col>
      <xdr:colOff>748392</xdr:colOff>
      <xdr:row>217</xdr:row>
      <xdr:rowOff>285750</xdr:rowOff>
    </xdr:to>
    <xdr:sp macro="" textlink="">
      <xdr:nvSpPr>
        <xdr:cNvPr id="191" name="テキスト ボックス 190">
          <a:extLst>
            <a:ext uri="{FF2B5EF4-FFF2-40B4-BE49-F238E27FC236}">
              <a16:creationId xmlns:a16="http://schemas.microsoft.com/office/drawing/2014/main" id="{A3351B57-6716-7A61-0219-1CEF5A3998A4}"/>
            </a:ext>
          </a:extLst>
        </xdr:cNvPr>
        <xdr:cNvSpPr txBox="1"/>
      </xdr:nvSpPr>
      <xdr:spPr>
        <a:xfrm>
          <a:off x="33854572" y="74436676"/>
          <a:ext cx="1483177" cy="865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9/4</a:t>
          </a:r>
          <a:endParaRPr kumimoji="1" lang="ja-JP" altLang="en-US" sz="1600" b="1"/>
        </a:p>
      </xdr:txBody>
    </xdr:sp>
    <xdr:clientData/>
  </xdr:twoCellAnchor>
  <xdr:twoCellAnchor>
    <xdr:from>
      <xdr:col>30</xdr:col>
      <xdr:colOff>190501</xdr:colOff>
      <xdr:row>234</xdr:row>
      <xdr:rowOff>212911</xdr:rowOff>
    </xdr:from>
    <xdr:to>
      <xdr:col>30</xdr:col>
      <xdr:colOff>672354</xdr:colOff>
      <xdr:row>241</xdr:row>
      <xdr:rowOff>235323</xdr:rowOff>
    </xdr:to>
    <xdr:sp macro="" textlink="">
      <xdr:nvSpPr>
        <xdr:cNvPr id="192" name="テキスト ボックス 191">
          <a:extLst>
            <a:ext uri="{FF2B5EF4-FFF2-40B4-BE49-F238E27FC236}">
              <a16:creationId xmlns:a16="http://schemas.microsoft.com/office/drawing/2014/main" id="{941AC2B3-F385-4D4B-BB07-07FE9ECAA2A1}"/>
            </a:ext>
          </a:extLst>
        </xdr:cNvPr>
        <xdr:cNvSpPr txBox="1"/>
      </xdr:nvSpPr>
      <xdr:spPr>
        <a:xfrm>
          <a:off x="11144251" y="8193741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30</xdr:col>
      <xdr:colOff>190501</xdr:colOff>
      <xdr:row>243</xdr:row>
      <xdr:rowOff>224117</xdr:rowOff>
    </xdr:from>
    <xdr:to>
      <xdr:col>30</xdr:col>
      <xdr:colOff>672354</xdr:colOff>
      <xdr:row>250</xdr:row>
      <xdr:rowOff>246529</xdr:rowOff>
    </xdr:to>
    <xdr:sp macro="" textlink="">
      <xdr:nvSpPr>
        <xdr:cNvPr id="193" name="テキスト ボックス 192">
          <a:extLst>
            <a:ext uri="{FF2B5EF4-FFF2-40B4-BE49-F238E27FC236}">
              <a16:creationId xmlns:a16="http://schemas.microsoft.com/office/drawing/2014/main" id="{728DFB1A-4B76-4CF3-A8A3-92BCF3C92484}"/>
            </a:ext>
          </a:extLst>
        </xdr:cNvPr>
        <xdr:cNvSpPr txBox="1"/>
      </xdr:nvSpPr>
      <xdr:spPr>
        <a:xfrm>
          <a:off x="11144251" y="85500081"/>
          <a:ext cx="481853" cy="278466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100" b="1">
              <a:solidFill>
                <a:schemeClr val="bg1"/>
              </a:solidFill>
            </a:rPr>
            <a:t>再登録の為、返送</a:t>
          </a:r>
        </a:p>
      </xdr:txBody>
    </xdr:sp>
    <xdr:clientData/>
  </xdr:twoCellAnchor>
  <xdr:twoCellAnchor>
    <xdr:from>
      <xdr:col>86</xdr:col>
      <xdr:colOff>54428</xdr:colOff>
      <xdr:row>175</xdr:row>
      <xdr:rowOff>146475</xdr:rowOff>
    </xdr:from>
    <xdr:to>
      <xdr:col>87</xdr:col>
      <xdr:colOff>775604</xdr:colOff>
      <xdr:row>177</xdr:row>
      <xdr:rowOff>382819</xdr:rowOff>
    </xdr:to>
    <xdr:sp macro="" textlink="">
      <xdr:nvSpPr>
        <xdr:cNvPr id="197" name="テキスト ボックス 196">
          <a:extLst>
            <a:ext uri="{FF2B5EF4-FFF2-40B4-BE49-F238E27FC236}">
              <a16:creationId xmlns:a16="http://schemas.microsoft.com/office/drawing/2014/main" id="{0605C07D-F28F-1E2D-2922-9BD55F78ED87}"/>
            </a:ext>
          </a:extLst>
        </xdr:cNvPr>
        <xdr:cNvSpPr txBox="1"/>
      </xdr:nvSpPr>
      <xdr:spPr>
        <a:xfrm>
          <a:off x="33772928" y="58602761"/>
          <a:ext cx="1537605"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a:t>
          </a:r>
        </a:p>
      </xdr:txBody>
    </xdr:sp>
    <xdr:clientData/>
  </xdr:twoCellAnchor>
  <xdr:twoCellAnchor>
    <xdr:from>
      <xdr:col>78</xdr:col>
      <xdr:colOff>56522</xdr:colOff>
      <xdr:row>91</xdr:row>
      <xdr:rowOff>69271</xdr:rowOff>
    </xdr:from>
    <xdr:to>
      <xdr:col>79</xdr:col>
      <xdr:colOff>777700</xdr:colOff>
      <xdr:row>93</xdr:row>
      <xdr:rowOff>308016</xdr:rowOff>
    </xdr:to>
    <xdr:sp macro="" textlink="">
      <xdr:nvSpPr>
        <xdr:cNvPr id="205" name="テキスト ボックス 204">
          <a:extLst>
            <a:ext uri="{FF2B5EF4-FFF2-40B4-BE49-F238E27FC236}">
              <a16:creationId xmlns:a16="http://schemas.microsoft.com/office/drawing/2014/main" id="{3C77A18D-D120-4E7C-98C6-D632DC1C777A}"/>
            </a:ext>
          </a:extLst>
        </xdr:cNvPr>
        <xdr:cNvSpPr txBox="1"/>
      </xdr:nvSpPr>
      <xdr:spPr>
        <a:xfrm>
          <a:off x="25610736" y="35284557"/>
          <a:ext cx="1537607" cy="1027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3/31</a:t>
          </a:r>
        </a:p>
      </xdr:txBody>
    </xdr:sp>
    <xdr:clientData/>
  </xdr:twoCellAnchor>
  <xdr:twoCellAnchor>
    <xdr:from>
      <xdr:col>82</xdr:col>
      <xdr:colOff>116700</xdr:colOff>
      <xdr:row>255</xdr:row>
      <xdr:rowOff>233402</xdr:rowOff>
    </xdr:from>
    <xdr:to>
      <xdr:col>83</xdr:col>
      <xdr:colOff>783452</xdr:colOff>
      <xdr:row>257</xdr:row>
      <xdr:rowOff>164996</xdr:rowOff>
    </xdr:to>
    <xdr:sp macro="" textlink="">
      <xdr:nvSpPr>
        <xdr:cNvPr id="207" name="テキスト ボックス 206">
          <a:extLst>
            <a:ext uri="{FF2B5EF4-FFF2-40B4-BE49-F238E27FC236}">
              <a16:creationId xmlns:a16="http://schemas.microsoft.com/office/drawing/2014/main" id="{9CFA224B-1DAC-4DBE-A7BD-13305B0F2E28}"/>
            </a:ext>
          </a:extLst>
        </xdr:cNvPr>
        <xdr:cNvSpPr txBox="1"/>
      </xdr:nvSpPr>
      <xdr:spPr>
        <a:xfrm>
          <a:off x="21681300" y="89703088"/>
          <a:ext cx="1472295" cy="715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88</xdr:col>
      <xdr:colOff>56828</xdr:colOff>
      <xdr:row>255</xdr:row>
      <xdr:rowOff>385802</xdr:rowOff>
    </xdr:from>
    <xdr:to>
      <xdr:col>89</xdr:col>
      <xdr:colOff>723580</xdr:colOff>
      <xdr:row>257</xdr:row>
      <xdr:rowOff>317396</xdr:rowOff>
    </xdr:to>
    <xdr:sp macro="" textlink="">
      <xdr:nvSpPr>
        <xdr:cNvPr id="208" name="テキスト ボックス 207">
          <a:extLst>
            <a:ext uri="{FF2B5EF4-FFF2-40B4-BE49-F238E27FC236}">
              <a16:creationId xmlns:a16="http://schemas.microsoft.com/office/drawing/2014/main" id="{DFFBB3D6-57B8-8ADD-A07F-913BD7AAF800}"/>
            </a:ext>
          </a:extLst>
        </xdr:cNvPr>
        <xdr:cNvSpPr txBox="1"/>
      </xdr:nvSpPr>
      <xdr:spPr>
        <a:xfrm>
          <a:off x="32142471" y="90369838"/>
          <a:ext cx="1483180"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7/28</a:t>
          </a:r>
        </a:p>
      </xdr:txBody>
    </xdr:sp>
    <xdr:clientData/>
  </xdr:twoCellAnchor>
  <xdr:twoCellAnchor>
    <xdr:from>
      <xdr:col>88</xdr:col>
      <xdr:colOff>70435</xdr:colOff>
      <xdr:row>17</xdr:row>
      <xdr:rowOff>27214</xdr:rowOff>
    </xdr:from>
    <xdr:to>
      <xdr:col>89</xdr:col>
      <xdr:colOff>791611</xdr:colOff>
      <xdr:row>19</xdr:row>
      <xdr:rowOff>265957</xdr:rowOff>
    </xdr:to>
    <xdr:sp macro="" textlink="">
      <xdr:nvSpPr>
        <xdr:cNvPr id="148" name="テキスト ボックス 147">
          <a:extLst>
            <a:ext uri="{FF2B5EF4-FFF2-40B4-BE49-F238E27FC236}">
              <a16:creationId xmlns:a16="http://schemas.microsoft.com/office/drawing/2014/main" id="{8417BB66-4248-FBB2-4248-7051BA52ECBC}"/>
            </a:ext>
          </a:extLst>
        </xdr:cNvPr>
        <xdr:cNvSpPr txBox="1"/>
      </xdr:nvSpPr>
      <xdr:spPr>
        <a:xfrm>
          <a:off x="32005162" y="6105896"/>
          <a:ext cx="1535131" cy="10353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8/7</a:t>
          </a:r>
        </a:p>
      </xdr:txBody>
    </xdr:sp>
    <xdr:clientData/>
  </xdr:twoCellAnchor>
  <xdr:twoCellAnchor>
    <xdr:from>
      <xdr:col>92</xdr:col>
      <xdr:colOff>41912</xdr:colOff>
      <xdr:row>31</xdr:row>
      <xdr:rowOff>0</xdr:rowOff>
    </xdr:from>
    <xdr:to>
      <xdr:col>93</xdr:col>
      <xdr:colOff>763088</xdr:colOff>
      <xdr:row>33</xdr:row>
      <xdr:rowOff>238743</xdr:rowOff>
    </xdr:to>
    <xdr:sp macro="" textlink="">
      <xdr:nvSpPr>
        <xdr:cNvPr id="185" name="テキスト ボックス 184">
          <a:extLst>
            <a:ext uri="{FF2B5EF4-FFF2-40B4-BE49-F238E27FC236}">
              <a16:creationId xmlns:a16="http://schemas.microsoft.com/office/drawing/2014/main" id="{B2DBE904-4878-E73C-4F59-5CC6A4D6C302}"/>
            </a:ext>
          </a:extLst>
        </xdr:cNvPr>
        <xdr:cNvSpPr txBox="1"/>
      </xdr:nvSpPr>
      <xdr:spPr>
        <a:xfrm>
          <a:off x="35082706" y="11508441"/>
          <a:ext cx="1528000" cy="1023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10/2</a:t>
          </a:r>
        </a:p>
      </xdr:txBody>
    </xdr:sp>
    <xdr:clientData/>
  </xdr:twoCellAnchor>
  <xdr:twoCellAnchor>
    <xdr:from>
      <xdr:col>86</xdr:col>
      <xdr:colOff>65634</xdr:colOff>
      <xdr:row>41</xdr:row>
      <xdr:rowOff>100054</xdr:rowOff>
    </xdr:from>
    <xdr:to>
      <xdr:col>87</xdr:col>
      <xdr:colOff>786812</xdr:colOff>
      <xdr:row>43</xdr:row>
      <xdr:rowOff>341198</xdr:rowOff>
    </xdr:to>
    <xdr:sp macro="" textlink="">
      <xdr:nvSpPr>
        <xdr:cNvPr id="196" name="テキスト ボックス 195">
          <a:extLst>
            <a:ext uri="{FF2B5EF4-FFF2-40B4-BE49-F238E27FC236}">
              <a16:creationId xmlns:a16="http://schemas.microsoft.com/office/drawing/2014/main" id="{3E023016-F3F4-E436-FC2A-639D0CC9272A}"/>
            </a:ext>
          </a:extLst>
        </xdr:cNvPr>
        <xdr:cNvSpPr txBox="1"/>
      </xdr:nvSpPr>
      <xdr:spPr>
        <a:xfrm>
          <a:off x="30265487" y="15530554"/>
          <a:ext cx="1528001" cy="1025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t>納期予定</a:t>
          </a:r>
          <a:endParaRPr kumimoji="1" lang="en-US" altLang="ja-JP" sz="1600" b="1" u="none"/>
        </a:p>
        <a:p>
          <a:pPr algn="ctr"/>
          <a:r>
            <a:rPr kumimoji="1" lang="en-US" altLang="ja-JP" sz="1600" b="1"/>
            <a:t>7/3</a:t>
          </a:r>
        </a:p>
      </xdr:txBody>
    </xdr:sp>
    <xdr:clientData/>
  </xdr:twoCellAnchor>
  <xdr:twoCellAnchor>
    <xdr:from>
      <xdr:col>88</xdr:col>
      <xdr:colOff>54428</xdr:colOff>
      <xdr:row>115</xdr:row>
      <xdr:rowOff>51226</xdr:rowOff>
    </xdr:from>
    <xdr:to>
      <xdr:col>89</xdr:col>
      <xdr:colOff>775604</xdr:colOff>
      <xdr:row>117</xdr:row>
      <xdr:rowOff>287570</xdr:rowOff>
    </xdr:to>
    <xdr:sp macro="" textlink="">
      <xdr:nvSpPr>
        <xdr:cNvPr id="198" name="テキスト ボックス 197">
          <a:extLst>
            <a:ext uri="{FF2B5EF4-FFF2-40B4-BE49-F238E27FC236}">
              <a16:creationId xmlns:a16="http://schemas.microsoft.com/office/drawing/2014/main" id="{33A49A16-996D-6566-6D86-894C98FCCFCD}"/>
            </a:ext>
          </a:extLst>
        </xdr:cNvPr>
        <xdr:cNvSpPr txBox="1"/>
      </xdr:nvSpPr>
      <xdr:spPr>
        <a:xfrm>
          <a:off x="32140071" y="44709869"/>
          <a:ext cx="1537604" cy="1025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88</xdr:col>
      <xdr:colOff>54428</xdr:colOff>
      <xdr:row>104</xdr:row>
      <xdr:rowOff>78441</xdr:rowOff>
    </xdr:from>
    <xdr:to>
      <xdr:col>89</xdr:col>
      <xdr:colOff>775604</xdr:colOff>
      <xdr:row>106</xdr:row>
      <xdr:rowOff>314784</xdr:rowOff>
    </xdr:to>
    <xdr:sp macro="" textlink="">
      <xdr:nvSpPr>
        <xdr:cNvPr id="199" name="テキスト ボックス 198">
          <a:extLst>
            <a:ext uri="{FF2B5EF4-FFF2-40B4-BE49-F238E27FC236}">
              <a16:creationId xmlns:a16="http://schemas.microsoft.com/office/drawing/2014/main" id="{23352C0C-526D-927D-A8BD-915737E27FE9}"/>
            </a:ext>
          </a:extLst>
        </xdr:cNvPr>
        <xdr:cNvSpPr txBox="1"/>
      </xdr:nvSpPr>
      <xdr:spPr>
        <a:xfrm>
          <a:off x="31867928" y="40195500"/>
          <a:ext cx="1528000"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8/7</a:t>
          </a:r>
        </a:p>
      </xdr:txBody>
    </xdr:sp>
    <xdr:clientData/>
  </xdr:twoCellAnchor>
  <xdr:twoCellAnchor>
    <xdr:from>
      <xdr:col>96</xdr:col>
      <xdr:colOff>56030</xdr:colOff>
      <xdr:row>31</xdr:row>
      <xdr:rowOff>0</xdr:rowOff>
    </xdr:from>
    <xdr:to>
      <xdr:col>97</xdr:col>
      <xdr:colOff>777206</xdr:colOff>
      <xdr:row>33</xdr:row>
      <xdr:rowOff>238743</xdr:rowOff>
    </xdr:to>
    <xdr:sp macro="" textlink="">
      <xdr:nvSpPr>
        <xdr:cNvPr id="200" name="テキスト ボックス 199">
          <a:extLst>
            <a:ext uri="{FF2B5EF4-FFF2-40B4-BE49-F238E27FC236}">
              <a16:creationId xmlns:a16="http://schemas.microsoft.com/office/drawing/2014/main" id="{2E25C885-58D9-523D-2B18-4E4A67D18C51}"/>
            </a:ext>
          </a:extLst>
        </xdr:cNvPr>
        <xdr:cNvSpPr txBox="1"/>
      </xdr:nvSpPr>
      <xdr:spPr>
        <a:xfrm>
          <a:off x="38324118" y="11508441"/>
          <a:ext cx="1528000" cy="1023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12/4</a:t>
          </a:r>
        </a:p>
      </xdr:txBody>
    </xdr:sp>
    <xdr:clientData/>
  </xdr:twoCellAnchor>
  <xdr:twoCellAnchor>
    <xdr:from>
      <xdr:col>92</xdr:col>
      <xdr:colOff>56030</xdr:colOff>
      <xdr:row>52</xdr:row>
      <xdr:rowOff>290555</xdr:rowOff>
    </xdr:from>
    <xdr:to>
      <xdr:col>93</xdr:col>
      <xdr:colOff>777205</xdr:colOff>
      <xdr:row>55</xdr:row>
      <xdr:rowOff>137091</xdr:rowOff>
    </xdr:to>
    <xdr:sp macro="" textlink="">
      <xdr:nvSpPr>
        <xdr:cNvPr id="209" name="テキスト ボックス 208">
          <a:extLst>
            <a:ext uri="{FF2B5EF4-FFF2-40B4-BE49-F238E27FC236}">
              <a16:creationId xmlns:a16="http://schemas.microsoft.com/office/drawing/2014/main" id="{45950047-B4D9-883E-D90B-42BD5B0BEA1B}"/>
            </a:ext>
          </a:extLst>
        </xdr:cNvPr>
        <xdr:cNvSpPr txBox="1"/>
      </xdr:nvSpPr>
      <xdr:spPr>
        <a:xfrm>
          <a:off x="35096824" y="20035320"/>
          <a:ext cx="1527999" cy="1023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10/30</a:t>
          </a:r>
        </a:p>
      </xdr:txBody>
    </xdr:sp>
    <xdr:clientData/>
  </xdr:twoCellAnchor>
  <xdr:twoCellAnchor>
    <xdr:from>
      <xdr:col>92</xdr:col>
      <xdr:colOff>44824</xdr:colOff>
      <xdr:row>63</xdr:row>
      <xdr:rowOff>317769</xdr:rowOff>
    </xdr:from>
    <xdr:to>
      <xdr:col>93</xdr:col>
      <xdr:colOff>768472</xdr:colOff>
      <xdr:row>66</xdr:row>
      <xdr:rowOff>164306</xdr:rowOff>
    </xdr:to>
    <xdr:sp macro="" textlink="">
      <xdr:nvSpPr>
        <xdr:cNvPr id="210" name="テキスト ボックス 209">
          <a:extLst>
            <a:ext uri="{FF2B5EF4-FFF2-40B4-BE49-F238E27FC236}">
              <a16:creationId xmlns:a16="http://schemas.microsoft.com/office/drawing/2014/main" id="{7AEE78F1-A833-2465-0571-EF43A5E2778D}"/>
            </a:ext>
          </a:extLst>
        </xdr:cNvPr>
        <xdr:cNvSpPr txBox="1"/>
      </xdr:nvSpPr>
      <xdr:spPr>
        <a:xfrm>
          <a:off x="35085618" y="24365593"/>
          <a:ext cx="1530472" cy="102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10/2</a:t>
          </a:r>
        </a:p>
      </xdr:txBody>
    </xdr:sp>
    <xdr:clientData/>
  </xdr:twoCellAnchor>
  <xdr:twoCellAnchor>
    <xdr:from>
      <xdr:col>88</xdr:col>
      <xdr:colOff>52028</xdr:colOff>
      <xdr:row>74</xdr:row>
      <xdr:rowOff>259771</xdr:rowOff>
    </xdr:from>
    <xdr:to>
      <xdr:col>89</xdr:col>
      <xdr:colOff>773205</xdr:colOff>
      <xdr:row>77</xdr:row>
      <xdr:rowOff>103908</xdr:rowOff>
    </xdr:to>
    <xdr:sp macro="" textlink="">
      <xdr:nvSpPr>
        <xdr:cNvPr id="211" name="テキスト ボックス 210">
          <a:extLst>
            <a:ext uri="{FF2B5EF4-FFF2-40B4-BE49-F238E27FC236}">
              <a16:creationId xmlns:a16="http://schemas.microsoft.com/office/drawing/2014/main" id="{E40EC04C-B2EC-F33A-05C4-01629D16FD74}"/>
            </a:ext>
          </a:extLst>
        </xdr:cNvPr>
        <xdr:cNvSpPr txBox="1"/>
      </xdr:nvSpPr>
      <xdr:spPr>
        <a:xfrm>
          <a:off x="31865528" y="28621859"/>
          <a:ext cx="1528001"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7/31</a:t>
          </a:r>
        </a:p>
      </xdr:txBody>
    </xdr:sp>
    <xdr:clientData/>
  </xdr:twoCellAnchor>
  <xdr:twoCellAnchor>
    <xdr:from>
      <xdr:col>92</xdr:col>
      <xdr:colOff>56029</xdr:colOff>
      <xdr:row>74</xdr:row>
      <xdr:rowOff>259771</xdr:rowOff>
    </xdr:from>
    <xdr:to>
      <xdr:col>93</xdr:col>
      <xdr:colOff>777206</xdr:colOff>
      <xdr:row>77</xdr:row>
      <xdr:rowOff>103908</xdr:rowOff>
    </xdr:to>
    <xdr:sp macro="" textlink="">
      <xdr:nvSpPr>
        <xdr:cNvPr id="212" name="テキスト ボックス 211">
          <a:extLst>
            <a:ext uri="{FF2B5EF4-FFF2-40B4-BE49-F238E27FC236}">
              <a16:creationId xmlns:a16="http://schemas.microsoft.com/office/drawing/2014/main" id="{1124A658-D430-A0FB-3B26-5A691E61836C}"/>
            </a:ext>
          </a:extLst>
        </xdr:cNvPr>
        <xdr:cNvSpPr txBox="1"/>
      </xdr:nvSpPr>
      <xdr:spPr>
        <a:xfrm>
          <a:off x="35096823" y="28621859"/>
          <a:ext cx="1528001"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56029</xdr:colOff>
      <xdr:row>104</xdr:row>
      <xdr:rowOff>88627</xdr:rowOff>
    </xdr:from>
    <xdr:to>
      <xdr:col>93</xdr:col>
      <xdr:colOff>777205</xdr:colOff>
      <xdr:row>106</xdr:row>
      <xdr:rowOff>324970</xdr:rowOff>
    </xdr:to>
    <xdr:sp macro="" textlink="">
      <xdr:nvSpPr>
        <xdr:cNvPr id="213" name="テキスト ボックス 212">
          <a:extLst>
            <a:ext uri="{FF2B5EF4-FFF2-40B4-BE49-F238E27FC236}">
              <a16:creationId xmlns:a16="http://schemas.microsoft.com/office/drawing/2014/main" id="{3BE6F700-5964-7EC8-07E9-5726888CB76D}"/>
            </a:ext>
          </a:extLst>
        </xdr:cNvPr>
        <xdr:cNvSpPr txBox="1"/>
      </xdr:nvSpPr>
      <xdr:spPr>
        <a:xfrm>
          <a:off x="35096823" y="40205686"/>
          <a:ext cx="1528000"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60832</xdr:colOff>
      <xdr:row>160</xdr:row>
      <xdr:rowOff>268941</xdr:rowOff>
    </xdr:from>
    <xdr:to>
      <xdr:col>93</xdr:col>
      <xdr:colOff>782009</xdr:colOff>
      <xdr:row>163</xdr:row>
      <xdr:rowOff>110678</xdr:rowOff>
    </xdr:to>
    <xdr:sp macro="" textlink="">
      <xdr:nvSpPr>
        <xdr:cNvPr id="214" name="テキスト ボックス 213">
          <a:extLst>
            <a:ext uri="{FF2B5EF4-FFF2-40B4-BE49-F238E27FC236}">
              <a16:creationId xmlns:a16="http://schemas.microsoft.com/office/drawing/2014/main" id="{A5C8F004-4FBC-4BD7-9701-EA26AC1419D3}"/>
            </a:ext>
          </a:extLst>
        </xdr:cNvPr>
        <xdr:cNvSpPr txBox="1"/>
      </xdr:nvSpPr>
      <xdr:spPr>
        <a:xfrm>
          <a:off x="30260685" y="52533176"/>
          <a:ext cx="1528000" cy="1018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92</xdr:col>
      <xdr:colOff>100853</xdr:colOff>
      <xdr:row>175</xdr:row>
      <xdr:rowOff>146475</xdr:rowOff>
    </xdr:from>
    <xdr:to>
      <xdr:col>94</xdr:col>
      <xdr:colOff>15206</xdr:colOff>
      <xdr:row>177</xdr:row>
      <xdr:rowOff>382819</xdr:rowOff>
    </xdr:to>
    <xdr:sp macro="" textlink="">
      <xdr:nvSpPr>
        <xdr:cNvPr id="215" name="テキスト ボックス 214">
          <a:extLst>
            <a:ext uri="{FF2B5EF4-FFF2-40B4-BE49-F238E27FC236}">
              <a16:creationId xmlns:a16="http://schemas.microsoft.com/office/drawing/2014/main" id="{64E0757D-2293-7D91-A3A0-AB8EB01AB16D}"/>
            </a:ext>
          </a:extLst>
        </xdr:cNvPr>
        <xdr:cNvSpPr txBox="1"/>
      </xdr:nvSpPr>
      <xdr:spPr>
        <a:xfrm>
          <a:off x="35141647" y="58282593"/>
          <a:ext cx="1528000" cy="102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88</xdr:col>
      <xdr:colOff>67235</xdr:colOff>
      <xdr:row>187</xdr:row>
      <xdr:rowOff>296957</xdr:rowOff>
    </xdr:from>
    <xdr:to>
      <xdr:col>89</xdr:col>
      <xdr:colOff>733986</xdr:colOff>
      <xdr:row>189</xdr:row>
      <xdr:rowOff>228549</xdr:rowOff>
    </xdr:to>
    <xdr:sp macro="" textlink="">
      <xdr:nvSpPr>
        <xdr:cNvPr id="217" name="テキスト ボックス 216">
          <a:extLst>
            <a:ext uri="{FF2B5EF4-FFF2-40B4-BE49-F238E27FC236}">
              <a16:creationId xmlns:a16="http://schemas.microsoft.com/office/drawing/2014/main" id="{689635EA-AD49-4B66-9267-5E42FE742DAA}"/>
            </a:ext>
          </a:extLst>
        </xdr:cNvPr>
        <xdr:cNvSpPr txBox="1"/>
      </xdr:nvSpPr>
      <xdr:spPr>
        <a:xfrm>
          <a:off x="30267088" y="63139545"/>
          <a:ext cx="1473574" cy="7160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7/31</a:t>
          </a:r>
        </a:p>
      </xdr:txBody>
    </xdr:sp>
    <xdr:clientData/>
  </xdr:twoCellAnchor>
  <xdr:twoCellAnchor>
    <xdr:from>
      <xdr:col>92</xdr:col>
      <xdr:colOff>78441</xdr:colOff>
      <xdr:row>187</xdr:row>
      <xdr:rowOff>296957</xdr:rowOff>
    </xdr:from>
    <xdr:to>
      <xdr:col>93</xdr:col>
      <xdr:colOff>745192</xdr:colOff>
      <xdr:row>189</xdr:row>
      <xdr:rowOff>228549</xdr:rowOff>
    </xdr:to>
    <xdr:sp macro="" textlink="">
      <xdr:nvSpPr>
        <xdr:cNvPr id="218" name="テキスト ボックス 217">
          <a:extLst>
            <a:ext uri="{FF2B5EF4-FFF2-40B4-BE49-F238E27FC236}">
              <a16:creationId xmlns:a16="http://schemas.microsoft.com/office/drawing/2014/main" id="{D488DC81-F45D-0406-105D-323AD964B321}"/>
            </a:ext>
          </a:extLst>
        </xdr:cNvPr>
        <xdr:cNvSpPr txBox="1"/>
      </xdr:nvSpPr>
      <xdr:spPr>
        <a:xfrm>
          <a:off x="35119235" y="63139545"/>
          <a:ext cx="1473575" cy="7160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10/2</a:t>
          </a:r>
        </a:p>
      </xdr:txBody>
    </xdr:sp>
    <xdr:clientData/>
  </xdr:twoCellAnchor>
  <xdr:twoCellAnchor>
    <xdr:from>
      <xdr:col>96</xdr:col>
      <xdr:colOff>78441</xdr:colOff>
      <xdr:row>187</xdr:row>
      <xdr:rowOff>296957</xdr:rowOff>
    </xdr:from>
    <xdr:to>
      <xdr:col>97</xdr:col>
      <xdr:colOff>745192</xdr:colOff>
      <xdr:row>189</xdr:row>
      <xdr:rowOff>228549</xdr:rowOff>
    </xdr:to>
    <xdr:sp macro="" textlink="">
      <xdr:nvSpPr>
        <xdr:cNvPr id="219" name="テキスト ボックス 218">
          <a:extLst>
            <a:ext uri="{FF2B5EF4-FFF2-40B4-BE49-F238E27FC236}">
              <a16:creationId xmlns:a16="http://schemas.microsoft.com/office/drawing/2014/main" id="{128446AE-3497-CA3A-785F-C96799ACAF9C}"/>
            </a:ext>
          </a:extLst>
        </xdr:cNvPr>
        <xdr:cNvSpPr txBox="1"/>
      </xdr:nvSpPr>
      <xdr:spPr>
        <a:xfrm>
          <a:off x="38346529" y="63139545"/>
          <a:ext cx="1473575" cy="7160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12/4</a:t>
          </a:r>
        </a:p>
      </xdr:txBody>
    </xdr:sp>
    <xdr:clientData/>
  </xdr:twoCellAnchor>
  <xdr:twoCellAnchor>
    <xdr:from>
      <xdr:col>92</xdr:col>
      <xdr:colOff>67235</xdr:colOff>
      <xdr:row>206</xdr:row>
      <xdr:rowOff>33618</xdr:rowOff>
    </xdr:from>
    <xdr:to>
      <xdr:col>93</xdr:col>
      <xdr:colOff>733983</xdr:colOff>
      <xdr:row>208</xdr:row>
      <xdr:rowOff>109657</xdr:rowOff>
    </xdr:to>
    <xdr:sp macro="" textlink="">
      <xdr:nvSpPr>
        <xdr:cNvPr id="220" name="テキスト ボックス 219">
          <a:extLst>
            <a:ext uri="{FF2B5EF4-FFF2-40B4-BE49-F238E27FC236}">
              <a16:creationId xmlns:a16="http://schemas.microsoft.com/office/drawing/2014/main" id="{09B7F660-1C44-4AAA-BFEE-3579105D31FD}"/>
            </a:ext>
          </a:extLst>
        </xdr:cNvPr>
        <xdr:cNvSpPr txBox="1"/>
      </xdr:nvSpPr>
      <xdr:spPr>
        <a:xfrm>
          <a:off x="35108029" y="70316912"/>
          <a:ext cx="1473572" cy="860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9/17</a:t>
          </a:r>
          <a:endParaRPr kumimoji="1" lang="ja-JP" altLang="en-US" sz="1600" b="1"/>
        </a:p>
      </xdr:txBody>
    </xdr:sp>
    <xdr:clientData/>
  </xdr:twoCellAnchor>
  <xdr:twoCellAnchor>
    <xdr:from>
      <xdr:col>96</xdr:col>
      <xdr:colOff>67235</xdr:colOff>
      <xdr:row>206</xdr:row>
      <xdr:rowOff>33618</xdr:rowOff>
    </xdr:from>
    <xdr:to>
      <xdr:col>97</xdr:col>
      <xdr:colOff>733983</xdr:colOff>
      <xdr:row>208</xdr:row>
      <xdr:rowOff>109657</xdr:rowOff>
    </xdr:to>
    <xdr:sp macro="" textlink="">
      <xdr:nvSpPr>
        <xdr:cNvPr id="221" name="テキスト ボックス 220">
          <a:extLst>
            <a:ext uri="{FF2B5EF4-FFF2-40B4-BE49-F238E27FC236}">
              <a16:creationId xmlns:a16="http://schemas.microsoft.com/office/drawing/2014/main" id="{E5528168-6628-27C8-88A4-363B6B0C4F02}"/>
            </a:ext>
          </a:extLst>
        </xdr:cNvPr>
        <xdr:cNvSpPr txBox="1"/>
      </xdr:nvSpPr>
      <xdr:spPr>
        <a:xfrm>
          <a:off x="38335323" y="70316912"/>
          <a:ext cx="1473572" cy="860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12/1</a:t>
          </a:r>
          <a:endParaRPr kumimoji="1" lang="ja-JP" altLang="en-US" sz="1600" b="1"/>
        </a:p>
      </xdr:txBody>
    </xdr:sp>
    <xdr:clientData/>
  </xdr:twoCellAnchor>
  <xdr:twoCellAnchor>
    <xdr:from>
      <xdr:col>92</xdr:col>
      <xdr:colOff>95250</xdr:colOff>
      <xdr:row>215</xdr:row>
      <xdr:rowOff>209712</xdr:rowOff>
    </xdr:from>
    <xdr:to>
      <xdr:col>93</xdr:col>
      <xdr:colOff>761999</xdr:colOff>
      <xdr:row>217</xdr:row>
      <xdr:rowOff>285750</xdr:rowOff>
    </xdr:to>
    <xdr:sp macro="" textlink="">
      <xdr:nvSpPr>
        <xdr:cNvPr id="222" name="テキスト ボックス 221">
          <a:extLst>
            <a:ext uri="{FF2B5EF4-FFF2-40B4-BE49-F238E27FC236}">
              <a16:creationId xmlns:a16="http://schemas.microsoft.com/office/drawing/2014/main" id="{AC6FEF1F-801E-1BC8-E9AF-5C60411D92A4}"/>
            </a:ext>
          </a:extLst>
        </xdr:cNvPr>
        <xdr:cNvSpPr txBox="1"/>
      </xdr:nvSpPr>
      <xdr:spPr>
        <a:xfrm>
          <a:off x="35136044" y="74022859"/>
          <a:ext cx="1473573" cy="86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10/2</a:t>
          </a:r>
          <a:endParaRPr kumimoji="1" lang="ja-JP" altLang="en-US" sz="1600" b="1"/>
        </a:p>
      </xdr:txBody>
    </xdr:sp>
    <xdr:clientData/>
  </xdr:twoCellAnchor>
  <xdr:twoCellAnchor>
    <xdr:from>
      <xdr:col>92</xdr:col>
      <xdr:colOff>68036</xdr:colOff>
      <xdr:row>255</xdr:row>
      <xdr:rowOff>385802</xdr:rowOff>
    </xdr:from>
    <xdr:to>
      <xdr:col>93</xdr:col>
      <xdr:colOff>734788</xdr:colOff>
      <xdr:row>257</xdr:row>
      <xdr:rowOff>317396</xdr:rowOff>
    </xdr:to>
    <xdr:sp macro="" textlink="">
      <xdr:nvSpPr>
        <xdr:cNvPr id="147" name="テキスト ボックス 146">
          <a:extLst>
            <a:ext uri="{FF2B5EF4-FFF2-40B4-BE49-F238E27FC236}">
              <a16:creationId xmlns:a16="http://schemas.microsoft.com/office/drawing/2014/main" id="{D1F76B36-0E9A-7D5F-1599-98ED86B629E7}"/>
            </a:ext>
          </a:extLst>
        </xdr:cNvPr>
        <xdr:cNvSpPr txBox="1"/>
      </xdr:nvSpPr>
      <xdr:spPr>
        <a:xfrm>
          <a:off x="32153679" y="90369838"/>
          <a:ext cx="1483180" cy="720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9/22</a:t>
          </a:r>
        </a:p>
      </xdr:txBody>
    </xdr:sp>
    <xdr:clientData/>
  </xdr:twoCellAnchor>
  <xdr:twoCellAnchor>
    <xdr:from>
      <xdr:col>86</xdr:col>
      <xdr:colOff>0</xdr:colOff>
      <xdr:row>104</xdr:row>
      <xdr:rowOff>65315</xdr:rowOff>
    </xdr:from>
    <xdr:to>
      <xdr:col>87</xdr:col>
      <xdr:colOff>721176</xdr:colOff>
      <xdr:row>106</xdr:row>
      <xdr:rowOff>301658</xdr:rowOff>
    </xdr:to>
    <xdr:sp macro="" textlink="">
      <xdr:nvSpPr>
        <xdr:cNvPr id="172" name="テキスト ボックス 171">
          <a:extLst>
            <a:ext uri="{FF2B5EF4-FFF2-40B4-BE49-F238E27FC236}">
              <a16:creationId xmlns:a16="http://schemas.microsoft.com/office/drawing/2014/main" id="{CAB39481-377C-4897-9A2F-3E7EBE2FEF57}"/>
            </a:ext>
          </a:extLst>
        </xdr:cNvPr>
        <xdr:cNvSpPr txBox="1"/>
      </xdr:nvSpPr>
      <xdr:spPr>
        <a:xfrm>
          <a:off x="24786771" y="40157401"/>
          <a:ext cx="1526719" cy="102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92</xdr:col>
      <xdr:colOff>76200</xdr:colOff>
      <xdr:row>126</xdr:row>
      <xdr:rowOff>54428</xdr:rowOff>
    </xdr:from>
    <xdr:to>
      <xdr:col>93</xdr:col>
      <xdr:colOff>797377</xdr:colOff>
      <xdr:row>128</xdr:row>
      <xdr:rowOff>288050</xdr:rowOff>
    </xdr:to>
    <xdr:sp macro="" textlink="">
      <xdr:nvSpPr>
        <xdr:cNvPr id="184" name="テキスト ボックス 183">
          <a:extLst>
            <a:ext uri="{FF2B5EF4-FFF2-40B4-BE49-F238E27FC236}">
              <a16:creationId xmlns:a16="http://schemas.microsoft.com/office/drawing/2014/main" id="{8336726D-DB96-4BEC-9745-39099383213E}"/>
            </a:ext>
          </a:extLst>
        </xdr:cNvPr>
        <xdr:cNvSpPr txBox="1"/>
      </xdr:nvSpPr>
      <xdr:spPr>
        <a:xfrm>
          <a:off x="29696229" y="48767999"/>
          <a:ext cx="1526719" cy="10173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10/1</a:t>
          </a:r>
        </a:p>
      </xdr:txBody>
    </xdr:sp>
    <xdr:clientData/>
  </xdr:twoCellAnchor>
  <xdr:twoCellAnchor>
    <xdr:from>
      <xdr:col>94</xdr:col>
      <xdr:colOff>65315</xdr:colOff>
      <xdr:row>175</xdr:row>
      <xdr:rowOff>97972</xdr:rowOff>
    </xdr:from>
    <xdr:to>
      <xdr:col>95</xdr:col>
      <xdr:colOff>785210</xdr:colOff>
      <xdr:row>177</xdr:row>
      <xdr:rowOff>334316</xdr:rowOff>
    </xdr:to>
    <xdr:sp macro="" textlink="">
      <xdr:nvSpPr>
        <xdr:cNvPr id="194" name="テキスト ボックス 193">
          <a:extLst>
            <a:ext uri="{FF2B5EF4-FFF2-40B4-BE49-F238E27FC236}">
              <a16:creationId xmlns:a16="http://schemas.microsoft.com/office/drawing/2014/main" id="{F7E8D935-45FF-4499-9C80-FB2C23A46625}"/>
            </a:ext>
          </a:extLst>
        </xdr:cNvPr>
        <xdr:cNvSpPr txBox="1"/>
      </xdr:nvSpPr>
      <xdr:spPr>
        <a:xfrm>
          <a:off x="31296429" y="58216801"/>
          <a:ext cx="1525438" cy="102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11/2</a:t>
          </a:r>
        </a:p>
      </xdr:txBody>
    </xdr:sp>
    <xdr:clientData/>
  </xdr:twoCellAnchor>
  <xdr:twoCellAnchor>
    <xdr:from>
      <xdr:col>98</xdr:col>
      <xdr:colOff>76200</xdr:colOff>
      <xdr:row>175</xdr:row>
      <xdr:rowOff>10886</xdr:rowOff>
    </xdr:from>
    <xdr:to>
      <xdr:col>99</xdr:col>
      <xdr:colOff>796095</xdr:colOff>
      <xdr:row>177</xdr:row>
      <xdr:rowOff>247230</xdr:rowOff>
    </xdr:to>
    <xdr:sp macro="" textlink="">
      <xdr:nvSpPr>
        <xdr:cNvPr id="195" name="テキスト ボックス 194">
          <a:extLst>
            <a:ext uri="{FF2B5EF4-FFF2-40B4-BE49-F238E27FC236}">
              <a16:creationId xmlns:a16="http://schemas.microsoft.com/office/drawing/2014/main" id="{A738FA82-9699-4BA9-833E-8D66162402B7}"/>
            </a:ext>
          </a:extLst>
        </xdr:cNvPr>
        <xdr:cNvSpPr txBox="1"/>
      </xdr:nvSpPr>
      <xdr:spPr>
        <a:xfrm>
          <a:off x="34529486" y="58129715"/>
          <a:ext cx="1525438" cy="102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1/4</a:t>
          </a:r>
        </a:p>
      </xdr:txBody>
    </xdr:sp>
    <xdr:clientData/>
  </xdr:twoCellAnchor>
  <xdr:twoCellAnchor>
    <xdr:from>
      <xdr:col>94</xdr:col>
      <xdr:colOff>81816</xdr:colOff>
      <xdr:row>17</xdr:row>
      <xdr:rowOff>184067</xdr:rowOff>
    </xdr:from>
    <xdr:to>
      <xdr:col>95</xdr:col>
      <xdr:colOff>802992</xdr:colOff>
      <xdr:row>20</xdr:row>
      <xdr:rowOff>30924</xdr:rowOff>
    </xdr:to>
    <xdr:sp macro="" textlink="">
      <xdr:nvSpPr>
        <xdr:cNvPr id="129" name="テキスト ボックス 128">
          <a:extLst>
            <a:ext uri="{FF2B5EF4-FFF2-40B4-BE49-F238E27FC236}">
              <a16:creationId xmlns:a16="http://schemas.microsoft.com/office/drawing/2014/main" id="{B9C22CD3-3991-4103-8D5D-0B20EF570BAC}"/>
            </a:ext>
          </a:extLst>
        </xdr:cNvPr>
        <xdr:cNvSpPr txBox="1"/>
      </xdr:nvSpPr>
      <xdr:spPr>
        <a:xfrm>
          <a:off x="28896302" y="6182096"/>
          <a:ext cx="1526719" cy="1022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11/2</a:t>
          </a:r>
        </a:p>
      </xdr:txBody>
    </xdr:sp>
    <xdr:clientData/>
  </xdr:twoCellAnchor>
  <xdr:twoCellAnchor>
    <xdr:from>
      <xdr:col>84</xdr:col>
      <xdr:colOff>54429</xdr:colOff>
      <xdr:row>16</xdr:row>
      <xdr:rowOff>380999</xdr:rowOff>
    </xdr:from>
    <xdr:to>
      <xdr:col>85</xdr:col>
      <xdr:colOff>775605</xdr:colOff>
      <xdr:row>19</xdr:row>
      <xdr:rowOff>227856</xdr:rowOff>
    </xdr:to>
    <xdr:sp macro="" textlink="">
      <xdr:nvSpPr>
        <xdr:cNvPr id="190" name="テキスト ボックス 189">
          <a:extLst>
            <a:ext uri="{FF2B5EF4-FFF2-40B4-BE49-F238E27FC236}">
              <a16:creationId xmlns:a16="http://schemas.microsoft.com/office/drawing/2014/main" id="{B5F70141-FBF9-423C-B801-CDC7ACAFB101}"/>
            </a:ext>
          </a:extLst>
        </xdr:cNvPr>
        <xdr:cNvSpPr txBox="1"/>
      </xdr:nvSpPr>
      <xdr:spPr>
        <a:xfrm>
          <a:off x="20813486" y="5987142"/>
          <a:ext cx="1526719" cy="1022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twoCellAnchor>
    <xdr:from>
      <xdr:col>94</xdr:col>
      <xdr:colOff>76200</xdr:colOff>
      <xdr:row>41</xdr:row>
      <xdr:rowOff>152399</xdr:rowOff>
    </xdr:from>
    <xdr:to>
      <xdr:col>95</xdr:col>
      <xdr:colOff>797378</xdr:colOff>
      <xdr:row>44</xdr:row>
      <xdr:rowOff>1657</xdr:rowOff>
    </xdr:to>
    <xdr:sp macro="" textlink="">
      <xdr:nvSpPr>
        <xdr:cNvPr id="201" name="テキスト ボックス 200">
          <a:extLst>
            <a:ext uri="{FF2B5EF4-FFF2-40B4-BE49-F238E27FC236}">
              <a16:creationId xmlns:a16="http://schemas.microsoft.com/office/drawing/2014/main" id="{97D87DA1-9E55-439C-BA25-378D7541676E}"/>
            </a:ext>
          </a:extLst>
        </xdr:cNvPr>
        <xdr:cNvSpPr txBox="1"/>
      </xdr:nvSpPr>
      <xdr:spPr>
        <a:xfrm>
          <a:off x="28890686" y="15555685"/>
          <a:ext cx="1526721" cy="1024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t>納期予定</a:t>
          </a:r>
          <a:endParaRPr kumimoji="1" lang="en-US" altLang="ja-JP" sz="1600" b="1" u="none"/>
        </a:p>
        <a:p>
          <a:pPr algn="ctr"/>
          <a:r>
            <a:rPr kumimoji="1" lang="en-US" altLang="ja-JP" sz="1600" b="1"/>
            <a:t>10/20</a:t>
          </a:r>
        </a:p>
      </xdr:txBody>
    </xdr:sp>
    <xdr:clientData/>
  </xdr:twoCellAnchor>
  <xdr:twoCellAnchor>
    <xdr:from>
      <xdr:col>94</xdr:col>
      <xdr:colOff>87086</xdr:colOff>
      <xdr:row>63</xdr:row>
      <xdr:rowOff>337458</xdr:rowOff>
    </xdr:from>
    <xdr:to>
      <xdr:col>96</xdr:col>
      <xdr:colOff>5191</xdr:colOff>
      <xdr:row>66</xdr:row>
      <xdr:rowOff>183995</xdr:rowOff>
    </xdr:to>
    <xdr:sp macro="" textlink="">
      <xdr:nvSpPr>
        <xdr:cNvPr id="202" name="テキスト ボックス 201">
          <a:extLst>
            <a:ext uri="{FF2B5EF4-FFF2-40B4-BE49-F238E27FC236}">
              <a16:creationId xmlns:a16="http://schemas.microsoft.com/office/drawing/2014/main" id="{A908EA11-DC1C-4AD0-80A8-3503EFF00A08}"/>
            </a:ext>
          </a:extLst>
        </xdr:cNvPr>
        <xdr:cNvSpPr txBox="1"/>
      </xdr:nvSpPr>
      <xdr:spPr>
        <a:xfrm>
          <a:off x="45622029" y="24362229"/>
          <a:ext cx="1529191" cy="102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a:t>
          </a:r>
          <a:r>
            <a:rPr kumimoji="1" lang="ja-JP" altLang="en-US" sz="1600" b="1" u="none"/>
            <a:t>予定</a:t>
          </a:r>
          <a:endParaRPr kumimoji="1" lang="en-US" altLang="ja-JP" sz="1600" b="1" u="none"/>
        </a:p>
        <a:p>
          <a:pPr algn="ctr"/>
          <a:r>
            <a:rPr kumimoji="1" lang="en-US" altLang="ja-JP" sz="1600" b="1"/>
            <a:t>11/2</a:t>
          </a:r>
        </a:p>
      </xdr:txBody>
    </xdr:sp>
    <xdr:clientData/>
  </xdr:twoCellAnchor>
  <xdr:twoCellAnchor>
    <xdr:from>
      <xdr:col>94</xdr:col>
      <xdr:colOff>54429</xdr:colOff>
      <xdr:row>74</xdr:row>
      <xdr:rowOff>283029</xdr:rowOff>
    </xdr:from>
    <xdr:to>
      <xdr:col>95</xdr:col>
      <xdr:colOff>775606</xdr:colOff>
      <xdr:row>77</xdr:row>
      <xdr:rowOff>127166</xdr:rowOff>
    </xdr:to>
    <xdr:sp macro="" textlink="">
      <xdr:nvSpPr>
        <xdr:cNvPr id="203" name="テキスト ボックス 202">
          <a:extLst>
            <a:ext uri="{FF2B5EF4-FFF2-40B4-BE49-F238E27FC236}">
              <a16:creationId xmlns:a16="http://schemas.microsoft.com/office/drawing/2014/main" id="{06A3B2CD-C5D5-47C4-8262-C059FBE34F24}"/>
            </a:ext>
          </a:extLst>
        </xdr:cNvPr>
        <xdr:cNvSpPr txBox="1"/>
      </xdr:nvSpPr>
      <xdr:spPr>
        <a:xfrm>
          <a:off x="45589372" y="28618543"/>
          <a:ext cx="1526720" cy="1019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11/2</a:t>
          </a:r>
        </a:p>
      </xdr:txBody>
    </xdr:sp>
    <xdr:clientData/>
  </xdr:twoCellAnchor>
  <xdr:twoCellAnchor>
    <xdr:from>
      <xdr:col>96</xdr:col>
      <xdr:colOff>21772</xdr:colOff>
      <xdr:row>74</xdr:row>
      <xdr:rowOff>293914</xdr:rowOff>
    </xdr:from>
    <xdr:to>
      <xdr:col>97</xdr:col>
      <xdr:colOff>742950</xdr:colOff>
      <xdr:row>77</xdr:row>
      <xdr:rowOff>138051</xdr:rowOff>
    </xdr:to>
    <xdr:sp macro="" textlink="">
      <xdr:nvSpPr>
        <xdr:cNvPr id="204" name="テキスト ボックス 203">
          <a:extLst>
            <a:ext uri="{FF2B5EF4-FFF2-40B4-BE49-F238E27FC236}">
              <a16:creationId xmlns:a16="http://schemas.microsoft.com/office/drawing/2014/main" id="{EB947D22-EC0E-4ACD-ACC7-2F8BE253C1C1}"/>
            </a:ext>
          </a:extLst>
        </xdr:cNvPr>
        <xdr:cNvSpPr txBox="1"/>
      </xdr:nvSpPr>
      <xdr:spPr>
        <a:xfrm>
          <a:off x="47167801" y="28629428"/>
          <a:ext cx="1526720" cy="1019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納期予定</a:t>
          </a:r>
          <a:endParaRPr kumimoji="1" lang="en-US" altLang="ja-JP" sz="1600" b="1"/>
        </a:p>
        <a:p>
          <a:pPr algn="ctr"/>
          <a:r>
            <a:rPr kumimoji="1" lang="en-US" altLang="ja-JP" sz="1600" b="1"/>
            <a:t>12/1</a:t>
          </a:r>
        </a:p>
      </xdr:txBody>
    </xdr:sp>
    <xdr:clientData/>
  </xdr:twoCellAnchor>
  <xdr:twoCellAnchor>
    <xdr:from>
      <xdr:col>94</xdr:col>
      <xdr:colOff>152400</xdr:colOff>
      <xdr:row>226</xdr:row>
      <xdr:rowOff>261257</xdr:rowOff>
    </xdr:from>
    <xdr:to>
      <xdr:col>96</xdr:col>
      <xdr:colOff>13606</xdr:colOff>
      <xdr:row>228</xdr:row>
      <xdr:rowOff>337296</xdr:rowOff>
    </xdr:to>
    <xdr:sp macro="" textlink="">
      <xdr:nvSpPr>
        <xdr:cNvPr id="216" name="テキスト ボックス 215">
          <a:extLst>
            <a:ext uri="{FF2B5EF4-FFF2-40B4-BE49-F238E27FC236}">
              <a16:creationId xmlns:a16="http://schemas.microsoft.com/office/drawing/2014/main" id="{45897473-B5FC-4F0B-9AA6-7EF4942CE448}"/>
            </a:ext>
          </a:extLst>
        </xdr:cNvPr>
        <xdr:cNvSpPr txBox="1"/>
      </xdr:nvSpPr>
      <xdr:spPr>
        <a:xfrm>
          <a:off x="45687343" y="78366257"/>
          <a:ext cx="1472292" cy="859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納期予定</a:t>
          </a:r>
          <a:endParaRPr kumimoji="1" lang="en-US" altLang="ja-JP" sz="1600" b="1"/>
        </a:p>
        <a:p>
          <a:pPr algn="ctr"/>
          <a:r>
            <a:rPr kumimoji="1" lang="en-US" altLang="ja-JP" sz="1600" b="1"/>
            <a:t>11/2</a:t>
          </a:r>
          <a:endParaRPr kumimoji="1" lang="ja-JP" altLang="en-US" sz="1600" b="1"/>
        </a:p>
      </xdr:txBody>
    </xdr:sp>
    <xdr:clientData/>
  </xdr:twoCellAnchor>
  <xdr:twoCellAnchor>
    <xdr:from>
      <xdr:col>84</xdr:col>
      <xdr:colOff>119743</xdr:colOff>
      <xdr:row>255</xdr:row>
      <xdr:rowOff>381000</xdr:rowOff>
    </xdr:from>
    <xdr:to>
      <xdr:col>85</xdr:col>
      <xdr:colOff>775610</xdr:colOff>
      <xdr:row>257</xdr:row>
      <xdr:rowOff>315314</xdr:rowOff>
    </xdr:to>
    <xdr:sp macro="" textlink="">
      <xdr:nvSpPr>
        <xdr:cNvPr id="224" name="テキスト ボックス 223">
          <a:extLst>
            <a:ext uri="{FF2B5EF4-FFF2-40B4-BE49-F238E27FC236}">
              <a16:creationId xmlns:a16="http://schemas.microsoft.com/office/drawing/2014/main" id="{1A9C67EF-332E-403D-939F-E000AAB4E332}"/>
            </a:ext>
          </a:extLst>
        </xdr:cNvPr>
        <xdr:cNvSpPr txBox="1"/>
      </xdr:nvSpPr>
      <xdr:spPr>
        <a:xfrm>
          <a:off x="37599257" y="89850686"/>
          <a:ext cx="1461410" cy="718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86</xdr:col>
      <xdr:colOff>65314</xdr:colOff>
      <xdr:row>255</xdr:row>
      <xdr:rowOff>370115</xdr:rowOff>
    </xdr:from>
    <xdr:to>
      <xdr:col>87</xdr:col>
      <xdr:colOff>721181</xdr:colOff>
      <xdr:row>257</xdr:row>
      <xdr:rowOff>304429</xdr:rowOff>
    </xdr:to>
    <xdr:sp macro="" textlink="">
      <xdr:nvSpPr>
        <xdr:cNvPr id="225" name="テキスト ボックス 224">
          <a:extLst>
            <a:ext uri="{FF2B5EF4-FFF2-40B4-BE49-F238E27FC236}">
              <a16:creationId xmlns:a16="http://schemas.microsoft.com/office/drawing/2014/main" id="{C1647B92-8D54-486B-8889-4D109618B730}"/>
            </a:ext>
          </a:extLst>
        </xdr:cNvPr>
        <xdr:cNvSpPr txBox="1"/>
      </xdr:nvSpPr>
      <xdr:spPr>
        <a:xfrm>
          <a:off x="39155914" y="89839801"/>
          <a:ext cx="1461410" cy="718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補充完了</a:t>
          </a:r>
          <a:endParaRPr kumimoji="1" lang="en-US" altLang="ja-JP" sz="1600" b="1"/>
        </a:p>
      </xdr:txBody>
    </xdr:sp>
    <xdr:clientData/>
  </xdr:twoCellAnchor>
  <xdr:twoCellAnchor>
    <xdr:from>
      <xdr:col>84</xdr:col>
      <xdr:colOff>65315</xdr:colOff>
      <xdr:row>115</xdr:row>
      <xdr:rowOff>43543</xdr:rowOff>
    </xdr:from>
    <xdr:to>
      <xdr:col>85</xdr:col>
      <xdr:colOff>786492</xdr:colOff>
      <xdr:row>117</xdr:row>
      <xdr:rowOff>277166</xdr:rowOff>
    </xdr:to>
    <xdr:sp macro="" textlink="">
      <xdr:nvSpPr>
        <xdr:cNvPr id="166" name="テキスト ボックス 165">
          <a:extLst>
            <a:ext uri="{FF2B5EF4-FFF2-40B4-BE49-F238E27FC236}">
              <a16:creationId xmlns:a16="http://schemas.microsoft.com/office/drawing/2014/main" id="{90C05FB7-690F-43FC-98EE-8C3D306F9DE3}"/>
            </a:ext>
          </a:extLst>
        </xdr:cNvPr>
        <xdr:cNvSpPr txBox="1"/>
      </xdr:nvSpPr>
      <xdr:spPr>
        <a:xfrm>
          <a:off x="20628429" y="44446372"/>
          <a:ext cx="1526720" cy="10173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補充完了</a:t>
          </a:r>
          <a:endParaRPr kumimoji="1" lang="en-US" altLang="ja-JP" sz="1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0</xdr:colOff>
      <xdr:row>73</xdr:row>
      <xdr:rowOff>381000</xdr:rowOff>
    </xdr:from>
    <xdr:to>
      <xdr:col>26</xdr:col>
      <xdr:colOff>800347</xdr:colOff>
      <xdr:row>85</xdr:row>
      <xdr:rowOff>0</xdr:rowOff>
    </xdr:to>
    <xdr:sp macro="" textlink="">
      <xdr:nvSpPr>
        <xdr:cNvPr id="3" name="テキスト ボックス 2">
          <a:extLst>
            <a:ext uri="{FF2B5EF4-FFF2-40B4-BE49-F238E27FC236}">
              <a16:creationId xmlns:a16="http://schemas.microsoft.com/office/drawing/2014/main" id="{4A5F96D3-FA47-4D0C-A800-B6A13B60E1F4}"/>
            </a:ext>
          </a:extLst>
        </xdr:cNvPr>
        <xdr:cNvSpPr txBox="1"/>
      </xdr:nvSpPr>
      <xdr:spPr>
        <a:xfrm>
          <a:off x="20470091" y="27120273"/>
          <a:ext cx="800347" cy="40005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2000" b="1">
              <a:solidFill>
                <a:schemeClr val="bg1"/>
              </a:solidFill>
            </a:rPr>
            <a:t>白枠</a:t>
          </a:r>
          <a:r>
            <a:rPr kumimoji="1" lang="en-US" altLang="ja-JP" sz="2000" b="1">
              <a:solidFill>
                <a:schemeClr val="bg1"/>
              </a:solidFill>
            </a:rPr>
            <a:t>×720</a:t>
          </a:r>
          <a:r>
            <a:rPr kumimoji="1" lang="ja-JP" altLang="en-US" sz="2000" b="1">
              <a:solidFill>
                <a:schemeClr val="bg1"/>
              </a:solidFill>
            </a:rPr>
            <a:t>枚</a:t>
          </a:r>
        </a:p>
      </xdr:txBody>
    </xdr:sp>
    <xdr:clientData/>
  </xdr:twoCellAnchor>
</xdr:wsDr>
</file>

<file path=xl/persons/person.xml><?xml version="1.0" encoding="utf-8"?>
<personList xmlns="http://schemas.microsoft.com/office/spreadsheetml/2018/threadedcomments" xmlns:x="http://schemas.openxmlformats.org/spreadsheetml/2006/main">
  <person displayName="早苗 冨田" id="{71AD91AD-CE02-41A6-831F-8486433A7C54}" userId="75e15bfbe529f239"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V195" dT="2024-06-24T02:48:46.13" personId="{71AD91AD-CE02-41A6-831F-8486433A7C54}" id="{13CAB970-34F6-484E-97CB-E7A19042522B}">
    <text>仮日程</text>
  </threadedComment>
  <threadedComment ref="AZ195" dT="2024-06-24T02:48:46.13" personId="{71AD91AD-CE02-41A6-831F-8486433A7C54}" id="{13CAB970-34F6-484D-97CB-E7A19042522B}">
    <text>仮日程</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B568-7DE7-4907-8031-58252A97D20A}">
  <dimension ref="B1:J33"/>
  <sheetViews>
    <sheetView topLeftCell="A13" zoomScale="85" zoomScaleNormal="85" workbookViewId="0">
      <selection activeCell="E26" sqref="E4:E26"/>
    </sheetView>
  </sheetViews>
  <sheetFormatPr defaultColWidth="8.8984375" defaultRowHeight="18"/>
  <cols>
    <col min="3" max="5" width="23.8984375" customWidth="1"/>
    <col min="7" max="7" width="15.3984375" customWidth="1"/>
    <col min="8" max="8" width="14" customWidth="1"/>
    <col min="9" max="9" width="13.59765625" customWidth="1"/>
    <col min="10" max="10" width="82.3984375" customWidth="1"/>
  </cols>
  <sheetData>
    <row r="1" spans="2:10">
      <c r="B1" s="428" t="s">
        <v>508</v>
      </c>
    </row>
    <row r="2" spans="2:10" ht="26.25" customHeight="1">
      <c r="B2" s="522" t="s">
        <v>294</v>
      </c>
      <c r="C2" s="523"/>
      <c r="D2" s="524"/>
      <c r="E2" s="407" t="s">
        <v>473</v>
      </c>
      <c r="G2" s="525" t="s">
        <v>335</v>
      </c>
      <c r="H2" s="526"/>
      <c r="I2" s="526"/>
      <c r="J2" s="527"/>
    </row>
    <row r="3" spans="2:10">
      <c r="B3" s="47"/>
      <c r="C3" s="271" t="s">
        <v>321</v>
      </c>
      <c r="D3" s="272" t="s">
        <v>322</v>
      </c>
      <c r="E3" s="408" t="s">
        <v>516</v>
      </c>
      <c r="G3" s="370" t="s">
        <v>344</v>
      </c>
      <c r="H3" s="371" t="s">
        <v>337</v>
      </c>
      <c r="I3" s="372" t="s">
        <v>338</v>
      </c>
      <c r="J3" s="373" t="s">
        <v>343</v>
      </c>
    </row>
    <row r="4" spans="2:10">
      <c r="B4" s="49">
        <v>1</v>
      </c>
      <c r="C4" s="273" t="s">
        <v>295</v>
      </c>
      <c r="D4" s="545" t="s">
        <v>295</v>
      </c>
      <c r="E4" s="546" t="s">
        <v>509</v>
      </c>
      <c r="F4">
        <v>3250</v>
      </c>
      <c r="G4" s="367" t="s">
        <v>6</v>
      </c>
      <c r="H4" s="368">
        <v>3315</v>
      </c>
      <c r="I4" s="369">
        <v>3500</v>
      </c>
      <c r="J4" s="373" t="s">
        <v>339</v>
      </c>
    </row>
    <row r="5" spans="2:10">
      <c r="B5" s="49">
        <v>2</v>
      </c>
      <c r="C5" s="273" t="s">
        <v>296</v>
      </c>
      <c r="D5" s="545" t="s">
        <v>297</v>
      </c>
      <c r="E5" s="409" t="s">
        <v>298</v>
      </c>
      <c r="F5">
        <v>2186</v>
      </c>
      <c r="G5" s="65" t="s">
        <v>1</v>
      </c>
      <c r="H5" s="308">
        <v>1899</v>
      </c>
      <c r="I5" s="365">
        <v>2200</v>
      </c>
      <c r="J5" s="374" t="s">
        <v>340</v>
      </c>
    </row>
    <row r="6" spans="2:10">
      <c r="B6" s="49">
        <v>3</v>
      </c>
      <c r="C6" s="273" t="s">
        <v>298</v>
      </c>
      <c r="D6" s="274" t="s">
        <v>299</v>
      </c>
      <c r="E6" s="546" t="s">
        <v>297</v>
      </c>
      <c r="F6">
        <v>2218</v>
      </c>
      <c r="G6" s="65" t="s">
        <v>7</v>
      </c>
      <c r="H6" s="308">
        <v>898</v>
      </c>
      <c r="I6" s="365">
        <v>1000</v>
      </c>
      <c r="J6" s="374" t="s">
        <v>341</v>
      </c>
    </row>
    <row r="7" spans="2:10">
      <c r="B7" s="49">
        <v>4</v>
      </c>
      <c r="C7" s="273" t="s">
        <v>300</v>
      </c>
      <c r="D7" s="274" t="s">
        <v>300</v>
      </c>
      <c r="E7" s="409" t="s">
        <v>309</v>
      </c>
      <c r="F7">
        <v>2325</v>
      </c>
      <c r="G7" s="65" t="s">
        <v>280</v>
      </c>
      <c r="H7" s="308">
        <v>507</v>
      </c>
      <c r="I7" s="365">
        <v>1100</v>
      </c>
      <c r="J7" s="374" t="s">
        <v>342</v>
      </c>
    </row>
    <row r="8" spans="2:10">
      <c r="B8" s="49">
        <v>5</v>
      </c>
      <c r="C8" s="273" t="s">
        <v>297</v>
      </c>
      <c r="D8" s="274" t="s">
        <v>301</v>
      </c>
      <c r="E8" s="409" t="s">
        <v>299</v>
      </c>
      <c r="F8">
        <v>1881</v>
      </c>
      <c r="G8" s="65" t="s">
        <v>336</v>
      </c>
      <c r="H8" s="308">
        <v>955</v>
      </c>
      <c r="I8" s="365">
        <v>1550</v>
      </c>
      <c r="J8" s="374" t="s">
        <v>342</v>
      </c>
    </row>
    <row r="9" spans="2:10">
      <c r="B9" s="49">
        <v>6</v>
      </c>
      <c r="C9" s="273" t="s">
        <v>299</v>
      </c>
      <c r="D9" s="274" t="s">
        <v>298</v>
      </c>
      <c r="E9" s="409" t="s">
        <v>451</v>
      </c>
      <c r="F9">
        <v>1022</v>
      </c>
      <c r="G9" s="314" t="s">
        <v>288</v>
      </c>
      <c r="H9" s="309">
        <v>670</v>
      </c>
      <c r="I9" s="366">
        <v>1000</v>
      </c>
      <c r="J9" s="375" t="s">
        <v>342</v>
      </c>
    </row>
    <row r="10" spans="2:10">
      <c r="B10" s="49">
        <v>7</v>
      </c>
      <c r="C10" s="273" t="s">
        <v>302</v>
      </c>
      <c r="D10" s="274" t="s">
        <v>303</v>
      </c>
      <c r="E10" s="409" t="s">
        <v>517</v>
      </c>
      <c r="F10">
        <v>506</v>
      </c>
    </row>
    <row r="11" spans="2:10">
      <c r="B11" s="49">
        <v>8</v>
      </c>
      <c r="C11" s="273" t="s">
        <v>304</v>
      </c>
      <c r="D11" s="275" t="s">
        <v>305</v>
      </c>
      <c r="E11" s="409" t="s">
        <v>302</v>
      </c>
      <c r="F11">
        <v>1503</v>
      </c>
    </row>
    <row r="12" spans="2:10">
      <c r="B12" s="49">
        <v>9</v>
      </c>
      <c r="C12" s="273" t="s">
        <v>293</v>
      </c>
      <c r="D12" s="545" t="s">
        <v>304</v>
      </c>
      <c r="E12" s="409" t="s">
        <v>316</v>
      </c>
      <c r="F12">
        <v>1721</v>
      </c>
    </row>
    <row r="13" spans="2:10">
      <c r="B13" s="49">
        <v>10</v>
      </c>
      <c r="C13" s="273" t="s">
        <v>306</v>
      </c>
      <c r="D13" s="274" t="s">
        <v>307</v>
      </c>
      <c r="E13" s="409" t="s">
        <v>300</v>
      </c>
      <c r="F13">
        <v>1294</v>
      </c>
    </row>
    <row r="14" spans="2:10">
      <c r="B14" s="49">
        <v>11</v>
      </c>
      <c r="C14" s="273" t="s">
        <v>308</v>
      </c>
      <c r="D14" s="275" t="s">
        <v>309</v>
      </c>
      <c r="E14" s="409" t="s">
        <v>301</v>
      </c>
      <c r="F14">
        <v>1368</v>
      </c>
    </row>
    <row r="15" spans="2:10">
      <c r="B15" s="49">
        <v>12</v>
      </c>
      <c r="C15" s="273" t="s">
        <v>292</v>
      </c>
      <c r="D15" s="274" t="s">
        <v>296</v>
      </c>
      <c r="E15" s="409" t="s">
        <v>303</v>
      </c>
      <c r="F15">
        <v>973</v>
      </c>
    </row>
    <row r="16" spans="2:10">
      <c r="B16" s="49">
        <v>13</v>
      </c>
      <c r="C16" s="273" t="s">
        <v>303</v>
      </c>
      <c r="D16" s="406" t="s">
        <v>308</v>
      </c>
      <c r="E16" s="546" t="s">
        <v>304</v>
      </c>
      <c r="F16">
        <v>1243</v>
      </c>
    </row>
    <row r="17" spans="2:7">
      <c r="B17" s="49">
        <v>14</v>
      </c>
      <c r="C17" s="273" t="s">
        <v>310</v>
      </c>
      <c r="D17" s="274" t="s">
        <v>311</v>
      </c>
      <c r="E17" s="409" t="s">
        <v>312</v>
      </c>
      <c r="F17">
        <v>623</v>
      </c>
    </row>
    <row r="18" spans="2:7">
      <c r="B18" s="49">
        <v>15</v>
      </c>
      <c r="C18" s="273" t="s">
        <v>301</v>
      </c>
      <c r="D18" s="275" t="s">
        <v>312</v>
      </c>
      <c r="E18" s="409" t="s">
        <v>311</v>
      </c>
      <c r="F18">
        <v>1052</v>
      </c>
    </row>
    <row r="19" spans="2:7">
      <c r="B19" s="49">
        <v>16</v>
      </c>
      <c r="C19" s="276" t="s">
        <v>313</v>
      </c>
      <c r="D19" s="406" t="s">
        <v>306</v>
      </c>
      <c r="E19" s="409" t="s">
        <v>457</v>
      </c>
      <c r="F19">
        <v>597</v>
      </c>
    </row>
    <row r="20" spans="2:7">
      <c r="B20" s="49">
        <v>17</v>
      </c>
      <c r="C20" s="273" t="s">
        <v>314</v>
      </c>
      <c r="D20" s="406" t="s">
        <v>15</v>
      </c>
      <c r="E20" s="409" t="s">
        <v>456</v>
      </c>
      <c r="F20">
        <v>1817</v>
      </c>
      <c r="G20" s="428" t="s">
        <v>515</v>
      </c>
    </row>
    <row r="21" spans="2:7">
      <c r="B21" s="49">
        <v>18</v>
      </c>
      <c r="C21" s="276" t="s">
        <v>315</v>
      </c>
      <c r="D21" s="406" t="s">
        <v>292</v>
      </c>
      <c r="E21" s="409" t="s">
        <v>306</v>
      </c>
      <c r="F21">
        <v>805</v>
      </c>
    </row>
    <row r="22" spans="2:7">
      <c r="B22" s="49">
        <v>19</v>
      </c>
      <c r="C22" s="273" t="s">
        <v>311</v>
      </c>
      <c r="D22" s="406" t="s">
        <v>314</v>
      </c>
      <c r="E22" s="429" t="s">
        <v>510</v>
      </c>
      <c r="F22">
        <v>691</v>
      </c>
    </row>
    <row r="23" spans="2:7">
      <c r="B23" s="49">
        <v>20</v>
      </c>
      <c r="C23" s="276" t="s">
        <v>17</v>
      </c>
      <c r="D23" s="275" t="s">
        <v>316</v>
      </c>
      <c r="E23" s="374" t="s">
        <v>513</v>
      </c>
      <c r="F23">
        <v>757</v>
      </c>
      <c r="G23" s="428" t="s">
        <v>515</v>
      </c>
    </row>
    <row r="24" spans="2:7">
      <c r="B24" s="127">
        <v>21</v>
      </c>
      <c r="C24" s="277" t="s">
        <v>317</v>
      </c>
      <c r="D24" s="430" t="s">
        <v>318</v>
      </c>
      <c r="E24" s="431" t="s">
        <v>512</v>
      </c>
      <c r="F24">
        <v>350</v>
      </c>
    </row>
    <row r="25" spans="2:7">
      <c r="B25" s="2"/>
      <c r="E25" s="431" t="s">
        <v>511</v>
      </c>
      <c r="F25">
        <v>448</v>
      </c>
    </row>
    <row r="26" spans="2:7">
      <c r="B26" s="2"/>
      <c r="E26" s="432" t="s">
        <v>11</v>
      </c>
      <c r="F26">
        <v>341</v>
      </c>
    </row>
    <row r="27" spans="2:7">
      <c r="B27" s="2"/>
    </row>
    <row r="28" spans="2:7">
      <c r="B28" s="2"/>
    </row>
    <row r="29" spans="2:7">
      <c r="B29" s="2"/>
    </row>
    <row r="31" spans="2:7">
      <c r="B31" s="528" t="s">
        <v>319</v>
      </c>
      <c r="C31" s="528"/>
      <c r="D31" s="528"/>
      <c r="E31" s="528"/>
    </row>
    <row r="32" spans="2:7">
      <c r="B32" s="529" t="s">
        <v>320</v>
      </c>
      <c r="C32" s="529"/>
      <c r="D32" s="529"/>
      <c r="E32" s="529"/>
    </row>
    <row r="33" spans="2:5">
      <c r="B33" s="530" t="s">
        <v>514</v>
      </c>
      <c r="C33" s="530"/>
      <c r="D33" s="530"/>
      <c r="E33" s="530"/>
    </row>
  </sheetData>
  <mergeCells count="5">
    <mergeCell ref="B2:D2"/>
    <mergeCell ref="G2:J2"/>
    <mergeCell ref="B31:E31"/>
    <mergeCell ref="B32:E32"/>
    <mergeCell ref="B33:E33"/>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B8FD-5E43-4067-AB78-5CB033FA7C1C}">
  <dimension ref="B1:DC304"/>
  <sheetViews>
    <sheetView tabSelected="1" view="pageBreakPreview" topLeftCell="B1" zoomScale="55" zoomScaleNormal="55" zoomScaleSheetLayoutView="55" workbookViewId="0">
      <pane xSplit="4" ySplit="5" topLeftCell="F277" activePane="bottomRight" state="frozen"/>
      <selection activeCell="B1" sqref="B1"/>
      <selection pane="topRight" activeCell="F1" sqref="F1"/>
      <selection pane="bottomLeft" activeCell="B6" sqref="B6"/>
      <selection pane="bottomRight" activeCell="AI294" sqref="AI294:AJ294"/>
    </sheetView>
  </sheetViews>
  <sheetFormatPr defaultColWidth="8.8984375" defaultRowHeight="18" outlineLevelCol="1"/>
  <cols>
    <col min="2" max="2" width="9" style="2" customWidth="1"/>
    <col min="3" max="3" width="23.5" style="3" customWidth="1"/>
    <col min="4" max="4" width="8.3984375" style="3" customWidth="1"/>
    <col min="5" max="5" width="8.3984375" style="34" customWidth="1"/>
    <col min="6" max="7" width="14.59765625" style="1" customWidth="1"/>
    <col min="8" max="8" width="16.3984375" customWidth="1"/>
    <col min="9" max="9" width="16.3984375" style="1" customWidth="1"/>
    <col min="10" max="11" width="10.5" style="2" customWidth="1"/>
    <col min="12" max="14" width="10.5" style="2" customWidth="1" outlineLevel="1"/>
    <col min="15" max="34" width="10.5" style="2" hidden="1" customWidth="1"/>
    <col min="35" max="43" width="10.5" style="2" customWidth="1"/>
    <col min="44" max="44" width="1.5" style="2" customWidth="1"/>
    <col min="45" max="45" width="10.59765625" style="25" hidden="1" customWidth="1"/>
    <col min="46" max="46" width="10.59765625" style="2" hidden="1" customWidth="1"/>
    <col min="47" max="47" width="10.59765625" style="25" hidden="1" customWidth="1"/>
    <col min="48" max="48" width="10.59765625" style="2" hidden="1" customWidth="1"/>
    <col min="49" max="49" width="10.59765625" style="25" hidden="1" customWidth="1"/>
    <col min="50" max="50" width="10.59765625" style="2" hidden="1" customWidth="1"/>
    <col min="51" max="51" width="10.59765625" style="25" hidden="1" customWidth="1"/>
    <col min="52" max="52" width="10.59765625" style="2" hidden="1" customWidth="1"/>
    <col min="53" max="53" width="10.59765625" style="25" hidden="1" customWidth="1"/>
    <col min="54" max="54" width="10.59765625" style="2" hidden="1" customWidth="1"/>
    <col min="55" max="55" width="10.59765625" style="25" hidden="1" customWidth="1"/>
    <col min="56" max="56" width="10.59765625" style="2" hidden="1" customWidth="1"/>
    <col min="57" max="57" width="10.59765625" style="25" hidden="1" customWidth="1"/>
    <col min="58" max="58" width="10.59765625" style="2" hidden="1" customWidth="1"/>
    <col min="59" max="59" width="10.59765625" style="25" hidden="1" customWidth="1"/>
    <col min="60" max="60" width="10.59765625" style="2" hidden="1" customWidth="1"/>
    <col min="61" max="61" width="10.59765625" style="25" hidden="1" customWidth="1"/>
    <col min="62" max="62" width="10.59765625" style="2" hidden="1" customWidth="1"/>
    <col min="63" max="63" width="10.59765625" style="25" hidden="1" customWidth="1"/>
    <col min="64" max="64" width="10.59765625" style="2" hidden="1" customWidth="1"/>
    <col min="65" max="65" width="10.59765625" style="25" hidden="1" customWidth="1"/>
    <col min="66" max="66" width="10.59765625" style="2" hidden="1" customWidth="1"/>
    <col min="67" max="67" width="10.59765625" style="25" hidden="1" customWidth="1"/>
    <col min="68" max="68" width="10.59765625" style="2" hidden="1" customWidth="1"/>
    <col min="69" max="69" width="10.59765625" style="25" hidden="1" customWidth="1"/>
    <col min="70" max="70" width="10.59765625" style="2" hidden="1" customWidth="1"/>
    <col min="71" max="71" width="10.59765625" style="25" hidden="1" customWidth="1"/>
    <col min="72" max="72" width="10.59765625" style="2" hidden="1" customWidth="1"/>
    <col min="73" max="73" width="10.59765625" style="25" hidden="1" customWidth="1"/>
    <col min="74" max="74" width="10.59765625" style="2" hidden="1" customWidth="1"/>
    <col min="75" max="75" width="10.59765625" style="25" hidden="1" customWidth="1"/>
    <col min="76" max="76" width="10.59765625" style="2" hidden="1" customWidth="1"/>
    <col min="77" max="77" width="10.59765625" style="25" hidden="1" customWidth="1"/>
    <col min="78" max="78" width="10.59765625" style="2" hidden="1" customWidth="1"/>
    <col min="79" max="79" width="10.59765625" style="25" hidden="1" customWidth="1"/>
    <col min="80" max="80" width="10.59765625" style="2" hidden="1" customWidth="1"/>
    <col min="81" max="81" width="10.59765625" style="25" hidden="1" customWidth="1"/>
    <col min="82" max="82" width="10.59765625" style="2" hidden="1" customWidth="1"/>
    <col min="83" max="83" width="10.59765625" style="25" hidden="1" customWidth="1"/>
    <col min="84" max="84" width="10.59765625" style="2" hidden="1" customWidth="1"/>
    <col min="85" max="85" width="10.59765625" style="25" hidden="1" customWidth="1"/>
    <col min="86" max="86" width="10.59765625" style="2" hidden="1" customWidth="1"/>
    <col min="87" max="87" width="10.59765625" style="25" customWidth="1"/>
    <col min="88" max="88" width="10.59765625" style="2" customWidth="1"/>
    <col min="89" max="89" width="10.59765625" style="25" customWidth="1"/>
    <col min="90" max="90" width="10.59765625" style="2" customWidth="1"/>
    <col min="91" max="91" width="10.59765625" style="25" customWidth="1"/>
    <col min="92" max="92" width="10.59765625" style="2" customWidth="1"/>
    <col min="93" max="93" width="10.59765625" style="25" customWidth="1"/>
    <col min="94" max="94" width="10.59765625" style="2" customWidth="1"/>
    <col min="95" max="95" width="10.59765625" style="25" customWidth="1"/>
    <col min="96" max="96" width="10.59765625" style="2" customWidth="1"/>
    <col min="97" max="97" width="10.59765625" style="25" customWidth="1"/>
    <col min="98" max="98" width="10.59765625" style="2" customWidth="1"/>
    <col min="99" max="99" width="10.59765625" style="25" customWidth="1"/>
    <col min="100" max="100" width="10.59765625" style="2" customWidth="1"/>
    <col min="101" max="101" width="10.59765625" style="25" customWidth="1"/>
    <col min="102" max="102" width="10.59765625" style="2" customWidth="1"/>
    <col min="103" max="103" width="10.59765625" style="25" customWidth="1"/>
    <col min="104" max="104" width="10.59765625" style="2" customWidth="1"/>
    <col min="105" max="106" width="13" style="27" customWidth="1"/>
  </cols>
  <sheetData>
    <row r="1" spans="2:106" ht="18.75" hidden="1" customHeight="1">
      <c r="U1" s="434" t="s">
        <v>324</v>
      </c>
      <c r="V1" s="434"/>
    </row>
    <row r="2" spans="2:106" ht="19.8">
      <c r="C2" s="414" t="s">
        <v>484</v>
      </c>
      <c r="G2" s="263"/>
      <c r="K2" s="66"/>
      <c r="L2" s="66"/>
      <c r="M2" s="66"/>
      <c r="N2" s="66"/>
      <c r="X2" s="250"/>
      <c r="AH2" s="362" t="s">
        <v>324</v>
      </c>
      <c r="AI2" s="250"/>
      <c r="AJ2" s="250"/>
      <c r="AL2" s="250"/>
      <c r="AM2" s="250"/>
      <c r="AN2" s="250" t="s">
        <v>497</v>
      </c>
      <c r="AO2" s="66"/>
      <c r="AP2" s="66"/>
      <c r="AQ2" s="66"/>
      <c r="AR2" s="66"/>
      <c r="AS2" s="493" t="s">
        <v>323</v>
      </c>
      <c r="AT2" s="493"/>
      <c r="AV2" s="318" t="s">
        <v>327</v>
      </c>
      <c r="BS2" s="2"/>
      <c r="BU2" s="2"/>
      <c r="CI2" s="318" t="s">
        <v>327</v>
      </c>
      <c r="CK2" s="380" t="s">
        <v>347</v>
      </c>
      <c r="CM2" s="413" t="s">
        <v>323</v>
      </c>
      <c r="CN2" s="413"/>
      <c r="CU2" s="2"/>
      <c r="CW2" s="2"/>
      <c r="CY2" s="2"/>
    </row>
    <row r="3" spans="2:106" ht="22.5" customHeight="1">
      <c r="C3" s="255" t="s">
        <v>27</v>
      </c>
      <c r="D3" s="255"/>
      <c r="E3" s="255"/>
      <c r="F3" s="255"/>
      <c r="G3" s="317"/>
      <c r="H3" s="398" t="s">
        <v>352</v>
      </c>
      <c r="I3" s="255"/>
      <c r="J3" s="451">
        <v>46224</v>
      </c>
      <c r="K3" s="451"/>
      <c r="L3" s="451"/>
      <c r="M3" s="451"/>
      <c r="N3" s="451"/>
      <c r="O3" s="236"/>
      <c r="P3" s="236"/>
      <c r="X3" s="326"/>
      <c r="Y3" s="326"/>
      <c r="Z3" s="326"/>
      <c r="AA3" s="326"/>
      <c r="AI3" s="326"/>
      <c r="AJ3" s="326"/>
      <c r="AL3" s="326"/>
      <c r="AM3" s="326"/>
      <c r="AN3" s="326" t="s">
        <v>115</v>
      </c>
      <c r="AO3" s="236"/>
      <c r="AP3" s="236"/>
      <c r="AQ3" s="236"/>
      <c r="AR3" s="236"/>
      <c r="BK3" s="433" t="s">
        <v>332</v>
      </c>
      <c r="BL3" s="433"/>
      <c r="BQ3" s="433" t="s">
        <v>333</v>
      </c>
      <c r="BR3" s="433"/>
      <c r="BS3" s="433" t="s">
        <v>334</v>
      </c>
      <c r="BT3" s="433"/>
      <c r="BU3" s="433" t="s">
        <v>350</v>
      </c>
      <c r="BV3" s="433"/>
    </row>
    <row r="4" spans="2:106" ht="31.5" customHeight="1">
      <c r="C4" s="452" t="s">
        <v>42</v>
      </c>
      <c r="D4" s="453"/>
      <c r="E4" s="454"/>
      <c r="F4" s="455" t="s">
        <v>289</v>
      </c>
      <c r="G4" s="456"/>
      <c r="H4" s="455" t="s">
        <v>290</v>
      </c>
      <c r="I4" s="456"/>
      <c r="J4" s="452" t="s">
        <v>30</v>
      </c>
      <c r="K4" s="453"/>
      <c r="L4" s="453"/>
      <c r="M4" s="453"/>
      <c r="N4" s="454"/>
      <c r="O4" s="467"/>
      <c r="P4" s="468"/>
      <c r="Q4" s="468"/>
      <c r="R4" s="468"/>
      <c r="S4" s="468"/>
      <c r="T4" s="468"/>
      <c r="U4" s="468"/>
      <c r="V4" s="468"/>
      <c r="W4" s="468"/>
      <c r="X4" s="468"/>
      <c r="Y4" s="468"/>
      <c r="Z4" s="468"/>
      <c r="AA4" s="468"/>
      <c r="AB4" s="468"/>
      <c r="AC4" s="397"/>
      <c r="AD4" s="397"/>
      <c r="AE4" s="397"/>
      <c r="AF4" s="397"/>
      <c r="AG4" s="397"/>
      <c r="AH4" s="397" t="s">
        <v>353</v>
      </c>
      <c r="AI4" s="323"/>
      <c r="AJ4" s="323"/>
      <c r="AK4" s="323"/>
      <c r="AL4" s="323"/>
      <c r="AM4" s="323"/>
      <c r="AN4" s="323"/>
      <c r="AO4" s="323"/>
      <c r="AP4" s="323"/>
      <c r="AQ4" s="323"/>
      <c r="AR4" s="323"/>
      <c r="AS4" s="465">
        <v>45566</v>
      </c>
      <c r="AT4" s="466"/>
      <c r="AU4" s="465">
        <v>45597</v>
      </c>
      <c r="AV4" s="466"/>
      <c r="AW4" s="465">
        <v>45627</v>
      </c>
      <c r="AX4" s="466"/>
      <c r="AY4" s="465">
        <v>45658</v>
      </c>
      <c r="AZ4" s="466"/>
      <c r="BA4" s="464">
        <v>45689</v>
      </c>
      <c r="BB4" s="453"/>
      <c r="BC4" s="464">
        <v>45717</v>
      </c>
      <c r="BD4" s="453"/>
      <c r="BE4" s="464">
        <v>45748</v>
      </c>
      <c r="BF4" s="453"/>
      <c r="BG4" s="464">
        <v>45778</v>
      </c>
      <c r="BH4" s="453"/>
      <c r="BI4" s="464">
        <v>45809</v>
      </c>
      <c r="BJ4" s="453"/>
      <c r="BK4" s="464">
        <v>45839</v>
      </c>
      <c r="BL4" s="453"/>
      <c r="BM4" s="464">
        <v>45870</v>
      </c>
      <c r="BN4" s="453"/>
      <c r="BO4" s="464">
        <v>45901</v>
      </c>
      <c r="BP4" s="453"/>
      <c r="BQ4" s="464">
        <v>45931</v>
      </c>
      <c r="BR4" s="453"/>
      <c r="BS4" s="464">
        <v>45962</v>
      </c>
      <c r="BT4" s="453"/>
      <c r="BU4" s="464">
        <v>45992</v>
      </c>
      <c r="BV4" s="453"/>
      <c r="BW4" s="464">
        <v>46023</v>
      </c>
      <c r="BX4" s="453"/>
      <c r="BY4" s="464">
        <v>46054</v>
      </c>
      <c r="BZ4" s="453"/>
      <c r="CA4" s="464">
        <v>46082</v>
      </c>
      <c r="CB4" s="453"/>
      <c r="CC4" s="464">
        <v>46113</v>
      </c>
      <c r="CD4" s="453"/>
      <c r="CE4" s="464">
        <v>46143</v>
      </c>
      <c r="CF4" s="453"/>
      <c r="CG4" s="464">
        <v>46174</v>
      </c>
      <c r="CH4" s="453"/>
      <c r="CI4" s="464">
        <v>46204</v>
      </c>
      <c r="CJ4" s="453"/>
      <c r="CK4" s="464">
        <v>46235</v>
      </c>
      <c r="CL4" s="453"/>
      <c r="CM4" s="464">
        <v>46266</v>
      </c>
      <c r="CN4" s="453"/>
      <c r="CO4" s="464">
        <v>46296</v>
      </c>
      <c r="CP4" s="453"/>
      <c r="CQ4" s="464">
        <v>46327</v>
      </c>
      <c r="CR4" s="453"/>
      <c r="CS4" s="464">
        <v>46357</v>
      </c>
      <c r="CT4" s="453"/>
      <c r="CU4" s="464">
        <v>46388</v>
      </c>
      <c r="CV4" s="453"/>
      <c r="CW4" s="464">
        <v>46054</v>
      </c>
      <c r="CX4" s="453"/>
      <c r="CY4" s="464">
        <v>46082</v>
      </c>
      <c r="CZ4" s="453"/>
      <c r="DA4" s="469"/>
      <c r="DB4" s="462"/>
    </row>
    <row r="5" spans="2:106" ht="29.25" customHeight="1">
      <c r="B5" s="2" t="s">
        <v>26</v>
      </c>
      <c r="C5" s="11" t="s">
        <v>43</v>
      </c>
      <c r="D5" s="30" t="s">
        <v>44</v>
      </c>
      <c r="E5" s="32" t="s">
        <v>45</v>
      </c>
      <c r="F5" s="12" t="s">
        <v>75</v>
      </c>
      <c r="G5" s="13" t="s">
        <v>76</v>
      </c>
      <c r="H5" s="14" t="s">
        <v>20</v>
      </c>
      <c r="I5" s="13" t="s">
        <v>41</v>
      </c>
      <c r="J5" s="15" t="s">
        <v>28</v>
      </c>
      <c r="K5" s="67" t="s">
        <v>114</v>
      </c>
      <c r="L5" s="20" t="s">
        <v>67</v>
      </c>
      <c r="M5" s="20" t="s">
        <v>66</v>
      </c>
      <c r="N5" s="16" t="s">
        <v>65</v>
      </c>
      <c r="O5" s="18" t="s">
        <v>325</v>
      </c>
      <c r="P5" s="18" t="s">
        <v>55</v>
      </c>
      <c r="Q5" s="18" t="s">
        <v>56</v>
      </c>
      <c r="R5" s="18" t="s">
        <v>57</v>
      </c>
      <c r="S5" s="18" t="s">
        <v>58</v>
      </c>
      <c r="T5" s="18" t="s">
        <v>59</v>
      </c>
      <c r="U5" s="18" t="s">
        <v>33</v>
      </c>
      <c r="V5" s="18" t="s">
        <v>109</v>
      </c>
      <c r="W5" s="18" t="s">
        <v>110</v>
      </c>
      <c r="X5" s="18" t="s">
        <v>111</v>
      </c>
      <c r="Y5" s="18" t="s">
        <v>52</v>
      </c>
      <c r="Z5" s="18" t="s">
        <v>53</v>
      </c>
      <c r="AA5" s="18" t="s">
        <v>54</v>
      </c>
      <c r="AB5" s="18" t="s">
        <v>55</v>
      </c>
      <c r="AC5" s="18" t="s">
        <v>56</v>
      </c>
      <c r="AD5" s="18" t="s">
        <v>57</v>
      </c>
      <c r="AE5" s="18" t="s">
        <v>58</v>
      </c>
      <c r="AF5" s="18" t="s">
        <v>59</v>
      </c>
      <c r="AG5" s="18" t="s">
        <v>33</v>
      </c>
      <c r="AH5" s="18" t="s">
        <v>109</v>
      </c>
      <c r="AI5" s="18" t="s">
        <v>111</v>
      </c>
      <c r="AJ5" s="18" t="s">
        <v>52</v>
      </c>
      <c r="AK5" s="18" t="s">
        <v>53</v>
      </c>
      <c r="AL5" s="18" t="s">
        <v>54</v>
      </c>
      <c r="AM5" s="18" t="s">
        <v>55</v>
      </c>
      <c r="AN5" s="18" t="s">
        <v>56</v>
      </c>
      <c r="AO5" s="18" t="s">
        <v>57</v>
      </c>
      <c r="AP5" s="18" t="s">
        <v>58</v>
      </c>
      <c r="AQ5" s="18" t="s">
        <v>59</v>
      </c>
      <c r="AR5" s="18"/>
      <c r="AS5" s="324" t="s">
        <v>32</v>
      </c>
      <c r="AT5" s="325" t="s">
        <v>40</v>
      </c>
      <c r="AU5" s="324" t="s">
        <v>32</v>
      </c>
      <c r="AV5" s="325" t="s">
        <v>40</v>
      </c>
      <c r="AW5" s="324" t="s">
        <v>32</v>
      </c>
      <c r="AX5" s="325" t="s">
        <v>40</v>
      </c>
      <c r="AY5" s="324" t="s">
        <v>32</v>
      </c>
      <c r="AZ5" s="325" t="s">
        <v>40</v>
      </c>
      <c r="BA5" s="26" t="s">
        <v>32</v>
      </c>
      <c r="BB5" s="20" t="s">
        <v>40</v>
      </c>
      <c r="BC5" s="26" t="s">
        <v>32</v>
      </c>
      <c r="BD5" s="20" t="s">
        <v>40</v>
      </c>
      <c r="BE5" s="26" t="s">
        <v>32</v>
      </c>
      <c r="BF5" s="20" t="s">
        <v>40</v>
      </c>
      <c r="BG5" s="26" t="s">
        <v>32</v>
      </c>
      <c r="BH5" s="20" t="s">
        <v>40</v>
      </c>
      <c r="BI5" s="26" t="s">
        <v>32</v>
      </c>
      <c r="BJ5" s="20" t="s">
        <v>40</v>
      </c>
      <c r="BK5" s="26" t="s">
        <v>32</v>
      </c>
      <c r="BL5" s="20" t="s">
        <v>40</v>
      </c>
      <c r="BM5" s="26" t="s">
        <v>32</v>
      </c>
      <c r="BN5" s="20" t="s">
        <v>40</v>
      </c>
      <c r="BO5" s="26" t="s">
        <v>32</v>
      </c>
      <c r="BP5" s="20" t="s">
        <v>40</v>
      </c>
      <c r="BQ5" s="26" t="s">
        <v>32</v>
      </c>
      <c r="BR5" s="20" t="s">
        <v>40</v>
      </c>
      <c r="BS5" s="26" t="s">
        <v>32</v>
      </c>
      <c r="BT5" s="20" t="s">
        <v>40</v>
      </c>
      <c r="BU5" s="26" t="s">
        <v>32</v>
      </c>
      <c r="BV5" s="20" t="s">
        <v>40</v>
      </c>
      <c r="BW5" s="26" t="s">
        <v>32</v>
      </c>
      <c r="BX5" s="20" t="s">
        <v>40</v>
      </c>
      <c r="BY5" s="26" t="s">
        <v>32</v>
      </c>
      <c r="BZ5" s="20" t="s">
        <v>40</v>
      </c>
      <c r="CA5" s="26" t="s">
        <v>32</v>
      </c>
      <c r="CB5" s="20" t="s">
        <v>40</v>
      </c>
      <c r="CC5" s="26" t="s">
        <v>32</v>
      </c>
      <c r="CD5" s="20" t="s">
        <v>40</v>
      </c>
      <c r="CE5" s="26" t="s">
        <v>32</v>
      </c>
      <c r="CF5" s="20" t="s">
        <v>40</v>
      </c>
      <c r="CG5" s="26" t="s">
        <v>32</v>
      </c>
      <c r="CH5" s="20" t="s">
        <v>40</v>
      </c>
      <c r="CI5" s="26" t="s">
        <v>32</v>
      </c>
      <c r="CJ5" s="20" t="s">
        <v>40</v>
      </c>
      <c r="CK5" s="26" t="s">
        <v>32</v>
      </c>
      <c r="CL5" s="20" t="s">
        <v>40</v>
      </c>
      <c r="CM5" s="26" t="s">
        <v>32</v>
      </c>
      <c r="CN5" s="20" t="s">
        <v>40</v>
      </c>
      <c r="CO5" s="26" t="s">
        <v>32</v>
      </c>
      <c r="CP5" s="20" t="s">
        <v>40</v>
      </c>
      <c r="CQ5" s="26" t="s">
        <v>32</v>
      </c>
      <c r="CR5" s="20" t="s">
        <v>40</v>
      </c>
      <c r="CS5" s="26" t="s">
        <v>32</v>
      </c>
      <c r="CT5" s="20" t="s">
        <v>40</v>
      </c>
      <c r="CU5" s="26" t="s">
        <v>32</v>
      </c>
      <c r="CV5" s="20" t="s">
        <v>40</v>
      </c>
      <c r="CW5" s="26" t="s">
        <v>32</v>
      </c>
      <c r="CX5" s="20" t="s">
        <v>40</v>
      </c>
      <c r="CY5" s="26" t="s">
        <v>32</v>
      </c>
      <c r="CZ5" s="20" t="s">
        <v>40</v>
      </c>
      <c r="DA5" s="470"/>
      <c r="DB5" s="463"/>
    </row>
    <row r="6" spans="2:106" ht="30.75" customHeight="1">
      <c r="B6" s="2">
        <v>1</v>
      </c>
      <c r="C6" s="435" t="s">
        <v>476</v>
      </c>
      <c r="D6" s="436"/>
      <c r="E6" s="445"/>
      <c r="F6" s="130">
        <f>SUM(F7:F26)</f>
        <v>1314</v>
      </c>
      <c r="G6" s="131">
        <f>SUM(G7:G26)</f>
        <v>5781600</v>
      </c>
      <c r="H6" s="130">
        <v>3500</v>
      </c>
      <c r="I6" s="131">
        <f t="shared" ref="I6:N6" si="0">SUM(I7:I26)</f>
        <v>15400000</v>
      </c>
      <c r="J6" s="133">
        <f>SUM(J7:J26)</f>
        <v>95</v>
      </c>
      <c r="K6" s="134">
        <f t="shared" si="0"/>
        <v>876</v>
      </c>
      <c r="L6" s="134">
        <f t="shared" si="0"/>
        <v>123</v>
      </c>
      <c r="M6" s="134">
        <f t="shared" si="0"/>
        <v>55</v>
      </c>
      <c r="N6" s="135">
        <f t="shared" si="0"/>
        <v>698</v>
      </c>
      <c r="O6" s="138"/>
      <c r="P6" s="138"/>
      <c r="Q6" s="138"/>
      <c r="R6" s="138"/>
      <c r="S6" s="138"/>
      <c r="T6" s="138"/>
      <c r="U6" s="138"/>
      <c r="V6" s="138"/>
      <c r="W6" s="138"/>
      <c r="X6" s="138"/>
      <c r="Y6" s="152"/>
      <c r="Z6" s="152"/>
      <c r="AA6" s="152"/>
      <c r="AB6" s="152"/>
      <c r="AC6" s="152"/>
      <c r="AD6" s="152"/>
      <c r="AE6" s="152"/>
      <c r="AF6" s="152"/>
      <c r="AG6" s="152"/>
      <c r="AH6" s="152"/>
      <c r="AI6" s="138"/>
      <c r="AJ6" s="138"/>
      <c r="AK6" s="138"/>
      <c r="AL6" s="138"/>
      <c r="AM6" s="138"/>
      <c r="AN6" s="138"/>
      <c r="AO6" s="138"/>
      <c r="AP6" s="138"/>
      <c r="AQ6" s="138"/>
      <c r="AR6" s="138"/>
      <c r="AS6" s="136">
        <f t="shared" ref="AS6:CZ6" si="1">SUM(AS7:AS26)</f>
        <v>350.00000000000006</v>
      </c>
      <c r="AT6" s="134">
        <f t="shared" si="1"/>
        <v>0</v>
      </c>
      <c r="AU6" s="136">
        <f t="shared" si="1"/>
        <v>314.99999999999994</v>
      </c>
      <c r="AV6" s="134">
        <f t="shared" si="1"/>
        <v>432</v>
      </c>
      <c r="AW6" s="136">
        <f t="shared" si="1"/>
        <v>350.00000000000006</v>
      </c>
      <c r="AX6" s="134">
        <f t="shared" si="1"/>
        <v>784</v>
      </c>
      <c r="AY6" s="136">
        <f t="shared" si="1"/>
        <v>213.13031424830825</v>
      </c>
      <c r="AZ6" s="134">
        <f t="shared" si="1"/>
        <v>0</v>
      </c>
      <c r="BA6" s="136">
        <f t="shared" si="1"/>
        <v>194.68092246766548</v>
      </c>
      <c r="BB6" s="134">
        <f t="shared" si="1"/>
        <v>525</v>
      </c>
      <c r="BC6" s="136">
        <f t="shared" si="1"/>
        <v>280.00000000000011</v>
      </c>
      <c r="BD6" s="134">
        <f t="shared" si="1"/>
        <v>140</v>
      </c>
      <c r="BE6" s="136">
        <f t="shared" si="1"/>
        <v>248.02487890544072</v>
      </c>
      <c r="BF6" s="134">
        <f t="shared" si="1"/>
        <v>0</v>
      </c>
      <c r="BG6" s="136">
        <f t="shared" si="1"/>
        <v>245.00000000000006</v>
      </c>
      <c r="BH6" s="134">
        <f t="shared" si="1"/>
        <v>438</v>
      </c>
      <c r="BI6" s="136">
        <f t="shared" si="1"/>
        <v>353.72291193278897</v>
      </c>
      <c r="BJ6" s="134">
        <f>SUM(BJ7:BJ26)</f>
        <v>396</v>
      </c>
      <c r="BK6" s="136">
        <f t="shared" si="1"/>
        <v>280.00000000000011</v>
      </c>
      <c r="BL6" s="134">
        <f t="shared" si="1"/>
        <v>0</v>
      </c>
      <c r="BM6" s="136">
        <f t="shared" si="1"/>
        <v>266.58352114954357</v>
      </c>
      <c r="BN6" s="134">
        <f t="shared" si="1"/>
        <v>565</v>
      </c>
      <c r="BO6" s="136">
        <f t="shared" si="1"/>
        <v>420.00000000000006</v>
      </c>
      <c r="BP6" s="134">
        <f t="shared" si="1"/>
        <v>290</v>
      </c>
      <c r="BQ6" s="136">
        <f t="shared" si="1"/>
        <v>350.00000000000006</v>
      </c>
      <c r="BR6" s="134">
        <f t="shared" si="1"/>
        <v>354</v>
      </c>
      <c r="BS6" s="136">
        <f t="shared" si="1"/>
        <v>314.99999999999994</v>
      </c>
      <c r="BT6" s="134">
        <f t="shared" si="1"/>
        <v>781</v>
      </c>
      <c r="BU6" s="136">
        <f t="shared" si="1"/>
        <v>350.00000000000006</v>
      </c>
      <c r="BV6" s="134">
        <f t="shared" si="1"/>
        <v>365</v>
      </c>
      <c r="BW6" s="136">
        <f t="shared" si="1"/>
        <v>213.13031424830825</v>
      </c>
      <c r="BX6" s="134">
        <f t="shared" si="1"/>
        <v>0</v>
      </c>
      <c r="BY6" s="136">
        <f t="shared" si="1"/>
        <v>194.68092246766548</v>
      </c>
      <c r="BZ6" s="134">
        <f t="shared" si="1"/>
        <v>359</v>
      </c>
      <c r="CA6" s="136">
        <f t="shared" si="1"/>
        <v>280.00000000000011</v>
      </c>
      <c r="CB6" s="134">
        <f t="shared" si="1"/>
        <v>0</v>
      </c>
      <c r="CC6" s="136">
        <f t="shared" si="1"/>
        <v>248.02487890544072</v>
      </c>
      <c r="CD6" s="134">
        <f t="shared" si="1"/>
        <v>0</v>
      </c>
      <c r="CE6" s="136">
        <f t="shared" si="1"/>
        <v>245.00000000000006</v>
      </c>
      <c r="CF6" s="134">
        <f t="shared" si="1"/>
        <v>670</v>
      </c>
      <c r="CG6" s="136">
        <f t="shared" si="1"/>
        <v>353.72291193278897</v>
      </c>
      <c r="CH6" s="134">
        <f t="shared" si="1"/>
        <v>611</v>
      </c>
      <c r="CI6" s="136">
        <f t="shared" si="1"/>
        <v>280.00000000000011</v>
      </c>
      <c r="CJ6" s="134">
        <f t="shared" si="1"/>
        <v>591</v>
      </c>
      <c r="CK6" s="136">
        <f t="shared" si="1"/>
        <v>266.58352114954357</v>
      </c>
      <c r="CL6" s="134">
        <f t="shared" si="1"/>
        <v>600</v>
      </c>
      <c r="CM6" s="136">
        <f t="shared" si="1"/>
        <v>420.00000000000006</v>
      </c>
      <c r="CN6" s="134">
        <f t="shared" si="1"/>
        <v>0</v>
      </c>
      <c r="CO6" s="136">
        <f t="shared" si="1"/>
        <v>350.00000000000006</v>
      </c>
      <c r="CP6" s="134">
        <f t="shared" si="1"/>
        <v>0</v>
      </c>
      <c r="CQ6" s="136">
        <f t="shared" si="1"/>
        <v>314.99999999999994</v>
      </c>
      <c r="CR6" s="134">
        <f t="shared" si="1"/>
        <v>593</v>
      </c>
      <c r="CS6" s="136">
        <f t="shared" si="1"/>
        <v>350.00000000000006</v>
      </c>
      <c r="CT6" s="134">
        <f t="shared" si="1"/>
        <v>0</v>
      </c>
      <c r="CU6" s="136">
        <f>SUM(CU7:CU26)</f>
        <v>213.13031424830825</v>
      </c>
      <c r="CV6" s="134">
        <f t="shared" si="1"/>
        <v>0</v>
      </c>
      <c r="CW6" s="136">
        <f t="shared" si="1"/>
        <v>194.68092246766548</v>
      </c>
      <c r="CX6" s="134">
        <f t="shared" si="1"/>
        <v>0</v>
      </c>
      <c r="CY6" s="136">
        <f t="shared" si="1"/>
        <v>280.00000000000011</v>
      </c>
      <c r="CZ6" s="134">
        <f t="shared" si="1"/>
        <v>0</v>
      </c>
      <c r="DA6" s="141"/>
      <c r="DB6" s="293"/>
    </row>
    <row r="7" spans="2:106" ht="30.75" customHeight="1">
      <c r="C7" s="446" t="s">
        <v>501</v>
      </c>
      <c r="D7" s="443">
        <v>1</v>
      </c>
      <c r="E7" s="99" t="s">
        <v>46</v>
      </c>
      <c r="F7" s="56">
        <v>48</v>
      </c>
      <c r="G7" s="46">
        <f>F7*4400</f>
        <v>211200</v>
      </c>
      <c r="H7" s="45">
        <f>F7*($H$6/$F$6)</f>
        <v>127.85388127853882</v>
      </c>
      <c r="I7" s="46">
        <f>H7*4400</f>
        <v>562557.07762557082</v>
      </c>
      <c r="J7" s="49">
        <v>3</v>
      </c>
      <c r="K7" s="39">
        <f>SUM(L7:N7)</f>
        <v>35</v>
      </c>
      <c r="L7" s="39">
        <v>10</v>
      </c>
      <c r="M7" s="39">
        <v>0</v>
      </c>
      <c r="N7" s="42">
        <v>25</v>
      </c>
      <c r="O7" s="289"/>
      <c r="P7" s="289">
        <v>45622</v>
      </c>
      <c r="Q7" s="331">
        <v>45646</v>
      </c>
      <c r="R7" s="124"/>
      <c r="S7" s="124"/>
      <c r="T7" s="328"/>
      <c r="U7" s="328"/>
      <c r="V7" s="331">
        <v>45792</v>
      </c>
      <c r="W7" s="124"/>
      <c r="X7" s="328"/>
      <c r="Y7" s="331">
        <v>45884</v>
      </c>
      <c r="Z7" s="330"/>
      <c r="AA7" s="331"/>
      <c r="AB7" s="331"/>
      <c r="AC7" s="331">
        <v>45662</v>
      </c>
      <c r="AD7" s="331"/>
      <c r="AE7" s="331"/>
      <c r="AF7" s="331"/>
      <c r="AG7" s="331"/>
      <c r="AH7" s="331"/>
      <c r="AI7" s="129">
        <f t="shared" ref="AI7:AI8" si="2">SUM(J7:K7)-CI7+CJ7</f>
        <v>47.771689497716892</v>
      </c>
      <c r="AJ7" s="129">
        <f>AI7-CK7+CL7</f>
        <v>63.033478679468722</v>
      </c>
      <c r="AK7" s="129">
        <f t="shared" ref="AK7:AK26" si="3">AJ7-CM7+CN7</f>
        <v>47.691012926044067</v>
      </c>
      <c r="AL7" s="399">
        <f t="shared" ref="AL7:AL26" si="4">AK7-CO7+CP7</f>
        <v>34.905624798190182</v>
      </c>
      <c r="AM7" s="393">
        <f t="shared" ref="AM7:AM26" si="5">AL7-CQ7+CR7</f>
        <v>48.398775483121689</v>
      </c>
      <c r="AN7" s="393">
        <f t="shared" ref="AN7:AN26" si="6">AM7-CS7+CT7</f>
        <v>35.613387355267804</v>
      </c>
      <c r="AO7" s="393">
        <f t="shared" ref="AO7:AO26" si="7">AN7-CU7+CV7</f>
        <v>27.827805099621841</v>
      </c>
      <c r="AP7" s="96">
        <f t="shared" ref="AP7:AP26" si="8">AO7-CW7+CX7</f>
        <v>20.716173228656892</v>
      </c>
      <c r="AQ7" s="91">
        <f t="shared" ref="AQ7:AQ26" si="9">AP7-CY7+CZ7</f>
        <v>10.487862726373786</v>
      </c>
      <c r="AR7" s="129"/>
      <c r="AS7" s="41">
        <f>$H$7*月別販売比率!AG5</f>
        <v>12.785388127853883</v>
      </c>
      <c r="AT7" s="39"/>
      <c r="AU7" s="283">
        <f>$H$7*月別販売比率!AL5</f>
        <v>11.506849315068493</v>
      </c>
      <c r="AV7" s="280">
        <v>12</v>
      </c>
      <c r="AW7" s="283">
        <f>$H$7*月別販売比率!AQ5</f>
        <v>12.785388127853883</v>
      </c>
      <c r="AX7" s="280">
        <v>46</v>
      </c>
      <c r="AY7" s="283">
        <f>$H$7*月別販売比率!AV5</f>
        <v>7.7855822556459637</v>
      </c>
      <c r="AZ7" s="280"/>
      <c r="BA7" s="283">
        <f>$H$7*月別販売比率!BA5</f>
        <v>7.11163187096495</v>
      </c>
      <c r="BB7" s="280">
        <v>10</v>
      </c>
      <c r="BC7" s="283">
        <f>$H$7*月別販売比率!BF5</f>
        <v>10.228310502283106</v>
      </c>
      <c r="BD7" s="280"/>
      <c r="BE7" s="41">
        <f>$H$7*月別販売比率!C21</f>
        <v>9.0602695490571961</v>
      </c>
      <c r="BF7" s="39"/>
      <c r="BG7" s="283">
        <f>$H$7*月別販売比率!H21</f>
        <v>8.9497716894977177</v>
      </c>
      <c r="BH7" s="280">
        <v>26</v>
      </c>
      <c r="BI7" s="283">
        <f>$H$7*月別販売比率!M21</f>
        <v>12.921384910786815</v>
      </c>
      <c r="BJ7" s="280">
        <v>30</v>
      </c>
      <c r="BK7" s="41">
        <f>$H$7*月別販売比率!R21</f>
        <v>10.228310502283106</v>
      </c>
      <c r="BL7" s="39"/>
      <c r="BM7" s="283">
        <f>$H$7*月別販売比率!W21</f>
        <v>9.7382108182481684</v>
      </c>
      <c r="BN7" s="280">
        <v>25</v>
      </c>
      <c r="BO7" s="283">
        <f>$H$7*月別販売比率!AB21</f>
        <v>15.342465753424658</v>
      </c>
      <c r="BP7" s="280">
        <v>20</v>
      </c>
      <c r="BQ7" s="283">
        <f>$H$7*月別販売比率!AG21</f>
        <v>12.785388127853883</v>
      </c>
      <c r="BR7" s="280"/>
      <c r="BS7" s="283">
        <f>$H$7*月別販売比率!AL21</f>
        <v>11.506849315068493</v>
      </c>
      <c r="BT7" s="280">
        <v>40</v>
      </c>
      <c r="BU7" s="283">
        <f>$H$7*月別販売比率!AQ21</f>
        <v>12.785388127853883</v>
      </c>
      <c r="BV7" s="280">
        <v>10</v>
      </c>
      <c r="BW7" s="41">
        <f>$H$7*月別販売比率!AV21</f>
        <v>7.7855822556459637</v>
      </c>
      <c r="BX7" s="39"/>
      <c r="BY7" s="283">
        <f>$H$7*月別販売比率!BA21</f>
        <v>7.11163187096495</v>
      </c>
      <c r="BZ7" s="280">
        <v>20</v>
      </c>
      <c r="CA7" s="41">
        <f>$H$7*月別販売比率!BF21</f>
        <v>10.228310502283106</v>
      </c>
      <c r="CB7" s="39"/>
      <c r="CC7" s="41">
        <f>H7*月別販売比率!$C$21</f>
        <v>9.0602695490571961</v>
      </c>
      <c r="CD7" s="39"/>
      <c r="CE7" s="41">
        <f>H7*月別販売比率!$H$21</f>
        <v>8.9497716894977177</v>
      </c>
      <c r="CF7" s="280">
        <v>30</v>
      </c>
      <c r="CG7" s="41">
        <f>$H$7*月別販売比率!M21</f>
        <v>12.921384910786815</v>
      </c>
      <c r="CH7" s="280">
        <v>25</v>
      </c>
      <c r="CI7" s="41">
        <f>H7*月別販売比率!$R$21</f>
        <v>10.228310502283106</v>
      </c>
      <c r="CJ7" s="39">
        <v>20</v>
      </c>
      <c r="CK7" s="41">
        <f>H7*月別販売比率!$W$21</f>
        <v>9.7382108182481684</v>
      </c>
      <c r="CL7" s="39">
        <v>25</v>
      </c>
      <c r="CM7" s="41">
        <f>H7*月別販売比率!$AB$21</f>
        <v>15.342465753424658</v>
      </c>
      <c r="CN7" s="39"/>
      <c r="CO7" s="41">
        <f>H7*月別販売比率!$AG$21</f>
        <v>12.785388127853883</v>
      </c>
      <c r="CP7" s="39"/>
      <c r="CQ7" s="41">
        <f>H7*月別販売比率!$AL$21</f>
        <v>11.506849315068493</v>
      </c>
      <c r="CR7" s="39">
        <v>25</v>
      </c>
      <c r="CS7" s="41">
        <f>H7*月別販売比率!$AQ$21</f>
        <v>12.785388127853883</v>
      </c>
      <c r="CT7" s="39"/>
      <c r="CU7" s="41">
        <f>H7*月別販売比率!$AV$21</f>
        <v>7.7855822556459637</v>
      </c>
      <c r="CV7" s="39"/>
      <c r="CW7" s="41">
        <f>H7*月別販売比率!$BA$21</f>
        <v>7.11163187096495</v>
      </c>
      <c r="CX7" s="39"/>
      <c r="CY7" s="41">
        <f>H7*月別販売比率!$BF$21</f>
        <v>10.228310502283106</v>
      </c>
      <c r="CZ7" s="39"/>
      <c r="DA7" s="28"/>
      <c r="DB7" s="294"/>
    </row>
    <row r="8" spans="2:106" ht="30.75" customHeight="1">
      <c r="C8" s="457"/>
      <c r="D8" s="441"/>
      <c r="E8" s="94" t="s">
        <v>47</v>
      </c>
      <c r="F8" s="57">
        <v>144</v>
      </c>
      <c r="G8" s="5">
        <f t="shared" ref="G8:I26" si="10">F8*4400</f>
        <v>633600</v>
      </c>
      <c r="H8" s="45">
        <f>F8*($H$6/$F$6)</f>
        <v>383.56164383561645</v>
      </c>
      <c r="I8" s="5">
        <f t="shared" si="10"/>
        <v>1687671.2328767125</v>
      </c>
      <c r="J8" s="9">
        <v>5</v>
      </c>
      <c r="K8" s="21">
        <f t="shared" ref="K8:K26" si="11">SUM(L8:N8)</f>
        <v>85</v>
      </c>
      <c r="L8" s="21">
        <v>10</v>
      </c>
      <c r="M8" s="21">
        <v>5</v>
      </c>
      <c r="N8" s="95">
        <v>70</v>
      </c>
      <c r="O8" s="19"/>
      <c r="P8" s="289">
        <v>45622</v>
      </c>
      <c r="Q8" s="331">
        <v>45646</v>
      </c>
      <c r="R8" s="124"/>
      <c r="S8" s="124"/>
      <c r="T8" s="124"/>
      <c r="U8" s="124"/>
      <c r="V8" s="124"/>
      <c r="W8" s="124"/>
      <c r="X8" s="124"/>
      <c r="Y8" s="124"/>
      <c r="Z8" s="124"/>
      <c r="AA8" s="328"/>
      <c r="AB8" s="331">
        <v>45979</v>
      </c>
      <c r="AC8" s="330"/>
      <c r="AD8" s="330"/>
      <c r="AE8" s="330"/>
      <c r="AF8" s="330"/>
      <c r="AG8" s="331"/>
      <c r="AH8" s="331"/>
      <c r="AI8" s="129">
        <f t="shared" si="2"/>
        <v>124.31506849315068</v>
      </c>
      <c r="AJ8" s="124">
        <f t="shared" ref="AJ8:AJ26" si="12">AI8-CK8+CL8</f>
        <v>185.10043603840617</v>
      </c>
      <c r="AK8" s="124">
        <f t="shared" si="3"/>
        <v>139.0730387781322</v>
      </c>
      <c r="AL8" s="400">
        <f t="shared" si="4"/>
        <v>100.71687439457055</v>
      </c>
      <c r="AM8" s="394">
        <f t="shared" si="5"/>
        <v>131.19632644936507</v>
      </c>
      <c r="AN8" s="394">
        <f t="shared" si="6"/>
        <v>92.840162065803426</v>
      </c>
      <c r="AO8" s="394">
        <f t="shared" si="7"/>
        <v>69.483415298865538</v>
      </c>
      <c r="AP8" s="97">
        <f t="shared" si="8"/>
        <v>48.14851968597069</v>
      </c>
      <c r="AQ8" s="24">
        <f t="shared" si="9"/>
        <v>17.463588179121373</v>
      </c>
      <c r="AR8" s="124"/>
      <c r="AS8" s="41">
        <f>$H$8*月別販売比率!AG5</f>
        <v>38.356164383561648</v>
      </c>
      <c r="AT8" s="21"/>
      <c r="AU8" s="283">
        <f>$H$8*月別販売比率!AL5</f>
        <v>34.520547945205479</v>
      </c>
      <c r="AV8" s="241">
        <v>37</v>
      </c>
      <c r="AW8" s="283">
        <f>$H$8*月別販売比率!AQ5</f>
        <v>38.356164383561648</v>
      </c>
      <c r="AX8" s="241">
        <v>81</v>
      </c>
      <c r="AY8" s="283">
        <f>$H$8*月別販売比率!AV5</f>
        <v>23.356746766937892</v>
      </c>
      <c r="AZ8" s="241"/>
      <c r="BA8" s="283">
        <f>$H$8*月別販売比率!BA5</f>
        <v>21.334895612894847</v>
      </c>
      <c r="BB8" s="241">
        <v>75</v>
      </c>
      <c r="BC8" s="283">
        <f>$H$8*月別販売比率!BF5</f>
        <v>30.684931506849317</v>
      </c>
      <c r="BD8" s="241"/>
      <c r="BE8" s="41">
        <f>$H$8*月別販売比率!C21</f>
        <v>27.180808647171585</v>
      </c>
      <c r="BF8" s="21"/>
      <c r="BG8" s="283">
        <f>$H$8*月別販売比率!H21</f>
        <v>26.849315068493155</v>
      </c>
      <c r="BH8" s="241">
        <v>50</v>
      </c>
      <c r="BI8" s="283">
        <f>$H$8*月別販売比率!M21</f>
        <v>38.764154732360439</v>
      </c>
      <c r="BJ8" s="241">
        <v>55</v>
      </c>
      <c r="BK8" s="41">
        <f>$H$8*月別販売比率!R21</f>
        <v>30.684931506849317</v>
      </c>
      <c r="BL8" s="21"/>
      <c r="BM8" s="283">
        <f>$H$8*月別販売比率!W21</f>
        <v>29.214632454744507</v>
      </c>
      <c r="BN8" s="241">
        <v>30</v>
      </c>
      <c r="BO8" s="283">
        <f>$H$8*月別販売比率!AB21</f>
        <v>46.027397260273972</v>
      </c>
      <c r="BP8" s="241">
        <v>50</v>
      </c>
      <c r="BQ8" s="283">
        <f>$H$8*月別販売比率!AG21</f>
        <v>38.356164383561648</v>
      </c>
      <c r="BR8" s="241">
        <v>79</v>
      </c>
      <c r="BS8" s="283">
        <f>$H$8*月別販売比率!AL21</f>
        <v>34.520547945205479</v>
      </c>
      <c r="BT8" s="241">
        <v>85</v>
      </c>
      <c r="BU8" s="283">
        <f>$H$8*月別販売比率!AQ21</f>
        <v>38.356164383561648</v>
      </c>
      <c r="BV8" s="241">
        <v>50</v>
      </c>
      <c r="BW8" s="41">
        <f>$H$8*月別販売比率!AV21</f>
        <v>23.356746766937892</v>
      </c>
      <c r="BX8" s="21"/>
      <c r="BY8" s="283">
        <f>$H$8*月別販売比率!BA21</f>
        <v>21.334895612894847</v>
      </c>
      <c r="BZ8" s="241">
        <v>8</v>
      </c>
      <c r="CA8" s="41">
        <f>$H$8*月別販売比率!BF21</f>
        <v>30.684931506849317</v>
      </c>
      <c r="CB8" s="21"/>
      <c r="CC8" s="41">
        <f>H8*月別販売比率!$C$21</f>
        <v>27.180808647171585</v>
      </c>
      <c r="CD8" s="21"/>
      <c r="CE8" s="41">
        <f>H8*月別販売比率!$H$21</f>
        <v>26.849315068493155</v>
      </c>
      <c r="CF8" s="241">
        <v>80</v>
      </c>
      <c r="CG8" s="41">
        <f>$H$8*月別販売比率!M21</f>
        <v>38.764154732360439</v>
      </c>
      <c r="CH8" s="241">
        <v>70</v>
      </c>
      <c r="CI8" s="41">
        <f>H8*月別販売比率!$R$21</f>
        <v>30.684931506849317</v>
      </c>
      <c r="CJ8" s="21">
        <v>65</v>
      </c>
      <c r="CK8" s="41">
        <f>H8*月別販売比率!$W$21</f>
        <v>29.214632454744507</v>
      </c>
      <c r="CL8" s="21">
        <v>90</v>
      </c>
      <c r="CM8" s="41">
        <f>H8*月別販売比率!$AB$21</f>
        <v>46.027397260273972</v>
      </c>
      <c r="CN8" s="21"/>
      <c r="CO8" s="41">
        <f>H8*月別販売比率!$AG$21</f>
        <v>38.356164383561648</v>
      </c>
      <c r="CP8" s="21"/>
      <c r="CQ8" s="41">
        <f>H8*月別販売比率!$AL$21</f>
        <v>34.520547945205479</v>
      </c>
      <c r="CR8" s="21">
        <v>65</v>
      </c>
      <c r="CS8" s="41">
        <f>H8*月別販売比率!$AQ$21</f>
        <v>38.356164383561648</v>
      </c>
      <c r="CT8" s="21"/>
      <c r="CU8" s="41">
        <f>H8*月別販売比率!$AV$21</f>
        <v>23.356746766937892</v>
      </c>
      <c r="CV8" s="21"/>
      <c r="CW8" s="41">
        <f>H8*月別販売比率!$BA$21</f>
        <v>21.334895612894847</v>
      </c>
      <c r="CX8" s="21"/>
      <c r="CY8" s="41">
        <f>H8*月別販売比率!$BF$21</f>
        <v>30.684931506849317</v>
      </c>
      <c r="CZ8" s="21"/>
      <c r="DA8" s="28"/>
      <c r="DB8" s="294"/>
    </row>
    <row r="9" spans="2:106" ht="30.75" customHeight="1">
      <c r="C9" s="457"/>
      <c r="D9" s="441"/>
      <c r="E9" s="94" t="s">
        <v>51</v>
      </c>
      <c r="F9" s="57">
        <v>127</v>
      </c>
      <c r="G9" s="5">
        <f t="shared" si="10"/>
        <v>558800</v>
      </c>
      <c r="H9" s="45">
        <f t="shared" ref="H9:H26" si="13">F9*($H$6/$F$6)</f>
        <v>338.28006088280063</v>
      </c>
      <c r="I9" s="5">
        <f t="shared" si="10"/>
        <v>1488432.2678843227</v>
      </c>
      <c r="J9" s="9">
        <v>29</v>
      </c>
      <c r="K9" s="21">
        <f>SUM(L9:N9)</f>
        <v>134</v>
      </c>
      <c r="L9" s="21">
        <v>9</v>
      </c>
      <c r="M9" s="21">
        <v>15</v>
      </c>
      <c r="N9" s="95">
        <v>110</v>
      </c>
      <c r="O9" s="19"/>
      <c r="P9" s="289">
        <v>45622</v>
      </c>
      <c r="Q9" s="330"/>
      <c r="R9" s="124"/>
      <c r="S9" s="124"/>
      <c r="T9" s="124"/>
      <c r="U9" s="124"/>
      <c r="V9" s="124"/>
      <c r="W9" s="124"/>
      <c r="X9" s="124"/>
      <c r="Y9" s="124"/>
      <c r="Z9" s="124"/>
      <c r="AA9" s="328"/>
      <c r="AB9" s="331">
        <v>45979</v>
      </c>
      <c r="AC9" s="330"/>
      <c r="AD9" s="330"/>
      <c r="AE9" s="330"/>
      <c r="AF9" s="330"/>
      <c r="AG9" s="331"/>
      <c r="AH9" s="331"/>
      <c r="AI9" s="124">
        <f>SUM(J9:K9)-CI9+CJ9</f>
        <v>160.93759512937595</v>
      </c>
      <c r="AJ9" s="124">
        <f t="shared" si="12"/>
        <v>200.17191233942768</v>
      </c>
      <c r="AK9" s="124">
        <f t="shared" si="3"/>
        <v>159.5783050334916</v>
      </c>
      <c r="AL9" s="400">
        <f t="shared" si="4"/>
        <v>125.75029894521154</v>
      </c>
      <c r="AM9" s="394">
        <f t="shared" si="5"/>
        <v>140.30509346575948</v>
      </c>
      <c r="AN9" s="394">
        <f t="shared" si="6"/>
        <v>106.47708737747942</v>
      </c>
      <c r="AO9" s="394">
        <f t="shared" si="7"/>
        <v>85.877734326082816</v>
      </c>
      <c r="AP9" s="97">
        <f t="shared" si="8"/>
        <v>67.061541667488058</v>
      </c>
      <c r="AQ9" s="24">
        <f t="shared" si="9"/>
        <v>39.999136796864008</v>
      </c>
      <c r="AR9" s="124"/>
      <c r="AS9" s="41">
        <f>$H$9*月別販売比率!AG5</f>
        <v>33.828006088280063</v>
      </c>
      <c r="AT9" s="21"/>
      <c r="AU9" s="283">
        <f>$H$9*月別販売比率!AL5</f>
        <v>30.445205479452056</v>
      </c>
      <c r="AV9" s="241">
        <v>55</v>
      </c>
      <c r="AW9" s="283">
        <f>$H$9*月別販売比率!AQ5</f>
        <v>33.828006088280063</v>
      </c>
      <c r="AX9" s="241">
        <v>71</v>
      </c>
      <c r="AY9" s="283">
        <f>$H$9*月別販売比率!AV5</f>
        <v>20.599353051396612</v>
      </c>
      <c r="AZ9" s="241"/>
      <c r="BA9" s="283">
        <f>$H$9*月別販売比率!BA5</f>
        <v>18.816192658594762</v>
      </c>
      <c r="BB9" s="241">
        <v>65</v>
      </c>
      <c r="BC9" s="283">
        <f>$H$9*月別販売比率!BF5</f>
        <v>27.06240487062405</v>
      </c>
      <c r="BD9" s="241"/>
      <c r="BE9" s="41">
        <f>$H$9*月別販売比率!C21</f>
        <v>23.971963181880497</v>
      </c>
      <c r="BF9" s="21"/>
      <c r="BG9" s="283">
        <f>$H$9*月別販売比率!H21</f>
        <v>23.679604261796047</v>
      </c>
      <c r="BH9" s="241">
        <v>45</v>
      </c>
      <c r="BI9" s="283">
        <f>$H$9*月別販売比率!M21</f>
        <v>34.187830909790108</v>
      </c>
      <c r="BJ9" s="241">
        <v>45</v>
      </c>
      <c r="BK9" s="41">
        <f>$H$9*月別販売比率!R21</f>
        <v>27.06240487062405</v>
      </c>
      <c r="BL9" s="21"/>
      <c r="BM9" s="283">
        <f>$H$9*月別販売比率!W21</f>
        <v>25.765682789948279</v>
      </c>
      <c r="BN9" s="241">
        <v>10</v>
      </c>
      <c r="BO9" s="283">
        <f>$H$9*月別販売比率!AB21</f>
        <v>40.593607305936075</v>
      </c>
      <c r="BP9" s="241"/>
      <c r="BQ9" s="283">
        <f>$H$9*月別販売比率!AG21</f>
        <v>33.828006088280063</v>
      </c>
      <c r="BR9" s="241">
        <v>90</v>
      </c>
      <c r="BS9" s="283">
        <f>$H$9*月別販売比率!AL21</f>
        <v>30.445205479452056</v>
      </c>
      <c r="BT9" s="241">
        <v>48</v>
      </c>
      <c r="BU9" s="283">
        <f>$H$9*月別販売比率!AQ21</f>
        <v>33.828006088280063</v>
      </c>
      <c r="BV9" s="241">
        <v>25</v>
      </c>
      <c r="BW9" s="41">
        <f>$H$9*月別販売比率!AV21</f>
        <v>20.599353051396612</v>
      </c>
      <c r="BX9" s="21"/>
      <c r="BY9" s="283">
        <f>$H$9*月別販売比率!BA21</f>
        <v>18.816192658594762</v>
      </c>
      <c r="BZ9" s="241">
        <v>8</v>
      </c>
      <c r="CA9" s="41">
        <f>$H$9*月別販売比率!BF21</f>
        <v>27.06240487062405</v>
      </c>
      <c r="CB9" s="21"/>
      <c r="CC9" s="41">
        <f>H9*月別販売比率!$C$21</f>
        <v>23.971963181880497</v>
      </c>
      <c r="CD9" s="21"/>
      <c r="CE9" s="41">
        <f>H9*月別販売比率!$H$21</f>
        <v>23.679604261796047</v>
      </c>
      <c r="CF9" s="241">
        <v>100</v>
      </c>
      <c r="CG9" s="41">
        <f>$H$9*月別販売比率!M21</f>
        <v>34.187830909790108</v>
      </c>
      <c r="CH9" s="241">
        <v>65</v>
      </c>
      <c r="CI9" s="41">
        <f>H9*月別販売比率!$R$21</f>
        <v>27.06240487062405</v>
      </c>
      <c r="CJ9" s="21">
        <v>25</v>
      </c>
      <c r="CK9" s="41">
        <f>H9*月別販売比率!$W$21</f>
        <v>25.765682789948279</v>
      </c>
      <c r="CL9" s="21">
        <v>65</v>
      </c>
      <c r="CM9" s="41">
        <f>H9*月別販売比率!$AB$21</f>
        <v>40.593607305936075</v>
      </c>
      <c r="CN9" s="21"/>
      <c r="CO9" s="41">
        <f>H9*月別販売比率!$AG$21</f>
        <v>33.828006088280063</v>
      </c>
      <c r="CP9" s="21"/>
      <c r="CQ9" s="41">
        <f>H9*月別販売比率!$AL$21</f>
        <v>30.445205479452056</v>
      </c>
      <c r="CR9" s="21">
        <v>45</v>
      </c>
      <c r="CS9" s="41">
        <f>H9*月別販売比率!$AQ$21</f>
        <v>33.828006088280063</v>
      </c>
      <c r="CT9" s="21"/>
      <c r="CU9" s="41">
        <f>H9*月別販売比率!$AV$21</f>
        <v>20.599353051396612</v>
      </c>
      <c r="CV9" s="21"/>
      <c r="CW9" s="41">
        <f>H9*月別販売比率!$BA$21</f>
        <v>18.816192658594762</v>
      </c>
      <c r="CX9" s="21"/>
      <c r="CY9" s="41">
        <f>H9*月別販売比率!$BF$21</f>
        <v>27.06240487062405</v>
      </c>
      <c r="CZ9" s="21"/>
      <c r="DA9" s="28"/>
      <c r="DB9" s="294"/>
    </row>
    <row r="10" spans="2:106" ht="30.75" customHeight="1">
      <c r="C10" s="457"/>
      <c r="D10" s="441"/>
      <c r="E10" s="94" t="s">
        <v>49</v>
      </c>
      <c r="F10" s="57">
        <v>46</v>
      </c>
      <c r="G10" s="5">
        <f t="shared" si="10"/>
        <v>202400</v>
      </c>
      <c r="H10" s="45">
        <f t="shared" si="13"/>
        <v>122.52663622526637</v>
      </c>
      <c r="I10" s="5">
        <f t="shared" si="10"/>
        <v>539117.19939117203</v>
      </c>
      <c r="J10" s="9">
        <v>23</v>
      </c>
      <c r="K10" s="21">
        <f t="shared" si="11"/>
        <v>35</v>
      </c>
      <c r="L10" s="21">
        <v>10</v>
      </c>
      <c r="M10" s="21">
        <v>0</v>
      </c>
      <c r="N10" s="95">
        <v>25</v>
      </c>
      <c r="O10" s="19"/>
      <c r="P10" s="289">
        <v>45622</v>
      </c>
      <c r="Q10" s="330"/>
      <c r="R10" s="124"/>
      <c r="S10" s="124"/>
      <c r="T10" s="328"/>
      <c r="U10" s="328"/>
      <c r="V10" s="331">
        <v>45792</v>
      </c>
      <c r="W10" s="124"/>
      <c r="X10" s="124"/>
      <c r="Y10" s="331">
        <v>45884</v>
      </c>
      <c r="Z10" s="330"/>
      <c r="AA10" s="331"/>
      <c r="AB10" s="331"/>
      <c r="AC10" s="331">
        <v>46017</v>
      </c>
      <c r="AD10" s="331"/>
      <c r="AE10" s="331"/>
      <c r="AF10" s="331"/>
      <c r="AG10" s="331"/>
      <c r="AH10" s="331"/>
      <c r="AI10" s="129">
        <f t="shared" ref="AI10:AI26" si="14">SUM(J10:K10)-CI10+CJ10</f>
        <v>68.197869101978682</v>
      </c>
      <c r="AJ10" s="124">
        <f t="shared" si="12"/>
        <v>78.865417067824183</v>
      </c>
      <c r="AK10" s="124">
        <f t="shared" si="3"/>
        <v>64.16222072079222</v>
      </c>
      <c r="AL10" s="400">
        <f t="shared" si="4"/>
        <v>51.90955709826558</v>
      </c>
      <c r="AM10" s="394">
        <f t="shared" si="5"/>
        <v>60.882159837991608</v>
      </c>
      <c r="AN10" s="394">
        <f t="shared" si="6"/>
        <v>48.629496215464968</v>
      </c>
      <c r="AO10" s="394">
        <f t="shared" si="7"/>
        <v>41.168313220470921</v>
      </c>
      <c r="AP10" s="97">
        <f t="shared" si="8"/>
        <v>34.352999344129508</v>
      </c>
      <c r="AQ10" s="24">
        <f t="shared" si="9"/>
        <v>24.550868446108197</v>
      </c>
      <c r="AR10" s="124"/>
      <c r="AS10" s="41">
        <f>$H$10*月別販売比率!AG5</f>
        <v>12.252663622526638</v>
      </c>
      <c r="AT10" s="21"/>
      <c r="AU10" s="283">
        <f>$H$10*月別販売比率!AL5</f>
        <v>11.027397260273974</v>
      </c>
      <c r="AV10" s="241">
        <v>20</v>
      </c>
      <c r="AW10" s="283">
        <f>$H$10*月別販売比率!AQ5</f>
        <v>12.252663622526638</v>
      </c>
      <c r="AX10" s="241">
        <v>26</v>
      </c>
      <c r="AY10" s="283">
        <f>$H$10*月別販売比率!AV5</f>
        <v>7.4611829949940489</v>
      </c>
      <c r="AZ10" s="241"/>
      <c r="BA10" s="283">
        <f>$H$10*月別販売比率!BA5</f>
        <v>6.8153138763414107</v>
      </c>
      <c r="BB10" s="241">
        <v>20</v>
      </c>
      <c r="BC10" s="283">
        <f>$H$10*月別販売比率!BF5</f>
        <v>9.8021308980213107</v>
      </c>
      <c r="BD10" s="241"/>
      <c r="BE10" s="41">
        <f>$H$10*月別販売比率!C21</f>
        <v>8.6827583178464796</v>
      </c>
      <c r="BF10" s="21"/>
      <c r="BG10" s="283">
        <f>$H$10*月別販売比率!H21</f>
        <v>8.5768645357686477</v>
      </c>
      <c r="BH10" s="241">
        <v>20</v>
      </c>
      <c r="BI10" s="283">
        <f>$H$10*月別販売比率!M21</f>
        <v>12.382993872837364</v>
      </c>
      <c r="BJ10" s="241">
        <v>20</v>
      </c>
      <c r="BK10" s="41">
        <f>$H$10*月別販売比率!R21</f>
        <v>9.8021308980213107</v>
      </c>
      <c r="BL10" s="21"/>
      <c r="BM10" s="283">
        <f>$H$10*月別販売比率!W21</f>
        <v>9.3324520341544961</v>
      </c>
      <c r="BN10" s="241">
        <v>10</v>
      </c>
      <c r="BO10" s="283">
        <f>$H$10*月別販売比率!AB21</f>
        <v>14.703196347031964</v>
      </c>
      <c r="BP10" s="241">
        <v>35</v>
      </c>
      <c r="BQ10" s="283">
        <f>$H$10*月別販売比率!AG21</f>
        <v>12.252663622526638</v>
      </c>
      <c r="BR10" s="241"/>
      <c r="BS10" s="283">
        <f>$H$10*月別販売比率!AL21</f>
        <v>11.027397260273974</v>
      </c>
      <c r="BT10" s="241">
        <v>17</v>
      </c>
      <c r="BU10" s="283">
        <f>$H$10*月別販売比率!AQ21</f>
        <v>12.252663622526638</v>
      </c>
      <c r="BV10" s="241">
        <v>10</v>
      </c>
      <c r="BW10" s="41">
        <f>$H$10*月別販売比率!AV21</f>
        <v>7.4611829949940489</v>
      </c>
      <c r="BX10" s="21"/>
      <c r="BY10" s="283">
        <f>$H$10*月別販売比率!BA21</f>
        <v>6.8153138763414107</v>
      </c>
      <c r="BZ10" s="241">
        <v>23</v>
      </c>
      <c r="CA10" s="41">
        <f>$H$10*月別販売比率!BF21</f>
        <v>9.8021308980213107</v>
      </c>
      <c r="CB10" s="21"/>
      <c r="CC10" s="41">
        <f>H10*月別販売比率!$C$21</f>
        <v>8.6827583178464796</v>
      </c>
      <c r="CD10" s="21"/>
      <c r="CE10" s="41">
        <f>H10*月別販売比率!$H$21</f>
        <v>8.5768645357686477</v>
      </c>
      <c r="CF10" s="241">
        <v>30</v>
      </c>
      <c r="CG10" s="41">
        <f>$H$10*月別販売比率!M21</f>
        <v>12.382993872837364</v>
      </c>
      <c r="CH10" s="241">
        <v>25</v>
      </c>
      <c r="CI10" s="41">
        <f>H10*月別販売比率!$R$21</f>
        <v>9.8021308980213107</v>
      </c>
      <c r="CJ10" s="21">
        <v>20</v>
      </c>
      <c r="CK10" s="41">
        <f>H10*月別販売比率!$W$21</f>
        <v>9.3324520341544961</v>
      </c>
      <c r="CL10" s="21">
        <v>20</v>
      </c>
      <c r="CM10" s="41">
        <f>H10*月別販売比率!$AB$21</f>
        <v>14.703196347031964</v>
      </c>
      <c r="CN10" s="21"/>
      <c r="CO10" s="41">
        <f>H10*月別販売比率!$AG$21</f>
        <v>12.252663622526638</v>
      </c>
      <c r="CP10" s="21"/>
      <c r="CQ10" s="41">
        <f>H10*月別販売比率!$AL$21</f>
        <v>11.027397260273974</v>
      </c>
      <c r="CR10" s="21">
        <v>20</v>
      </c>
      <c r="CS10" s="41">
        <f>H10*月別販売比率!$AQ$21</f>
        <v>12.252663622526638</v>
      </c>
      <c r="CT10" s="21"/>
      <c r="CU10" s="41">
        <f>H10*月別販売比率!$AV$21</f>
        <v>7.4611829949940489</v>
      </c>
      <c r="CV10" s="21"/>
      <c r="CW10" s="41">
        <f>H10*月別販売比率!$BA$21</f>
        <v>6.8153138763414107</v>
      </c>
      <c r="CX10" s="21"/>
      <c r="CY10" s="41">
        <f>H10*月別販売比率!$BF$21</f>
        <v>9.8021308980213107</v>
      </c>
      <c r="CZ10" s="21"/>
      <c r="DA10" s="28"/>
      <c r="DB10" s="294"/>
    </row>
    <row r="11" spans="2:106" ht="30.75" customHeight="1">
      <c r="C11" s="457"/>
      <c r="D11" s="442"/>
      <c r="E11" s="94" t="s">
        <v>50</v>
      </c>
      <c r="F11" s="57">
        <v>30</v>
      </c>
      <c r="G11" s="5">
        <f t="shared" si="10"/>
        <v>132000</v>
      </c>
      <c r="H11" s="45">
        <f t="shared" si="13"/>
        <v>79.908675799086765</v>
      </c>
      <c r="I11" s="5">
        <f t="shared" si="10"/>
        <v>351598.17351598176</v>
      </c>
      <c r="J11" s="9">
        <v>0</v>
      </c>
      <c r="K11" s="21">
        <f t="shared" si="11"/>
        <v>31</v>
      </c>
      <c r="L11" s="21">
        <v>7</v>
      </c>
      <c r="M11" s="21">
        <v>0</v>
      </c>
      <c r="N11" s="95">
        <v>24</v>
      </c>
      <c r="O11" s="19"/>
      <c r="P11" s="19"/>
      <c r="Q11" s="330"/>
      <c r="R11" s="328"/>
      <c r="S11" s="331">
        <v>45707</v>
      </c>
      <c r="T11" s="124"/>
      <c r="U11" s="328"/>
      <c r="V11" s="331">
        <v>45792</v>
      </c>
      <c r="W11" s="124"/>
      <c r="X11" s="124"/>
      <c r="Y11" s="124"/>
      <c r="Z11" s="124"/>
      <c r="AA11" s="124"/>
      <c r="AB11" s="124"/>
      <c r="AC11" s="124"/>
      <c r="AD11" s="331"/>
      <c r="AE11" s="331"/>
      <c r="AF11" s="331"/>
      <c r="AG11" s="331"/>
      <c r="AH11" s="331"/>
      <c r="AI11" s="124">
        <f t="shared" si="14"/>
        <v>24.607305936073057</v>
      </c>
      <c r="AJ11" s="124">
        <f t="shared" si="12"/>
        <v>33.520924174667954</v>
      </c>
      <c r="AK11" s="124">
        <f t="shared" si="3"/>
        <v>23.931883078777542</v>
      </c>
      <c r="AL11" s="400">
        <f t="shared" si="4"/>
        <v>15.941015498868865</v>
      </c>
      <c r="AM11" s="394">
        <f t="shared" si="5"/>
        <v>23.749234676951055</v>
      </c>
      <c r="AN11" s="394">
        <f t="shared" si="6"/>
        <v>15.758367097042377</v>
      </c>
      <c r="AO11" s="394">
        <f t="shared" si="7"/>
        <v>10.892378187263649</v>
      </c>
      <c r="AP11" s="97">
        <f t="shared" si="8"/>
        <v>6.4476082679105549</v>
      </c>
      <c r="AQ11" s="24">
        <f t="shared" si="9"/>
        <v>5.4914203983613241E-2</v>
      </c>
      <c r="AR11" s="124"/>
      <c r="AS11" s="41">
        <f>$H$11*月別販売比率!AG5</f>
        <v>7.9908675799086772</v>
      </c>
      <c r="AT11" s="21"/>
      <c r="AU11" s="283">
        <f>$H$11*月別販売比率!AL5</f>
        <v>7.191780821917809</v>
      </c>
      <c r="AV11" s="241"/>
      <c r="AW11" s="283">
        <f>$H$11*月別販売比率!AQ5</f>
        <v>7.9908675799086772</v>
      </c>
      <c r="AX11" s="241"/>
      <c r="AY11" s="283">
        <f>$H$11*月別販売比率!AV5</f>
        <v>4.8659889097787277</v>
      </c>
      <c r="AZ11" s="241"/>
      <c r="BA11" s="283">
        <f>$H$11*月別販売比率!BA5</f>
        <v>4.4447699193530941</v>
      </c>
      <c r="BB11" s="241">
        <v>15</v>
      </c>
      <c r="BC11" s="283">
        <f>$H$11*月別販売比率!BF5</f>
        <v>6.3926940639269416</v>
      </c>
      <c r="BD11" s="241"/>
      <c r="BE11" s="41">
        <f>$H$11*月別販売比率!C21</f>
        <v>5.6626684681607475</v>
      </c>
      <c r="BF11" s="21"/>
      <c r="BG11" s="283">
        <f>$H$11*月別販売比率!H21</f>
        <v>5.5936073059360742</v>
      </c>
      <c r="BH11" s="241">
        <v>10</v>
      </c>
      <c r="BI11" s="283">
        <f>$H$11*月別販売比率!M21</f>
        <v>8.075865569241758</v>
      </c>
      <c r="BJ11" s="241">
        <v>10</v>
      </c>
      <c r="BK11" s="41">
        <f>$H$11*月別販売比率!R21</f>
        <v>6.3926940639269416</v>
      </c>
      <c r="BL11" s="21"/>
      <c r="BM11" s="283">
        <f>$H$11*月別販売比率!W21</f>
        <v>6.0863817614051055</v>
      </c>
      <c r="BN11" s="241">
        <v>10</v>
      </c>
      <c r="BO11" s="283">
        <f>$H$11*月別販売比率!AB21</f>
        <v>9.589041095890412</v>
      </c>
      <c r="BP11" s="241">
        <v>20</v>
      </c>
      <c r="BQ11" s="283">
        <f>$H$11*月別販売比率!AG21</f>
        <v>7.9908675799086772</v>
      </c>
      <c r="BR11" s="241"/>
      <c r="BS11" s="283">
        <f>$H$11*月別販売比率!AL21</f>
        <v>7.191780821917809</v>
      </c>
      <c r="BT11" s="241">
        <v>30</v>
      </c>
      <c r="BU11" s="283">
        <f>$H$11*月別販売比率!AQ21</f>
        <v>7.9908675799086772</v>
      </c>
      <c r="BV11" s="241">
        <v>5</v>
      </c>
      <c r="BW11" s="41">
        <f>$H$11*月別販売比率!AV21</f>
        <v>4.8659889097787277</v>
      </c>
      <c r="BX11" s="21"/>
      <c r="BY11" s="283">
        <f>$H$11*月別販売比率!BA21</f>
        <v>4.4447699193530941</v>
      </c>
      <c r="BZ11" s="241">
        <v>5</v>
      </c>
      <c r="CA11" s="41">
        <f>$H$11*月別販売比率!BF21</f>
        <v>6.3926940639269416</v>
      </c>
      <c r="CB11" s="21"/>
      <c r="CC11" s="41">
        <f>H11*月別販売比率!$C$21</f>
        <v>5.6626684681607475</v>
      </c>
      <c r="CD11" s="21"/>
      <c r="CE11" s="41">
        <f>H11*月別販売比率!$H$21</f>
        <v>5.5936073059360742</v>
      </c>
      <c r="CF11" s="241">
        <v>20</v>
      </c>
      <c r="CG11" s="41">
        <f>$H$11*月別販売比率!M21</f>
        <v>8.075865569241758</v>
      </c>
      <c r="CH11" s="241">
        <v>24</v>
      </c>
      <c r="CI11" s="41">
        <f>H11*月別販売比率!$R$21</f>
        <v>6.3926940639269416</v>
      </c>
      <c r="CJ11" s="21"/>
      <c r="CK11" s="41">
        <f>H11*月別販売比率!$W$21</f>
        <v>6.0863817614051055</v>
      </c>
      <c r="CL11" s="21">
        <v>15</v>
      </c>
      <c r="CM11" s="41">
        <f>H11*月別販売比率!$AB$21</f>
        <v>9.589041095890412</v>
      </c>
      <c r="CN11" s="21"/>
      <c r="CO11" s="41">
        <f>H11*月別販売比率!$AG$21</f>
        <v>7.9908675799086772</v>
      </c>
      <c r="CP11" s="21"/>
      <c r="CQ11" s="41">
        <f>H11*月別販売比率!$AL$21</f>
        <v>7.191780821917809</v>
      </c>
      <c r="CR11" s="21">
        <v>15</v>
      </c>
      <c r="CS11" s="41">
        <f>H11*月別販売比率!$AQ$21</f>
        <v>7.9908675799086772</v>
      </c>
      <c r="CT11" s="21"/>
      <c r="CU11" s="41">
        <f>H11*月別販売比率!$AV$21</f>
        <v>4.8659889097787277</v>
      </c>
      <c r="CV11" s="21"/>
      <c r="CW11" s="41">
        <f>H11*月別販売比率!$BA$21</f>
        <v>4.4447699193530941</v>
      </c>
      <c r="CX11" s="21"/>
      <c r="CY11" s="41">
        <f>H11*月別販売比率!$BF$21</f>
        <v>6.3926940639269416</v>
      </c>
      <c r="CZ11" s="21"/>
      <c r="DA11" s="28"/>
      <c r="DB11" s="294"/>
    </row>
    <row r="12" spans="2:106" ht="30.75" customHeight="1">
      <c r="C12" s="457"/>
      <c r="D12" s="443">
        <v>2</v>
      </c>
      <c r="E12" s="94" t="s">
        <v>46</v>
      </c>
      <c r="F12" s="57">
        <v>84</v>
      </c>
      <c r="G12" s="5">
        <f t="shared" si="10"/>
        <v>369600</v>
      </c>
      <c r="H12" s="45">
        <f t="shared" si="13"/>
        <v>223.74429223744295</v>
      </c>
      <c r="I12" s="5">
        <f t="shared" si="10"/>
        <v>984474.88584474893</v>
      </c>
      <c r="J12" s="9">
        <v>0</v>
      </c>
      <c r="K12" s="21">
        <f t="shared" si="11"/>
        <v>45</v>
      </c>
      <c r="L12" s="21">
        <v>0</v>
      </c>
      <c r="M12" s="21">
        <v>0</v>
      </c>
      <c r="N12" s="95">
        <v>45</v>
      </c>
      <c r="O12" s="19"/>
      <c r="P12" s="289">
        <v>45622</v>
      </c>
      <c r="Q12" s="331">
        <v>45646</v>
      </c>
      <c r="R12" s="124"/>
      <c r="S12" s="124"/>
      <c r="T12" s="124"/>
      <c r="U12" s="328"/>
      <c r="V12" s="331">
        <v>45792</v>
      </c>
      <c r="W12" s="328"/>
      <c r="X12" s="328"/>
      <c r="Y12" s="331">
        <v>45884</v>
      </c>
      <c r="Z12" s="330"/>
      <c r="AA12" s="331"/>
      <c r="AB12" s="331">
        <v>45979</v>
      </c>
      <c r="AC12" s="330"/>
      <c r="AD12" s="330"/>
      <c r="AE12" s="330"/>
      <c r="AF12" s="328"/>
      <c r="AG12" s="331"/>
      <c r="AH12" s="331"/>
      <c r="AI12" s="129">
        <f>SUM(J12:K12)-CI12+CJ12</f>
        <v>82.100456621004568</v>
      </c>
      <c r="AJ12" s="124">
        <f t="shared" si="12"/>
        <v>100.05858768907027</v>
      </c>
      <c r="AK12" s="124">
        <f t="shared" si="3"/>
        <v>73.20927262057711</v>
      </c>
      <c r="AL12" s="400">
        <f t="shared" si="4"/>
        <v>50.83484339683281</v>
      </c>
      <c r="AM12" s="394">
        <f t="shared" si="5"/>
        <v>65.69785709546295</v>
      </c>
      <c r="AN12" s="394">
        <f t="shared" si="6"/>
        <v>43.32342787171865</v>
      </c>
      <c r="AO12" s="394">
        <f t="shared" si="7"/>
        <v>29.698658924338211</v>
      </c>
      <c r="AP12" s="97">
        <f t="shared" si="8"/>
        <v>17.253303150149549</v>
      </c>
      <c r="AQ12" s="24">
        <f t="shared" si="9"/>
        <v>-0.64624022884588683</v>
      </c>
      <c r="AR12" s="124"/>
      <c r="AS12" s="41">
        <f>$H$12*月別販売比率!AG5</f>
        <v>22.374429223744297</v>
      </c>
      <c r="AT12" s="21"/>
      <c r="AU12" s="283">
        <f>$H$12*月別販売比率!AL5</f>
        <v>20.136986301369866</v>
      </c>
      <c r="AV12" s="241">
        <v>36</v>
      </c>
      <c r="AW12" s="283">
        <f>$H$12*月別販売比率!AQ5</f>
        <v>22.374429223744297</v>
      </c>
      <c r="AX12" s="241">
        <v>60</v>
      </c>
      <c r="AY12" s="283">
        <f>$H$12*月別販売比率!AV5</f>
        <v>13.624768947380439</v>
      </c>
      <c r="AZ12" s="241"/>
      <c r="BA12" s="283">
        <f>$H$12*月別販売比率!BA5</f>
        <v>12.445355774188663</v>
      </c>
      <c r="BB12" s="241">
        <v>35</v>
      </c>
      <c r="BC12" s="283">
        <f>$H$12*月別販売比率!BF5</f>
        <v>17.899543378995435</v>
      </c>
      <c r="BD12" s="241"/>
      <c r="BE12" s="41">
        <f>$H$12*月別販売比率!C21</f>
        <v>15.855471710850093</v>
      </c>
      <c r="BF12" s="21"/>
      <c r="BG12" s="283">
        <f>$H$12*月別販売比率!H21</f>
        <v>15.662100456621008</v>
      </c>
      <c r="BH12" s="241">
        <v>27</v>
      </c>
      <c r="BI12" s="283">
        <f>$H$12*月別販売比率!M21</f>
        <v>22.612423593876926</v>
      </c>
      <c r="BJ12" s="241">
        <v>20</v>
      </c>
      <c r="BK12" s="41">
        <f>$H$12*月別販売比率!R21</f>
        <v>17.899543378995435</v>
      </c>
      <c r="BL12" s="21"/>
      <c r="BM12" s="283">
        <f>$H$12*月別販売比率!W21</f>
        <v>17.041868931934296</v>
      </c>
      <c r="BN12" s="241">
        <v>35</v>
      </c>
      <c r="BO12" s="283">
        <f>$H$12*月別販売比率!AB21</f>
        <v>26.849315068493151</v>
      </c>
      <c r="BP12" s="241">
        <v>30</v>
      </c>
      <c r="BQ12" s="283">
        <f>$H$12*月別販売比率!AG21</f>
        <v>22.374429223744297</v>
      </c>
      <c r="BR12" s="241">
        <v>25</v>
      </c>
      <c r="BS12" s="283">
        <f>$H$12*月別販売比率!AL21</f>
        <v>20.136986301369866</v>
      </c>
      <c r="BT12" s="241">
        <v>75</v>
      </c>
      <c r="BU12" s="283">
        <f>$H$12*月別販売比率!AQ21</f>
        <v>22.374429223744297</v>
      </c>
      <c r="BV12" s="241">
        <v>35</v>
      </c>
      <c r="BW12" s="41">
        <f>$H$12*月別販売比率!AV21</f>
        <v>13.624768947380439</v>
      </c>
      <c r="BX12" s="21"/>
      <c r="BY12" s="283">
        <f>$H$12*月別販売比率!BA21</f>
        <v>12.445355774188663</v>
      </c>
      <c r="BZ12" s="241">
        <v>16</v>
      </c>
      <c r="CA12" s="41">
        <f>$H$12*月別販売比率!BF21</f>
        <v>17.899543378995435</v>
      </c>
      <c r="CB12" s="21"/>
      <c r="CC12" s="41">
        <f>H12*月別販売比率!$C$21</f>
        <v>15.855471710850093</v>
      </c>
      <c r="CD12" s="21"/>
      <c r="CE12" s="41">
        <f>H12*月別販売比率!$H$21</f>
        <v>15.662100456621008</v>
      </c>
      <c r="CF12" s="241">
        <v>30</v>
      </c>
      <c r="CG12" s="41">
        <f>$H$12*月別販売比率!M21</f>
        <v>22.612423593876926</v>
      </c>
      <c r="CH12" s="241">
        <v>45</v>
      </c>
      <c r="CI12" s="41">
        <f>H12*月別販売比率!$R$21</f>
        <v>17.899543378995435</v>
      </c>
      <c r="CJ12" s="21">
        <v>55</v>
      </c>
      <c r="CK12" s="41">
        <f>H12*月別販売比率!$W$21</f>
        <v>17.041868931934296</v>
      </c>
      <c r="CL12" s="21">
        <v>35</v>
      </c>
      <c r="CM12" s="41">
        <f>H12*月別販売比率!$AB$21</f>
        <v>26.849315068493151</v>
      </c>
      <c r="CN12" s="21"/>
      <c r="CO12" s="41">
        <f>H12*月別販売比率!$AG$21</f>
        <v>22.374429223744297</v>
      </c>
      <c r="CP12" s="21"/>
      <c r="CQ12" s="41">
        <f>H12*月別販売比率!$AL$21</f>
        <v>20.136986301369866</v>
      </c>
      <c r="CR12" s="21">
        <v>35</v>
      </c>
      <c r="CS12" s="41">
        <f>H12*月別販売比率!$AQ$21</f>
        <v>22.374429223744297</v>
      </c>
      <c r="CT12" s="21"/>
      <c r="CU12" s="41">
        <f>H12*月別販売比率!$AV$21</f>
        <v>13.624768947380439</v>
      </c>
      <c r="CV12" s="21"/>
      <c r="CW12" s="41">
        <f>H12*月別販売比率!$BA$21</f>
        <v>12.445355774188663</v>
      </c>
      <c r="CX12" s="21"/>
      <c r="CY12" s="41">
        <f>H12*月別販売比率!$BF$21</f>
        <v>17.899543378995435</v>
      </c>
      <c r="CZ12" s="21"/>
      <c r="DA12" s="28"/>
      <c r="DB12" s="294"/>
    </row>
    <row r="13" spans="2:106" ht="30.75" customHeight="1">
      <c r="C13" s="457"/>
      <c r="D13" s="441"/>
      <c r="E13" s="94" t="s">
        <v>47</v>
      </c>
      <c r="F13" s="57">
        <v>116</v>
      </c>
      <c r="G13" s="5">
        <f t="shared" si="10"/>
        <v>510400</v>
      </c>
      <c r="H13" s="45">
        <f t="shared" si="13"/>
        <v>308.98021308980213</v>
      </c>
      <c r="I13" s="5">
        <f t="shared" si="10"/>
        <v>1359512.9375951295</v>
      </c>
      <c r="J13" s="9">
        <v>0</v>
      </c>
      <c r="K13" s="21">
        <f t="shared" si="11"/>
        <v>29</v>
      </c>
      <c r="L13" s="21">
        <v>0</v>
      </c>
      <c r="M13" s="21">
        <v>0</v>
      </c>
      <c r="N13" s="95">
        <v>29</v>
      </c>
      <c r="O13" s="288"/>
      <c r="P13" s="289">
        <v>45622</v>
      </c>
      <c r="Q13" s="331">
        <v>45646</v>
      </c>
      <c r="R13" s="124"/>
      <c r="S13" s="124"/>
      <c r="T13" s="328"/>
      <c r="U13" s="328"/>
      <c r="V13" s="331">
        <v>45792</v>
      </c>
      <c r="W13" s="328"/>
      <c r="X13" s="328"/>
      <c r="Y13" s="331">
        <v>45884</v>
      </c>
      <c r="Z13" s="330"/>
      <c r="AA13" s="331"/>
      <c r="AB13" s="331">
        <v>45979</v>
      </c>
      <c r="AC13" s="331">
        <v>45662</v>
      </c>
      <c r="AD13" s="331"/>
      <c r="AE13" s="331"/>
      <c r="AF13" s="330"/>
      <c r="AG13" s="331"/>
      <c r="AH13" s="331"/>
      <c r="AI13" s="129">
        <f t="shared" si="14"/>
        <v>98.281582952815825</v>
      </c>
      <c r="AJ13" s="124">
        <f t="shared" si="12"/>
        <v>144.74757347538275</v>
      </c>
      <c r="AK13" s="124">
        <f t="shared" si="3"/>
        <v>107.66994790460649</v>
      </c>
      <c r="AL13" s="400">
        <f t="shared" si="4"/>
        <v>76.771926595626269</v>
      </c>
      <c r="AM13" s="394">
        <f t="shared" si="5"/>
        <v>81.963707417544072</v>
      </c>
      <c r="AN13" s="394">
        <f t="shared" si="6"/>
        <v>51.065686108563852</v>
      </c>
      <c r="AO13" s="394">
        <f t="shared" si="7"/>
        <v>32.25052899075277</v>
      </c>
      <c r="AP13" s="97">
        <f t="shared" si="8"/>
        <v>15.064085302587475</v>
      </c>
      <c r="AQ13" s="24">
        <f t="shared" si="9"/>
        <v>-9.6543317445966963</v>
      </c>
      <c r="AR13" s="124"/>
      <c r="AS13" s="41">
        <f>$H$13*月別販売比率!AG5</f>
        <v>30.898021308980216</v>
      </c>
      <c r="AT13" s="21"/>
      <c r="AU13" s="283">
        <f>$H$13*月別販売比率!AL5</f>
        <v>27.80821917808219</v>
      </c>
      <c r="AV13" s="241">
        <v>47</v>
      </c>
      <c r="AW13" s="283">
        <f>$H$13*月別販売比率!AQ5</f>
        <v>30.898021308980216</v>
      </c>
      <c r="AX13" s="241">
        <v>115</v>
      </c>
      <c r="AY13" s="283">
        <f>$H$13*月別販売比率!AV5</f>
        <v>18.815157117811079</v>
      </c>
      <c r="AZ13" s="241"/>
      <c r="BA13" s="283">
        <f>$H$13*月別販売比率!BA5</f>
        <v>17.186443688165294</v>
      </c>
      <c r="BB13" s="241">
        <v>40</v>
      </c>
      <c r="BC13" s="283">
        <f>$H$13*月別販売比率!BF5</f>
        <v>24.718417047184172</v>
      </c>
      <c r="BD13" s="241"/>
      <c r="BE13" s="41">
        <f>$H$13*月別販売比率!C21</f>
        <v>21.895651410221554</v>
      </c>
      <c r="BF13" s="21"/>
      <c r="BG13" s="283">
        <f>$H$13*月別販売比率!H21</f>
        <v>21.62861491628615</v>
      </c>
      <c r="BH13" s="241">
        <v>35</v>
      </c>
      <c r="BI13" s="283">
        <f>$H$13*月別販売比率!M21</f>
        <v>31.226680201068131</v>
      </c>
      <c r="BJ13" s="241">
        <v>25</v>
      </c>
      <c r="BK13" s="41">
        <f>$H$13*月別販売比率!R21</f>
        <v>24.718417047184172</v>
      </c>
      <c r="BL13" s="21"/>
      <c r="BM13" s="283">
        <f>$H$13*月別販売比率!W21</f>
        <v>23.534009477433074</v>
      </c>
      <c r="BN13" s="241">
        <v>80</v>
      </c>
      <c r="BO13" s="283">
        <f>$H$13*月別販売比率!AB21</f>
        <v>37.077625570776256</v>
      </c>
      <c r="BP13" s="241"/>
      <c r="BQ13" s="283">
        <f>$H$13*月別販売比率!AG21</f>
        <v>30.898021308980216</v>
      </c>
      <c r="BR13" s="241">
        <v>60</v>
      </c>
      <c r="BS13" s="283">
        <f>$H$13*月別販売比率!AL21</f>
        <v>27.80821917808219</v>
      </c>
      <c r="BT13" s="241">
        <v>30</v>
      </c>
      <c r="BU13" s="283">
        <f>$H$13*月別販売比率!AQ21</f>
        <v>30.898021308980216</v>
      </c>
      <c r="BV13" s="241">
        <v>45</v>
      </c>
      <c r="BW13" s="41">
        <f>$H$13*月別販売比率!AV21</f>
        <v>18.815157117811079</v>
      </c>
      <c r="BX13" s="21"/>
      <c r="BY13" s="283">
        <f>$H$13*月別販売比率!BA21</f>
        <v>17.186443688165294</v>
      </c>
      <c r="BZ13" s="241">
        <v>83</v>
      </c>
      <c r="CA13" s="41">
        <f>$H$13*月別販売比率!BF21</f>
        <v>24.718417047184172</v>
      </c>
      <c r="CB13" s="21"/>
      <c r="CC13" s="41">
        <f>H13*月別販売比率!$C$21</f>
        <v>21.895651410221554</v>
      </c>
      <c r="CD13" s="21"/>
      <c r="CE13" s="41">
        <f>H13*月別販売比率!$H$21</f>
        <v>21.62861491628615</v>
      </c>
      <c r="CF13" s="241">
        <v>30</v>
      </c>
      <c r="CG13" s="41">
        <f>$H$13*月別販売比率!M21</f>
        <v>31.226680201068131</v>
      </c>
      <c r="CH13" s="241">
        <v>29</v>
      </c>
      <c r="CI13" s="41">
        <f>H13*月別販売比率!$R$21</f>
        <v>24.718417047184172</v>
      </c>
      <c r="CJ13" s="21">
        <v>94</v>
      </c>
      <c r="CK13" s="41">
        <f>H13*月別販売比率!$W$21</f>
        <v>23.534009477433074</v>
      </c>
      <c r="CL13" s="21">
        <v>70</v>
      </c>
      <c r="CM13" s="41">
        <f>H13*月別販売比率!$AB$21</f>
        <v>37.077625570776256</v>
      </c>
      <c r="CN13" s="21"/>
      <c r="CO13" s="41">
        <f>H13*月別販売比率!$AG$21</f>
        <v>30.898021308980216</v>
      </c>
      <c r="CP13" s="21"/>
      <c r="CQ13" s="41">
        <f>H13*月別販売比率!$AL$21</f>
        <v>27.80821917808219</v>
      </c>
      <c r="CR13" s="21">
        <v>33</v>
      </c>
      <c r="CS13" s="41">
        <f>H13*月別販売比率!$AQ$21</f>
        <v>30.898021308980216</v>
      </c>
      <c r="CT13" s="21"/>
      <c r="CU13" s="41">
        <f>H13*月別販売比率!$AV$21</f>
        <v>18.815157117811079</v>
      </c>
      <c r="CV13" s="21"/>
      <c r="CW13" s="41">
        <f>H13*月別販売比率!$BA$21</f>
        <v>17.186443688165294</v>
      </c>
      <c r="CX13" s="21"/>
      <c r="CY13" s="41">
        <f>H13*月別販売比率!$BF$21</f>
        <v>24.718417047184172</v>
      </c>
      <c r="CZ13" s="21"/>
      <c r="DA13" s="28"/>
      <c r="DB13" s="294"/>
    </row>
    <row r="14" spans="2:106" ht="30.75" customHeight="1">
      <c r="C14" s="457"/>
      <c r="D14" s="441"/>
      <c r="E14" s="94" t="s">
        <v>51</v>
      </c>
      <c r="F14" s="57">
        <v>184</v>
      </c>
      <c r="G14" s="5">
        <f t="shared" si="10"/>
        <v>809600</v>
      </c>
      <c r="H14" s="45">
        <f t="shared" si="13"/>
        <v>490.10654490106549</v>
      </c>
      <c r="I14" s="5">
        <f t="shared" si="10"/>
        <v>2156468.7975646881</v>
      </c>
      <c r="J14" s="9">
        <v>0</v>
      </c>
      <c r="K14" s="21">
        <f t="shared" si="11"/>
        <v>33</v>
      </c>
      <c r="L14" s="21">
        <v>9</v>
      </c>
      <c r="M14" s="21">
        <v>2</v>
      </c>
      <c r="N14" s="95">
        <v>22</v>
      </c>
      <c r="O14" s="19"/>
      <c r="P14" s="289">
        <v>45622</v>
      </c>
      <c r="Q14" s="331">
        <v>45646</v>
      </c>
      <c r="R14" s="124"/>
      <c r="S14" s="124"/>
      <c r="T14" s="124"/>
      <c r="U14" s="124"/>
      <c r="V14" s="124"/>
      <c r="W14" s="124"/>
      <c r="X14" s="124"/>
      <c r="Y14" s="124"/>
      <c r="Z14" s="124"/>
      <c r="AA14" s="328"/>
      <c r="AB14" s="331">
        <v>45979</v>
      </c>
      <c r="AC14" s="330"/>
      <c r="AD14" s="330"/>
      <c r="AE14" s="330"/>
      <c r="AF14" s="330"/>
      <c r="AG14" s="330"/>
      <c r="AH14" s="331"/>
      <c r="AI14" s="129">
        <f t="shared" si="14"/>
        <v>143.79147640791476</v>
      </c>
      <c r="AJ14" s="124">
        <f t="shared" si="12"/>
        <v>196.46166827129679</v>
      </c>
      <c r="AK14" s="124">
        <f t="shared" si="3"/>
        <v>137.64888288316894</v>
      </c>
      <c r="AL14" s="400">
        <f t="shared" si="4"/>
        <v>88.638228393062377</v>
      </c>
      <c r="AM14" s="394">
        <f t="shared" si="5"/>
        <v>149.52863935196649</v>
      </c>
      <c r="AN14" s="394">
        <f t="shared" si="6"/>
        <v>100.51798486185993</v>
      </c>
      <c r="AO14" s="394">
        <f t="shared" si="7"/>
        <v>70.673252881883741</v>
      </c>
      <c r="AP14" s="97">
        <f t="shared" si="8"/>
        <v>43.411997376518102</v>
      </c>
      <c r="AQ14" s="24">
        <f t="shared" si="9"/>
        <v>4.2034737844328589</v>
      </c>
      <c r="AR14" s="124"/>
      <c r="AS14" s="41">
        <f>$H$14*月別販売比率!AG5</f>
        <v>49.010654490106553</v>
      </c>
      <c r="AT14" s="21"/>
      <c r="AU14" s="283">
        <f>$H$14*月別販売比率!AL5</f>
        <v>44.109589041095894</v>
      </c>
      <c r="AV14" s="241">
        <v>72</v>
      </c>
      <c r="AW14" s="283">
        <f>$H$14*月別販売比率!AQ5</f>
        <v>49.010654490106553</v>
      </c>
      <c r="AX14" s="241">
        <v>120</v>
      </c>
      <c r="AY14" s="283">
        <f>$H$14*月別販売比率!AV5</f>
        <v>29.844731979976196</v>
      </c>
      <c r="AZ14" s="241"/>
      <c r="BA14" s="283">
        <f>$H$14*月別販売比率!BA5</f>
        <v>27.261255505365643</v>
      </c>
      <c r="BB14" s="241">
        <v>90</v>
      </c>
      <c r="BC14" s="283">
        <f>$H$14*月別販売比率!BF5</f>
        <v>39.208523592085243</v>
      </c>
      <c r="BD14" s="241"/>
      <c r="BE14" s="41">
        <f>$H$14*月別販売比率!C21</f>
        <v>34.731033271385918</v>
      </c>
      <c r="BF14" s="21"/>
      <c r="BG14" s="283">
        <f>$H$14*月別販売比率!H21</f>
        <v>34.307458143074591</v>
      </c>
      <c r="BH14" s="241">
        <v>65</v>
      </c>
      <c r="BI14" s="283">
        <f>$H$14*月別販売比率!M21</f>
        <v>49.531975491349456</v>
      </c>
      <c r="BJ14" s="241">
        <v>55</v>
      </c>
      <c r="BK14" s="41">
        <f>$H$14*月別販売比率!R21</f>
        <v>39.208523592085243</v>
      </c>
      <c r="BL14" s="21"/>
      <c r="BM14" s="283">
        <f>$H$14*月別販売比率!W21</f>
        <v>37.329808136617984</v>
      </c>
      <c r="BN14" s="241">
        <v>20</v>
      </c>
      <c r="BO14" s="283">
        <f>$H$14*月別販売比率!AB21</f>
        <v>58.812785388127857</v>
      </c>
      <c r="BP14" s="241">
        <v>50</v>
      </c>
      <c r="BQ14" s="283">
        <f>$H$14*月別販売比率!AG21</f>
        <v>49.010654490106553</v>
      </c>
      <c r="BR14" s="241">
        <v>50</v>
      </c>
      <c r="BS14" s="283">
        <f>$H$14*月別販売比率!AL21</f>
        <v>44.109589041095894</v>
      </c>
      <c r="BT14" s="241">
        <v>124</v>
      </c>
      <c r="BU14" s="283">
        <f>$H$14*月別販売比率!AQ21</f>
        <v>49.010654490106553</v>
      </c>
      <c r="BV14" s="241">
        <v>105</v>
      </c>
      <c r="BW14" s="41">
        <f>$H$14*月別販売比率!AV21</f>
        <v>29.844731979976196</v>
      </c>
      <c r="BX14" s="21"/>
      <c r="BY14" s="283">
        <f>$H$14*月別販売比率!BA21</f>
        <v>27.261255505365643</v>
      </c>
      <c r="BZ14" s="241">
        <v>33</v>
      </c>
      <c r="CA14" s="41">
        <f>$H$14*月別販売比率!BF21</f>
        <v>39.208523592085243</v>
      </c>
      <c r="CB14" s="21"/>
      <c r="CC14" s="41">
        <f>H14*月別販売比率!$C$21</f>
        <v>34.731033271385918</v>
      </c>
      <c r="CD14" s="21"/>
      <c r="CE14" s="41">
        <f>H14*月別販売比率!$H$21</f>
        <v>34.307458143074591</v>
      </c>
      <c r="CF14" s="241">
        <v>70</v>
      </c>
      <c r="CG14" s="41">
        <f>$H$14*月別販売比率!M21</f>
        <v>49.531975491349456</v>
      </c>
      <c r="CH14" s="241">
        <v>22</v>
      </c>
      <c r="CI14" s="41">
        <f>H14*月別販売比率!$R$21</f>
        <v>39.208523592085243</v>
      </c>
      <c r="CJ14" s="21">
        <v>150</v>
      </c>
      <c r="CK14" s="41">
        <f>H14*月別販売比率!$W$21</f>
        <v>37.329808136617984</v>
      </c>
      <c r="CL14" s="21">
        <v>90</v>
      </c>
      <c r="CM14" s="41">
        <f>H14*月別販売比率!$AB$21</f>
        <v>58.812785388127857</v>
      </c>
      <c r="CN14" s="21"/>
      <c r="CO14" s="41">
        <f>H14*月別販売比率!$AG$21</f>
        <v>49.010654490106553</v>
      </c>
      <c r="CP14" s="21"/>
      <c r="CQ14" s="41">
        <f>H14*月別販売比率!$AL$21</f>
        <v>44.109589041095894</v>
      </c>
      <c r="CR14" s="21">
        <v>105</v>
      </c>
      <c r="CS14" s="41">
        <f>H14*月別販売比率!$AQ$21</f>
        <v>49.010654490106553</v>
      </c>
      <c r="CT14" s="21"/>
      <c r="CU14" s="41">
        <f>H14*月別販売比率!$AV$21</f>
        <v>29.844731979976196</v>
      </c>
      <c r="CV14" s="21"/>
      <c r="CW14" s="41">
        <f>H14*月別販売比率!$BA$21</f>
        <v>27.261255505365643</v>
      </c>
      <c r="CX14" s="21"/>
      <c r="CY14" s="41">
        <f>H14*月別販売比率!$BF$21</f>
        <v>39.208523592085243</v>
      </c>
      <c r="CZ14" s="21"/>
      <c r="DA14" s="28"/>
      <c r="DB14" s="294"/>
    </row>
    <row r="15" spans="2:106" ht="30.75" customHeight="1">
      <c r="C15" s="457"/>
      <c r="D15" s="441"/>
      <c r="E15" s="94" t="s">
        <v>49</v>
      </c>
      <c r="F15" s="57">
        <v>54</v>
      </c>
      <c r="G15" s="5">
        <f t="shared" si="10"/>
        <v>237600</v>
      </c>
      <c r="H15" s="45">
        <f t="shared" si="13"/>
        <v>143.83561643835617</v>
      </c>
      <c r="I15" s="5">
        <f t="shared" si="10"/>
        <v>632876.71232876717</v>
      </c>
      <c r="J15" s="9">
        <v>4</v>
      </c>
      <c r="K15" s="21">
        <f>SUM(L15:N15)</f>
        <v>27</v>
      </c>
      <c r="L15" s="21">
        <v>8</v>
      </c>
      <c r="M15" s="21">
        <v>4</v>
      </c>
      <c r="N15" s="95">
        <v>15</v>
      </c>
      <c r="O15" s="19"/>
      <c r="P15" s="288"/>
      <c r="Q15" s="331">
        <v>45646</v>
      </c>
      <c r="R15" s="124"/>
      <c r="S15" s="124"/>
      <c r="T15" s="124"/>
      <c r="U15" s="328"/>
      <c r="V15" s="331">
        <v>45792</v>
      </c>
      <c r="W15" s="124"/>
      <c r="X15" s="328"/>
      <c r="Y15" s="331">
        <v>45884</v>
      </c>
      <c r="Z15" s="330"/>
      <c r="AA15" s="331"/>
      <c r="AB15" s="331"/>
      <c r="AC15" s="331">
        <v>46017</v>
      </c>
      <c r="AD15" s="331"/>
      <c r="AE15" s="331"/>
      <c r="AF15" s="330"/>
      <c r="AG15" s="331"/>
      <c r="AH15" s="331"/>
      <c r="AI15" s="124">
        <f t="shared" si="14"/>
        <v>49.493150684931507</v>
      </c>
      <c r="AJ15" s="124">
        <f t="shared" si="12"/>
        <v>58.537663514402318</v>
      </c>
      <c r="AK15" s="124">
        <f t="shared" si="3"/>
        <v>41.277389541799579</v>
      </c>
      <c r="AL15" s="400">
        <f t="shared" si="4"/>
        <v>26.893827897963959</v>
      </c>
      <c r="AM15" s="394">
        <f t="shared" si="5"/>
        <v>43.948622418511903</v>
      </c>
      <c r="AN15" s="394">
        <f t="shared" si="6"/>
        <v>29.565060774676283</v>
      </c>
      <c r="AO15" s="394">
        <f t="shared" si="7"/>
        <v>20.806280737074573</v>
      </c>
      <c r="AP15" s="97">
        <f t="shared" si="8"/>
        <v>12.805694882239004</v>
      </c>
      <c r="AQ15" s="24">
        <f t="shared" si="9"/>
        <v>1.2988455671705115</v>
      </c>
      <c r="AR15" s="124"/>
      <c r="AS15" s="41">
        <f>$H$15*月別販売比率!AG5</f>
        <v>14.383561643835618</v>
      </c>
      <c r="AT15" s="21"/>
      <c r="AU15" s="283">
        <f>$H$15*月別販売比率!AL5</f>
        <v>12.945205479452055</v>
      </c>
      <c r="AV15" s="241">
        <v>11</v>
      </c>
      <c r="AW15" s="283">
        <f>$H$15*月別販売比率!AQ5</f>
        <v>14.383561643835618</v>
      </c>
      <c r="AX15" s="241">
        <v>30</v>
      </c>
      <c r="AY15" s="283">
        <f>$H$15*月別販売比率!AV5</f>
        <v>8.75878003760171</v>
      </c>
      <c r="AZ15" s="241"/>
      <c r="BA15" s="283">
        <f>$H$15*月別販売比率!BA5</f>
        <v>8.0005858548355686</v>
      </c>
      <c r="BB15" s="241">
        <v>20</v>
      </c>
      <c r="BC15" s="283">
        <f>$H$15*月別販売比率!BF5</f>
        <v>11.506849315068493</v>
      </c>
      <c r="BD15" s="241"/>
      <c r="BE15" s="41">
        <f>$H$15*月別販売比率!C21</f>
        <v>10.192803242689344</v>
      </c>
      <c r="BF15" s="21"/>
      <c r="BG15" s="283">
        <f>$H$15*月別販売比率!H21</f>
        <v>10.068493150684933</v>
      </c>
      <c r="BH15" s="241">
        <v>20</v>
      </c>
      <c r="BI15" s="283">
        <f>$H$15*月別販売比率!M21</f>
        <v>14.536558024635164</v>
      </c>
      <c r="BJ15" s="241">
        <v>25</v>
      </c>
      <c r="BK15" s="41">
        <f>$H$15*月別販売比率!R21</f>
        <v>11.506849315068493</v>
      </c>
      <c r="BL15" s="21"/>
      <c r="BM15" s="283">
        <f>$H$15*月別販売比率!W21</f>
        <v>10.955487170529191</v>
      </c>
      <c r="BN15" s="241">
        <v>20</v>
      </c>
      <c r="BO15" s="283">
        <f>$H$15*月別販売比率!AB21</f>
        <v>17.260273972602739</v>
      </c>
      <c r="BP15" s="241">
        <v>20</v>
      </c>
      <c r="BQ15" s="283">
        <f>$H$15*月別販売比率!AG21</f>
        <v>14.383561643835618</v>
      </c>
      <c r="BR15" s="241"/>
      <c r="BS15" s="283">
        <f>$H$15*月別販売比率!AL21</f>
        <v>12.945205479452055</v>
      </c>
      <c r="BT15" s="241">
        <v>39</v>
      </c>
      <c r="BU15" s="283">
        <f>$H$15*月別販売比率!AQ21</f>
        <v>14.383561643835618</v>
      </c>
      <c r="BV15" s="241">
        <v>10</v>
      </c>
      <c r="BW15" s="41">
        <f>$H$15*月別販売比率!AV21</f>
        <v>8.75878003760171</v>
      </c>
      <c r="BX15" s="21"/>
      <c r="BY15" s="283">
        <f>$H$15*月別販売比率!BA21</f>
        <v>8.0005858548355686</v>
      </c>
      <c r="BZ15" s="241">
        <v>40</v>
      </c>
      <c r="CA15" s="41">
        <f>$H$15*月別販売比率!BF21</f>
        <v>11.506849315068493</v>
      </c>
      <c r="CB15" s="21"/>
      <c r="CC15" s="41">
        <f>H15*月別販売比率!$C$21</f>
        <v>10.192803242689344</v>
      </c>
      <c r="CD15" s="21"/>
      <c r="CE15" s="41">
        <f>H15*月別販売比率!$H$21</f>
        <v>10.068493150684933</v>
      </c>
      <c r="CF15" s="241">
        <v>40</v>
      </c>
      <c r="CG15" s="41">
        <f>$H$15*月別販売比率!M21</f>
        <v>14.536558024635164</v>
      </c>
      <c r="CH15" s="241">
        <v>15</v>
      </c>
      <c r="CI15" s="41">
        <f>H15*月別販売比率!$R$21</f>
        <v>11.506849315068493</v>
      </c>
      <c r="CJ15" s="21">
        <v>30</v>
      </c>
      <c r="CK15" s="41">
        <f>H15*月別販売比率!$W$21</f>
        <v>10.955487170529191</v>
      </c>
      <c r="CL15" s="21">
        <v>20</v>
      </c>
      <c r="CM15" s="41">
        <f>H15*月別販売比率!$AB$21</f>
        <v>17.260273972602739</v>
      </c>
      <c r="CN15" s="21"/>
      <c r="CO15" s="41">
        <f>H15*月別販売比率!$AG$21</f>
        <v>14.383561643835618</v>
      </c>
      <c r="CP15" s="21"/>
      <c r="CQ15" s="41">
        <f>H15*月別販売比率!$AL$21</f>
        <v>12.945205479452055</v>
      </c>
      <c r="CR15" s="21">
        <v>30</v>
      </c>
      <c r="CS15" s="41">
        <f>H15*月別販売比率!$AQ$21</f>
        <v>14.383561643835618</v>
      </c>
      <c r="CT15" s="21"/>
      <c r="CU15" s="41">
        <f>H15*月別販売比率!$AV$21</f>
        <v>8.75878003760171</v>
      </c>
      <c r="CV15" s="21"/>
      <c r="CW15" s="41">
        <f>H15*月別販売比率!$BA$21</f>
        <v>8.0005858548355686</v>
      </c>
      <c r="CX15" s="21"/>
      <c r="CY15" s="41">
        <f>H15*月別販売比率!$BF$21</f>
        <v>11.506849315068493</v>
      </c>
      <c r="CZ15" s="21"/>
      <c r="DA15" s="28"/>
      <c r="DB15" s="294"/>
    </row>
    <row r="16" spans="2:106" ht="30.75" customHeight="1">
      <c r="C16" s="457"/>
      <c r="D16" s="442"/>
      <c r="E16" s="94" t="s">
        <v>50</v>
      </c>
      <c r="F16" s="57">
        <v>26</v>
      </c>
      <c r="G16" s="5">
        <f t="shared" si="10"/>
        <v>114400</v>
      </c>
      <c r="H16" s="45">
        <f t="shared" si="13"/>
        <v>69.254185692541867</v>
      </c>
      <c r="I16" s="5">
        <f t="shared" si="10"/>
        <v>304718.41704718419</v>
      </c>
      <c r="J16" s="9">
        <v>0</v>
      </c>
      <c r="K16" s="21">
        <f t="shared" si="11"/>
        <v>29</v>
      </c>
      <c r="L16" s="21">
        <v>6</v>
      </c>
      <c r="M16" s="21">
        <v>14</v>
      </c>
      <c r="N16" s="95">
        <v>9</v>
      </c>
      <c r="O16" s="19"/>
      <c r="P16" s="19"/>
      <c r="Q16" s="330"/>
      <c r="R16" s="124"/>
      <c r="S16" s="124"/>
      <c r="T16" s="124"/>
      <c r="U16" s="124"/>
      <c r="V16" s="124"/>
      <c r="W16" s="124"/>
      <c r="X16" s="124"/>
      <c r="Y16" s="124"/>
      <c r="Z16" s="124"/>
      <c r="AA16" s="124"/>
      <c r="AB16" s="124"/>
      <c r="AC16" s="331">
        <v>45662</v>
      </c>
      <c r="AD16" s="330"/>
      <c r="AE16" s="328"/>
      <c r="AF16" s="330"/>
      <c r="AG16" s="331"/>
      <c r="AH16" s="331"/>
      <c r="AI16" s="124">
        <f t="shared" si="14"/>
        <v>28.459665144596649</v>
      </c>
      <c r="AJ16" s="124">
        <f t="shared" si="12"/>
        <v>38.18480095137889</v>
      </c>
      <c r="AK16" s="124">
        <f t="shared" si="3"/>
        <v>29.874298668273866</v>
      </c>
      <c r="AL16" s="400">
        <f t="shared" si="4"/>
        <v>22.948880099019679</v>
      </c>
      <c r="AM16" s="394">
        <f t="shared" si="5"/>
        <v>31.716003386690911</v>
      </c>
      <c r="AN16" s="394">
        <f t="shared" si="6"/>
        <v>24.790584817436724</v>
      </c>
      <c r="AO16" s="394">
        <f t="shared" si="7"/>
        <v>20.573394428961826</v>
      </c>
      <c r="AP16" s="97">
        <f t="shared" si="8"/>
        <v>16.721260498855813</v>
      </c>
      <c r="AQ16" s="24">
        <f t="shared" si="9"/>
        <v>11.180925643452463</v>
      </c>
      <c r="AR16" s="124"/>
      <c r="AS16" s="41">
        <f>$H$16*月別販売比率!AG5</f>
        <v>6.9254185692541874</v>
      </c>
      <c r="AT16" s="21"/>
      <c r="AU16" s="283">
        <f>$H$16*月別販売比率!AL5</f>
        <v>6.2328767123287676</v>
      </c>
      <c r="AV16" s="241">
        <v>10</v>
      </c>
      <c r="AW16" s="283">
        <f>$H$16*月別販売比率!AQ5</f>
        <v>6.9254185692541874</v>
      </c>
      <c r="AX16" s="241"/>
      <c r="AY16" s="283">
        <f>$H$16*月別販売比率!AV5</f>
        <v>4.2171903884748971</v>
      </c>
      <c r="AZ16" s="241"/>
      <c r="BA16" s="283">
        <f>$H$16*月別販売比率!BA5</f>
        <v>3.8521339301060147</v>
      </c>
      <c r="BB16" s="241"/>
      <c r="BC16" s="283">
        <f>$H$16*月別販売比率!BF5</f>
        <v>5.5403348554033496</v>
      </c>
      <c r="BD16" s="241"/>
      <c r="BE16" s="41">
        <f>$H$16*月別販売比率!C21</f>
        <v>4.9076460057393145</v>
      </c>
      <c r="BF16" s="21"/>
      <c r="BG16" s="283">
        <f>$H$16*月別販売比率!H21</f>
        <v>4.8477929984779315</v>
      </c>
      <c r="BH16" s="241">
        <v>5</v>
      </c>
      <c r="BI16" s="283">
        <f>$H$16*月別販売比率!M21</f>
        <v>6.9990834933428578</v>
      </c>
      <c r="BJ16" s="241">
        <v>5</v>
      </c>
      <c r="BK16" s="41">
        <f>$H$16*月別販売比率!R21</f>
        <v>5.5403348554033496</v>
      </c>
      <c r="BL16" s="21"/>
      <c r="BM16" s="283">
        <f>$H$16*月別販売比率!W21</f>
        <v>5.2748641932177582</v>
      </c>
      <c r="BN16" s="241">
        <v>5</v>
      </c>
      <c r="BO16" s="283">
        <f>$H$16*月別販売比率!AB21</f>
        <v>8.3105022831050235</v>
      </c>
      <c r="BP16" s="241">
        <v>20</v>
      </c>
      <c r="BQ16" s="283">
        <f>$H$16*月別販売比率!AG21</f>
        <v>6.9254185692541874</v>
      </c>
      <c r="BR16" s="241"/>
      <c r="BS16" s="283">
        <f>$H$16*月別販売比率!AL21</f>
        <v>6.2328767123287676</v>
      </c>
      <c r="BT16" s="241">
        <v>15</v>
      </c>
      <c r="BU16" s="283">
        <f>$H$16*月別販売比率!AQ21</f>
        <v>6.9254185692541874</v>
      </c>
      <c r="BV16" s="241">
        <v>5</v>
      </c>
      <c r="BW16" s="41">
        <f>$H$16*月別販売比率!AV21</f>
        <v>4.2171903884748971</v>
      </c>
      <c r="BX16" s="21"/>
      <c r="BY16" s="283">
        <f>$H$16*月別販売比率!BA21</f>
        <v>3.8521339301060147</v>
      </c>
      <c r="BZ16" s="241">
        <v>5</v>
      </c>
      <c r="CA16" s="41">
        <f>$H$16*月別販売比率!BF21</f>
        <v>5.5403348554033496</v>
      </c>
      <c r="CB16" s="21"/>
      <c r="CC16" s="41">
        <f>H16*月別販売比率!$C$21</f>
        <v>4.9076460057393145</v>
      </c>
      <c r="CD16" s="21"/>
      <c r="CE16" s="41">
        <f>H16*月別販売比率!$H$21</f>
        <v>4.8477929984779315</v>
      </c>
      <c r="CF16" s="241">
        <v>20</v>
      </c>
      <c r="CG16" s="41">
        <f>$H$16*月別販売比率!M21</f>
        <v>6.9990834933428578</v>
      </c>
      <c r="CH16" s="241">
        <v>9</v>
      </c>
      <c r="CI16" s="41">
        <f>H16*月別販売比率!$R$21</f>
        <v>5.5403348554033496</v>
      </c>
      <c r="CJ16" s="21">
        <v>5</v>
      </c>
      <c r="CK16" s="41">
        <f>H16*月別販売比率!$W$21</f>
        <v>5.2748641932177582</v>
      </c>
      <c r="CL16" s="21">
        <v>15</v>
      </c>
      <c r="CM16" s="41">
        <f>H16*月別販売比率!$AB$21</f>
        <v>8.3105022831050235</v>
      </c>
      <c r="CN16" s="21"/>
      <c r="CO16" s="41">
        <f>H16*月別販売比率!$AG$21</f>
        <v>6.9254185692541874</v>
      </c>
      <c r="CP16" s="21"/>
      <c r="CQ16" s="41">
        <f>H16*月別販売比率!$AL$21</f>
        <v>6.2328767123287676</v>
      </c>
      <c r="CR16" s="21">
        <v>15</v>
      </c>
      <c r="CS16" s="41">
        <f>H16*月別販売比率!$AQ$21</f>
        <v>6.9254185692541874</v>
      </c>
      <c r="CT16" s="21"/>
      <c r="CU16" s="41">
        <f>H16*月別販売比率!$AV$21</f>
        <v>4.2171903884748971</v>
      </c>
      <c r="CV16" s="21"/>
      <c r="CW16" s="41">
        <f>H16*月別販売比率!$BA$21</f>
        <v>3.8521339301060147</v>
      </c>
      <c r="CX16" s="21"/>
      <c r="CY16" s="41">
        <f>H16*月別販売比率!$BF$21</f>
        <v>5.5403348554033496</v>
      </c>
      <c r="CZ16" s="21"/>
      <c r="DA16" s="28"/>
      <c r="DB16" s="294"/>
    </row>
    <row r="17" spans="2:106" ht="30.75" customHeight="1">
      <c r="B17" s="25"/>
      <c r="C17" s="457"/>
      <c r="D17" s="459" t="s">
        <v>500</v>
      </c>
      <c r="E17" s="246" t="s">
        <v>46</v>
      </c>
      <c r="F17" s="57">
        <v>25</v>
      </c>
      <c r="G17" s="5">
        <f t="shared" si="10"/>
        <v>110000</v>
      </c>
      <c r="H17" s="45">
        <f t="shared" si="13"/>
        <v>66.590563165905635</v>
      </c>
      <c r="I17" s="5">
        <f t="shared" si="10"/>
        <v>292998.4779299848</v>
      </c>
      <c r="J17" s="9">
        <v>0</v>
      </c>
      <c r="K17" s="21">
        <f t="shared" si="11"/>
        <v>34</v>
      </c>
      <c r="L17" s="21">
        <v>0</v>
      </c>
      <c r="M17" s="21">
        <v>0</v>
      </c>
      <c r="N17" s="95">
        <v>34</v>
      </c>
      <c r="O17" s="19"/>
      <c r="P17" s="288"/>
      <c r="Q17" s="331"/>
      <c r="R17" s="328"/>
      <c r="S17" s="331">
        <v>45707</v>
      </c>
      <c r="T17" s="124"/>
      <c r="U17" s="124"/>
      <c r="V17" s="124"/>
      <c r="W17" s="328"/>
      <c r="X17" s="328"/>
      <c r="Y17" s="331">
        <v>45884</v>
      </c>
      <c r="Z17" s="330"/>
      <c r="AA17" s="330"/>
      <c r="AB17" s="331">
        <v>45979</v>
      </c>
      <c r="AC17" s="330"/>
      <c r="AD17" s="330"/>
      <c r="AE17" s="328"/>
      <c r="AF17" s="328"/>
      <c r="AG17" s="331"/>
      <c r="AH17" s="331"/>
      <c r="AI17" s="129">
        <f t="shared" si="14"/>
        <v>28.672754946727551</v>
      </c>
      <c r="AJ17" s="124">
        <f t="shared" si="12"/>
        <v>23.600770145556631</v>
      </c>
      <c r="AK17" s="124">
        <f t="shared" si="3"/>
        <v>15.609902565647953</v>
      </c>
      <c r="AL17" s="400">
        <f t="shared" si="4"/>
        <v>8.9508462490573883</v>
      </c>
      <c r="AM17" s="394">
        <f t="shared" si="5"/>
        <v>2.9576955641258813</v>
      </c>
      <c r="AN17" s="394">
        <f t="shared" si="6"/>
        <v>-3.7013607524646828</v>
      </c>
      <c r="AO17" s="394">
        <f t="shared" si="7"/>
        <v>-7.756351510613622</v>
      </c>
      <c r="AP17" s="97">
        <f t="shared" si="8"/>
        <v>-11.460326443407867</v>
      </c>
      <c r="AQ17" s="24">
        <f t="shared" si="9"/>
        <v>-16.787571496680318</v>
      </c>
      <c r="AR17" s="124"/>
      <c r="AS17" s="41">
        <f>$H$17*月別販売比率!AG5</f>
        <v>6.6590563165905641</v>
      </c>
      <c r="AT17" s="21"/>
      <c r="AU17" s="283">
        <f>$H$17*月別販売比率!AL5</f>
        <v>5.993150684931507</v>
      </c>
      <c r="AV17" s="241"/>
      <c r="AW17" s="283">
        <f>$H$17*月別販売比率!AQ5</f>
        <v>6.6590563165905641</v>
      </c>
      <c r="AX17" s="241"/>
      <c r="AY17" s="283">
        <f>$H$17*月別販売比率!AV5</f>
        <v>4.0549907581489393</v>
      </c>
      <c r="AZ17" s="241"/>
      <c r="BA17" s="283">
        <f>$H$17*月別販売比率!BA5</f>
        <v>3.7039749327942446</v>
      </c>
      <c r="BB17" s="241">
        <v>40</v>
      </c>
      <c r="BC17" s="283">
        <f>$H$17*月別販売比率!BF5</f>
        <v>5.3272450532724509</v>
      </c>
      <c r="BD17" s="241"/>
      <c r="BE17" s="41">
        <f>$H$17*月別販売比率!C21</f>
        <v>4.7188903901339563</v>
      </c>
      <c r="BF17" s="21"/>
      <c r="BG17" s="283">
        <f>$H$17*月別販売比率!H21</f>
        <v>4.6613394216133948</v>
      </c>
      <c r="BH17" s="241"/>
      <c r="BI17" s="283">
        <f>$H$17*月別販売比率!M21</f>
        <v>6.7298879743681326</v>
      </c>
      <c r="BJ17" s="241"/>
      <c r="BK17" s="41">
        <f>$H$17*月別販売比率!R21</f>
        <v>5.3272450532724509</v>
      </c>
      <c r="BL17" s="21"/>
      <c r="BM17" s="283">
        <f>$H$17*月別販売比率!W21</f>
        <v>5.0719848011709212</v>
      </c>
      <c r="BN17" s="241">
        <v>15</v>
      </c>
      <c r="BO17" s="283">
        <f>$H$17*月別販売比率!AB21</f>
        <v>7.9908675799086764</v>
      </c>
      <c r="BP17" s="241">
        <v>15</v>
      </c>
      <c r="BQ17" s="283">
        <f>$H$17*月別販売比率!AG21</f>
        <v>6.6590563165905641</v>
      </c>
      <c r="BR17" s="241"/>
      <c r="BS17" s="283">
        <f>$H$17*月別販売比率!AL21</f>
        <v>5.993150684931507</v>
      </c>
      <c r="BT17" s="241">
        <v>20</v>
      </c>
      <c r="BU17" s="283">
        <f>$H$17*月別販売比率!AQ21</f>
        <v>6.6590563165905641</v>
      </c>
      <c r="BV17" s="241"/>
      <c r="BW17" s="41">
        <f>$H$17*月別販売比率!AV21</f>
        <v>4.0549907581489393</v>
      </c>
      <c r="BX17" s="21"/>
      <c r="BY17" s="283">
        <f>$H$17*月別販売比率!BA21</f>
        <v>3.7039749327942446</v>
      </c>
      <c r="BZ17" s="241"/>
      <c r="CA17" s="41">
        <f>$H$17*月別販売比率!BF21</f>
        <v>5.3272450532724509</v>
      </c>
      <c r="CB17" s="21"/>
      <c r="CC17" s="41">
        <f>H17*月別販売比率!$C$21</f>
        <v>4.7188903901339563</v>
      </c>
      <c r="CD17" s="21"/>
      <c r="CE17" s="41">
        <f>H17*月別販売比率!$H$21</f>
        <v>4.6613394216133948</v>
      </c>
      <c r="CF17" s="241"/>
      <c r="CG17" s="41">
        <f>$H$17*月別販売比率!M21</f>
        <v>6.7298879743681326</v>
      </c>
      <c r="CH17" s="241">
        <v>35</v>
      </c>
      <c r="CI17" s="41">
        <f>H17*月別販売比率!$R$21</f>
        <v>5.3272450532724509</v>
      </c>
      <c r="CJ17" s="21"/>
      <c r="CK17" s="41">
        <f>H17*月別販売比率!$W$21</f>
        <v>5.0719848011709212</v>
      </c>
      <c r="CL17" s="21"/>
      <c r="CM17" s="41">
        <f>H17*月別販売比率!$AB$21</f>
        <v>7.9908675799086764</v>
      </c>
      <c r="CN17" s="21"/>
      <c r="CO17" s="41">
        <f>H17*月別販売比率!$AG$21</f>
        <v>6.6590563165905641</v>
      </c>
      <c r="CP17" s="21"/>
      <c r="CQ17" s="41">
        <f>H17*月別販売比率!$AL$21</f>
        <v>5.993150684931507</v>
      </c>
      <c r="CR17" s="21"/>
      <c r="CS17" s="41">
        <f>H17*月別販売比率!$AQ$21</f>
        <v>6.6590563165905641</v>
      </c>
      <c r="CT17" s="21"/>
      <c r="CU17" s="41">
        <f>H17*月別販売比率!$AV$21</f>
        <v>4.0549907581489393</v>
      </c>
      <c r="CV17" s="21"/>
      <c r="CW17" s="41">
        <f>H17*月別販売比率!$BA$21</f>
        <v>3.7039749327942446</v>
      </c>
      <c r="CX17" s="21"/>
      <c r="CY17" s="41">
        <f>H17*月別販売比率!$BF$21</f>
        <v>5.3272450532724509</v>
      </c>
      <c r="CZ17" s="21"/>
      <c r="DA17" s="28"/>
      <c r="DB17" s="294"/>
    </row>
    <row r="18" spans="2:106" ht="30.75" customHeight="1">
      <c r="B18" s="25"/>
      <c r="C18" s="457"/>
      <c r="D18" s="460"/>
      <c r="E18" s="246" t="s">
        <v>47</v>
      </c>
      <c r="F18" s="57">
        <v>10</v>
      </c>
      <c r="G18" s="5">
        <f t="shared" si="10"/>
        <v>44000</v>
      </c>
      <c r="H18" s="45">
        <f t="shared" si="13"/>
        <v>26.636225266362253</v>
      </c>
      <c r="I18" s="5">
        <f t="shared" si="10"/>
        <v>117199.39117199391</v>
      </c>
      <c r="J18" s="9">
        <v>0</v>
      </c>
      <c r="K18" s="21">
        <f t="shared" si="11"/>
        <v>15</v>
      </c>
      <c r="L18" s="21">
        <v>0</v>
      </c>
      <c r="M18" s="21">
        <v>0</v>
      </c>
      <c r="N18" s="95">
        <v>15</v>
      </c>
      <c r="O18" s="288"/>
      <c r="P18" s="288"/>
      <c r="Q18" s="331"/>
      <c r="R18" s="328"/>
      <c r="S18" s="331">
        <v>45707</v>
      </c>
      <c r="T18" s="124"/>
      <c r="U18" s="124"/>
      <c r="V18" s="331">
        <v>45792</v>
      </c>
      <c r="W18" s="328"/>
      <c r="X18" s="328"/>
      <c r="Y18" s="331">
        <v>45884</v>
      </c>
      <c r="Z18" s="330"/>
      <c r="AA18" s="331"/>
      <c r="AB18" s="331">
        <v>45979</v>
      </c>
      <c r="AC18" s="330"/>
      <c r="AD18" s="331"/>
      <c r="AE18" s="331"/>
      <c r="AF18" s="331"/>
      <c r="AG18" s="331"/>
      <c r="AH18" s="331"/>
      <c r="AI18" s="129">
        <f t="shared" si="14"/>
        <v>12.86910197869102</v>
      </c>
      <c r="AJ18" s="124">
        <f t="shared" si="12"/>
        <v>10.840308058222652</v>
      </c>
      <c r="AK18" s="124">
        <f t="shared" si="3"/>
        <v>7.6439610262591815</v>
      </c>
      <c r="AL18" s="400">
        <f t="shared" si="4"/>
        <v>4.980338499622956</v>
      </c>
      <c r="AM18" s="394">
        <f t="shared" si="5"/>
        <v>2.5830782256503535</v>
      </c>
      <c r="AN18" s="394">
        <f t="shared" si="6"/>
        <v>-8.0544300985871953E-2</v>
      </c>
      <c r="AO18" s="394">
        <f t="shared" si="7"/>
        <v>-1.7025406042454476</v>
      </c>
      <c r="AP18" s="97">
        <f t="shared" si="8"/>
        <v>-3.1841305773631454</v>
      </c>
      <c r="AQ18" s="24">
        <f t="shared" si="9"/>
        <v>-5.3150285986721251</v>
      </c>
      <c r="AR18" s="124"/>
      <c r="AS18" s="41">
        <f>$H$18*月別販売比率!AG5</f>
        <v>2.6636225266362255</v>
      </c>
      <c r="AT18" s="21"/>
      <c r="AU18" s="283">
        <f>$H$18*月別販売比率!AL5</f>
        <v>2.3972602739726026</v>
      </c>
      <c r="AV18" s="241"/>
      <c r="AW18" s="283">
        <f>$H$18*月別販売比率!AQ5</f>
        <v>2.6636225266362255</v>
      </c>
      <c r="AX18" s="241"/>
      <c r="AY18" s="283">
        <f>$H$18*月別販売比率!AV5</f>
        <v>1.6219963032595757</v>
      </c>
      <c r="AZ18" s="241"/>
      <c r="BA18" s="283">
        <f>$H$18*月別販売比率!BA5</f>
        <v>1.4815899731176978</v>
      </c>
      <c r="BB18" s="241">
        <v>30</v>
      </c>
      <c r="BC18" s="283">
        <f>$H$18*月別販売比率!BF5</f>
        <v>2.1308980213089801</v>
      </c>
      <c r="BD18" s="241"/>
      <c r="BE18" s="41">
        <f>$H$18*月別販売比率!C21</f>
        <v>1.8875561560535823</v>
      </c>
      <c r="BF18" s="21"/>
      <c r="BG18" s="283">
        <f>$H$18*月別販売比率!H21</f>
        <v>1.8645357686453579</v>
      </c>
      <c r="BH18" s="241"/>
      <c r="BI18" s="283">
        <f>$H$18*月別販売比率!M21</f>
        <v>2.6919551897472527</v>
      </c>
      <c r="BJ18" s="241"/>
      <c r="BK18" s="41">
        <f>$H$18*月別販売比率!R21</f>
        <v>2.1308980213089801</v>
      </c>
      <c r="BL18" s="21"/>
      <c r="BM18" s="283">
        <f>$H$18*月別販売比率!W21</f>
        <v>2.0287939204683685</v>
      </c>
      <c r="BN18" s="241">
        <v>10</v>
      </c>
      <c r="BO18" s="283">
        <f>$H$18*月別販売比率!AB21</f>
        <v>3.1963470319634704</v>
      </c>
      <c r="BP18" s="241">
        <v>15</v>
      </c>
      <c r="BQ18" s="283">
        <f>$H$18*月別販売比率!AG21</f>
        <v>2.6636225266362255</v>
      </c>
      <c r="BR18" s="241"/>
      <c r="BS18" s="283">
        <f>$H$18*月別販売比率!AL21</f>
        <v>2.3972602739726026</v>
      </c>
      <c r="BT18" s="241">
        <v>25</v>
      </c>
      <c r="BU18" s="283">
        <f>$H$18*月別販売比率!AQ21</f>
        <v>2.6636225266362255</v>
      </c>
      <c r="BV18" s="241"/>
      <c r="BW18" s="41">
        <f>$H$18*月別販売比率!AV21</f>
        <v>1.6219963032595757</v>
      </c>
      <c r="BX18" s="21"/>
      <c r="BY18" s="283">
        <f>$H$18*月別販売比率!BA21</f>
        <v>1.4815899731176978</v>
      </c>
      <c r="BZ18" s="241"/>
      <c r="CA18" s="41">
        <f>$H$18*月別販売比率!BF21</f>
        <v>2.1308980213089801</v>
      </c>
      <c r="CB18" s="21"/>
      <c r="CC18" s="41">
        <f>H18*月別販売比率!$C$21</f>
        <v>1.8875561560535823</v>
      </c>
      <c r="CD18" s="21"/>
      <c r="CE18" s="41">
        <f>H18*月別販売比率!$H$21</f>
        <v>1.8645357686453579</v>
      </c>
      <c r="CF18" s="241"/>
      <c r="CG18" s="41">
        <f>$H$18*月別販売比率!M21</f>
        <v>2.6919551897472527</v>
      </c>
      <c r="CH18" s="241">
        <v>15</v>
      </c>
      <c r="CI18" s="41">
        <f>H18*月別販売比率!$R$21</f>
        <v>2.1308980213089801</v>
      </c>
      <c r="CJ18" s="21"/>
      <c r="CK18" s="41">
        <f>H18*月別販売比率!$W$21</f>
        <v>2.0287939204683685</v>
      </c>
      <c r="CL18" s="21"/>
      <c r="CM18" s="41">
        <f>H18*月別販売比率!$AB$21</f>
        <v>3.1963470319634704</v>
      </c>
      <c r="CN18" s="21"/>
      <c r="CO18" s="41">
        <f>H18*月別販売比率!$AG$21</f>
        <v>2.6636225266362255</v>
      </c>
      <c r="CP18" s="21"/>
      <c r="CQ18" s="41">
        <f>H18*月別販売比率!$AL$21</f>
        <v>2.3972602739726026</v>
      </c>
      <c r="CR18" s="21"/>
      <c r="CS18" s="41">
        <f>H18*月別販売比率!$AQ$21</f>
        <v>2.6636225266362255</v>
      </c>
      <c r="CT18" s="21"/>
      <c r="CU18" s="41">
        <f>H18*月別販売比率!$AV$21</f>
        <v>1.6219963032595757</v>
      </c>
      <c r="CV18" s="21"/>
      <c r="CW18" s="41">
        <f>H18*月別販売比率!$BA$21</f>
        <v>1.4815899731176978</v>
      </c>
      <c r="CX18" s="21"/>
      <c r="CY18" s="41">
        <f>H18*月別販売比率!$BF$21</f>
        <v>2.1308980213089801</v>
      </c>
      <c r="CZ18" s="21"/>
      <c r="DA18" s="28"/>
      <c r="DB18" s="294"/>
    </row>
    <row r="19" spans="2:106" ht="30.75" customHeight="1">
      <c r="B19" s="25"/>
      <c r="C19" s="457"/>
      <c r="D19" s="460"/>
      <c r="E19" s="246" t="s">
        <v>51</v>
      </c>
      <c r="F19" s="57">
        <v>15</v>
      </c>
      <c r="G19" s="5">
        <f t="shared" si="10"/>
        <v>66000</v>
      </c>
      <c r="H19" s="45">
        <f t="shared" si="13"/>
        <v>39.954337899543383</v>
      </c>
      <c r="I19" s="5">
        <f t="shared" si="10"/>
        <v>175799.08675799088</v>
      </c>
      <c r="J19" s="9">
        <v>0</v>
      </c>
      <c r="K19" s="21">
        <f t="shared" si="11"/>
        <v>20</v>
      </c>
      <c r="L19" s="21">
        <v>0</v>
      </c>
      <c r="M19" s="21">
        <v>0</v>
      </c>
      <c r="N19" s="95">
        <v>20</v>
      </c>
      <c r="O19" s="288"/>
      <c r="P19" s="288"/>
      <c r="Q19" s="331"/>
      <c r="R19" s="328"/>
      <c r="S19" s="331">
        <v>45707</v>
      </c>
      <c r="T19" s="124"/>
      <c r="U19" s="124"/>
      <c r="V19" s="124"/>
      <c r="W19" s="328"/>
      <c r="X19" s="328"/>
      <c r="Y19" s="331">
        <v>45884</v>
      </c>
      <c r="Z19" s="330"/>
      <c r="AA19" s="330"/>
      <c r="AB19" s="331">
        <v>45979</v>
      </c>
      <c r="AC19" s="330"/>
      <c r="AD19" s="331"/>
      <c r="AE19" s="331"/>
      <c r="AF19" s="331"/>
      <c r="AG19" s="331"/>
      <c r="AH19" s="331"/>
      <c r="AI19" s="129">
        <f t="shared" si="14"/>
        <v>16.803652968036531</v>
      </c>
      <c r="AJ19" s="124">
        <f t="shared" si="12"/>
        <v>13.760462087333977</v>
      </c>
      <c r="AK19" s="124">
        <f t="shared" si="3"/>
        <v>8.9659415393887709</v>
      </c>
      <c r="AL19" s="400">
        <f t="shared" si="4"/>
        <v>4.9705077494344323</v>
      </c>
      <c r="AM19" s="394">
        <f t="shared" si="5"/>
        <v>1.3746173384755278</v>
      </c>
      <c r="AN19" s="394">
        <f t="shared" si="6"/>
        <v>-2.6208164514788108</v>
      </c>
      <c r="AO19" s="394">
        <f t="shared" si="7"/>
        <v>-5.0538109063681746</v>
      </c>
      <c r="AP19" s="97">
        <f t="shared" si="8"/>
        <v>-7.2761958660447217</v>
      </c>
      <c r="AQ19" s="24">
        <f t="shared" si="9"/>
        <v>-10.472542898008193</v>
      </c>
      <c r="AR19" s="124"/>
      <c r="AS19" s="41">
        <f>$H$19*月別販売比率!AG5</f>
        <v>3.9954337899543386</v>
      </c>
      <c r="AT19" s="21"/>
      <c r="AU19" s="283">
        <f>$H$19*月別販売比率!AL5</f>
        <v>3.5958904109589045</v>
      </c>
      <c r="AV19" s="241"/>
      <c r="AW19" s="283">
        <f>$H$19*月別販売比率!AQ5</f>
        <v>3.9954337899543386</v>
      </c>
      <c r="AX19" s="241"/>
      <c r="AY19" s="283">
        <f>$H$19*月別販売比率!AV5</f>
        <v>2.4329944548893638</v>
      </c>
      <c r="AZ19" s="241"/>
      <c r="BA19" s="283">
        <f>$H$19*月別販売比率!BA5</f>
        <v>2.222384959676547</v>
      </c>
      <c r="BB19" s="241">
        <v>30</v>
      </c>
      <c r="BC19" s="283">
        <f>$H$19*月別販売比率!BF5</f>
        <v>3.1963470319634708</v>
      </c>
      <c r="BD19" s="241"/>
      <c r="BE19" s="41">
        <f>$H$19*月別販売比率!C21</f>
        <v>2.8313342340803738</v>
      </c>
      <c r="BF19" s="21"/>
      <c r="BG19" s="283">
        <f>$H$19*月別販売比率!H21</f>
        <v>2.7968036529680371</v>
      </c>
      <c r="BH19" s="241"/>
      <c r="BI19" s="283">
        <f>$H$19*月別販売比率!M21</f>
        <v>4.037932784620879</v>
      </c>
      <c r="BJ19" s="241"/>
      <c r="BK19" s="41">
        <f>$H$19*月別販売比率!R21</f>
        <v>3.1963470319634708</v>
      </c>
      <c r="BL19" s="21"/>
      <c r="BM19" s="283">
        <f>$H$19*月別販売比率!W21</f>
        <v>3.0431908807025527</v>
      </c>
      <c r="BN19" s="241">
        <v>20</v>
      </c>
      <c r="BO19" s="283">
        <f>$H$19*月別販売比率!AB21</f>
        <v>4.794520547945206</v>
      </c>
      <c r="BP19" s="241">
        <v>10</v>
      </c>
      <c r="BQ19" s="283">
        <f>$H$19*月別販売比率!AG21</f>
        <v>3.9954337899543386</v>
      </c>
      <c r="BR19" s="241"/>
      <c r="BS19" s="283">
        <f>$H$19*月別販売比率!AL21</f>
        <v>3.5958904109589045</v>
      </c>
      <c r="BT19" s="241">
        <v>25</v>
      </c>
      <c r="BU19" s="283">
        <f>$H$19*月別販売比率!AQ21</f>
        <v>3.9954337899543386</v>
      </c>
      <c r="BV19" s="241"/>
      <c r="BW19" s="41">
        <f>$H$19*月別販売比率!AV21</f>
        <v>2.4329944548893638</v>
      </c>
      <c r="BX19" s="21"/>
      <c r="BY19" s="283">
        <f>$H$19*月別販売比率!BA21</f>
        <v>2.222384959676547</v>
      </c>
      <c r="BZ19" s="241"/>
      <c r="CA19" s="41">
        <f>$H$19*月別販売比率!BF21</f>
        <v>3.1963470319634708</v>
      </c>
      <c r="CB19" s="21"/>
      <c r="CC19" s="41">
        <f>H19*月別販売比率!$C$21</f>
        <v>2.8313342340803738</v>
      </c>
      <c r="CD19" s="21"/>
      <c r="CE19" s="41">
        <f>H19*月別販売比率!$H$21</f>
        <v>2.7968036529680371</v>
      </c>
      <c r="CF19" s="241"/>
      <c r="CG19" s="41">
        <f>$H$19*月別販売比率!M21</f>
        <v>4.037932784620879</v>
      </c>
      <c r="CH19" s="241">
        <v>20</v>
      </c>
      <c r="CI19" s="41">
        <f>H19*月別販売比率!$R$21</f>
        <v>3.1963470319634708</v>
      </c>
      <c r="CJ19" s="21"/>
      <c r="CK19" s="41">
        <f>H19*月別販売比率!$W$21</f>
        <v>3.0431908807025527</v>
      </c>
      <c r="CL19" s="21"/>
      <c r="CM19" s="41">
        <f>H19*月別販売比率!$AB$21</f>
        <v>4.794520547945206</v>
      </c>
      <c r="CN19" s="21"/>
      <c r="CO19" s="41">
        <f>H19*月別販売比率!$AG$21</f>
        <v>3.9954337899543386</v>
      </c>
      <c r="CP19" s="21"/>
      <c r="CQ19" s="41">
        <f>H19*月別販売比率!$AL$21</f>
        <v>3.5958904109589045</v>
      </c>
      <c r="CR19" s="21"/>
      <c r="CS19" s="41">
        <f>H19*月別販売比率!$AQ$21</f>
        <v>3.9954337899543386</v>
      </c>
      <c r="CT19" s="21"/>
      <c r="CU19" s="41">
        <f>H19*月別販売比率!$AV$21</f>
        <v>2.4329944548893638</v>
      </c>
      <c r="CV19" s="21"/>
      <c r="CW19" s="41">
        <f>H19*月別販売比率!$BA$21</f>
        <v>2.222384959676547</v>
      </c>
      <c r="CX19" s="21"/>
      <c r="CY19" s="41">
        <f>H19*月別販売比率!$BF$21</f>
        <v>3.1963470319634708</v>
      </c>
      <c r="CZ19" s="21"/>
      <c r="DA19" s="28"/>
      <c r="DB19" s="294"/>
    </row>
    <row r="20" spans="2:106" ht="30.75" customHeight="1">
      <c r="B20" s="25"/>
      <c r="C20" s="457"/>
      <c r="D20" s="460"/>
      <c r="E20" s="246" t="s">
        <v>49</v>
      </c>
      <c r="F20" s="57">
        <v>29</v>
      </c>
      <c r="G20" s="5">
        <f t="shared" si="10"/>
        <v>127600</v>
      </c>
      <c r="H20" s="45">
        <f t="shared" si="13"/>
        <v>77.245053272450534</v>
      </c>
      <c r="I20" s="5">
        <f t="shared" si="10"/>
        <v>339878.23439878237</v>
      </c>
      <c r="J20" s="9">
        <v>0</v>
      </c>
      <c r="K20" s="21">
        <f t="shared" si="11"/>
        <v>33</v>
      </c>
      <c r="L20" s="21">
        <v>4</v>
      </c>
      <c r="M20" s="21">
        <v>0</v>
      </c>
      <c r="N20" s="95">
        <v>29</v>
      </c>
      <c r="O20" s="288"/>
      <c r="P20" s="288"/>
      <c r="Q20" s="331"/>
      <c r="R20" s="328"/>
      <c r="S20" s="331">
        <v>45707</v>
      </c>
      <c r="T20" s="124"/>
      <c r="U20" s="124"/>
      <c r="V20" s="124"/>
      <c r="W20" s="124"/>
      <c r="X20" s="124"/>
      <c r="Y20" s="124"/>
      <c r="Z20" s="124"/>
      <c r="AA20" s="124"/>
      <c r="AB20" s="124"/>
      <c r="AC20" s="124"/>
      <c r="AD20" s="124"/>
      <c r="AE20" s="124"/>
      <c r="AF20" s="124"/>
      <c r="AG20" s="124"/>
      <c r="AH20" s="328"/>
      <c r="AI20" s="129">
        <f t="shared" si="14"/>
        <v>26.820395738203956</v>
      </c>
      <c r="AJ20" s="124">
        <f t="shared" si="12"/>
        <v>20.936893368845688</v>
      </c>
      <c r="AK20" s="124">
        <f t="shared" si="3"/>
        <v>11.667486976151624</v>
      </c>
      <c r="AL20" s="400">
        <f t="shared" si="4"/>
        <v>3.9429816489065699</v>
      </c>
      <c r="AM20" s="394">
        <f t="shared" si="5"/>
        <v>-3.0090731456139777</v>
      </c>
      <c r="AN20" s="394">
        <f t="shared" si="6"/>
        <v>-10.733578472859032</v>
      </c>
      <c r="AO20" s="394">
        <f t="shared" si="7"/>
        <v>-15.4373677523118</v>
      </c>
      <c r="AP20" s="97">
        <f t="shared" si="8"/>
        <v>-19.733978674353125</v>
      </c>
      <c r="AQ20" s="24">
        <f t="shared" si="9"/>
        <v>-25.913582936149169</v>
      </c>
      <c r="AR20" s="124"/>
      <c r="AS20" s="41">
        <f>$H$20*月別販売比率!AG5</f>
        <v>7.7245053272450539</v>
      </c>
      <c r="AT20" s="21"/>
      <c r="AU20" s="283">
        <f>$H$20*月別販売比率!AL5</f>
        <v>6.9520547945205475</v>
      </c>
      <c r="AV20" s="241"/>
      <c r="AW20" s="283">
        <f>$H$20*月別販売比率!AQ5</f>
        <v>7.7245053272450539</v>
      </c>
      <c r="AX20" s="241"/>
      <c r="AY20" s="283">
        <f>$H$20*月別販売比率!AV5</f>
        <v>4.7037892794527698</v>
      </c>
      <c r="AZ20" s="241"/>
      <c r="BA20" s="283">
        <f>$H$20*月別販売比率!BA5</f>
        <v>4.2966109220413236</v>
      </c>
      <c r="BB20" s="241">
        <v>40</v>
      </c>
      <c r="BC20" s="283">
        <f>$H$20*月別販売比率!BF5</f>
        <v>6.1796042617960429</v>
      </c>
      <c r="BD20" s="241"/>
      <c r="BE20" s="41">
        <f>$H$20*月別販売比率!C21</f>
        <v>5.4739128525553884</v>
      </c>
      <c r="BF20" s="21"/>
      <c r="BG20" s="283">
        <f>$H$20*月別販売比率!H21</f>
        <v>5.4071537290715375</v>
      </c>
      <c r="BH20" s="241"/>
      <c r="BI20" s="283">
        <f>$H$20*月別販売比率!M21</f>
        <v>7.8066700502670328</v>
      </c>
      <c r="BJ20" s="241"/>
      <c r="BK20" s="41">
        <f>$H$20*月別販売比率!R21</f>
        <v>6.1796042617960429</v>
      </c>
      <c r="BL20" s="21"/>
      <c r="BM20" s="283">
        <f>$H$20*月別販売比率!W21</f>
        <v>5.8835023693582684</v>
      </c>
      <c r="BN20" s="241">
        <v>55</v>
      </c>
      <c r="BO20" s="283">
        <f>$H$20*月別販売比率!AB21</f>
        <v>9.269406392694064</v>
      </c>
      <c r="BP20" s="241">
        <v>5</v>
      </c>
      <c r="BQ20" s="283">
        <f>$H$20*月別販売比率!AG21</f>
        <v>7.7245053272450539</v>
      </c>
      <c r="BR20" s="241"/>
      <c r="BS20" s="283">
        <f>$H$20*月別販売比率!AL21</f>
        <v>6.9520547945205475</v>
      </c>
      <c r="BT20" s="241">
        <v>10</v>
      </c>
      <c r="BU20" s="283">
        <f>$H$20*月別販売比率!AQ21</f>
        <v>7.7245053272450539</v>
      </c>
      <c r="BV20" s="241"/>
      <c r="BW20" s="41">
        <f>$H$20*月別販売比率!AV21</f>
        <v>4.7037892794527698</v>
      </c>
      <c r="BX20" s="21"/>
      <c r="BY20" s="283">
        <f>$H$20*月別販売比率!BA21</f>
        <v>4.2966109220413236</v>
      </c>
      <c r="BZ20" s="241"/>
      <c r="CA20" s="41">
        <f>$H$20*月別販売比率!BF21</f>
        <v>6.1796042617960429</v>
      </c>
      <c r="CB20" s="21"/>
      <c r="CC20" s="41">
        <f>H20*月別販売比率!$C$21</f>
        <v>5.4739128525553884</v>
      </c>
      <c r="CD20" s="21"/>
      <c r="CE20" s="41">
        <f>H20*月別販売比率!$H$21</f>
        <v>5.4071537290715375</v>
      </c>
      <c r="CF20" s="241"/>
      <c r="CG20" s="41">
        <f>$H$20*月別販売比率!M21</f>
        <v>7.8066700502670328</v>
      </c>
      <c r="CH20" s="241">
        <v>30</v>
      </c>
      <c r="CI20" s="41">
        <f>H20*月別販売比率!$R$21</f>
        <v>6.1796042617960429</v>
      </c>
      <c r="CJ20" s="21"/>
      <c r="CK20" s="41">
        <f>H20*月別販売比率!$W$21</f>
        <v>5.8835023693582684</v>
      </c>
      <c r="CL20" s="21"/>
      <c r="CM20" s="41">
        <f>H20*月別販売比率!$AB$21</f>
        <v>9.269406392694064</v>
      </c>
      <c r="CN20" s="21"/>
      <c r="CO20" s="41">
        <f>H20*月別販売比率!$AG$21</f>
        <v>7.7245053272450539</v>
      </c>
      <c r="CP20" s="21"/>
      <c r="CQ20" s="41">
        <f>H20*月別販売比率!$AL$21</f>
        <v>6.9520547945205475</v>
      </c>
      <c r="CR20" s="21"/>
      <c r="CS20" s="41">
        <f>H20*月別販売比率!$AQ$21</f>
        <v>7.7245053272450539</v>
      </c>
      <c r="CT20" s="21"/>
      <c r="CU20" s="41">
        <f>H20*月別販売比率!$AV$21</f>
        <v>4.7037892794527698</v>
      </c>
      <c r="CV20" s="21"/>
      <c r="CW20" s="41">
        <f>H20*月別販売比率!$BA$21</f>
        <v>4.2966109220413236</v>
      </c>
      <c r="CX20" s="21"/>
      <c r="CY20" s="41">
        <f>H20*月別販売比率!$BF$21</f>
        <v>6.1796042617960429</v>
      </c>
      <c r="CZ20" s="21"/>
      <c r="DA20" s="28"/>
      <c r="DB20" s="294"/>
    </row>
    <row r="21" spans="2:106" ht="30.75" customHeight="1">
      <c r="B21" s="25"/>
      <c r="C21" s="457"/>
      <c r="D21" s="461"/>
      <c r="E21" s="246" t="s">
        <v>50</v>
      </c>
      <c r="F21" s="57">
        <v>18</v>
      </c>
      <c r="G21" s="5">
        <f t="shared" si="10"/>
        <v>79200</v>
      </c>
      <c r="H21" s="45">
        <f t="shared" si="13"/>
        <v>47.945205479452056</v>
      </c>
      <c r="I21" s="5">
        <f t="shared" si="10"/>
        <v>210958.90410958906</v>
      </c>
      <c r="J21" s="9">
        <v>0</v>
      </c>
      <c r="K21" s="21">
        <f t="shared" si="11"/>
        <v>13</v>
      </c>
      <c r="L21" s="21">
        <v>4</v>
      </c>
      <c r="M21" s="21">
        <v>0</v>
      </c>
      <c r="N21" s="95">
        <v>9</v>
      </c>
      <c r="O21" s="19"/>
      <c r="P21" s="288"/>
      <c r="Q21" s="331"/>
      <c r="R21" s="328"/>
      <c r="S21" s="331">
        <v>45707</v>
      </c>
      <c r="T21" s="124"/>
      <c r="U21" s="124"/>
      <c r="V21" s="124"/>
      <c r="W21" s="124"/>
      <c r="X21" s="328"/>
      <c r="Y21" s="331">
        <v>45884</v>
      </c>
      <c r="Z21" s="330"/>
      <c r="AA21" s="330"/>
      <c r="AB21" s="330"/>
      <c r="AC21" s="330"/>
      <c r="AD21" s="330"/>
      <c r="AE21" s="330"/>
      <c r="AF21" s="330"/>
      <c r="AG21" s="330"/>
      <c r="AH21" s="331"/>
      <c r="AI21" s="129">
        <f t="shared" si="14"/>
        <v>9.1643835616438345</v>
      </c>
      <c r="AJ21" s="124">
        <f t="shared" si="12"/>
        <v>5.5125545048007716</v>
      </c>
      <c r="AK21" s="124">
        <f t="shared" si="3"/>
        <v>-0.2408701527334749</v>
      </c>
      <c r="AL21" s="400">
        <f t="shared" si="4"/>
        <v>-5.0353907006786809</v>
      </c>
      <c r="AM21" s="394">
        <f t="shared" si="5"/>
        <v>-9.3504591938293657</v>
      </c>
      <c r="AN21" s="394">
        <f t="shared" si="6"/>
        <v>-14.144979741774572</v>
      </c>
      <c r="AO21" s="394">
        <f t="shared" si="7"/>
        <v>-17.064573087641808</v>
      </c>
      <c r="AP21" s="97">
        <f t="shared" si="8"/>
        <v>-19.731435039253665</v>
      </c>
      <c r="AQ21" s="24">
        <f t="shared" si="9"/>
        <v>-23.56705147760983</v>
      </c>
      <c r="AR21" s="124"/>
      <c r="AS21" s="41">
        <f>$H$21*月別販売比率!AG5</f>
        <v>4.794520547945206</v>
      </c>
      <c r="AT21" s="21"/>
      <c r="AU21" s="283">
        <f>$H$21*月別販売比率!AL5</f>
        <v>4.3150684931506849</v>
      </c>
      <c r="AV21" s="241"/>
      <c r="AW21" s="283">
        <f>$H$21*月別販売比率!AQ5</f>
        <v>4.794520547945206</v>
      </c>
      <c r="AX21" s="241"/>
      <c r="AY21" s="283">
        <f>$H$21*月別販売比率!AV5</f>
        <v>2.9195933458672365</v>
      </c>
      <c r="AZ21" s="241"/>
      <c r="BA21" s="283">
        <f>$H$21*月別販売比率!BA5</f>
        <v>2.6668619516118559</v>
      </c>
      <c r="BB21" s="241">
        <v>15</v>
      </c>
      <c r="BC21" s="283">
        <f>$H$21*月別販売比率!BF5</f>
        <v>3.8356164383561646</v>
      </c>
      <c r="BD21" s="241"/>
      <c r="BE21" s="41">
        <f>$H$21*月別販売比率!C21</f>
        <v>3.3976010808964481</v>
      </c>
      <c r="BF21" s="21"/>
      <c r="BG21" s="283">
        <f>$H$21*月別販売比率!H21</f>
        <v>3.3561643835616444</v>
      </c>
      <c r="BH21" s="241"/>
      <c r="BI21" s="283">
        <f>$H$21*月別販売比率!M21</f>
        <v>4.8455193415450548</v>
      </c>
      <c r="BJ21" s="241"/>
      <c r="BK21" s="41">
        <f>$H$21*月別販売比率!R21</f>
        <v>3.8356164383561646</v>
      </c>
      <c r="BL21" s="21"/>
      <c r="BM21" s="283">
        <f>$H$21*月別販売比率!W21</f>
        <v>3.6518290568430634</v>
      </c>
      <c r="BN21" s="241">
        <v>35</v>
      </c>
      <c r="BO21" s="283">
        <f>$H$21*月別販売比率!AB21</f>
        <v>5.7534246575342465</v>
      </c>
      <c r="BP21" s="241"/>
      <c r="BQ21" s="283">
        <f>$H$21*月別販売比率!AG21</f>
        <v>4.794520547945206</v>
      </c>
      <c r="BR21" s="241"/>
      <c r="BS21" s="283">
        <f>$H$21*月別販売比率!AL21</f>
        <v>4.3150684931506849</v>
      </c>
      <c r="BT21" s="241">
        <v>10</v>
      </c>
      <c r="BU21" s="283">
        <f>$H$21*月別販売比率!AQ21</f>
        <v>4.794520547945206</v>
      </c>
      <c r="BV21" s="241"/>
      <c r="BW21" s="41">
        <f>$H$21*月別販売比率!AV21</f>
        <v>2.9195933458672365</v>
      </c>
      <c r="BX21" s="21"/>
      <c r="BY21" s="283">
        <f>$H$21*月別販売比率!BA21</f>
        <v>2.6668619516118559</v>
      </c>
      <c r="BZ21" s="241"/>
      <c r="CA21" s="41">
        <f>$H$21*月別販売比率!BF21</f>
        <v>3.8356164383561646</v>
      </c>
      <c r="CB21" s="21"/>
      <c r="CC21" s="41">
        <f>H21*月別販売比率!$C$21</f>
        <v>3.3976010808964481</v>
      </c>
      <c r="CD21" s="21"/>
      <c r="CE21" s="41">
        <f>H21*月別販売比率!$H$21</f>
        <v>3.3561643835616444</v>
      </c>
      <c r="CF21" s="241"/>
      <c r="CG21" s="41">
        <f>$H$21*月別販売比率!M21</f>
        <v>4.8455193415450548</v>
      </c>
      <c r="CH21" s="241">
        <v>15</v>
      </c>
      <c r="CI21" s="41">
        <f>H21*月別販売比率!$R$21</f>
        <v>3.8356164383561646</v>
      </c>
      <c r="CJ21" s="21"/>
      <c r="CK21" s="41">
        <f>H21*月別販売比率!$W$21</f>
        <v>3.6518290568430634</v>
      </c>
      <c r="CL21" s="21"/>
      <c r="CM21" s="41">
        <f>H21*月別販売比率!$AB$21</f>
        <v>5.7534246575342465</v>
      </c>
      <c r="CN21" s="21"/>
      <c r="CO21" s="41">
        <f>H21*月別販売比率!$AG$21</f>
        <v>4.794520547945206</v>
      </c>
      <c r="CP21" s="21"/>
      <c r="CQ21" s="41">
        <f>H21*月別販売比率!$AL$21</f>
        <v>4.3150684931506849</v>
      </c>
      <c r="CR21" s="21"/>
      <c r="CS21" s="41">
        <f>H21*月別販売比率!$AQ$21</f>
        <v>4.794520547945206</v>
      </c>
      <c r="CT21" s="21"/>
      <c r="CU21" s="41">
        <f>H21*月別販売比率!$AV$21</f>
        <v>2.9195933458672365</v>
      </c>
      <c r="CV21" s="21"/>
      <c r="CW21" s="41">
        <f>H21*月別販売比率!$BA$21</f>
        <v>2.6668619516118559</v>
      </c>
      <c r="CX21" s="21"/>
      <c r="CY21" s="41">
        <f>H21*月別販売比率!$BF$21</f>
        <v>3.8356164383561646</v>
      </c>
      <c r="CZ21" s="21"/>
      <c r="DA21" s="28"/>
      <c r="DB21" s="294"/>
    </row>
    <row r="22" spans="2:106" ht="30.75" customHeight="1">
      <c r="C22" s="457"/>
      <c r="D22" s="443">
        <v>4</v>
      </c>
      <c r="E22" s="94" t="s">
        <v>46</v>
      </c>
      <c r="F22" s="57">
        <v>100</v>
      </c>
      <c r="G22" s="5">
        <f t="shared" si="10"/>
        <v>440000</v>
      </c>
      <c r="H22" s="45">
        <f t="shared" si="13"/>
        <v>266.36225266362254</v>
      </c>
      <c r="I22" s="5">
        <f t="shared" si="10"/>
        <v>1171993.9117199392</v>
      </c>
      <c r="J22" s="9">
        <v>2</v>
      </c>
      <c r="K22" s="21">
        <f t="shared" si="11"/>
        <v>75</v>
      </c>
      <c r="L22" s="21">
        <v>10</v>
      </c>
      <c r="M22" s="21">
        <v>0</v>
      </c>
      <c r="N22" s="95">
        <v>65</v>
      </c>
      <c r="O22" s="19"/>
      <c r="P22" s="19"/>
      <c r="Q22" s="330"/>
      <c r="R22" s="124"/>
      <c r="S22" s="124"/>
      <c r="T22" s="124"/>
      <c r="U22" s="124"/>
      <c r="V22" s="124"/>
      <c r="W22" s="124"/>
      <c r="X22" s="124"/>
      <c r="Y22" s="124"/>
      <c r="Z22" s="124"/>
      <c r="AA22" s="124"/>
      <c r="AB22" s="124"/>
      <c r="AC22" s="124"/>
      <c r="AD22" s="124"/>
      <c r="AE22" s="124"/>
      <c r="AF22" s="124"/>
      <c r="AG22" s="331"/>
      <c r="AH22" s="331"/>
      <c r="AI22" s="129">
        <f t="shared" si="14"/>
        <v>105.6910197869102</v>
      </c>
      <c r="AJ22" s="124">
        <f t="shared" si="12"/>
        <v>135.40308058222652</v>
      </c>
      <c r="AK22" s="124">
        <f t="shared" si="3"/>
        <v>103.43961026259181</v>
      </c>
      <c r="AL22" s="400">
        <f t="shared" si="4"/>
        <v>76.803384996229553</v>
      </c>
      <c r="AM22" s="394">
        <f t="shared" si="5"/>
        <v>87.830782256503525</v>
      </c>
      <c r="AN22" s="394">
        <f t="shared" si="6"/>
        <v>61.194556990141265</v>
      </c>
      <c r="AO22" s="394">
        <f t="shared" si="7"/>
        <v>44.974593957545508</v>
      </c>
      <c r="AP22" s="97">
        <f t="shared" si="8"/>
        <v>30.158694226368532</v>
      </c>
      <c r="AQ22" s="24">
        <f t="shared" si="9"/>
        <v>8.849714013278728</v>
      </c>
      <c r="AR22" s="124"/>
      <c r="AS22" s="41">
        <f>$H$22*月別販売比率!AG5</f>
        <v>26.636225266362256</v>
      </c>
      <c r="AT22" s="21"/>
      <c r="AU22" s="283">
        <f>$H$22*月別販売比率!AL5</f>
        <v>23.972602739726028</v>
      </c>
      <c r="AV22" s="241">
        <v>40</v>
      </c>
      <c r="AW22" s="283">
        <f>$H$22*月別販売比率!AQ5</f>
        <v>26.636225266362256</v>
      </c>
      <c r="AX22" s="241">
        <v>50</v>
      </c>
      <c r="AY22" s="283">
        <f>$H$22*月別販売比率!AV5</f>
        <v>16.219963032595757</v>
      </c>
      <c r="AZ22" s="241"/>
      <c r="BA22" s="283">
        <f>$H$22*月別販売比率!BA5</f>
        <v>14.815899731176978</v>
      </c>
      <c r="BB22" s="241"/>
      <c r="BC22" s="283">
        <f>$H$22*月別販売比率!BF5</f>
        <v>21.308980213089804</v>
      </c>
      <c r="BD22" s="241">
        <v>45</v>
      </c>
      <c r="BE22" s="41">
        <f>$H$22*月別販売比率!C21</f>
        <v>18.875561560535825</v>
      </c>
      <c r="BF22" s="21"/>
      <c r="BG22" s="283">
        <f>$H$22*月別販売比率!H21</f>
        <v>18.645357686453579</v>
      </c>
      <c r="BH22" s="241">
        <v>40</v>
      </c>
      <c r="BI22" s="283">
        <f>$H$22*月別販売比率!M21</f>
        <v>26.91955189747253</v>
      </c>
      <c r="BJ22" s="241">
        <v>35</v>
      </c>
      <c r="BK22" s="41">
        <f>$H$22*月別販売比率!R21</f>
        <v>21.308980213089804</v>
      </c>
      <c r="BL22" s="21"/>
      <c r="BM22" s="283">
        <f>$H$22*月別販売比率!W21</f>
        <v>20.287939204683685</v>
      </c>
      <c r="BN22" s="241">
        <v>40</v>
      </c>
      <c r="BO22" s="283">
        <f>$H$22*月別販売比率!AB21</f>
        <v>31.963470319634705</v>
      </c>
      <c r="BP22" s="241"/>
      <c r="BQ22" s="283">
        <f>$H$22*月別販売比率!AG21</f>
        <v>26.636225266362256</v>
      </c>
      <c r="BR22" s="241">
        <v>15</v>
      </c>
      <c r="BS22" s="283">
        <f>$H$22*月別販売比率!AL21</f>
        <v>23.972602739726028</v>
      </c>
      <c r="BT22" s="241">
        <v>75</v>
      </c>
      <c r="BU22" s="283">
        <f>$H$22*月別販売比率!AQ21</f>
        <v>26.636225266362256</v>
      </c>
      <c r="BV22" s="241">
        <v>30</v>
      </c>
      <c r="BW22" s="41">
        <f>$H$22*月別販売比率!AV21</f>
        <v>16.219963032595757</v>
      </c>
      <c r="BX22" s="21"/>
      <c r="BY22" s="283">
        <f>$H$22*月別販売比率!BA21</f>
        <v>14.815899731176978</v>
      </c>
      <c r="BZ22" s="241"/>
      <c r="CA22" s="41">
        <f>$H$22*月別販売比率!BF21</f>
        <v>21.308980213089804</v>
      </c>
      <c r="CB22" s="21"/>
      <c r="CC22" s="41">
        <f>H22*月別販売比率!$C$21</f>
        <v>18.875561560535825</v>
      </c>
      <c r="CD22" s="21"/>
      <c r="CE22" s="41">
        <f>H22*月別販売比率!$H$21</f>
        <v>18.645357686453579</v>
      </c>
      <c r="CF22" s="241">
        <v>30</v>
      </c>
      <c r="CG22" s="41">
        <f>$H$22*月別販売比率!M21</f>
        <v>26.91955189747253</v>
      </c>
      <c r="CH22" s="241">
        <v>65</v>
      </c>
      <c r="CI22" s="41">
        <f>H22*月別販売比率!$R$21</f>
        <v>21.308980213089804</v>
      </c>
      <c r="CJ22" s="21">
        <v>50</v>
      </c>
      <c r="CK22" s="41">
        <f>H22*月別販売比率!$W$21</f>
        <v>20.287939204683685</v>
      </c>
      <c r="CL22" s="21">
        <v>50</v>
      </c>
      <c r="CM22" s="41">
        <f>H22*月別販売比率!$AB$21</f>
        <v>31.963470319634705</v>
      </c>
      <c r="CN22" s="21"/>
      <c r="CO22" s="41">
        <f>H22*月別販売比率!$AG$21</f>
        <v>26.636225266362256</v>
      </c>
      <c r="CP22" s="21"/>
      <c r="CQ22" s="41">
        <f>H22*月別販売比率!$AL$21</f>
        <v>23.972602739726028</v>
      </c>
      <c r="CR22" s="21">
        <v>35</v>
      </c>
      <c r="CS22" s="41">
        <f>H22*月別販売比率!$AQ$21</f>
        <v>26.636225266362256</v>
      </c>
      <c r="CT22" s="21"/>
      <c r="CU22" s="41">
        <f>H22*月別販売比率!$AV$21</f>
        <v>16.219963032595757</v>
      </c>
      <c r="CV22" s="21"/>
      <c r="CW22" s="41">
        <f>H22*月別販売比率!$BA$21</f>
        <v>14.815899731176978</v>
      </c>
      <c r="CX22" s="21"/>
      <c r="CY22" s="41">
        <f>H22*月別販売比率!$BF$21</f>
        <v>21.308980213089804</v>
      </c>
      <c r="CZ22" s="21"/>
      <c r="DA22" s="28"/>
      <c r="DB22" s="294"/>
    </row>
    <row r="23" spans="2:106" ht="30.75" customHeight="1">
      <c r="C23" s="457"/>
      <c r="D23" s="441"/>
      <c r="E23" s="94" t="s">
        <v>47</v>
      </c>
      <c r="F23" s="57">
        <v>133</v>
      </c>
      <c r="G23" s="5">
        <f t="shared" si="10"/>
        <v>585200</v>
      </c>
      <c r="H23" s="45">
        <f t="shared" si="13"/>
        <v>354.26179604261796</v>
      </c>
      <c r="I23" s="5">
        <f t="shared" si="10"/>
        <v>1558751.902587519</v>
      </c>
      <c r="J23" s="9">
        <v>19</v>
      </c>
      <c r="K23" s="21">
        <f t="shared" si="11"/>
        <v>129</v>
      </c>
      <c r="L23" s="21">
        <v>10</v>
      </c>
      <c r="M23" s="21">
        <v>10</v>
      </c>
      <c r="N23" s="95">
        <v>109</v>
      </c>
      <c r="O23" s="19"/>
      <c r="P23" s="289">
        <v>45622</v>
      </c>
      <c r="Q23" s="331">
        <v>45646</v>
      </c>
      <c r="R23" s="124"/>
      <c r="S23" s="124"/>
      <c r="T23" s="124"/>
      <c r="U23" s="124"/>
      <c r="V23" s="124"/>
      <c r="W23" s="124"/>
      <c r="X23" s="124"/>
      <c r="Y23" s="124"/>
      <c r="Z23" s="124"/>
      <c r="AA23" s="124"/>
      <c r="AB23" s="124"/>
      <c r="AC23" s="124"/>
      <c r="AD23" s="124"/>
      <c r="AE23" s="124"/>
      <c r="AF23" s="328"/>
      <c r="AG23" s="331"/>
      <c r="AH23" s="331"/>
      <c r="AI23" s="124">
        <f t="shared" si="14"/>
        <v>134.65905631659058</v>
      </c>
      <c r="AJ23" s="124">
        <f t="shared" si="12"/>
        <v>167.67609717436127</v>
      </c>
      <c r="AK23" s="124">
        <f t="shared" si="3"/>
        <v>125.16468164924711</v>
      </c>
      <c r="AL23" s="400">
        <f t="shared" si="4"/>
        <v>89.738502044985324</v>
      </c>
      <c r="AM23" s="394">
        <f t="shared" si="5"/>
        <v>142.85494040114969</v>
      </c>
      <c r="AN23" s="394">
        <f t="shared" si="6"/>
        <v>107.4287607968879</v>
      </c>
      <c r="AO23" s="394">
        <f t="shared" si="7"/>
        <v>85.856209963535548</v>
      </c>
      <c r="AP23" s="97">
        <f t="shared" si="8"/>
        <v>66.151063321070168</v>
      </c>
      <c r="AQ23" s="24">
        <f t="shared" si="9"/>
        <v>37.810119637660733</v>
      </c>
      <c r="AR23" s="124"/>
      <c r="AS23" s="41">
        <f>$H$23*月別販売比率!AG5</f>
        <v>35.426179604261797</v>
      </c>
      <c r="AT23" s="21"/>
      <c r="AU23" s="283">
        <f>$H$23*月別販売比率!AL5</f>
        <v>31.883561643835616</v>
      </c>
      <c r="AV23" s="241">
        <v>50</v>
      </c>
      <c r="AW23" s="283">
        <f>$H$23*月別販売比率!AQ5</f>
        <v>35.426179604261797</v>
      </c>
      <c r="AX23" s="241">
        <v>65</v>
      </c>
      <c r="AY23" s="283">
        <f>$H$23*月別販売比率!AV5</f>
        <v>21.572550833352356</v>
      </c>
      <c r="AZ23" s="241"/>
      <c r="BA23" s="283">
        <f>$H$23*月別販売比率!BA5</f>
        <v>19.70514664246538</v>
      </c>
      <c r="BB23" s="241"/>
      <c r="BC23" s="283">
        <f>$H$23*月別販売比率!BF5</f>
        <v>28.340943683409439</v>
      </c>
      <c r="BD23" s="241">
        <v>70</v>
      </c>
      <c r="BE23" s="41">
        <f>$H$23*月別販売比率!C21</f>
        <v>25.104496875512645</v>
      </c>
      <c r="BF23" s="21"/>
      <c r="BG23" s="283">
        <f>$H$23*月別販売比率!H21</f>
        <v>24.798325722983261</v>
      </c>
      <c r="BH23" s="241">
        <v>55</v>
      </c>
      <c r="BI23" s="283">
        <f>$H$23*月別販売比率!M21</f>
        <v>35.803004023638458</v>
      </c>
      <c r="BJ23" s="241">
        <v>50</v>
      </c>
      <c r="BK23" s="41">
        <f>$H$23*月別販売比率!R21</f>
        <v>28.340943683409439</v>
      </c>
      <c r="BL23" s="21"/>
      <c r="BM23" s="283">
        <f>$H$23*月別販売比率!W21</f>
        <v>26.982959142229301</v>
      </c>
      <c r="BN23" s="241">
        <v>70</v>
      </c>
      <c r="BO23" s="283">
        <f>$H$23*月別販売比率!AB21</f>
        <v>42.511415525114153</v>
      </c>
      <c r="BP23" s="241"/>
      <c r="BQ23" s="283">
        <f>$H$23*月別販売比率!AG21</f>
        <v>35.426179604261797</v>
      </c>
      <c r="BR23" s="241">
        <v>10</v>
      </c>
      <c r="BS23" s="283">
        <f>$H$23*月別販売比率!AL21</f>
        <v>31.883561643835616</v>
      </c>
      <c r="BT23" s="241">
        <v>54</v>
      </c>
      <c r="BU23" s="283">
        <f>$H$23*月別販売比率!AQ21</f>
        <v>35.426179604261797</v>
      </c>
      <c r="BV23" s="241">
        <v>20</v>
      </c>
      <c r="BW23" s="41">
        <f>$H$23*月別販売比率!AV21</f>
        <v>21.572550833352356</v>
      </c>
      <c r="BX23" s="21"/>
      <c r="BY23" s="283">
        <f>$H$23*月別販売比率!BA21</f>
        <v>19.70514664246538</v>
      </c>
      <c r="BZ23" s="241">
        <v>40</v>
      </c>
      <c r="CA23" s="41">
        <f>$H$23*月別販売比率!BF21</f>
        <v>28.340943683409439</v>
      </c>
      <c r="CB23" s="21"/>
      <c r="CC23" s="41">
        <f>H23*月別販売比率!$C$21</f>
        <v>25.104496875512645</v>
      </c>
      <c r="CD23" s="21"/>
      <c r="CE23" s="41">
        <f>H23*月別販売比率!$H$21</f>
        <v>24.798325722983261</v>
      </c>
      <c r="CF23" s="241">
        <v>120</v>
      </c>
      <c r="CG23" s="41">
        <f>$H$23*月別販売比率!M21</f>
        <v>35.803004023638458</v>
      </c>
      <c r="CH23" s="241">
        <v>59</v>
      </c>
      <c r="CI23" s="41">
        <f>H23*月別販売比率!$R$21</f>
        <v>28.340943683409439</v>
      </c>
      <c r="CJ23" s="21">
        <v>15</v>
      </c>
      <c r="CK23" s="41">
        <f>H23*月別販売比率!$W$21</f>
        <v>26.982959142229301</v>
      </c>
      <c r="CL23" s="21">
        <v>60</v>
      </c>
      <c r="CM23" s="41">
        <f>H23*月別販売比率!$AB$21</f>
        <v>42.511415525114153</v>
      </c>
      <c r="CN23" s="21"/>
      <c r="CO23" s="41">
        <f>H23*月別販売比率!$AG$21</f>
        <v>35.426179604261797</v>
      </c>
      <c r="CP23" s="21"/>
      <c r="CQ23" s="41">
        <f>H23*月別販売比率!$AL$21</f>
        <v>31.883561643835616</v>
      </c>
      <c r="CR23" s="21">
        <v>85</v>
      </c>
      <c r="CS23" s="41">
        <f>H23*月別販売比率!$AQ$21</f>
        <v>35.426179604261797</v>
      </c>
      <c r="CT23" s="21"/>
      <c r="CU23" s="41">
        <f>H23*月別販売比率!$AV$21</f>
        <v>21.572550833352356</v>
      </c>
      <c r="CV23" s="21"/>
      <c r="CW23" s="41">
        <f>H23*月別販売比率!$BA$21</f>
        <v>19.70514664246538</v>
      </c>
      <c r="CX23" s="21"/>
      <c r="CY23" s="41">
        <f>H23*月別販売比率!$BF$21</f>
        <v>28.340943683409439</v>
      </c>
      <c r="CZ23" s="21"/>
      <c r="DA23" s="28"/>
      <c r="DB23" s="294"/>
    </row>
    <row r="24" spans="2:106" ht="30.75" customHeight="1">
      <c r="C24" s="457"/>
      <c r="D24" s="441"/>
      <c r="E24" s="94" t="s">
        <v>51</v>
      </c>
      <c r="F24" s="57">
        <v>62</v>
      </c>
      <c r="G24" s="5">
        <f t="shared" si="10"/>
        <v>272800</v>
      </c>
      <c r="H24" s="45">
        <f t="shared" si="13"/>
        <v>165.14459665144597</v>
      </c>
      <c r="I24" s="5">
        <f t="shared" si="10"/>
        <v>726636.22526636219</v>
      </c>
      <c r="J24" s="9">
        <v>5</v>
      </c>
      <c r="K24" s="21">
        <f t="shared" si="11"/>
        <v>38</v>
      </c>
      <c r="L24" s="21">
        <v>9</v>
      </c>
      <c r="M24" s="21">
        <v>0</v>
      </c>
      <c r="N24" s="95">
        <v>29</v>
      </c>
      <c r="O24" s="288"/>
      <c r="P24" s="289">
        <v>45622</v>
      </c>
      <c r="Q24" s="330"/>
      <c r="R24" s="124"/>
      <c r="S24" s="124"/>
      <c r="T24" s="328"/>
      <c r="U24" s="331">
        <v>45752</v>
      </c>
      <c r="V24" s="124"/>
      <c r="W24" s="124"/>
      <c r="X24" s="124"/>
      <c r="Y24" s="124"/>
      <c r="Z24" s="124"/>
      <c r="AA24" s="328"/>
      <c r="AB24" s="328"/>
      <c r="AC24" s="331">
        <v>46017</v>
      </c>
      <c r="AD24" s="331"/>
      <c r="AE24" s="331"/>
      <c r="AF24" s="331"/>
      <c r="AG24" s="331"/>
      <c r="AH24" s="331"/>
      <c r="AI24" s="124">
        <f t="shared" si="14"/>
        <v>59.788432267884325</v>
      </c>
      <c r="AJ24" s="124">
        <f t="shared" si="12"/>
        <v>72.20990996098044</v>
      </c>
      <c r="AK24" s="124">
        <f t="shared" si="3"/>
        <v>52.392558362806923</v>
      </c>
      <c r="AL24" s="400">
        <f t="shared" si="4"/>
        <v>35.878098697662324</v>
      </c>
      <c r="AM24" s="394">
        <f t="shared" si="5"/>
        <v>61.01508499903219</v>
      </c>
      <c r="AN24" s="394">
        <f t="shared" si="6"/>
        <v>44.500625333887598</v>
      </c>
      <c r="AO24" s="394">
        <f t="shared" si="7"/>
        <v>34.444248253678225</v>
      </c>
      <c r="AP24" s="97">
        <f t="shared" si="8"/>
        <v>25.258390420348498</v>
      </c>
      <c r="AQ24" s="24">
        <f t="shared" si="9"/>
        <v>12.046822688232821</v>
      </c>
      <c r="AR24" s="124"/>
      <c r="AS24" s="41">
        <f>$H$24*月別販売比率!AG5</f>
        <v>16.514459665144596</v>
      </c>
      <c r="AT24" s="21"/>
      <c r="AU24" s="283">
        <f>$H$24*月別販売比率!AL5</f>
        <v>14.863013698630136</v>
      </c>
      <c r="AV24" s="241">
        <v>30</v>
      </c>
      <c r="AW24" s="283">
        <f>$H$24*月別販売比率!AQ5</f>
        <v>16.514459665144596</v>
      </c>
      <c r="AX24" s="241">
        <v>50</v>
      </c>
      <c r="AY24" s="283">
        <f>$H$24*月別販売比率!AV5</f>
        <v>10.056377080209369</v>
      </c>
      <c r="AZ24" s="241"/>
      <c r="BA24" s="283">
        <f>$H$24*月別販売比率!BA5</f>
        <v>9.1858578333297256</v>
      </c>
      <c r="BB24" s="241"/>
      <c r="BC24" s="283">
        <f>$H$24*月別販売比率!BF5</f>
        <v>13.211567732115677</v>
      </c>
      <c r="BD24" s="241">
        <v>25</v>
      </c>
      <c r="BE24" s="41">
        <f>$H$24*月別販売比率!C21</f>
        <v>11.70284816753221</v>
      </c>
      <c r="BF24" s="21"/>
      <c r="BG24" s="283">
        <f>$H$24*月別販売比率!H21</f>
        <v>11.560121765601219</v>
      </c>
      <c r="BH24" s="241">
        <v>20</v>
      </c>
      <c r="BI24" s="283">
        <f>$H$24*月別販売比率!M21</f>
        <v>16.690122176432968</v>
      </c>
      <c r="BJ24" s="241">
        <v>12</v>
      </c>
      <c r="BK24" s="41">
        <f>$H$24*月別販売比率!R21</f>
        <v>13.211567732115677</v>
      </c>
      <c r="BL24" s="21"/>
      <c r="BM24" s="283">
        <f>$H$24*月別販売比率!W21</f>
        <v>12.578522306903885</v>
      </c>
      <c r="BN24" s="241">
        <v>40</v>
      </c>
      <c r="BO24" s="283">
        <f>$H$24*月別販売比率!AB21</f>
        <v>19.817351598173516</v>
      </c>
      <c r="BP24" s="241"/>
      <c r="BQ24" s="283">
        <f>$H$24*月別販売比率!AG21</f>
        <v>16.514459665144596</v>
      </c>
      <c r="BR24" s="241">
        <v>10</v>
      </c>
      <c r="BS24" s="283">
        <f>$H$24*月別販売比率!AL21</f>
        <v>14.863013698630136</v>
      </c>
      <c r="BT24" s="241">
        <v>34</v>
      </c>
      <c r="BU24" s="283">
        <f>$H$24*月別販売比率!AQ21</f>
        <v>16.514459665144596</v>
      </c>
      <c r="BV24" s="241">
        <v>15</v>
      </c>
      <c r="BW24" s="41">
        <f>$H$24*月別販売比率!AV21</f>
        <v>10.056377080209369</v>
      </c>
      <c r="BX24" s="21"/>
      <c r="BY24" s="283">
        <f>$H$24*月別販売比率!BA21</f>
        <v>9.1858578333297256</v>
      </c>
      <c r="BZ24" s="241">
        <v>25</v>
      </c>
      <c r="CA24" s="41">
        <f>$H$24*月別販売比率!BF21</f>
        <v>13.211567732115677</v>
      </c>
      <c r="CB24" s="21"/>
      <c r="CC24" s="41">
        <f>H24*月別販売比率!$C$21</f>
        <v>11.70284816753221</v>
      </c>
      <c r="CD24" s="21"/>
      <c r="CE24" s="41">
        <f>H24*月別販売比率!$H$21</f>
        <v>11.560121765601219</v>
      </c>
      <c r="CF24" s="241">
        <v>30</v>
      </c>
      <c r="CG24" s="41">
        <f>$H$24*月別販売比率!M21</f>
        <v>16.690122176432968</v>
      </c>
      <c r="CH24" s="241">
        <v>29</v>
      </c>
      <c r="CI24" s="41">
        <f>H24*月別販売比率!$R$21</f>
        <v>13.211567732115677</v>
      </c>
      <c r="CJ24" s="21">
        <v>30</v>
      </c>
      <c r="CK24" s="41">
        <f>H24*月別販売比率!$W$21</f>
        <v>12.578522306903885</v>
      </c>
      <c r="CL24" s="21">
        <v>25</v>
      </c>
      <c r="CM24" s="41">
        <f>H24*月別販売比率!$AB$21</f>
        <v>19.817351598173516</v>
      </c>
      <c r="CN24" s="21"/>
      <c r="CO24" s="41">
        <f>H24*月別販売比率!$AG$21</f>
        <v>16.514459665144596</v>
      </c>
      <c r="CP24" s="21"/>
      <c r="CQ24" s="41">
        <f>H24*月別販売比率!$AL$21</f>
        <v>14.863013698630136</v>
      </c>
      <c r="CR24" s="21">
        <v>40</v>
      </c>
      <c r="CS24" s="41">
        <f>H24*月別販売比率!$AQ$21</f>
        <v>16.514459665144596</v>
      </c>
      <c r="CT24" s="21"/>
      <c r="CU24" s="41">
        <f>H24*月別販売比率!$AV$21</f>
        <v>10.056377080209369</v>
      </c>
      <c r="CV24" s="21"/>
      <c r="CW24" s="41">
        <f>H24*月別販売比率!$BA$21</f>
        <v>9.1858578333297256</v>
      </c>
      <c r="CX24" s="21"/>
      <c r="CY24" s="41">
        <f>H24*月別販売比率!$BF$21</f>
        <v>13.211567732115677</v>
      </c>
      <c r="CZ24" s="21"/>
      <c r="DA24" s="28"/>
      <c r="DB24" s="294"/>
    </row>
    <row r="25" spans="2:106" ht="30.75" customHeight="1">
      <c r="C25" s="457"/>
      <c r="D25" s="441"/>
      <c r="E25" s="94" t="s">
        <v>49</v>
      </c>
      <c r="F25" s="57">
        <v>31</v>
      </c>
      <c r="G25" s="5">
        <f t="shared" si="10"/>
        <v>136400</v>
      </c>
      <c r="H25" s="45">
        <f t="shared" si="13"/>
        <v>82.572298325722983</v>
      </c>
      <c r="I25" s="5">
        <f t="shared" si="10"/>
        <v>363318.1126331811</v>
      </c>
      <c r="J25" s="21">
        <v>5</v>
      </c>
      <c r="K25" s="21">
        <f t="shared" si="11"/>
        <v>9</v>
      </c>
      <c r="L25" s="21">
        <v>9</v>
      </c>
      <c r="M25" s="21">
        <v>0</v>
      </c>
      <c r="N25" s="95"/>
      <c r="O25" s="288"/>
      <c r="P25" s="289">
        <v>45622</v>
      </c>
      <c r="Q25" s="331">
        <v>45646</v>
      </c>
      <c r="R25" s="124"/>
      <c r="S25" s="124"/>
      <c r="T25" s="124"/>
      <c r="U25" s="124"/>
      <c r="V25" s="124"/>
      <c r="W25" s="328"/>
      <c r="X25" s="328"/>
      <c r="Y25" s="331">
        <v>45884</v>
      </c>
      <c r="Z25" s="330"/>
      <c r="AA25" s="331"/>
      <c r="AB25" s="331">
        <v>45979</v>
      </c>
      <c r="AC25" s="331">
        <v>45662</v>
      </c>
      <c r="AD25" s="331"/>
      <c r="AE25" s="331"/>
      <c r="AF25" s="330"/>
      <c r="AG25" s="330"/>
      <c r="AH25" s="331"/>
      <c r="AI25" s="124">
        <f t="shared" si="14"/>
        <v>24.394216133942162</v>
      </c>
      <c r="AJ25" s="124">
        <f t="shared" si="12"/>
        <v>28.10495498049022</v>
      </c>
      <c r="AK25" s="124">
        <f t="shared" si="3"/>
        <v>18.196279181403462</v>
      </c>
      <c r="AL25" s="400">
        <f t="shared" si="4"/>
        <v>9.9390493488311638</v>
      </c>
      <c r="AM25" s="394">
        <f t="shared" si="5"/>
        <v>27.507542499516095</v>
      </c>
      <c r="AN25" s="394">
        <f t="shared" si="6"/>
        <v>19.250312666943799</v>
      </c>
      <c r="AO25" s="394">
        <f t="shared" si="7"/>
        <v>14.222124126839114</v>
      </c>
      <c r="AP25" s="97">
        <f t="shared" si="8"/>
        <v>9.6291952101742524</v>
      </c>
      <c r="AQ25" s="24">
        <f t="shared" si="9"/>
        <v>3.0234113441164139</v>
      </c>
      <c r="AR25" s="124"/>
      <c r="AS25" s="41">
        <f>$H$25*月別販売比率!AG5</f>
        <v>8.2572298325722979</v>
      </c>
      <c r="AT25" s="21"/>
      <c r="AU25" s="283">
        <f>$H$25*月別販売比率!AL5</f>
        <v>7.4315068493150678</v>
      </c>
      <c r="AV25" s="241">
        <v>12</v>
      </c>
      <c r="AW25" s="283">
        <f>$H$25*月別販売比率!AQ5</f>
        <v>8.2572298325722979</v>
      </c>
      <c r="AX25" s="280">
        <v>50</v>
      </c>
      <c r="AY25" s="283">
        <f>$H$25*月別販売比率!AV5</f>
        <v>5.0281885401046846</v>
      </c>
      <c r="AZ25" s="280"/>
      <c r="BA25" s="283">
        <f>$H$25*月別販売比率!BA5</f>
        <v>4.5929289166648628</v>
      </c>
      <c r="BB25" s="280"/>
      <c r="BC25" s="283">
        <f>$H$25*月別販売比率!BF5</f>
        <v>6.6057838660578385</v>
      </c>
      <c r="BD25" s="280"/>
      <c r="BE25" s="41">
        <f>$H$25*月別販売比率!C21</f>
        <v>5.8514240837661049</v>
      </c>
      <c r="BF25" s="39"/>
      <c r="BG25" s="283">
        <f>$H$25*月別販売比率!H21</f>
        <v>5.7800608828006093</v>
      </c>
      <c r="BH25" s="280">
        <v>10</v>
      </c>
      <c r="BI25" s="283">
        <f>$H$25*月別販売比率!M21</f>
        <v>8.3450610882164842</v>
      </c>
      <c r="BJ25" s="280">
        <v>4</v>
      </c>
      <c r="BK25" s="41">
        <f>$H$25*月別販売比率!R21</f>
        <v>6.6057838660578385</v>
      </c>
      <c r="BL25" s="39"/>
      <c r="BM25" s="283">
        <f>$H$25*月別販売比率!W21</f>
        <v>6.2892611534519425</v>
      </c>
      <c r="BN25" s="280">
        <v>25</v>
      </c>
      <c r="BO25" s="283">
        <f>$H$25*月別販売比率!AB21</f>
        <v>9.9086757990867582</v>
      </c>
      <c r="BP25" s="280"/>
      <c r="BQ25" s="283">
        <f>$H$25*月別販売比率!AG21</f>
        <v>8.2572298325722979</v>
      </c>
      <c r="BR25" s="280">
        <v>5</v>
      </c>
      <c r="BS25" s="283">
        <f>$H$25*月別販売比率!AL21</f>
        <v>7.4315068493150678</v>
      </c>
      <c r="BT25" s="280">
        <v>20</v>
      </c>
      <c r="BU25" s="283">
        <f>$H$25*月別販売比率!AQ21</f>
        <v>8.2572298325722979</v>
      </c>
      <c r="BV25" s="280"/>
      <c r="BW25" s="41">
        <f>$H$25*月別販売比率!AV21</f>
        <v>5.0281885401046846</v>
      </c>
      <c r="BX25" s="39"/>
      <c r="BY25" s="283">
        <f>$H$25*月別販売比率!BA21</f>
        <v>4.5929289166648628</v>
      </c>
      <c r="BZ25" s="280">
        <v>33</v>
      </c>
      <c r="CA25" s="41">
        <f>$H$25*月別販売比率!BF21</f>
        <v>6.6057838660578385</v>
      </c>
      <c r="CB25" s="39"/>
      <c r="CC25" s="41">
        <f>H25*月別販売比率!$C$21</f>
        <v>5.8514240837661049</v>
      </c>
      <c r="CD25" s="39"/>
      <c r="CE25" s="41">
        <f>H25*月別販売比率!$H$21</f>
        <v>5.7800608828006093</v>
      </c>
      <c r="CF25" s="280">
        <v>20</v>
      </c>
      <c r="CG25" s="41">
        <f>$H$25*月別販売比率!M21</f>
        <v>8.3450610882164842</v>
      </c>
      <c r="CH25" s="280">
        <v>0</v>
      </c>
      <c r="CI25" s="41">
        <f>H25*月別販売比率!$R$21</f>
        <v>6.6057838660578385</v>
      </c>
      <c r="CJ25" s="39">
        <v>17</v>
      </c>
      <c r="CK25" s="41">
        <f>H25*月別販売比率!$W$21</f>
        <v>6.2892611534519425</v>
      </c>
      <c r="CL25" s="39">
        <v>10</v>
      </c>
      <c r="CM25" s="41">
        <f>H25*月別販売比率!$AB$21</f>
        <v>9.9086757990867582</v>
      </c>
      <c r="CN25" s="39"/>
      <c r="CO25" s="41">
        <f>H25*月別販売比率!$AG$21</f>
        <v>8.2572298325722979</v>
      </c>
      <c r="CP25" s="39"/>
      <c r="CQ25" s="41">
        <f>H25*月別販売比率!$AL$21</f>
        <v>7.4315068493150678</v>
      </c>
      <c r="CR25" s="39">
        <v>25</v>
      </c>
      <c r="CS25" s="41">
        <f>H25*月別販売比率!$AQ$21</f>
        <v>8.2572298325722979</v>
      </c>
      <c r="CT25" s="39"/>
      <c r="CU25" s="41">
        <f>H25*月別販売比率!$AV$21</f>
        <v>5.0281885401046846</v>
      </c>
      <c r="CV25" s="39"/>
      <c r="CW25" s="41">
        <f>H25*月別販売比率!$BA$21</f>
        <v>4.5929289166648628</v>
      </c>
      <c r="CX25" s="39"/>
      <c r="CY25" s="41">
        <f>H25*月別販売比率!$BF$21</f>
        <v>6.6057838660578385</v>
      </c>
      <c r="CZ25" s="39"/>
      <c r="DA25" s="50"/>
      <c r="DB25" s="295"/>
    </row>
    <row r="26" spans="2:106" ht="30.75" customHeight="1">
      <c r="C26" s="458"/>
      <c r="D26" s="444"/>
      <c r="E26" s="101" t="s">
        <v>50</v>
      </c>
      <c r="F26" s="58">
        <v>32</v>
      </c>
      <c r="G26" s="35">
        <f t="shared" si="10"/>
        <v>140800</v>
      </c>
      <c r="H26" s="52">
        <f t="shared" si="13"/>
        <v>85.235920852359214</v>
      </c>
      <c r="I26" s="35">
        <f t="shared" si="10"/>
        <v>375038.05175038055</v>
      </c>
      <c r="J26" s="103">
        <v>0</v>
      </c>
      <c r="K26" s="104">
        <f t="shared" si="11"/>
        <v>27</v>
      </c>
      <c r="L26" s="103">
        <v>8</v>
      </c>
      <c r="M26" s="103">
        <v>5</v>
      </c>
      <c r="N26" s="117">
        <v>14</v>
      </c>
      <c r="O26" s="123"/>
      <c r="P26" s="123"/>
      <c r="Q26" s="332"/>
      <c r="R26" s="238"/>
      <c r="S26" s="238"/>
      <c r="T26" s="238"/>
      <c r="U26" s="238"/>
      <c r="V26" s="238"/>
      <c r="W26" s="238"/>
      <c r="X26" s="238"/>
      <c r="Y26" s="238"/>
      <c r="Z26" s="238"/>
      <c r="AA26" s="238"/>
      <c r="AB26" s="238"/>
      <c r="AC26" s="238"/>
      <c r="AD26" s="331"/>
      <c r="AE26" s="331"/>
      <c r="AF26" s="330"/>
      <c r="AG26" s="330"/>
      <c r="AH26" s="331"/>
      <c r="AI26" s="129">
        <f t="shared" si="14"/>
        <v>35.181126331811264</v>
      </c>
      <c r="AJ26" s="238">
        <f t="shared" si="12"/>
        <v>38.688985786312486</v>
      </c>
      <c r="AK26" s="238">
        <f t="shared" si="3"/>
        <v>28.460675284029378</v>
      </c>
      <c r="AL26" s="401">
        <f t="shared" si="4"/>
        <v>19.937083198793456</v>
      </c>
      <c r="AM26" s="395">
        <f t="shared" si="5"/>
        <v>32.265850322081128</v>
      </c>
      <c r="AN26" s="395">
        <f t="shared" si="6"/>
        <v>23.742258236845206</v>
      </c>
      <c r="AO26" s="395">
        <f t="shared" si="7"/>
        <v>18.551870066414565</v>
      </c>
      <c r="AP26" s="403">
        <f t="shared" si="8"/>
        <v>13.810782152437932</v>
      </c>
      <c r="AQ26" s="90">
        <f t="shared" si="9"/>
        <v>6.991908484249195</v>
      </c>
      <c r="AR26" s="238"/>
      <c r="AS26" s="282">
        <f>$H$26*月別販売比率!AG5</f>
        <v>8.5235920852359222</v>
      </c>
      <c r="AT26" s="103"/>
      <c r="AU26" s="301">
        <f>$H$26*月別販売比率!AL5</f>
        <v>7.6712328767123292</v>
      </c>
      <c r="AV26" s="302"/>
      <c r="AW26" s="301">
        <f>$H$26*月別販売比率!AQ5</f>
        <v>8.5235920852359222</v>
      </c>
      <c r="AX26" s="339">
        <v>20</v>
      </c>
      <c r="AY26" s="301">
        <f>$H$26*月別販売比率!AV5</f>
        <v>5.1903881704306425</v>
      </c>
      <c r="AZ26" s="339"/>
      <c r="BA26" s="301">
        <f>$H$26*月別販売比率!BA5</f>
        <v>4.7410879139766333</v>
      </c>
      <c r="BB26" s="339"/>
      <c r="BC26" s="301">
        <f>$H$26*月別販売比率!BF5</f>
        <v>6.8188736681887372</v>
      </c>
      <c r="BD26" s="339"/>
      <c r="BE26" s="282">
        <f>$H$26*月別販売比率!C21</f>
        <v>6.0401796993714632</v>
      </c>
      <c r="BF26" s="104"/>
      <c r="BG26" s="301">
        <f>$H$26*月別販売比率!H21</f>
        <v>5.9665144596651452</v>
      </c>
      <c r="BH26" s="339">
        <v>10</v>
      </c>
      <c r="BI26" s="301">
        <f>$H$26*月別販売比率!M21</f>
        <v>8.6142566071912086</v>
      </c>
      <c r="BJ26" s="339">
        <v>5</v>
      </c>
      <c r="BK26" s="282">
        <f>$H$26*月別販売比率!R21</f>
        <v>6.8188736681887372</v>
      </c>
      <c r="BL26" s="104"/>
      <c r="BM26" s="301">
        <f>$H$26*月別販売比率!W21</f>
        <v>6.4921405454987795</v>
      </c>
      <c r="BN26" s="339">
        <v>10</v>
      </c>
      <c r="BO26" s="301">
        <f>$H$26*月別販売比率!AB21</f>
        <v>10.228310502283106</v>
      </c>
      <c r="BP26" s="339"/>
      <c r="BQ26" s="301">
        <f>$H$26*月別販売比率!AG21</f>
        <v>8.5235920852359222</v>
      </c>
      <c r="BR26" s="339">
        <v>10</v>
      </c>
      <c r="BS26" s="301">
        <f>$H$26*月別販売比率!AL21</f>
        <v>7.6712328767123292</v>
      </c>
      <c r="BT26" s="339">
        <v>5</v>
      </c>
      <c r="BU26" s="301">
        <f>$H$26*月別販売比率!AQ21</f>
        <v>8.5235920852359222</v>
      </c>
      <c r="BV26" s="339"/>
      <c r="BW26" s="282">
        <f>$H$26*月別販売比率!AV21</f>
        <v>5.1903881704306425</v>
      </c>
      <c r="BX26" s="104"/>
      <c r="BY26" s="301">
        <f>$H$26*月別販売比率!BA21</f>
        <v>4.7410879139766333</v>
      </c>
      <c r="BZ26" s="339">
        <v>20</v>
      </c>
      <c r="CA26" s="282">
        <f>$H$26*月別販売比率!BF21</f>
        <v>6.8188736681887372</v>
      </c>
      <c r="CB26" s="104"/>
      <c r="CC26" s="282">
        <f>H26*月別販売比率!$C$21</f>
        <v>6.0401796993714632</v>
      </c>
      <c r="CD26" s="104"/>
      <c r="CE26" s="282">
        <f>H26*月別販売比率!$H$21</f>
        <v>5.9665144596651452</v>
      </c>
      <c r="CF26" s="339">
        <v>20</v>
      </c>
      <c r="CG26" s="282">
        <f>$H$26*月別販売比率!M21</f>
        <v>8.6142566071912086</v>
      </c>
      <c r="CH26" s="339">
        <v>14</v>
      </c>
      <c r="CI26" s="282">
        <f>H26*月別販売比率!$R$21</f>
        <v>6.8188736681887372</v>
      </c>
      <c r="CJ26" s="104">
        <v>15</v>
      </c>
      <c r="CK26" s="282">
        <f>H26*月別販売比率!$W$21</f>
        <v>6.4921405454987795</v>
      </c>
      <c r="CL26" s="104">
        <v>10</v>
      </c>
      <c r="CM26" s="282">
        <f>H26*月別販売比率!$AB$21</f>
        <v>10.228310502283106</v>
      </c>
      <c r="CN26" s="104"/>
      <c r="CO26" s="282">
        <f>H26*月別販売比率!$AG$21</f>
        <v>8.5235920852359222</v>
      </c>
      <c r="CP26" s="104"/>
      <c r="CQ26" s="282">
        <f>H26*月別販売比率!$AL$21</f>
        <v>7.6712328767123292</v>
      </c>
      <c r="CR26" s="104">
        <v>20</v>
      </c>
      <c r="CS26" s="282">
        <f>H26*月別販売比率!$AQ$21</f>
        <v>8.5235920852359222</v>
      </c>
      <c r="CT26" s="104"/>
      <c r="CU26" s="282">
        <f>H26*月別販売比率!$AV$21</f>
        <v>5.1903881704306425</v>
      </c>
      <c r="CV26" s="104"/>
      <c r="CW26" s="282">
        <f>H26*月別販売比率!$BA$21</f>
        <v>4.7410879139766333</v>
      </c>
      <c r="CX26" s="104"/>
      <c r="CY26" s="282">
        <f>H26*月別販売比率!$BF$21</f>
        <v>6.8188736681887372</v>
      </c>
      <c r="CZ26" s="104"/>
      <c r="DA26" s="296"/>
      <c r="DB26" s="297"/>
    </row>
    <row r="27" spans="2:106" ht="30.75" customHeight="1">
      <c r="B27" s="2">
        <v>2</v>
      </c>
      <c r="C27" s="435" t="s">
        <v>8</v>
      </c>
      <c r="D27" s="436"/>
      <c r="E27" s="437"/>
      <c r="F27" s="130">
        <f>SUM(F28:F37)</f>
        <v>453</v>
      </c>
      <c r="G27" s="131">
        <f>SUM(G28:G37)</f>
        <v>1644390</v>
      </c>
      <c r="H27" s="130">
        <v>2323</v>
      </c>
      <c r="I27" s="131">
        <f t="shared" ref="I27:N27" si="15">SUM(I28:I37)</f>
        <v>9625790.397350993</v>
      </c>
      <c r="J27" s="133">
        <f t="shared" si="15"/>
        <v>559</v>
      </c>
      <c r="K27" s="134">
        <f t="shared" si="15"/>
        <v>224</v>
      </c>
      <c r="L27" s="134">
        <f t="shared" si="15"/>
        <v>58</v>
      </c>
      <c r="M27" s="134">
        <f t="shared" si="15"/>
        <v>166</v>
      </c>
      <c r="N27" s="135">
        <f t="shared" si="15"/>
        <v>0</v>
      </c>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6">
        <f t="shared" ref="AS27:CZ27" si="16">SUM(AS28:AS37)</f>
        <v>265.17328918322295</v>
      </c>
      <c r="AT27" s="134">
        <f t="shared" si="16"/>
        <v>0</v>
      </c>
      <c r="AU27" s="136">
        <f t="shared" si="16"/>
        <v>238.65596026490067</v>
      </c>
      <c r="AV27" s="134">
        <f t="shared" si="16"/>
        <v>0</v>
      </c>
      <c r="AW27" s="136">
        <f t="shared" si="16"/>
        <v>265.17328918322295</v>
      </c>
      <c r="AX27" s="134">
        <f t="shared" si="16"/>
        <v>300</v>
      </c>
      <c r="AY27" s="136">
        <f t="shared" si="16"/>
        <v>161.47561843965093</v>
      </c>
      <c r="AZ27" s="134">
        <f t="shared" si="16"/>
        <v>300</v>
      </c>
      <c r="BA27" s="136">
        <f t="shared" si="16"/>
        <v>147.49765871992821</v>
      </c>
      <c r="BB27" s="134">
        <f t="shared" si="16"/>
        <v>300</v>
      </c>
      <c r="BC27" s="136">
        <f t="shared" si="16"/>
        <v>212.13863134657836</v>
      </c>
      <c r="BD27" s="134">
        <f t="shared" si="16"/>
        <v>0</v>
      </c>
      <c r="BE27" s="136">
        <f t="shared" si="16"/>
        <v>187.91306553893227</v>
      </c>
      <c r="BF27" s="134"/>
      <c r="BG27" s="136">
        <f t="shared" si="16"/>
        <v>185.62130242825612</v>
      </c>
      <c r="BH27" s="134">
        <f t="shared" si="16"/>
        <v>0</v>
      </c>
      <c r="BI27" s="136">
        <f t="shared" si="16"/>
        <v>267.99390861910047</v>
      </c>
      <c r="BJ27" s="134">
        <f t="shared" si="16"/>
        <v>300</v>
      </c>
      <c r="BK27" s="136">
        <f t="shared" si="16"/>
        <v>212.13863134657836</v>
      </c>
      <c r="BL27" s="134">
        <f t="shared" si="16"/>
        <v>600</v>
      </c>
      <c r="BM27" s="136">
        <f t="shared" si="16"/>
        <v>201.97379755791363</v>
      </c>
      <c r="BN27" s="134">
        <f t="shared" si="16"/>
        <v>0</v>
      </c>
      <c r="BO27" s="136">
        <f t="shared" si="16"/>
        <v>318.20794701986762</v>
      </c>
      <c r="BP27" s="134">
        <f t="shared" si="16"/>
        <v>600</v>
      </c>
      <c r="BQ27" s="136">
        <f t="shared" si="16"/>
        <v>265.17328918322295</v>
      </c>
      <c r="BR27" s="134">
        <f t="shared" si="16"/>
        <v>0</v>
      </c>
      <c r="BS27" s="136">
        <f t="shared" si="16"/>
        <v>238.65596026490067</v>
      </c>
      <c r="BT27" s="134">
        <f t="shared" si="16"/>
        <v>235</v>
      </c>
      <c r="BU27" s="136">
        <f t="shared" si="16"/>
        <v>265.17328918322295</v>
      </c>
      <c r="BV27" s="134">
        <f t="shared" si="16"/>
        <v>0</v>
      </c>
      <c r="BW27" s="136">
        <f t="shared" si="16"/>
        <v>161.47561843965093</v>
      </c>
      <c r="BX27" s="134">
        <f t="shared" si="16"/>
        <v>591</v>
      </c>
      <c r="BY27" s="136">
        <f t="shared" si="16"/>
        <v>147.49765871992821</v>
      </c>
      <c r="BZ27" s="134">
        <f t="shared" si="16"/>
        <v>0</v>
      </c>
      <c r="CA27" s="136">
        <f t="shared" si="16"/>
        <v>212.13863134657836</v>
      </c>
      <c r="CB27" s="134">
        <f t="shared" si="16"/>
        <v>0</v>
      </c>
      <c r="CC27" s="136">
        <f t="shared" si="16"/>
        <v>187.91306553893227</v>
      </c>
      <c r="CD27" s="134">
        <f t="shared" si="16"/>
        <v>0</v>
      </c>
      <c r="CE27" s="136">
        <f t="shared" si="16"/>
        <v>185.62130242825612</v>
      </c>
      <c r="CF27" s="134">
        <f t="shared" si="16"/>
        <v>568</v>
      </c>
      <c r="CG27" s="136">
        <f t="shared" si="16"/>
        <v>267.99390861910047</v>
      </c>
      <c r="CH27" s="134">
        <f t="shared" si="16"/>
        <v>0</v>
      </c>
      <c r="CI27" s="136">
        <f t="shared" si="16"/>
        <v>212.13863134657836</v>
      </c>
      <c r="CJ27" s="134">
        <f t="shared" si="16"/>
        <v>0</v>
      </c>
      <c r="CK27" s="136">
        <f t="shared" si="16"/>
        <v>201.97379755791363</v>
      </c>
      <c r="CL27" s="134">
        <f t="shared" si="16"/>
        <v>330</v>
      </c>
      <c r="CM27" s="136">
        <f t="shared" si="16"/>
        <v>318.20794701986762</v>
      </c>
      <c r="CN27" s="134">
        <f t="shared" si="16"/>
        <v>0</v>
      </c>
      <c r="CO27" s="136">
        <f t="shared" si="16"/>
        <v>265.17328918322295</v>
      </c>
      <c r="CP27" s="134">
        <f t="shared" si="16"/>
        <v>280</v>
      </c>
      <c r="CQ27" s="136">
        <f t="shared" si="16"/>
        <v>238.65596026490067</v>
      </c>
      <c r="CR27" s="134">
        <f t="shared" si="16"/>
        <v>300</v>
      </c>
      <c r="CS27" s="136">
        <f t="shared" si="16"/>
        <v>265.17328918322295</v>
      </c>
      <c r="CT27" s="134">
        <f t="shared" si="16"/>
        <v>345</v>
      </c>
      <c r="CU27" s="136">
        <v>161.47561843965093</v>
      </c>
      <c r="CV27" s="134">
        <f t="shared" si="16"/>
        <v>0</v>
      </c>
      <c r="CW27" s="136">
        <f t="shared" si="16"/>
        <v>147.49765871992821</v>
      </c>
      <c r="CX27" s="134">
        <f t="shared" si="16"/>
        <v>0</v>
      </c>
      <c r="CY27" s="136">
        <f t="shared" si="16"/>
        <v>212.13863134657836</v>
      </c>
      <c r="CZ27" s="134">
        <f t="shared" si="16"/>
        <v>0</v>
      </c>
      <c r="DA27" s="141"/>
      <c r="DB27" s="293"/>
    </row>
    <row r="28" spans="2:106" ht="30.75" customHeight="1">
      <c r="C28" s="446" t="s">
        <v>504</v>
      </c>
      <c r="D28" s="443">
        <v>1</v>
      </c>
      <c r="E28" s="99" t="s">
        <v>46</v>
      </c>
      <c r="F28" s="56">
        <v>31</v>
      </c>
      <c r="G28" s="46">
        <f>F28*3630</f>
        <v>112530</v>
      </c>
      <c r="H28" s="164">
        <v>200</v>
      </c>
      <c r="I28" s="46">
        <f t="shared" ref="I28:I37" si="17">H28*3630</f>
        <v>726000</v>
      </c>
      <c r="J28" s="49">
        <v>0</v>
      </c>
      <c r="K28" s="39">
        <f t="shared" ref="K28:K37" si="18">SUM(L28:N28)</f>
        <v>10</v>
      </c>
      <c r="L28" s="39">
        <v>0</v>
      </c>
      <c r="M28" s="39">
        <v>10</v>
      </c>
      <c r="N28" s="384"/>
      <c r="O28" s="288"/>
      <c r="P28" s="289"/>
      <c r="Q28" s="331"/>
      <c r="R28" s="328"/>
      <c r="S28" s="331">
        <v>45693</v>
      </c>
      <c r="T28" s="330"/>
      <c r="U28" s="328"/>
      <c r="V28" s="328"/>
      <c r="W28" s="328"/>
      <c r="X28" s="331">
        <v>45869</v>
      </c>
      <c r="Y28" s="124"/>
      <c r="Z28" s="124"/>
      <c r="AA28" s="328"/>
      <c r="AB28" s="328"/>
      <c r="AC28" s="328"/>
      <c r="AD28" s="331">
        <v>46045</v>
      </c>
      <c r="AE28" s="331"/>
      <c r="AF28" s="331"/>
      <c r="AG28" s="331"/>
      <c r="AH28" s="331"/>
      <c r="AI28" s="129">
        <f>SUM(J28:K28)-CI28+CJ28</f>
        <v>-6</v>
      </c>
      <c r="AJ28" s="129">
        <f>0-CK28+CL28</f>
        <v>14.766655934311794</v>
      </c>
      <c r="AK28" s="129">
        <f t="shared" ref="AK28:AK37" si="19">AJ28-CM28+CN28</f>
        <v>-9.2333440656882058</v>
      </c>
      <c r="AL28" s="399">
        <f>0-CO28+CP28</f>
        <v>20</v>
      </c>
      <c r="AM28" s="393">
        <f t="shared" ref="AM28:AM37" si="20">AL28-CQ28+CR28</f>
        <v>37</v>
      </c>
      <c r="AN28" s="393">
        <f t="shared" ref="AN28:AN37" si="21">AM28-CS28+CT28</f>
        <v>42</v>
      </c>
      <c r="AO28" s="393">
        <f t="shared" ref="AO28:AO37" si="22">AN28-CU28+CV28</f>
        <v>29.82112490009667</v>
      </c>
      <c r="AP28" s="96">
        <f t="shared" ref="AP28:AP37" si="23">AO28-CW28+CX28</f>
        <v>18.696500759087215</v>
      </c>
      <c r="AQ28" s="91">
        <f t="shared" ref="AQ28:AQ37" si="24">AP28-CY28+CZ28</f>
        <v>2.6965007590872148</v>
      </c>
      <c r="AR28" s="198"/>
      <c r="AS28" s="81">
        <f>$H$28*月別販売比率!AG5</f>
        <v>20</v>
      </c>
      <c r="AT28" s="39"/>
      <c r="AU28" s="81">
        <f>$H$28*月別販売比率!AL5</f>
        <v>18</v>
      </c>
      <c r="AV28" s="39"/>
      <c r="AW28" s="245">
        <f>$H$28*月別販売比率!AQ5</f>
        <v>20</v>
      </c>
      <c r="AX28" s="280">
        <v>20</v>
      </c>
      <c r="AY28" s="245">
        <f>$H$28*月別販売比率!AV5</f>
        <v>12.178875099903328</v>
      </c>
      <c r="AZ28" s="280">
        <v>42</v>
      </c>
      <c r="BA28" s="245">
        <f>$H$28*月別販売比率!BA5</f>
        <v>11.124624141009457</v>
      </c>
      <c r="BB28" s="280">
        <v>42</v>
      </c>
      <c r="BC28" s="81">
        <f>$H$28*月別販売比率!BF5</f>
        <v>16</v>
      </c>
      <c r="BD28" s="39"/>
      <c r="BE28" s="245">
        <f>$H$28*月別販売比率!C21</f>
        <v>14.172850223168041</v>
      </c>
      <c r="BF28" s="280"/>
      <c r="BG28" s="81">
        <f>$H$28*月別販売比率!H21</f>
        <v>14.000000000000002</v>
      </c>
      <c r="BH28" s="39"/>
      <c r="BI28" s="245">
        <f>$H$28*月別販売比率!M21</f>
        <v>20.212737824730802</v>
      </c>
      <c r="BJ28" s="280"/>
      <c r="BK28" s="245">
        <f>$H$28*月別販売比率!R21</f>
        <v>16</v>
      </c>
      <c r="BL28" s="280">
        <v>60</v>
      </c>
      <c r="BM28" s="81">
        <f>$H$28*月別販売比率!W21</f>
        <v>15.233344065688206</v>
      </c>
      <c r="BN28" s="39"/>
      <c r="BO28" s="245">
        <f>$H$28*月別販売比率!AB21</f>
        <v>24</v>
      </c>
      <c r="BP28" s="280">
        <v>35</v>
      </c>
      <c r="BQ28" s="81">
        <f>$H$28*月別販売比率!AG21</f>
        <v>20</v>
      </c>
      <c r="BR28" s="39"/>
      <c r="BS28" s="245">
        <f>$H$28*月別販売比率!AL21</f>
        <v>18</v>
      </c>
      <c r="BT28" s="280">
        <v>20</v>
      </c>
      <c r="BU28" s="81">
        <f>$H$28*月別販売比率!AQ21</f>
        <v>20</v>
      </c>
      <c r="BV28" s="39"/>
      <c r="BW28" s="245">
        <f>$H$28*月別販売比率!AV21</f>
        <v>12.178875099903328</v>
      </c>
      <c r="BX28" s="280">
        <v>37</v>
      </c>
      <c r="BY28" s="81">
        <f>$H$28*月別販売比率!BA21</f>
        <v>11.124624141009457</v>
      </c>
      <c r="BZ28" s="39"/>
      <c r="CA28" s="81">
        <f>$H$28*月別販売比率!BF21</f>
        <v>16</v>
      </c>
      <c r="CB28" s="39"/>
      <c r="CC28" s="81">
        <f>H28*月別販売比率!$C$21</f>
        <v>14.172850223168041</v>
      </c>
      <c r="CD28" s="39"/>
      <c r="CE28" s="81">
        <f>H28*月別販売比率!$H$21</f>
        <v>14.000000000000002</v>
      </c>
      <c r="CF28" s="280">
        <v>62</v>
      </c>
      <c r="CG28" s="81">
        <f>H28*月別販売比率!$M$21</f>
        <v>20.212737824730802</v>
      </c>
      <c r="CH28" s="39"/>
      <c r="CI28" s="81">
        <f>H28*月別販売比率!$R$21</f>
        <v>16</v>
      </c>
      <c r="CJ28" s="39"/>
      <c r="CK28" s="81">
        <f>H28*月別販売比率!$W$21</f>
        <v>15.233344065688206</v>
      </c>
      <c r="CL28" s="39">
        <v>30</v>
      </c>
      <c r="CM28" s="81">
        <f>H28*月別販売比率!$AB$21</f>
        <v>24</v>
      </c>
      <c r="CN28" s="39"/>
      <c r="CO28" s="81">
        <f>H28*月別販売比率!$AG$21</f>
        <v>20</v>
      </c>
      <c r="CP28" s="39">
        <v>40</v>
      </c>
      <c r="CQ28" s="81">
        <f>H28*月別販売比率!$AL$21</f>
        <v>18</v>
      </c>
      <c r="CR28" s="39">
        <v>35</v>
      </c>
      <c r="CS28" s="81">
        <f>H28*月別販売比率!$AQ$21</f>
        <v>20</v>
      </c>
      <c r="CT28" s="39">
        <v>25</v>
      </c>
      <c r="CU28" s="81">
        <f>H28*月別販売比率!$AV$21</f>
        <v>12.178875099903328</v>
      </c>
      <c r="CV28" s="39"/>
      <c r="CW28" s="81">
        <f>H28*月別販売比率!$BA$21</f>
        <v>11.124624141009457</v>
      </c>
      <c r="CX28" s="39"/>
      <c r="CY28" s="81">
        <f>H28*月別販売比率!$BF$21</f>
        <v>16</v>
      </c>
      <c r="CZ28" s="39"/>
      <c r="DA28" s="28"/>
      <c r="DB28" s="294"/>
    </row>
    <row r="29" spans="2:106" ht="30.75" customHeight="1">
      <c r="C29" s="457"/>
      <c r="D29" s="441"/>
      <c r="E29" s="94" t="s">
        <v>47</v>
      </c>
      <c r="F29" s="57">
        <v>32</v>
      </c>
      <c r="G29" s="5">
        <f t="shared" ref="G29:G37" si="25">F29*3630</f>
        <v>116160</v>
      </c>
      <c r="H29" s="164">
        <v>320</v>
      </c>
      <c r="I29" s="5">
        <f t="shared" si="17"/>
        <v>1161600</v>
      </c>
      <c r="J29" s="49">
        <v>24</v>
      </c>
      <c r="K29" s="21">
        <f t="shared" si="18"/>
        <v>21</v>
      </c>
      <c r="L29" s="21">
        <v>9</v>
      </c>
      <c r="M29" s="21">
        <v>12</v>
      </c>
      <c r="N29" s="384"/>
      <c r="O29" s="288"/>
      <c r="P29" s="288"/>
      <c r="Q29" s="331"/>
      <c r="R29" s="328"/>
      <c r="S29" s="331">
        <v>45693</v>
      </c>
      <c r="T29" s="330"/>
      <c r="U29" s="328"/>
      <c r="V29" s="328"/>
      <c r="W29" s="328"/>
      <c r="X29" s="331">
        <v>45869</v>
      </c>
      <c r="Y29" s="124"/>
      <c r="Z29" s="124"/>
      <c r="AA29" s="124"/>
      <c r="AB29" s="328"/>
      <c r="AC29" s="328"/>
      <c r="AD29" s="331">
        <v>46045</v>
      </c>
      <c r="AE29" s="124"/>
      <c r="AF29" s="328"/>
      <c r="AG29" s="331"/>
      <c r="AH29" s="331"/>
      <c r="AI29" s="129">
        <f>SUM(J29:K29)-CI29+CJ29</f>
        <v>19.399999999999999</v>
      </c>
      <c r="AJ29" s="129">
        <f t="shared" ref="AJ29:AJ37" si="26">AI29-CK29+CL29</f>
        <v>55.026649494898869</v>
      </c>
      <c r="AK29" s="129">
        <f t="shared" si="19"/>
        <v>16.626649494898871</v>
      </c>
      <c r="AL29" s="399">
        <f t="shared" ref="AL29:AL37" si="27">AK29-CO29+CP29</f>
        <v>44.626649494898871</v>
      </c>
      <c r="AM29" s="393">
        <f t="shared" si="20"/>
        <v>45.826649494898874</v>
      </c>
      <c r="AN29" s="393">
        <f t="shared" si="21"/>
        <v>58.826649494898874</v>
      </c>
      <c r="AO29" s="393">
        <f t="shared" si="22"/>
        <v>39.340449335053549</v>
      </c>
      <c r="AP29" s="96">
        <f t="shared" si="23"/>
        <v>21.541050709438419</v>
      </c>
      <c r="AQ29" s="91">
        <f t="shared" si="24"/>
        <v>-4.058949290561582</v>
      </c>
      <c r="AR29" s="198"/>
      <c r="AS29" s="81">
        <f>$H$29*月別販売比率!AG5</f>
        <v>32</v>
      </c>
      <c r="AT29" s="21"/>
      <c r="AU29" s="81">
        <f>$H$29*月別販売比率!AL5</f>
        <v>28.799999999999997</v>
      </c>
      <c r="AV29" s="21"/>
      <c r="AW29" s="245">
        <f>$H$29*月別販売比率!AQ5</f>
        <v>32</v>
      </c>
      <c r="AX29" s="241">
        <v>30</v>
      </c>
      <c r="AY29" s="245">
        <f>$H$29*月別販売比率!AV5</f>
        <v>19.486200159845325</v>
      </c>
      <c r="AZ29" s="241">
        <v>48</v>
      </c>
      <c r="BA29" s="245">
        <f>$H$29*月別販売比率!BA5</f>
        <v>17.79939862561513</v>
      </c>
      <c r="BB29" s="241">
        <v>48</v>
      </c>
      <c r="BC29" s="81">
        <f>$H$29*月別販売比率!BF5</f>
        <v>25.6</v>
      </c>
      <c r="BD29" s="21"/>
      <c r="BE29" s="245">
        <f>$H$29*月別販売比率!C21</f>
        <v>22.676560357068865</v>
      </c>
      <c r="BF29" s="241"/>
      <c r="BG29" s="81">
        <f>$H$29*月別販売比率!H21</f>
        <v>22.400000000000002</v>
      </c>
      <c r="BH29" s="21"/>
      <c r="BI29" s="245">
        <f>$H$29*月別販売比率!M21</f>
        <v>32.34038051956928</v>
      </c>
      <c r="BJ29" s="241"/>
      <c r="BK29" s="245">
        <f>$H$29*月別販売比率!R21</f>
        <v>25.6</v>
      </c>
      <c r="BL29" s="241">
        <v>60</v>
      </c>
      <c r="BM29" s="81">
        <f>$H$29*月別販売比率!W21</f>
        <v>24.373350505101129</v>
      </c>
      <c r="BN29" s="21"/>
      <c r="BO29" s="245">
        <f>$H$29*月別販売比率!AB21</f>
        <v>38.4</v>
      </c>
      <c r="BP29" s="241">
        <v>40</v>
      </c>
      <c r="BQ29" s="81">
        <f>$H$29*月別販売比率!AG21</f>
        <v>32</v>
      </c>
      <c r="BR29" s="21"/>
      <c r="BS29" s="245">
        <f>$H$29*月別販売比率!AL21</f>
        <v>28.799999999999997</v>
      </c>
      <c r="BT29" s="241">
        <v>25</v>
      </c>
      <c r="BU29" s="81">
        <f>$H$29*月別販売比率!AQ21</f>
        <v>32</v>
      </c>
      <c r="BV29" s="21"/>
      <c r="BW29" s="245">
        <f>$H$29*月別販売比率!AV21</f>
        <v>19.486200159845325</v>
      </c>
      <c r="BX29" s="241">
        <v>40</v>
      </c>
      <c r="BY29" s="81">
        <f>$H$29*月別販売比率!BA21</f>
        <v>17.79939862561513</v>
      </c>
      <c r="BZ29" s="21"/>
      <c r="CA29" s="81">
        <f>$H$29*月別販売比率!BF21</f>
        <v>25.6</v>
      </c>
      <c r="CB29" s="21"/>
      <c r="CC29" s="81">
        <f>H29*月別販売比率!$C$21</f>
        <v>22.676560357068865</v>
      </c>
      <c r="CD29" s="21"/>
      <c r="CE29" s="81">
        <f>H29*月別販売比率!$H$21</f>
        <v>22.400000000000002</v>
      </c>
      <c r="CF29" s="241">
        <v>96</v>
      </c>
      <c r="CG29" s="81">
        <f>H29*月別販売比率!$M$21</f>
        <v>32.34038051956928</v>
      </c>
      <c r="CH29" s="21"/>
      <c r="CI29" s="81">
        <f>H29*月別販売比率!$R$21</f>
        <v>25.6</v>
      </c>
      <c r="CJ29" s="21"/>
      <c r="CK29" s="81">
        <f>H29*月別販売比率!$W$21</f>
        <v>24.373350505101129</v>
      </c>
      <c r="CL29" s="21">
        <v>60</v>
      </c>
      <c r="CM29" s="81">
        <f>H29*月別販売比率!$AB$21</f>
        <v>38.4</v>
      </c>
      <c r="CN29" s="21"/>
      <c r="CO29" s="81">
        <f>H29*月別販売比率!$AG$21</f>
        <v>32</v>
      </c>
      <c r="CP29" s="21">
        <v>60</v>
      </c>
      <c r="CQ29" s="81">
        <f>H29*月別販売比率!$AL$21</f>
        <v>28.799999999999997</v>
      </c>
      <c r="CR29" s="21">
        <v>30</v>
      </c>
      <c r="CS29" s="81">
        <f>H29*月別販売比率!$AQ$21</f>
        <v>32</v>
      </c>
      <c r="CT29" s="21">
        <v>45</v>
      </c>
      <c r="CU29" s="81">
        <f>H29*月別販売比率!$AV$21</f>
        <v>19.486200159845325</v>
      </c>
      <c r="CV29" s="21"/>
      <c r="CW29" s="81">
        <f>H29*月別販売比率!$BA$21</f>
        <v>17.79939862561513</v>
      </c>
      <c r="CX29" s="21"/>
      <c r="CY29" s="81">
        <f>H29*月別販売比率!$BF$21</f>
        <v>25.6</v>
      </c>
      <c r="CZ29" s="21"/>
      <c r="DA29" s="28"/>
      <c r="DB29" s="294"/>
    </row>
    <row r="30" spans="2:106" ht="30.75" customHeight="1">
      <c r="C30" s="457"/>
      <c r="D30" s="441"/>
      <c r="E30" s="94" t="s">
        <v>51</v>
      </c>
      <c r="F30" s="57">
        <v>25</v>
      </c>
      <c r="G30" s="5">
        <f t="shared" si="25"/>
        <v>90750</v>
      </c>
      <c r="H30" s="164">
        <v>260</v>
      </c>
      <c r="I30" s="5">
        <f t="shared" si="17"/>
        <v>943800</v>
      </c>
      <c r="J30" s="49">
        <v>34</v>
      </c>
      <c r="K30" s="21">
        <f t="shared" si="18"/>
        <v>22</v>
      </c>
      <c r="L30" s="21">
        <v>10</v>
      </c>
      <c r="M30" s="21">
        <v>12</v>
      </c>
      <c r="N30" s="384"/>
      <c r="O30" s="19"/>
      <c r="P30" s="288"/>
      <c r="Q30" s="331"/>
      <c r="R30" s="328"/>
      <c r="S30" s="331">
        <v>45693</v>
      </c>
      <c r="T30" s="330"/>
      <c r="U30" s="124"/>
      <c r="V30" s="124"/>
      <c r="W30" s="124"/>
      <c r="X30" s="331">
        <v>45869</v>
      </c>
      <c r="Y30" s="124"/>
      <c r="Z30" s="124"/>
      <c r="AA30" s="124"/>
      <c r="AB30" s="328"/>
      <c r="AC30" s="328"/>
      <c r="AD30" s="331">
        <v>46045</v>
      </c>
      <c r="AE30" s="124"/>
      <c r="AF30" s="328"/>
      <c r="AG30" s="331"/>
      <c r="AH30" s="331"/>
      <c r="AI30" s="129">
        <f>SUM(J30:K30)-CI30+CJ30</f>
        <v>35.200000000000003</v>
      </c>
      <c r="AJ30" s="129">
        <f t="shared" si="26"/>
        <v>65.396652714605338</v>
      </c>
      <c r="AK30" s="129">
        <f t="shared" si="19"/>
        <v>34.196652714605335</v>
      </c>
      <c r="AL30" s="399">
        <f t="shared" si="27"/>
        <v>48.196652714605335</v>
      </c>
      <c r="AM30" s="393">
        <f t="shared" si="20"/>
        <v>54.796652714605337</v>
      </c>
      <c r="AN30" s="393">
        <f t="shared" si="21"/>
        <v>63.796652714605337</v>
      </c>
      <c r="AO30" s="393">
        <f t="shared" si="22"/>
        <v>47.964115084731006</v>
      </c>
      <c r="AP30" s="96">
        <f t="shared" si="23"/>
        <v>33.502103701418712</v>
      </c>
      <c r="AQ30" s="91">
        <f t="shared" si="24"/>
        <v>12.702103701418711</v>
      </c>
      <c r="AR30" s="198"/>
      <c r="AS30" s="81">
        <f>$H$30*月別販売比率!AG5</f>
        <v>26</v>
      </c>
      <c r="AT30" s="21"/>
      <c r="AU30" s="81">
        <f>$H$30*月別販売比率!AL5</f>
        <v>23.4</v>
      </c>
      <c r="AV30" s="21"/>
      <c r="AW30" s="245">
        <f>$H$30*月別販売比率!AQ5</f>
        <v>26</v>
      </c>
      <c r="AX30" s="241">
        <v>30</v>
      </c>
      <c r="AY30" s="245">
        <f>$H$30*月別販売比率!AV5</f>
        <v>15.832537629874327</v>
      </c>
      <c r="AZ30" s="241">
        <v>36</v>
      </c>
      <c r="BA30" s="245">
        <f>$H$30*月別販売比率!BA5</f>
        <v>14.462011383312294</v>
      </c>
      <c r="BB30" s="241">
        <v>36</v>
      </c>
      <c r="BC30" s="81">
        <f>$H$30*月別販売比率!BF5</f>
        <v>20.8</v>
      </c>
      <c r="BD30" s="21"/>
      <c r="BE30" s="245">
        <f>$H$30*月別販売比率!C21</f>
        <v>18.424705290118453</v>
      </c>
      <c r="BF30" s="241"/>
      <c r="BG30" s="81">
        <f>$H$30*月別販売比率!H21</f>
        <v>18.200000000000003</v>
      </c>
      <c r="BH30" s="21"/>
      <c r="BI30" s="245">
        <f>$H$30*月別販売比率!M21</f>
        <v>26.276559172150041</v>
      </c>
      <c r="BJ30" s="241"/>
      <c r="BK30" s="245">
        <f>$H$30*月別販売比率!R21</f>
        <v>20.8</v>
      </c>
      <c r="BL30" s="241">
        <v>35</v>
      </c>
      <c r="BM30" s="81">
        <f>$H$30*月別販売比率!W21</f>
        <v>19.803347285394668</v>
      </c>
      <c r="BN30" s="21"/>
      <c r="BO30" s="245">
        <f>$H$30*月別販売比率!AB21</f>
        <v>31.2</v>
      </c>
      <c r="BP30" s="241">
        <v>35</v>
      </c>
      <c r="BQ30" s="81">
        <f>$H$30*月別販売比率!AG21</f>
        <v>26</v>
      </c>
      <c r="BR30" s="21"/>
      <c r="BS30" s="245">
        <f>$H$30*月別販売比率!AL21</f>
        <v>23.4</v>
      </c>
      <c r="BT30" s="241">
        <v>0</v>
      </c>
      <c r="BU30" s="81">
        <f>$H$30*月別販売比率!AQ21</f>
        <v>26</v>
      </c>
      <c r="BV30" s="21"/>
      <c r="BW30" s="245">
        <f>$H$30*月別販売比率!AV21</f>
        <v>15.832537629874327</v>
      </c>
      <c r="BX30" s="241">
        <v>42</v>
      </c>
      <c r="BY30" s="81">
        <f>$H$30*月別販売比率!BA21</f>
        <v>14.462011383312294</v>
      </c>
      <c r="BZ30" s="21"/>
      <c r="CA30" s="81">
        <f>$H$30*月別販売比率!BF21</f>
        <v>20.8</v>
      </c>
      <c r="CB30" s="21"/>
      <c r="CC30" s="81">
        <f>H30*月別販売比率!$C$21</f>
        <v>18.424705290118453</v>
      </c>
      <c r="CD30" s="21"/>
      <c r="CE30" s="81">
        <f>H30*月別販売比率!$H$21</f>
        <v>18.200000000000003</v>
      </c>
      <c r="CF30" s="241">
        <v>81</v>
      </c>
      <c r="CG30" s="81">
        <f>H30*月別販売比率!$M$21</f>
        <v>26.276559172150041</v>
      </c>
      <c r="CH30" s="21"/>
      <c r="CI30" s="81">
        <f>H30*月別販売比率!$R$21</f>
        <v>20.8</v>
      </c>
      <c r="CJ30" s="21"/>
      <c r="CK30" s="81">
        <f>H30*月別販売比率!$W$21</f>
        <v>19.803347285394668</v>
      </c>
      <c r="CL30" s="21">
        <v>50</v>
      </c>
      <c r="CM30" s="81">
        <f>H30*月別販売比率!$AB$21</f>
        <v>31.2</v>
      </c>
      <c r="CN30" s="21"/>
      <c r="CO30" s="81">
        <f>H30*月別販売比率!$AG$21</f>
        <v>26</v>
      </c>
      <c r="CP30" s="21">
        <v>40</v>
      </c>
      <c r="CQ30" s="81">
        <f>H30*月別販売比率!$AL$21</f>
        <v>23.4</v>
      </c>
      <c r="CR30" s="21">
        <v>30</v>
      </c>
      <c r="CS30" s="81">
        <f>H30*月別販売比率!$AQ$21</f>
        <v>26</v>
      </c>
      <c r="CT30" s="21">
        <v>35</v>
      </c>
      <c r="CU30" s="81">
        <f>H30*月別販売比率!$AV$21</f>
        <v>15.832537629874327</v>
      </c>
      <c r="CV30" s="21"/>
      <c r="CW30" s="81">
        <f>H30*月別販売比率!$BA$21</f>
        <v>14.462011383312294</v>
      </c>
      <c r="CX30" s="21"/>
      <c r="CY30" s="81">
        <f>H30*月別販売比率!$BF$21</f>
        <v>20.8</v>
      </c>
      <c r="CZ30" s="21"/>
      <c r="DA30" s="28"/>
      <c r="DB30" s="294"/>
    </row>
    <row r="31" spans="2:106" ht="30.75" customHeight="1">
      <c r="C31" s="457"/>
      <c r="D31" s="441"/>
      <c r="E31" s="94" t="s">
        <v>49</v>
      </c>
      <c r="F31" s="57">
        <v>28</v>
      </c>
      <c r="G31" s="5">
        <f t="shared" si="25"/>
        <v>101640</v>
      </c>
      <c r="H31" s="45">
        <f>F31*($H$27/$F$27)</f>
        <v>143.58498896247241</v>
      </c>
      <c r="I31" s="5">
        <f t="shared" si="17"/>
        <v>521213.50993377483</v>
      </c>
      <c r="J31" s="49">
        <v>7</v>
      </c>
      <c r="K31" s="21">
        <f t="shared" si="18"/>
        <v>27</v>
      </c>
      <c r="L31" s="21">
        <v>7</v>
      </c>
      <c r="M31" s="21">
        <v>20</v>
      </c>
      <c r="N31" s="384"/>
      <c r="O31" s="19"/>
      <c r="P31" s="288"/>
      <c r="Q31" s="331">
        <v>45631</v>
      </c>
      <c r="R31" s="124"/>
      <c r="S31" s="124"/>
      <c r="T31" s="124"/>
      <c r="U31" s="328"/>
      <c r="V31" s="124"/>
      <c r="W31" s="124"/>
      <c r="X31" s="124"/>
      <c r="Y31" s="124"/>
      <c r="Z31" s="124"/>
      <c r="AA31" s="124"/>
      <c r="AB31" s="124"/>
      <c r="AC31" s="328"/>
      <c r="AD31" s="124"/>
      <c r="AE31" s="124"/>
      <c r="AF31" s="124"/>
      <c r="AG31" s="124"/>
      <c r="AH31" s="124"/>
      <c r="AI31" s="129">
        <f>SUM(J31:K31)-CI31+CJ31</f>
        <v>22.513200883002206</v>
      </c>
      <c r="AJ31" s="129">
        <f t="shared" si="26"/>
        <v>31.57680318533528</v>
      </c>
      <c r="AK31" s="129">
        <f t="shared" si="19"/>
        <v>14.346604509838592</v>
      </c>
      <c r="AL31" s="399">
        <f t="shared" si="27"/>
        <v>19.988105613591351</v>
      </c>
      <c r="AM31" s="393">
        <f t="shared" si="20"/>
        <v>32.065456606968837</v>
      </c>
      <c r="AN31" s="393">
        <f t="shared" si="21"/>
        <v>42.706957710721596</v>
      </c>
      <c r="AO31" s="393">
        <f t="shared" si="22"/>
        <v>33.963439476746849</v>
      </c>
      <c r="AP31" s="96">
        <f t="shared" si="23"/>
        <v>25.976794304254366</v>
      </c>
      <c r="AQ31" s="91">
        <f t="shared" si="24"/>
        <v>14.489995187256573</v>
      </c>
      <c r="AR31" s="198"/>
      <c r="AS31" s="81">
        <f>$H$31*月別販売比率!AG5</f>
        <v>14.358498896247241</v>
      </c>
      <c r="AT31" s="21"/>
      <c r="AU31" s="81">
        <f>$H$31*月別販売比率!AL5</f>
        <v>12.922649006622516</v>
      </c>
      <c r="AV31" s="21"/>
      <c r="AW31" s="245">
        <f>$H$31*月別販売比率!AQ5</f>
        <v>14.358498896247241</v>
      </c>
      <c r="AX31" s="241">
        <v>25</v>
      </c>
      <c r="AY31" s="245">
        <f>$H$31*月別販売比率!AV5</f>
        <v>8.743518233974747</v>
      </c>
      <c r="AZ31" s="241">
        <v>12</v>
      </c>
      <c r="BA31" s="245">
        <f>$H$31*月別販売比率!BA5</f>
        <v>7.9866451724924845</v>
      </c>
      <c r="BB31" s="241">
        <v>12</v>
      </c>
      <c r="BC31" s="81">
        <f>$H$31*月別販売比率!BF5</f>
        <v>11.486799116997792</v>
      </c>
      <c r="BD31" s="21"/>
      <c r="BE31" s="245">
        <f>$H$31*月別販売比率!C21</f>
        <v>10.175042714301789</v>
      </c>
      <c r="BF31" s="241">
        <v>48</v>
      </c>
      <c r="BG31" s="81">
        <f>$H$31*月別販売比率!H21</f>
        <v>10.050949227373069</v>
      </c>
      <c r="BH31" s="21"/>
      <c r="BI31" s="245">
        <f>$H$31*月別販売比率!M21</f>
        <v>14.511228687326602</v>
      </c>
      <c r="BJ31" s="241"/>
      <c r="BK31" s="245">
        <f>$H$31*月別販売比率!R21</f>
        <v>11.486799116997792</v>
      </c>
      <c r="BL31" s="241">
        <v>25</v>
      </c>
      <c r="BM31" s="81">
        <f>$H$31*月別販売比率!W21</f>
        <v>10.936397697666928</v>
      </c>
      <c r="BN31" s="21"/>
      <c r="BO31" s="245">
        <f>$H$31*月別販売比率!AB21</f>
        <v>17.230198675496688</v>
      </c>
      <c r="BP31" s="241">
        <v>40</v>
      </c>
      <c r="BQ31" s="81">
        <f>$H$31*月別販売比率!AG21</f>
        <v>14.358498896247241</v>
      </c>
      <c r="BR31" s="21"/>
      <c r="BS31" s="245">
        <f>$H$31*月別販売比率!AL21</f>
        <v>12.922649006622516</v>
      </c>
      <c r="BT31" s="241">
        <v>0</v>
      </c>
      <c r="BU31" s="81">
        <f>$H$31*月別販売比率!AQ21</f>
        <v>14.358498896247241</v>
      </c>
      <c r="BV31" s="21"/>
      <c r="BW31" s="245">
        <f>$H$31*月別販売比率!AV21</f>
        <v>8.743518233974747</v>
      </c>
      <c r="BX31" s="241">
        <v>35</v>
      </c>
      <c r="BY31" s="81">
        <f>$H$31*月別販売比率!BA21</f>
        <v>7.9866451724924845</v>
      </c>
      <c r="BZ31" s="21"/>
      <c r="CA31" s="81">
        <f>$H$31*月別販売比率!BF21</f>
        <v>11.486799116997792</v>
      </c>
      <c r="CB31" s="21"/>
      <c r="CC31" s="81">
        <f>H31*月別販売比率!$C$21</f>
        <v>10.175042714301789</v>
      </c>
      <c r="CD31" s="21"/>
      <c r="CE31" s="81">
        <f>H31*月別販売比率!$H$21</f>
        <v>10.050949227373069</v>
      </c>
      <c r="CF31" s="241">
        <v>32</v>
      </c>
      <c r="CG31" s="81">
        <f>H31*月別販売比率!$M$21</f>
        <v>14.511228687326602</v>
      </c>
      <c r="CH31" s="21"/>
      <c r="CI31" s="81">
        <f>H31*月別販売比率!$R$21</f>
        <v>11.486799116997792</v>
      </c>
      <c r="CJ31" s="21"/>
      <c r="CK31" s="81">
        <f>H31*月別販売比率!$W$21</f>
        <v>10.936397697666928</v>
      </c>
      <c r="CL31" s="21">
        <v>20</v>
      </c>
      <c r="CM31" s="81">
        <f>H31*月別販売比率!$AB$21</f>
        <v>17.230198675496688</v>
      </c>
      <c r="CN31" s="21"/>
      <c r="CO31" s="81">
        <f>H31*月別販売比率!$AG$21</f>
        <v>14.358498896247241</v>
      </c>
      <c r="CP31" s="21">
        <v>20</v>
      </c>
      <c r="CQ31" s="81">
        <f>H31*月別販売比率!$AL$21</f>
        <v>12.922649006622516</v>
      </c>
      <c r="CR31" s="21">
        <v>25</v>
      </c>
      <c r="CS31" s="81">
        <f>H31*月別販売比率!$AQ$21</f>
        <v>14.358498896247241</v>
      </c>
      <c r="CT31" s="21">
        <v>25</v>
      </c>
      <c r="CU31" s="81">
        <f>H31*月別販売比率!$AV$21</f>
        <v>8.743518233974747</v>
      </c>
      <c r="CV31" s="21"/>
      <c r="CW31" s="81">
        <f>H31*月別販売比率!$BA$21</f>
        <v>7.9866451724924845</v>
      </c>
      <c r="CX31" s="21"/>
      <c r="CY31" s="81">
        <f>H31*月別販売比率!$BF$21</f>
        <v>11.486799116997792</v>
      </c>
      <c r="CZ31" s="21"/>
      <c r="DA31" s="28"/>
      <c r="DB31" s="294"/>
    </row>
    <row r="32" spans="2:106" ht="30.75" customHeight="1">
      <c r="C32" s="457"/>
      <c r="D32" s="442"/>
      <c r="E32" s="94" t="s">
        <v>50</v>
      </c>
      <c r="F32" s="57">
        <v>17</v>
      </c>
      <c r="G32" s="5">
        <f t="shared" si="25"/>
        <v>61710</v>
      </c>
      <c r="H32" s="45">
        <f>F32*($H$27/$F$27)</f>
        <v>87.176600441501108</v>
      </c>
      <c r="I32" s="5">
        <f t="shared" si="17"/>
        <v>316451.05960264901</v>
      </c>
      <c r="J32" s="49">
        <v>4</v>
      </c>
      <c r="K32" s="21">
        <f t="shared" si="18"/>
        <v>21</v>
      </c>
      <c r="L32" s="21">
        <v>3</v>
      </c>
      <c r="M32" s="21">
        <v>18</v>
      </c>
      <c r="N32" s="384"/>
      <c r="O32" s="19"/>
      <c r="P32" s="19"/>
      <c r="Q32" s="331">
        <v>45631</v>
      </c>
      <c r="R32" s="331">
        <v>45685</v>
      </c>
      <c r="S32" s="124"/>
      <c r="T32" s="124"/>
      <c r="U32" s="328"/>
      <c r="V32" s="124"/>
      <c r="W32" s="124"/>
      <c r="X32" s="124"/>
      <c r="Y32" s="124"/>
      <c r="Z32" s="124"/>
      <c r="AA32" s="124"/>
      <c r="AB32" s="328"/>
      <c r="AC32" s="328"/>
      <c r="AD32" s="331">
        <v>46045</v>
      </c>
      <c r="AE32" s="124"/>
      <c r="AF32" s="124"/>
      <c r="AG32" s="124"/>
      <c r="AH32" s="124"/>
      <c r="AI32" s="129">
        <f>SUM(J32:K32)-CI32+CJ32</f>
        <v>18.025871964679911</v>
      </c>
      <c r="AJ32" s="129">
        <f t="shared" si="26"/>
        <v>31.385916219667848</v>
      </c>
      <c r="AK32" s="129">
        <f t="shared" si="19"/>
        <v>20.924724166687717</v>
      </c>
      <c r="AL32" s="399">
        <f t="shared" si="27"/>
        <v>12.207064122537606</v>
      </c>
      <c r="AM32" s="393">
        <f t="shared" si="20"/>
        <v>14.361170082802506</v>
      </c>
      <c r="AN32" s="393">
        <f t="shared" si="21"/>
        <v>15.643510038652394</v>
      </c>
      <c r="AO32" s="393">
        <f t="shared" si="22"/>
        <v>10.334945396596297</v>
      </c>
      <c r="AP32" s="96">
        <f t="shared" si="23"/>
        <v>5.4859108275830017</v>
      </c>
      <c r="AQ32" s="91">
        <f t="shared" si="24"/>
        <v>-1.4882172077370868</v>
      </c>
      <c r="AR32" s="198"/>
      <c r="AS32" s="81">
        <f>$H$32*月別販売比率!AG5</f>
        <v>8.7176600441501115</v>
      </c>
      <c r="AT32" s="21"/>
      <c r="AU32" s="81">
        <f>$H$32*月別販売比率!AL5</f>
        <v>7.8458940397350991</v>
      </c>
      <c r="AV32" s="21"/>
      <c r="AW32" s="245">
        <f>$H$32*月別販売比率!AQ5</f>
        <v>8.7176600441501115</v>
      </c>
      <c r="AX32" s="241">
        <v>15</v>
      </c>
      <c r="AY32" s="245">
        <f>$H$32*月別販売比率!AV5</f>
        <v>5.3085646420560968</v>
      </c>
      <c r="AZ32" s="241">
        <v>12</v>
      </c>
      <c r="BA32" s="245">
        <f>$H$32*月別販売比率!BA5</f>
        <v>4.8490345690132948</v>
      </c>
      <c r="BB32" s="241">
        <v>12</v>
      </c>
      <c r="BC32" s="81">
        <f>$H$32*月別販売比率!BF5</f>
        <v>6.9741280353200885</v>
      </c>
      <c r="BD32" s="21"/>
      <c r="BE32" s="245">
        <f>$H$32*月別販売比率!C21</f>
        <v>6.1777045051118007</v>
      </c>
      <c r="BF32" s="241">
        <v>24</v>
      </c>
      <c r="BG32" s="81">
        <f>$H$32*月別販売比率!H21</f>
        <v>6.1023620309050779</v>
      </c>
      <c r="BH32" s="21"/>
      <c r="BI32" s="245">
        <f>$H$32*月別販売比率!M21</f>
        <v>8.8103888458768669</v>
      </c>
      <c r="BJ32" s="241"/>
      <c r="BK32" s="245">
        <f>$H$32*月別販売比率!R21</f>
        <v>6.9741280353200885</v>
      </c>
      <c r="BL32" s="241">
        <v>10</v>
      </c>
      <c r="BM32" s="81">
        <f>$H$32*月別販売比率!W21</f>
        <v>6.6399557450120641</v>
      </c>
      <c r="BN32" s="21"/>
      <c r="BO32" s="245">
        <f>$H$32*月別販売比率!AB21</f>
        <v>10.461192052980133</v>
      </c>
      <c r="BP32" s="241">
        <v>30</v>
      </c>
      <c r="BQ32" s="81">
        <f>$H$32*月別販売比率!AG21</f>
        <v>8.7176600441501115</v>
      </c>
      <c r="BR32" s="21"/>
      <c r="BS32" s="245">
        <f>$H$32*月別販売比率!AL21</f>
        <v>7.8458940397350991</v>
      </c>
      <c r="BT32" s="241">
        <v>0</v>
      </c>
      <c r="BU32" s="81">
        <f>$H$32*月別販売比率!AQ21</f>
        <v>8.7176600441501115</v>
      </c>
      <c r="BV32" s="21"/>
      <c r="BW32" s="245">
        <f>$H$32*月別販売比率!AV21</f>
        <v>5.3085646420560968</v>
      </c>
      <c r="BX32" s="241">
        <v>12</v>
      </c>
      <c r="BY32" s="81">
        <f>$H$32*月別販売比率!BA21</f>
        <v>4.8490345690132948</v>
      </c>
      <c r="BZ32" s="21"/>
      <c r="CA32" s="81">
        <f>$H$32*月別販売比率!BF21</f>
        <v>6.9741280353200885</v>
      </c>
      <c r="CB32" s="21"/>
      <c r="CC32" s="81">
        <f>H32*月別販売比率!$C$21</f>
        <v>6.1777045051118007</v>
      </c>
      <c r="CD32" s="21"/>
      <c r="CE32" s="81">
        <f>H32*月別販売比率!$H$21</f>
        <v>6.1023620309050779</v>
      </c>
      <c r="CF32" s="241">
        <v>22</v>
      </c>
      <c r="CG32" s="81">
        <f>H32*月別販売比率!$M$21</f>
        <v>8.8103888458768669</v>
      </c>
      <c r="CH32" s="21"/>
      <c r="CI32" s="81">
        <f>H32*月別販売比率!$R$21</f>
        <v>6.9741280353200885</v>
      </c>
      <c r="CJ32" s="21"/>
      <c r="CK32" s="81">
        <f>H32*月別販売比率!$W$21</f>
        <v>6.6399557450120641</v>
      </c>
      <c r="CL32" s="21">
        <v>20</v>
      </c>
      <c r="CM32" s="81">
        <f>H32*月別販売比率!$AB$21</f>
        <v>10.461192052980133</v>
      </c>
      <c r="CN32" s="21"/>
      <c r="CO32" s="81">
        <f>H32*月別販売比率!$AG$21</f>
        <v>8.7176600441501115</v>
      </c>
      <c r="CP32" s="21"/>
      <c r="CQ32" s="81">
        <f>H32*月別販売比率!$AL$21</f>
        <v>7.8458940397350991</v>
      </c>
      <c r="CR32" s="21">
        <v>10</v>
      </c>
      <c r="CS32" s="81">
        <f>H32*月別販売比率!$AQ$21</f>
        <v>8.7176600441501115</v>
      </c>
      <c r="CT32" s="21">
        <v>10</v>
      </c>
      <c r="CU32" s="81">
        <f>H32*月別販売比率!$AV$21</f>
        <v>5.3085646420560968</v>
      </c>
      <c r="CV32" s="21"/>
      <c r="CW32" s="81">
        <f>H32*月別販売比率!$BA$21</f>
        <v>4.8490345690132948</v>
      </c>
      <c r="CX32" s="21"/>
      <c r="CY32" s="81">
        <f>H32*月別販売比率!$BF$21</f>
        <v>6.9741280353200885</v>
      </c>
      <c r="CZ32" s="21"/>
      <c r="DA32" s="28"/>
      <c r="DB32" s="294"/>
    </row>
    <row r="33" spans="2:106" ht="30.75" customHeight="1">
      <c r="C33" s="457"/>
      <c r="D33" s="443">
        <v>2</v>
      </c>
      <c r="E33" s="94" t="s">
        <v>46</v>
      </c>
      <c r="F33" s="57">
        <v>76</v>
      </c>
      <c r="G33" s="5">
        <f t="shared" si="25"/>
        <v>275880</v>
      </c>
      <c r="H33" s="45">
        <f>F33*($H$27/$F$27)</f>
        <v>389.73068432671084</v>
      </c>
      <c r="I33" s="5">
        <f t="shared" si="17"/>
        <v>1414722.3841059604</v>
      </c>
      <c r="J33" s="49">
        <v>68</v>
      </c>
      <c r="K33" s="21">
        <f t="shared" si="18"/>
        <v>23</v>
      </c>
      <c r="L33" s="21">
        <v>1</v>
      </c>
      <c r="M33" s="21">
        <v>22</v>
      </c>
      <c r="N33" s="384"/>
      <c r="O33" s="288"/>
      <c r="P33" s="289"/>
      <c r="Q33" s="331"/>
      <c r="R33" s="328"/>
      <c r="S33" s="328"/>
      <c r="T33" s="331">
        <v>45721</v>
      </c>
      <c r="U33" s="328"/>
      <c r="V33" s="124"/>
      <c r="W33" s="124"/>
      <c r="X33" s="331">
        <v>45869</v>
      </c>
      <c r="Y33" s="328"/>
      <c r="Z33" s="124"/>
      <c r="AA33" s="328"/>
      <c r="AB33" s="328"/>
      <c r="AC33" s="328"/>
      <c r="AD33" s="124"/>
      <c r="AE33" s="124"/>
      <c r="AF33" s="328"/>
      <c r="AG33" s="124"/>
      <c r="AH33" s="124"/>
      <c r="AI33" s="129">
        <f>SUM(J33:K33)-CI33+CJ33</f>
        <v>59.821545253863135</v>
      </c>
      <c r="AJ33" s="129">
        <f t="shared" si="26"/>
        <v>80.137037217338616</v>
      </c>
      <c r="AK33" s="129">
        <f t="shared" si="19"/>
        <v>33.369355098133319</v>
      </c>
      <c r="AL33" s="399">
        <f t="shared" si="27"/>
        <v>34.396286665462235</v>
      </c>
      <c r="AM33" s="393">
        <f t="shared" si="20"/>
        <v>54.32052507605826</v>
      </c>
      <c r="AN33" s="393">
        <f t="shared" si="21"/>
        <v>70.347456643387176</v>
      </c>
      <c r="AO33" s="393">
        <f t="shared" si="22"/>
        <v>46.615050008312863</v>
      </c>
      <c r="AP33" s="96">
        <f t="shared" si="23"/>
        <v>24.937013111547547</v>
      </c>
      <c r="AQ33" s="91">
        <f t="shared" si="24"/>
        <v>-6.2414416345893216</v>
      </c>
      <c r="AR33" s="198"/>
      <c r="AS33" s="81">
        <f>$H$33*月別販売比率!AG5</f>
        <v>38.973068432671084</v>
      </c>
      <c r="AT33" s="21"/>
      <c r="AU33" s="81">
        <f>$H$33*月別販売比率!AL5</f>
        <v>35.075761589403974</v>
      </c>
      <c r="AV33" s="21"/>
      <c r="AW33" s="245">
        <f>$H$33*月別販売比率!AQ5</f>
        <v>38.973068432671084</v>
      </c>
      <c r="AX33" s="241">
        <v>45</v>
      </c>
      <c r="AY33" s="245">
        <f>$H$33*月別販売比率!AV5</f>
        <v>23.732406635074316</v>
      </c>
      <c r="AZ33" s="241">
        <v>42</v>
      </c>
      <c r="BA33" s="245">
        <f>$H$33*月別販売比率!BA5</f>
        <v>21.678036896765317</v>
      </c>
      <c r="BB33" s="241">
        <v>42</v>
      </c>
      <c r="BC33" s="81">
        <f>$H$33*月別販売比率!BF5</f>
        <v>31.178454746136868</v>
      </c>
      <c r="BD33" s="21"/>
      <c r="BE33" s="245">
        <f>$H$33*月別販売比率!C21</f>
        <v>27.617973081676283</v>
      </c>
      <c r="BF33" s="241">
        <v>45</v>
      </c>
      <c r="BG33" s="81">
        <f>$H$33*月別販売比率!H21</f>
        <v>27.281147902869762</v>
      </c>
      <c r="BH33" s="21"/>
      <c r="BI33" s="245">
        <f>$H$33*月別販売比率!M21</f>
        <v>39.387620722743641</v>
      </c>
      <c r="BJ33" s="241">
        <v>75</v>
      </c>
      <c r="BK33" s="245">
        <f>$H$33*月別販売比率!R21</f>
        <v>31.178454746136868</v>
      </c>
      <c r="BL33" s="241">
        <v>110</v>
      </c>
      <c r="BM33" s="81">
        <f>$H$33*月別販売比率!W21</f>
        <v>29.684508036524523</v>
      </c>
      <c r="BN33" s="21"/>
      <c r="BO33" s="245">
        <f>$H$33*月別販売比率!AB21</f>
        <v>46.767682119205297</v>
      </c>
      <c r="BP33" s="241">
        <v>100</v>
      </c>
      <c r="BQ33" s="81">
        <f>$H$33*月別販売比率!AG21</f>
        <v>38.973068432671084</v>
      </c>
      <c r="BR33" s="21"/>
      <c r="BS33" s="245">
        <f>$H$33*月別販売比率!AL21</f>
        <v>35.075761589403974</v>
      </c>
      <c r="BT33" s="241">
        <v>60</v>
      </c>
      <c r="BU33" s="81">
        <f>$H$33*月別販売比率!AQ21</f>
        <v>38.973068432671084</v>
      </c>
      <c r="BV33" s="21"/>
      <c r="BW33" s="245">
        <f>$H$33*月別販売比率!AV21</f>
        <v>23.732406635074316</v>
      </c>
      <c r="BX33" s="241">
        <v>110</v>
      </c>
      <c r="BY33" s="81">
        <f>$H$33*月別販売比率!BA21</f>
        <v>21.678036896765317</v>
      </c>
      <c r="BZ33" s="21"/>
      <c r="CA33" s="81">
        <f>$H$33*月別販売比率!BF21</f>
        <v>31.178454746136868</v>
      </c>
      <c r="CB33" s="21"/>
      <c r="CC33" s="81">
        <f>H33*月別販売比率!$C$21</f>
        <v>27.617973081676283</v>
      </c>
      <c r="CD33" s="21"/>
      <c r="CE33" s="81">
        <f>H33*月別販売比率!$H$21</f>
        <v>27.281147902869762</v>
      </c>
      <c r="CF33" s="241">
        <v>77</v>
      </c>
      <c r="CG33" s="81">
        <f>H33*月別販売比率!$M$21</f>
        <v>39.387620722743641</v>
      </c>
      <c r="CH33" s="21"/>
      <c r="CI33" s="81">
        <f>H33*月別販売比率!$R$21</f>
        <v>31.178454746136868</v>
      </c>
      <c r="CJ33" s="21"/>
      <c r="CK33" s="81">
        <f>H33*月別販売比率!$W$21</f>
        <v>29.684508036524523</v>
      </c>
      <c r="CL33" s="21">
        <v>50</v>
      </c>
      <c r="CM33" s="81">
        <f>H33*月別販売比率!$AB$21</f>
        <v>46.767682119205297</v>
      </c>
      <c r="CN33" s="21"/>
      <c r="CO33" s="81">
        <f>H33*月別販売比率!$AG$21</f>
        <v>38.973068432671084</v>
      </c>
      <c r="CP33" s="21">
        <v>40</v>
      </c>
      <c r="CQ33" s="81">
        <f>H33*月別販売比率!$AL$21</f>
        <v>35.075761589403974</v>
      </c>
      <c r="CR33" s="21">
        <v>55</v>
      </c>
      <c r="CS33" s="81">
        <f>H33*月別販売比率!$AQ$21</f>
        <v>38.973068432671084</v>
      </c>
      <c r="CT33" s="21">
        <v>55</v>
      </c>
      <c r="CU33" s="81">
        <f>H33*月別販売比率!$AV$21</f>
        <v>23.732406635074316</v>
      </c>
      <c r="CV33" s="21"/>
      <c r="CW33" s="81">
        <f>H33*月別販売比率!$BA$21</f>
        <v>21.678036896765317</v>
      </c>
      <c r="CX33" s="21"/>
      <c r="CY33" s="81">
        <f>H33*月別販売比率!$BF$21</f>
        <v>31.178454746136868</v>
      </c>
      <c r="CZ33" s="21"/>
      <c r="DA33" s="28"/>
      <c r="DB33" s="294"/>
    </row>
    <row r="34" spans="2:106" ht="30.75" customHeight="1">
      <c r="C34" s="457"/>
      <c r="D34" s="441"/>
      <c r="E34" s="94" t="s">
        <v>47</v>
      </c>
      <c r="F34" s="57">
        <v>94</v>
      </c>
      <c r="G34" s="5">
        <f t="shared" si="25"/>
        <v>341220</v>
      </c>
      <c r="H34" s="45">
        <f>F34*($H$27/$F$27)</f>
        <v>482.03532008830024</v>
      </c>
      <c r="I34" s="5">
        <f t="shared" si="17"/>
        <v>1749788.2119205298</v>
      </c>
      <c r="J34" s="49">
        <v>142</v>
      </c>
      <c r="K34" s="21">
        <f t="shared" si="18"/>
        <v>24</v>
      </c>
      <c r="L34" s="21">
        <v>6</v>
      </c>
      <c r="M34" s="21">
        <v>18</v>
      </c>
      <c r="N34" s="384"/>
      <c r="O34" s="288"/>
      <c r="P34" s="289"/>
      <c r="Q34" s="331"/>
      <c r="R34" s="331">
        <v>45685</v>
      </c>
      <c r="S34" s="124"/>
      <c r="T34" s="124"/>
      <c r="U34" s="328"/>
      <c r="V34" s="124"/>
      <c r="W34" s="124"/>
      <c r="X34" s="331">
        <v>45856</v>
      </c>
      <c r="Y34" s="328"/>
      <c r="Z34" s="124"/>
      <c r="AA34" s="124"/>
      <c r="AB34" s="328"/>
      <c r="AC34" s="328"/>
      <c r="AD34" s="124"/>
      <c r="AE34" s="124"/>
      <c r="AF34" s="328"/>
      <c r="AG34" s="124"/>
      <c r="AH34" s="124"/>
      <c r="AI34" s="129">
        <f>SUM(J34:K34)-CI34+CJ34</f>
        <v>127.43717439293599</v>
      </c>
      <c r="AJ34" s="129">
        <f t="shared" si="26"/>
        <v>140.72212497933987</v>
      </c>
      <c r="AK34" s="129">
        <f t="shared" si="19"/>
        <v>82.877886568743833</v>
      </c>
      <c r="AL34" s="399">
        <f t="shared" si="27"/>
        <v>74.674354559913809</v>
      </c>
      <c r="AM34" s="393">
        <f t="shared" si="20"/>
        <v>81.29117575196679</v>
      </c>
      <c r="AN34" s="393">
        <f t="shared" si="21"/>
        <v>88.087643743136766</v>
      </c>
      <c r="AO34" s="393">
        <f t="shared" si="22"/>
        <v>58.734403957650116</v>
      </c>
      <c r="AP34" s="96">
        <f t="shared" si="23"/>
        <v>31.922095164282489</v>
      </c>
      <c r="AQ34" s="91">
        <f t="shared" si="24"/>
        <v>-6.6407304427815319</v>
      </c>
      <c r="AR34" s="198"/>
      <c r="AS34" s="81">
        <f>$H$34*月別販売比率!AG5</f>
        <v>48.203532008830024</v>
      </c>
      <c r="AT34" s="21"/>
      <c r="AU34" s="81">
        <f>$H$34*月別販売比率!AL5</f>
        <v>43.383178807947019</v>
      </c>
      <c r="AV34" s="21"/>
      <c r="AW34" s="245">
        <f>$H$34*月別販売比率!AQ5</f>
        <v>48.203532008830024</v>
      </c>
      <c r="AX34" s="241">
        <v>45</v>
      </c>
      <c r="AY34" s="245">
        <f>$H$34*月別販売比率!AV5</f>
        <v>29.353239785486654</v>
      </c>
      <c r="AZ34" s="241">
        <v>48</v>
      </c>
      <c r="BA34" s="245">
        <f>$H$34*月別販売比率!BA5</f>
        <v>26.812308793367627</v>
      </c>
      <c r="BB34" s="241">
        <v>48</v>
      </c>
      <c r="BC34" s="81">
        <f>$H$34*月別販売比率!BF5</f>
        <v>38.562825607064021</v>
      </c>
      <c r="BD34" s="21"/>
      <c r="BE34" s="245">
        <f>$H$34*月別販売比率!C21</f>
        <v>34.159071969441719</v>
      </c>
      <c r="BF34" s="241">
        <v>60</v>
      </c>
      <c r="BG34" s="81">
        <f>$H$34*月別販売比率!H21</f>
        <v>33.742472406181022</v>
      </c>
      <c r="BH34" s="21"/>
      <c r="BI34" s="245">
        <f>$H$34*月別販売比率!M21</f>
        <v>48.716267736025024</v>
      </c>
      <c r="BJ34" s="241">
        <v>95</v>
      </c>
      <c r="BK34" s="245">
        <f>$H$34*月別販売比率!R21</f>
        <v>38.562825607064021</v>
      </c>
      <c r="BL34" s="241">
        <v>130</v>
      </c>
      <c r="BM34" s="81">
        <f>$H$34*月別販売比率!W21</f>
        <v>36.71504941359612</v>
      </c>
      <c r="BN34" s="21"/>
      <c r="BO34" s="245">
        <f>$H$34*月別販売比率!AB21</f>
        <v>57.844238410596027</v>
      </c>
      <c r="BP34" s="241">
        <v>125</v>
      </c>
      <c r="BQ34" s="81">
        <f>$H$34*月別販売比率!AG21</f>
        <v>48.203532008830024</v>
      </c>
      <c r="BR34" s="21"/>
      <c r="BS34" s="245">
        <f>$H$34*月別販売比率!AL21</f>
        <v>43.383178807947019</v>
      </c>
      <c r="BT34" s="241">
        <v>55</v>
      </c>
      <c r="BU34" s="81">
        <f>$H$34*月別販売比率!AQ21</f>
        <v>48.203532008830024</v>
      </c>
      <c r="BV34" s="21"/>
      <c r="BW34" s="245">
        <f>$H$34*月別販売比率!AV21</f>
        <v>29.353239785486654</v>
      </c>
      <c r="BX34" s="241">
        <v>120</v>
      </c>
      <c r="BY34" s="81">
        <f>$H$34*月別販売比率!BA21</f>
        <v>26.812308793367627</v>
      </c>
      <c r="BZ34" s="21"/>
      <c r="CA34" s="81">
        <f>$H$34*月別販売比率!BF21</f>
        <v>38.562825607064021</v>
      </c>
      <c r="CB34" s="21"/>
      <c r="CC34" s="81">
        <f>H34*月別販売比率!$C$21</f>
        <v>34.159071969441719</v>
      </c>
      <c r="CD34" s="21"/>
      <c r="CE34" s="81">
        <f>H34*月別販売比率!$H$21</f>
        <v>33.742472406181022</v>
      </c>
      <c r="CF34" s="241">
        <v>97</v>
      </c>
      <c r="CG34" s="81">
        <f>H34*月別販売比率!$M$21</f>
        <v>48.716267736025024</v>
      </c>
      <c r="CH34" s="21"/>
      <c r="CI34" s="81">
        <f>H34*月別販売比率!$R$21</f>
        <v>38.562825607064021</v>
      </c>
      <c r="CJ34" s="21"/>
      <c r="CK34" s="81">
        <f>H34*月別販売比率!$W$21</f>
        <v>36.71504941359612</v>
      </c>
      <c r="CL34" s="21">
        <v>50</v>
      </c>
      <c r="CM34" s="81">
        <f>H34*月別販売比率!$AB$21</f>
        <v>57.844238410596027</v>
      </c>
      <c r="CN34" s="21"/>
      <c r="CO34" s="81">
        <f>H34*月別販売比率!$AG$21</f>
        <v>48.203532008830024</v>
      </c>
      <c r="CP34" s="21">
        <v>40</v>
      </c>
      <c r="CQ34" s="81">
        <f>H34*月別販売比率!$AL$21</f>
        <v>43.383178807947019</v>
      </c>
      <c r="CR34" s="21">
        <v>50</v>
      </c>
      <c r="CS34" s="81">
        <f>H34*月別販売比率!$AQ$21</f>
        <v>48.203532008830024</v>
      </c>
      <c r="CT34" s="21">
        <v>55</v>
      </c>
      <c r="CU34" s="81">
        <f>H34*月別販売比率!$AV$21</f>
        <v>29.353239785486654</v>
      </c>
      <c r="CV34" s="21"/>
      <c r="CW34" s="81">
        <f>H34*月別販売比率!$BA$21</f>
        <v>26.812308793367627</v>
      </c>
      <c r="CX34" s="21"/>
      <c r="CY34" s="81">
        <f>H34*月別販売比率!$BF$21</f>
        <v>38.562825607064021</v>
      </c>
      <c r="CZ34" s="21"/>
      <c r="DA34" s="28"/>
      <c r="DB34" s="294"/>
    </row>
    <row r="35" spans="2:106" ht="30.75" customHeight="1">
      <c r="C35" s="457"/>
      <c r="D35" s="441"/>
      <c r="E35" s="94" t="s">
        <v>51</v>
      </c>
      <c r="F35" s="57">
        <v>96</v>
      </c>
      <c r="G35" s="5">
        <f t="shared" si="25"/>
        <v>348480</v>
      </c>
      <c r="H35" s="45">
        <f>F35*($H$27/$F$27)</f>
        <v>492.29139072847681</v>
      </c>
      <c r="I35" s="5">
        <f t="shared" si="17"/>
        <v>1787017.7483443709</v>
      </c>
      <c r="J35" s="49">
        <v>194</v>
      </c>
      <c r="K35" s="21">
        <f t="shared" si="18"/>
        <v>31</v>
      </c>
      <c r="L35" s="21">
        <v>10</v>
      </c>
      <c r="M35" s="21">
        <v>21</v>
      </c>
      <c r="N35" s="384"/>
      <c r="O35" s="19"/>
      <c r="P35" s="288"/>
      <c r="Q35" s="331">
        <v>45631</v>
      </c>
      <c r="R35" s="331">
        <v>45685</v>
      </c>
      <c r="S35" s="124"/>
      <c r="T35" s="124"/>
      <c r="U35" s="328"/>
      <c r="V35" s="124"/>
      <c r="W35" s="124"/>
      <c r="X35" s="124"/>
      <c r="Y35" s="124"/>
      <c r="Z35" s="124"/>
      <c r="AA35" s="328"/>
      <c r="AB35" s="331">
        <v>45971</v>
      </c>
      <c r="AC35" s="331">
        <v>45971</v>
      </c>
      <c r="AD35" s="124"/>
      <c r="AE35" s="124"/>
      <c r="AF35" s="124"/>
      <c r="AG35" s="124"/>
      <c r="AH35" s="124"/>
      <c r="AI35" s="129">
        <f>SUM(J35:K35)-CI35+CJ35</f>
        <v>185.61668874172184</v>
      </c>
      <c r="AJ35" s="129">
        <f t="shared" si="26"/>
        <v>188.12046806400667</v>
      </c>
      <c r="AK35" s="129">
        <f t="shared" si="19"/>
        <v>129.04550117658945</v>
      </c>
      <c r="AL35" s="399">
        <f t="shared" si="27"/>
        <v>119.81636210374177</v>
      </c>
      <c r="AM35" s="393">
        <f t="shared" si="20"/>
        <v>105.51013693817885</v>
      </c>
      <c r="AN35" s="393">
        <f t="shared" si="21"/>
        <v>111.28099786533116</v>
      </c>
      <c r="AO35" s="393">
        <f t="shared" si="22"/>
        <v>81.303221063132028</v>
      </c>
      <c r="AP35" s="96">
        <f t="shared" si="23"/>
        <v>53.920437614586369</v>
      </c>
      <c r="AQ35" s="91">
        <f t="shared" si="24"/>
        <v>14.537126356308221</v>
      </c>
      <c r="AR35" s="198"/>
      <c r="AS35" s="81">
        <f>$H$35*月別販売比率!AG5</f>
        <v>49.229139072847687</v>
      </c>
      <c r="AT35" s="21"/>
      <c r="AU35" s="81">
        <f>$H$35*月別販売比率!AL5</f>
        <v>44.306225165562914</v>
      </c>
      <c r="AV35" s="21"/>
      <c r="AW35" s="245">
        <f>$H$35*月別販売比率!AQ5</f>
        <v>49.229139072847687</v>
      </c>
      <c r="AX35" s="241">
        <v>45</v>
      </c>
      <c r="AY35" s="245">
        <f>$H$35*月別販売比率!AV5</f>
        <v>29.977776802199134</v>
      </c>
      <c r="AZ35" s="241">
        <v>36</v>
      </c>
      <c r="BA35" s="245">
        <f>$H$35*月別販売比率!BA5</f>
        <v>27.382783448545659</v>
      </c>
      <c r="BB35" s="241">
        <v>36</v>
      </c>
      <c r="BC35" s="81">
        <f>$H$35*月別販売比率!BF5</f>
        <v>39.383311258278148</v>
      </c>
      <c r="BD35" s="21"/>
      <c r="BE35" s="245">
        <f>$H$35*月別販売比率!C21</f>
        <v>34.885860734748988</v>
      </c>
      <c r="BF35" s="241">
        <v>70</v>
      </c>
      <c r="BG35" s="81">
        <f>$H$35*月別販売比率!H21</f>
        <v>34.460397350993382</v>
      </c>
      <c r="BH35" s="21"/>
      <c r="BI35" s="245">
        <f>$H$35*月別販売比率!M21</f>
        <v>49.752784070834068</v>
      </c>
      <c r="BJ35" s="241">
        <v>90</v>
      </c>
      <c r="BK35" s="245">
        <f>$H$35*月別販売比率!R21</f>
        <v>39.383311258278148</v>
      </c>
      <c r="BL35" s="241">
        <v>140</v>
      </c>
      <c r="BM35" s="81">
        <f>$H$35*月別販売比率!W21</f>
        <v>37.496220677715179</v>
      </c>
      <c r="BN35" s="21"/>
      <c r="BO35" s="245">
        <f>$H$35*月別販売比率!AB21</f>
        <v>59.074966887417219</v>
      </c>
      <c r="BP35" s="241">
        <v>115</v>
      </c>
      <c r="BQ35" s="81">
        <f>$H$35*月別販売比率!AG21</f>
        <v>49.229139072847687</v>
      </c>
      <c r="BR35" s="21"/>
      <c r="BS35" s="245">
        <f>$H$35*月別販売比率!AL21</f>
        <v>44.306225165562914</v>
      </c>
      <c r="BT35" s="241">
        <v>40</v>
      </c>
      <c r="BU35" s="81">
        <f>$H$35*月別販売比率!AQ21</f>
        <v>49.229139072847687</v>
      </c>
      <c r="BV35" s="21"/>
      <c r="BW35" s="245">
        <f>$H$35*月別販売比率!AV21</f>
        <v>29.977776802199134</v>
      </c>
      <c r="BX35" s="241">
        <v>120</v>
      </c>
      <c r="BY35" s="81">
        <f>$H$35*月別販売比率!BA21</f>
        <v>27.382783448545659</v>
      </c>
      <c r="BZ35" s="21"/>
      <c r="CA35" s="81">
        <f>$H$35*月別販売比率!BF21</f>
        <v>39.383311258278148</v>
      </c>
      <c r="CB35" s="21"/>
      <c r="CC35" s="81">
        <f>H35*月別販売比率!$C$21</f>
        <v>34.885860734748988</v>
      </c>
      <c r="CD35" s="21"/>
      <c r="CE35" s="81">
        <f>H35*月別販売比率!$H$21</f>
        <v>34.460397350993382</v>
      </c>
      <c r="CF35" s="241">
        <v>47</v>
      </c>
      <c r="CG35" s="81">
        <f>H35*月別販売比率!$M$21</f>
        <v>49.752784070834068</v>
      </c>
      <c r="CH35" s="21"/>
      <c r="CI35" s="81">
        <f>H35*月別販売比率!$R$21</f>
        <v>39.383311258278148</v>
      </c>
      <c r="CJ35" s="21"/>
      <c r="CK35" s="81">
        <f>H35*月別販売比率!$W$21</f>
        <v>37.496220677715179</v>
      </c>
      <c r="CL35" s="21">
        <v>40</v>
      </c>
      <c r="CM35" s="81">
        <f>H35*月別販売比率!$AB$21</f>
        <v>59.074966887417219</v>
      </c>
      <c r="CN35" s="21"/>
      <c r="CO35" s="81">
        <f>H35*月別販売比率!$AG$21</f>
        <v>49.229139072847687</v>
      </c>
      <c r="CP35" s="21">
        <v>40</v>
      </c>
      <c r="CQ35" s="81">
        <f>H35*月別販売比率!$AL$21</f>
        <v>44.306225165562914</v>
      </c>
      <c r="CR35" s="21">
        <v>30</v>
      </c>
      <c r="CS35" s="81">
        <f>H35*月別販売比率!$AQ$21</f>
        <v>49.229139072847687</v>
      </c>
      <c r="CT35" s="21">
        <v>55</v>
      </c>
      <c r="CU35" s="81">
        <f>H35*月別販売比率!$AV$21</f>
        <v>29.977776802199134</v>
      </c>
      <c r="CV35" s="21"/>
      <c r="CW35" s="81">
        <f>H35*月別販売比率!$BA$21</f>
        <v>27.382783448545659</v>
      </c>
      <c r="CX35" s="21"/>
      <c r="CY35" s="81">
        <f>H35*月別販売比率!$BF$21</f>
        <v>39.383311258278148</v>
      </c>
      <c r="CZ35" s="21"/>
      <c r="DA35" s="28"/>
      <c r="DB35" s="294"/>
    </row>
    <row r="36" spans="2:106" ht="30.75" customHeight="1">
      <c r="C36" s="457"/>
      <c r="D36" s="441"/>
      <c r="E36" s="99" t="s">
        <v>49</v>
      </c>
      <c r="F36" s="56">
        <v>31</v>
      </c>
      <c r="G36" s="46">
        <f t="shared" si="25"/>
        <v>112530</v>
      </c>
      <c r="H36" s="45">
        <f>F36*($H$27/$F$27)</f>
        <v>158.96909492273733</v>
      </c>
      <c r="I36" s="46">
        <f t="shared" si="17"/>
        <v>577057.81456953648</v>
      </c>
      <c r="J36" s="49">
        <v>49</v>
      </c>
      <c r="K36" s="21">
        <f t="shared" si="18"/>
        <v>22</v>
      </c>
      <c r="L36" s="21">
        <v>8</v>
      </c>
      <c r="M36" s="21">
        <v>14</v>
      </c>
      <c r="N36" s="384"/>
      <c r="O36" s="19"/>
      <c r="P36" s="288"/>
      <c r="Q36" s="331">
        <v>45631</v>
      </c>
      <c r="R36" s="124"/>
      <c r="S36" s="124"/>
      <c r="T36" s="124"/>
      <c r="U36" s="328"/>
      <c r="V36" s="124"/>
      <c r="W36" s="124"/>
      <c r="X36" s="124"/>
      <c r="Y36" s="124"/>
      <c r="Z36" s="124"/>
      <c r="AA36" s="124"/>
      <c r="AB36" s="124"/>
      <c r="AC36" s="124"/>
      <c r="AD36" s="124"/>
      <c r="AE36" s="124"/>
      <c r="AF36" s="124"/>
      <c r="AG36" s="124"/>
      <c r="AH36" s="124"/>
      <c r="AI36" s="129">
        <f>SUM(J36:K36)-CI36+CJ36</f>
        <v>58.282472406181014</v>
      </c>
      <c r="AJ36" s="129">
        <f t="shared" si="26"/>
        <v>46.174317812335488</v>
      </c>
      <c r="AK36" s="129">
        <f t="shared" si="19"/>
        <v>27.09802642160701</v>
      </c>
      <c r="AL36" s="399">
        <f t="shared" si="27"/>
        <v>11.201116929333276</v>
      </c>
      <c r="AM36" s="393">
        <f t="shared" si="20"/>
        <v>21.893898386286917</v>
      </c>
      <c r="AN36" s="393">
        <f t="shared" si="21"/>
        <v>30.996988894013185</v>
      </c>
      <c r="AO36" s="393">
        <f t="shared" si="22"/>
        <v>21.316665134969714</v>
      </c>
      <c r="AP36" s="96">
        <f t="shared" si="23"/>
        <v>12.474307979710177</v>
      </c>
      <c r="AQ36" s="91">
        <f t="shared" si="24"/>
        <v>-0.2432196141088081</v>
      </c>
      <c r="AR36" s="198"/>
      <c r="AS36" s="81">
        <f>$H$36*月別販売比率!AG5</f>
        <v>15.896909492273734</v>
      </c>
      <c r="AT36" s="39"/>
      <c r="AU36" s="81">
        <f>$H$36*月別販売比率!AL5</f>
        <v>14.307218543046359</v>
      </c>
      <c r="AV36" s="39"/>
      <c r="AW36" s="245">
        <f>$H$36*月別販売比率!AQ5</f>
        <v>15.896909492273734</v>
      </c>
      <c r="AX36" s="280">
        <v>25</v>
      </c>
      <c r="AY36" s="245">
        <f>$H$36*月別販売比率!AV5</f>
        <v>9.6803237590434712</v>
      </c>
      <c r="AZ36" s="280">
        <v>12</v>
      </c>
      <c r="BA36" s="245">
        <f>$H$36*月別販売比率!BA5</f>
        <v>8.8423571552595366</v>
      </c>
      <c r="BB36" s="280">
        <v>12</v>
      </c>
      <c r="BC36" s="81">
        <f>$H$36*月別販売比率!BF5</f>
        <v>12.717527593818986</v>
      </c>
      <c r="BD36" s="39"/>
      <c r="BE36" s="245">
        <f>$H$36*月別販売比率!C21</f>
        <v>11.265225862262696</v>
      </c>
      <c r="BF36" s="280">
        <v>43</v>
      </c>
      <c r="BG36" s="81">
        <f>$H$36*月別販売比率!H21</f>
        <v>11.127836644591614</v>
      </c>
      <c r="BH36" s="39"/>
      <c r="BI36" s="245">
        <f>$H$36*月別販売比率!M21</f>
        <v>16.066003189540169</v>
      </c>
      <c r="BJ36" s="280">
        <v>10</v>
      </c>
      <c r="BK36" s="245">
        <f>$H$36*月別販売比率!R21</f>
        <v>12.717527593818986</v>
      </c>
      <c r="BL36" s="280">
        <v>30</v>
      </c>
      <c r="BM36" s="81">
        <f>$H$36*月別販売比率!W21</f>
        <v>12.10815459384553</v>
      </c>
      <c r="BN36" s="39"/>
      <c r="BO36" s="245">
        <f>$H$36*月別販売比率!AB21</f>
        <v>19.076291390728478</v>
      </c>
      <c r="BP36" s="243">
        <v>45</v>
      </c>
      <c r="BQ36" s="81">
        <f>$H$36*月別販売比率!AG21</f>
        <v>15.896909492273734</v>
      </c>
      <c r="BR36" s="39"/>
      <c r="BS36" s="245">
        <f>$H$36*月別販売比率!AL21</f>
        <v>14.307218543046359</v>
      </c>
      <c r="BT36" s="280">
        <v>15</v>
      </c>
      <c r="BU36" s="81">
        <f>$H$36*月別販売比率!AQ21</f>
        <v>15.896909492273734</v>
      </c>
      <c r="BV36" s="39"/>
      <c r="BW36" s="245">
        <f>$H$36*月別販売比率!AV21</f>
        <v>9.6803237590434712</v>
      </c>
      <c r="BX36" s="280">
        <v>45</v>
      </c>
      <c r="BY36" s="81">
        <f>$H$36*月別販売比率!BA21</f>
        <v>8.8423571552595366</v>
      </c>
      <c r="BZ36" s="39"/>
      <c r="CA36" s="81">
        <f>$H$36*月別販売比率!BF21</f>
        <v>12.717527593818986</v>
      </c>
      <c r="CB36" s="39"/>
      <c r="CC36" s="81">
        <f>H36*月別販売比率!$C$21</f>
        <v>11.265225862262696</v>
      </c>
      <c r="CD36" s="39"/>
      <c r="CE36" s="81">
        <f>H36*月別販売比率!$H$21</f>
        <v>11.127836644591614</v>
      </c>
      <c r="CF36" s="280">
        <v>42</v>
      </c>
      <c r="CG36" s="81">
        <f>H36*月別販売比率!$M$21</f>
        <v>16.066003189540169</v>
      </c>
      <c r="CH36" s="39"/>
      <c r="CI36" s="81">
        <f>H36*月別販売比率!$R$21</f>
        <v>12.717527593818986</v>
      </c>
      <c r="CJ36" s="39"/>
      <c r="CK36" s="81">
        <f>H36*月別販売比率!$W$21</f>
        <v>12.10815459384553</v>
      </c>
      <c r="CL36" s="39"/>
      <c r="CM36" s="81">
        <f>H36*月別販売比率!$AB$21</f>
        <v>19.076291390728478</v>
      </c>
      <c r="CN36" s="39"/>
      <c r="CO36" s="81">
        <f>H36*月別販売比率!$AG$21</f>
        <v>15.896909492273734</v>
      </c>
      <c r="CP36" s="39"/>
      <c r="CQ36" s="81">
        <f>H36*月別販売比率!$AL$21</f>
        <v>14.307218543046359</v>
      </c>
      <c r="CR36" s="39">
        <v>25</v>
      </c>
      <c r="CS36" s="81">
        <f>H36*月別販売比率!$AQ$21</f>
        <v>15.896909492273734</v>
      </c>
      <c r="CT36" s="39">
        <v>25</v>
      </c>
      <c r="CU36" s="81">
        <f>H36*月別販売比率!$AV$21</f>
        <v>9.6803237590434712</v>
      </c>
      <c r="CV36" s="39"/>
      <c r="CW36" s="81">
        <f>H36*月別販売比率!$BA$21</f>
        <v>8.8423571552595366</v>
      </c>
      <c r="CX36" s="39"/>
      <c r="CY36" s="81">
        <f>H36*月別販売比率!$BF$21</f>
        <v>12.717527593818986</v>
      </c>
      <c r="CZ36" s="39"/>
      <c r="DA36" s="50"/>
      <c r="DB36" s="295"/>
    </row>
    <row r="37" spans="2:106" ht="30.75" customHeight="1">
      <c r="C37" s="458"/>
      <c r="D37" s="444"/>
      <c r="E37" s="101" t="s">
        <v>50</v>
      </c>
      <c r="F37" s="58">
        <v>23</v>
      </c>
      <c r="G37" s="35">
        <f t="shared" si="25"/>
        <v>83490</v>
      </c>
      <c r="H37" s="52">
        <f>F37*($H$27/$F$27)</f>
        <v>117.94481236203092</v>
      </c>
      <c r="I37" s="35">
        <f t="shared" si="17"/>
        <v>428139.6688741722</v>
      </c>
      <c r="J37" s="127">
        <v>37</v>
      </c>
      <c r="K37" s="103">
        <f t="shared" si="18"/>
        <v>23</v>
      </c>
      <c r="L37" s="103">
        <v>4</v>
      </c>
      <c r="M37" s="104">
        <v>19</v>
      </c>
      <c r="N37" s="385"/>
      <c r="O37" s="123"/>
      <c r="P37" s="123"/>
      <c r="Q37" s="332"/>
      <c r="R37" s="238"/>
      <c r="S37" s="238"/>
      <c r="T37" s="238"/>
      <c r="U37" s="238"/>
      <c r="V37" s="238"/>
      <c r="W37" s="238"/>
      <c r="X37" s="238"/>
      <c r="Y37" s="238"/>
      <c r="Z37" s="238"/>
      <c r="AA37" s="238"/>
      <c r="AB37" s="238"/>
      <c r="AC37" s="238"/>
      <c r="AD37" s="238"/>
      <c r="AE37" s="238"/>
      <c r="AF37" s="238"/>
      <c r="AG37" s="238"/>
      <c r="AH37" s="238"/>
      <c r="AI37" s="238">
        <f>SUM(J37:K37)-CI37+CJ37</f>
        <v>50.564415011037525</v>
      </c>
      <c r="AJ37" s="238">
        <f t="shared" si="26"/>
        <v>51.580945473668265</v>
      </c>
      <c r="AK37" s="238">
        <f t="shared" si="19"/>
        <v>37.42756799022456</v>
      </c>
      <c r="AL37" s="401">
        <f t="shared" si="27"/>
        <v>25.63308675402147</v>
      </c>
      <c r="AM37" s="395">
        <f t="shared" si="20"/>
        <v>25.018053641438687</v>
      </c>
      <c r="AN37" s="395">
        <f t="shared" si="21"/>
        <v>28.223572405235593</v>
      </c>
      <c r="AO37" s="395">
        <f t="shared" si="22"/>
        <v>21.041396713042051</v>
      </c>
      <c r="AP37" s="403">
        <f t="shared" si="23"/>
        <v>14.480938178494652</v>
      </c>
      <c r="AQ37" s="90">
        <f t="shared" si="24"/>
        <v>5.0453531895321788</v>
      </c>
      <c r="AR37" s="238"/>
      <c r="AS37" s="282">
        <f>$H$37*月別販売比率!AG5</f>
        <v>11.794481236203092</v>
      </c>
      <c r="AT37" s="104"/>
      <c r="AU37" s="282">
        <f>$H$37*月別販売比率!AL5</f>
        <v>10.615033112582783</v>
      </c>
      <c r="AV37" s="104"/>
      <c r="AW37" s="301">
        <f>$H$37*月別販売比率!AQ5</f>
        <v>11.794481236203092</v>
      </c>
      <c r="AX37" s="339">
        <v>20</v>
      </c>
      <c r="AY37" s="301">
        <f>$H$37*月別販売比率!AV5</f>
        <v>7.1821756921935433</v>
      </c>
      <c r="AZ37" s="339">
        <v>12</v>
      </c>
      <c r="BA37" s="301">
        <f>$H$37*月別販売比率!BA5</f>
        <v>6.5604585345473989</v>
      </c>
      <c r="BB37" s="339">
        <v>12</v>
      </c>
      <c r="BC37" s="282">
        <f>$H$37*月別販売比率!BF5</f>
        <v>9.4355849889624732</v>
      </c>
      <c r="BD37" s="104"/>
      <c r="BE37" s="301">
        <f>$H$37*月別販売比率!C21</f>
        <v>8.3580708010336124</v>
      </c>
      <c r="BF37" s="339">
        <v>10</v>
      </c>
      <c r="BG37" s="282">
        <f>$H$37*月別販売比率!H21</f>
        <v>8.2561368653421656</v>
      </c>
      <c r="BH37" s="104"/>
      <c r="BI37" s="301">
        <f>$H$37*月別販売比率!M21</f>
        <v>11.919937850303995</v>
      </c>
      <c r="BJ37" s="339">
        <v>30</v>
      </c>
      <c r="BK37" s="301">
        <f>$H$37*月別販売比率!R21</f>
        <v>9.4355849889624732</v>
      </c>
      <c r="BL37" s="339"/>
      <c r="BM37" s="282">
        <f>$H$37*月別販売比率!W21</f>
        <v>8.9834695373692632</v>
      </c>
      <c r="BN37" s="104"/>
      <c r="BO37" s="301">
        <f>$H$37*月別販売比率!AB21</f>
        <v>14.153377483443709</v>
      </c>
      <c r="BP37" s="381">
        <v>35</v>
      </c>
      <c r="BQ37" s="282">
        <f>$H$37*月別販売比率!AG21</f>
        <v>11.794481236203092</v>
      </c>
      <c r="BR37" s="104"/>
      <c r="BS37" s="301">
        <f>$H$37*月別販売比率!AL21</f>
        <v>10.615033112582783</v>
      </c>
      <c r="BT37" s="339">
        <v>20</v>
      </c>
      <c r="BU37" s="282">
        <f>$H$37*月別販売比率!AQ21</f>
        <v>11.794481236203092</v>
      </c>
      <c r="BV37" s="104"/>
      <c r="BW37" s="301">
        <f>$H$37*月別販売比率!AV21</f>
        <v>7.1821756921935433</v>
      </c>
      <c r="BX37" s="302">
        <v>30</v>
      </c>
      <c r="BY37" s="282">
        <f>$H$37*月別販売比率!BA21</f>
        <v>6.5604585345473989</v>
      </c>
      <c r="BZ37" s="103"/>
      <c r="CA37" s="282">
        <f>$H$37*月別販売比率!BF21</f>
        <v>9.4355849889624732</v>
      </c>
      <c r="CB37" s="103"/>
      <c r="CC37" s="282">
        <f>H37*月別販売比率!$C$21</f>
        <v>8.3580708010336124</v>
      </c>
      <c r="CD37" s="103"/>
      <c r="CE37" s="282">
        <f>H37*月別販売比率!$H$21</f>
        <v>8.2561368653421656</v>
      </c>
      <c r="CF37" s="302">
        <v>12</v>
      </c>
      <c r="CG37" s="282">
        <f>H37*月別販売比率!$M$21</f>
        <v>11.919937850303995</v>
      </c>
      <c r="CH37" s="103"/>
      <c r="CI37" s="282">
        <f>H37*月別販売比率!$R$21</f>
        <v>9.4355849889624732</v>
      </c>
      <c r="CJ37" s="103"/>
      <c r="CK37" s="282">
        <f>H37*月別販売比率!$W$21</f>
        <v>8.9834695373692632</v>
      </c>
      <c r="CL37" s="103">
        <v>10</v>
      </c>
      <c r="CM37" s="282">
        <f>H37*月別販売比率!$AB$21</f>
        <v>14.153377483443709</v>
      </c>
      <c r="CN37" s="103"/>
      <c r="CO37" s="282">
        <f>H37*月別販売比率!$AG$21</f>
        <v>11.794481236203092</v>
      </c>
      <c r="CP37" s="103"/>
      <c r="CQ37" s="282">
        <f>H37*月別販売比率!$AL$21</f>
        <v>10.615033112582783</v>
      </c>
      <c r="CR37" s="103">
        <v>10</v>
      </c>
      <c r="CS37" s="282">
        <f>H37*月別販売比率!$AQ$21</f>
        <v>11.794481236203092</v>
      </c>
      <c r="CT37" s="103">
        <v>15</v>
      </c>
      <c r="CU37" s="282">
        <f>H37*月別販売比率!$AV$21</f>
        <v>7.1821756921935433</v>
      </c>
      <c r="CV37" s="103"/>
      <c r="CW37" s="282">
        <f>H37*月別販売比率!$BA$21</f>
        <v>6.5604585345473989</v>
      </c>
      <c r="CX37" s="103"/>
      <c r="CY37" s="282">
        <f>H37*月別販売比率!$BF$21</f>
        <v>9.4355849889624732</v>
      </c>
      <c r="CZ37" s="103"/>
      <c r="DA37" s="300"/>
      <c r="DB37" s="297"/>
    </row>
    <row r="38" spans="2:106" ht="30.75" customHeight="1">
      <c r="B38" s="2">
        <v>3</v>
      </c>
      <c r="C38" s="435" t="s">
        <v>1</v>
      </c>
      <c r="D38" s="436"/>
      <c r="E38" s="445"/>
      <c r="F38" s="130">
        <f>SUM(F39:F48)</f>
        <v>983</v>
      </c>
      <c r="G38" s="131">
        <f>SUM(G39:G48)</f>
        <v>4108940</v>
      </c>
      <c r="H38" s="130">
        <v>2200</v>
      </c>
      <c r="I38" s="131">
        <f t="shared" ref="I38:N38" si="28">SUM(I39:I48)</f>
        <v>11182584.33367243</v>
      </c>
      <c r="J38" s="133">
        <f t="shared" si="28"/>
        <v>303</v>
      </c>
      <c r="K38" s="134">
        <f t="shared" si="28"/>
        <v>263</v>
      </c>
      <c r="L38" s="134">
        <f t="shared" si="28"/>
        <v>87</v>
      </c>
      <c r="M38" s="134">
        <f t="shared" si="28"/>
        <v>176</v>
      </c>
      <c r="N38" s="135">
        <f t="shared" si="28"/>
        <v>0</v>
      </c>
      <c r="O38" s="138"/>
      <c r="P38" s="138"/>
      <c r="Q38" s="138"/>
      <c r="R38" s="138"/>
      <c r="S38" s="138"/>
      <c r="T38" s="138"/>
      <c r="U38" s="138"/>
      <c r="V38" s="138"/>
      <c r="W38" s="138"/>
      <c r="X38" s="152"/>
      <c r="Y38" s="152"/>
      <c r="Z38" s="152"/>
      <c r="AA38" s="152"/>
      <c r="AB38" s="152"/>
      <c r="AC38" s="152"/>
      <c r="AD38" s="152"/>
      <c r="AE38" s="152"/>
      <c r="AF38" s="152"/>
      <c r="AG38" s="152"/>
      <c r="AH38" s="152"/>
      <c r="AI38" s="138"/>
      <c r="AJ38" s="138"/>
      <c r="AK38" s="138"/>
      <c r="AL38" s="138"/>
      <c r="AM38" s="138"/>
      <c r="AN38" s="138"/>
      <c r="AO38" s="138"/>
      <c r="AP38" s="138"/>
      <c r="AQ38" s="138"/>
      <c r="AR38" s="138"/>
      <c r="AS38" s="136">
        <f>SUM(AS39:AS48)</f>
        <v>267.52594099694812</v>
      </c>
      <c r="AT38" s="134"/>
      <c r="AU38" s="136">
        <f>SUM(AU39:AU48)</f>
        <v>240.77334689725328</v>
      </c>
      <c r="AV38" s="134"/>
      <c r="AW38" s="136">
        <f>SUM(AW39:AW48)</f>
        <v>267.52594099694812</v>
      </c>
      <c r="AX38" s="134">
        <f>SUM(AX39:AX48)</f>
        <v>610</v>
      </c>
      <c r="AY38" s="136">
        <f>SUM(AY39:AY48)</f>
        <v>162.90825106929691</v>
      </c>
      <c r="AZ38" s="134"/>
      <c r="BA38" s="136">
        <f>SUM(BA39:BA48)</f>
        <v>148.80627707804604</v>
      </c>
      <c r="BB38" s="134"/>
      <c r="BC38" s="136">
        <f>SUM(BC39:BC48)</f>
        <v>214.02075279755852</v>
      </c>
      <c r="BD38" s="134"/>
      <c r="BE38" s="136">
        <f>SUM(BE39:BE48)</f>
        <v>189.58025462809181</v>
      </c>
      <c r="BF38" s="136">
        <f>SUM(BF39:BF48)</f>
        <v>345</v>
      </c>
      <c r="BG38" s="136">
        <f t="shared" ref="BG38:CB38" si="29">SUM(BG39:BG48)</f>
        <v>187.2681586978637</v>
      </c>
      <c r="BH38" s="134">
        <f t="shared" si="29"/>
        <v>403</v>
      </c>
      <c r="BI38" s="136">
        <f t="shared" si="29"/>
        <v>270.37158533428567</v>
      </c>
      <c r="BJ38" s="134">
        <f t="shared" si="29"/>
        <v>630</v>
      </c>
      <c r="BK38" s="136">
        <f t="shared" si="29"/>
        <v>214.02075279755852</v>
      </c>
      <c r="BL38" s="134">
        <f t="shared" si="29"/>
        <v>0</v>
      </c>
      <c r="BM38" s="136">
        <f t="shared" si="29"/>
        <v>203.76573528517565</v>
      </c>
      <c r="BN38" s="134">
        <f t="shared" si="29"/>
        <v>0</v>
      </c>
      <c r="BO38" s="136">
        <f t="shared" si="29"/>
        <v>321.03112919633776</v>
      </c>
      <c r="BP38" s="134">
        <f t="shared" si="29"/>
        <v>210</v>
      </c>
      <c r="BQ38" s="136">
        <f t="shared" si="29"/>
        <v>267.52594099694812</v>
      </c>
      <c r="BR38" s="134">
        <f t="shared" si="29"/>
        <v>390</v>
      </c>
      <c r="BS38" s="136">
        <f t="shared" si="29"/>
        <v>240.77334689725328</v>
      </c>
      <c r="BT38" s="134">
        <f t="shared" si="29"/>
        <v>600</v>
      </c>
      <c r="BU38" s="136">
        <f>SUM(BU39:BU48)</f>
        <v>267.52594099694812</v>
      </c>
      <c r="BV38" s="134">
        <f t="shared" si="29"/>
        <v>0</v>
      </c>
      <c r="BW38" s="136">
        <f>SUM(BW39:BW48)</f>
        <v>162.90825106929691</v>
      </c>
      <c r="BX38" s="134">
        <f t="shared" si="29"/>
        <v>0</v>
      </c>
      <c r="BY38" s="136">
        <f>SUM(BY39:BY48)</f>
        <v>148.80627707804604</v>
      </c>
      <c r="BZ38" s="134">
        <f t="shared" si="29"/>
        <v>0</v>
      </c>
      <c r="CA38" s="136">
        <f>SUM(CA39:CA48)</f>
        <v>214.02075279755852</v>
      </c>
      <c r="CB38" s="134">
        <f t="shared" si="29"/>
        <v>0</v>
      </c>
      <c r="CC38" s="136">
        <f>SUM(CC39:CC48)</f>
        <v>189.58025462809181</v>
      </c>
      <c r="CD38" s="134">
        <f t="shared" ref="CD38:CF38" si="30">SUM(CD39:CD48)</f>
        <v>0</v>
      </c>
      <c r="CE38" s="136">
        <f>SUM(CE39:CE48)</f>
        <v>187.2681586978637</v>
      </c>
      <c r="CF38" s="134">
        <f t="shared" si="30"/>
        <v>0</v>
      </c>
      <c r="CG38" s="136">
        <f>SUM(CG39:CG48)</f>
        <v>270.37158533428567</v>
      </c>
      <c r="CH38" s="134">
        <f t="shared" ref="CH38" si="31">SUM(CH39:CH48)</f>
        <v>570</v>
      </c>
      <c r="CI38" s="136">
        <f>SUM(CI39:CI48)</f>
        <v>214.02075279755852</v>
      </c>
      <c r="CJ38" s="134">
        <f t="shared" ref="CJ38" si="32">SUM(CJ39:CJ48)</f>
        <v>570</v>
      </c>
      <c r="CK38" s="136">
        <f>SUM(CK39:CK48)</f>
        <v>203.76573528517565</v>
      </c>
      <c r="CL38" s="134">
        <f t="shared" ref="CL38" si="33">SUM(CL39:CL48)</f>
        <v>0</v>
      </c>
      <c r="CM38" s="136">
        <f>SUM(CM39:CM48)</f>
        <v>321.03112919633776</v>
      </c>
      <c r="CN38" s="134">
        <f t="shared" ref="CN38" si="34">SUM(CN39:CN48)</f>
        <v>0</v>
      </c>
      <c r="CO38" s="136">
        <f>SUM(CO39:CO48)</f>
        <v>267.52594099694812</v>
      </c>
      <c r="CP38" s="134">
        <f t="shared" ref="CP38" si="35">SUM(CP39:CP48)</f>
        <v>330</v>
      </c>
      <c r="CQ38" s="136">
        <f>SUM(CQ39:CQ48)</f>
        <v>240.77334689725328</v>
      </c>
      <c r="CR38" s="134">
        <f t="shared" ref="CR38" si="36">SUM(CR39:CR48)</f>
        <v>0</v>
      </c>
      <c r="CS38" s="136">
        <f>SUM(CS39:CS48)</f>
        <v>267.52594099694812</v>
      </c>
      <c r="CT38" s="134">
        <f t="shared" ref="CT38" si="37">SUM(CT39:CT48)</f>
        <v>740</v>
      </c>
      <c r="CU38" s="136">
        <v>162.90825106929691</v>
      </c>
      <c r="CV38" s="134">
        <f t="shared" ref="CV38" si="38">SUM(CV39:CV48)</f>
        <v>0</v>
      </c>
      <c r="CW38" s="136">
        <f>SUM(CW39:CW48)</f>
        <v>148.80627707804604</v>
      </c>
      <c r="CX38" s="134">
        <f t="shared" ref="CX38:CZ38" si="39">SUM(CX39:CX48)</f>
        <v>0</v>
      </c>
      <c r="CY38" s="136">
        <f>SUM(CY39:CY48)</f>
        <v>214.02075279755852</v>
      </c>
      <c r="CZ38" s="134">
        <f t="shared" si="39"/>
        <v>0</v>
      </c>
      <c r="DA38" s="141"/>
      <c r="DB38" s="293"/>
    </row>
    <row r="39" spans="2:106" ht="30.75" customHeight="1">
      <c r="C39" s="446" t="s">
        <v>502</v>
      </c>
      <c r="D39" s="443">
        <v>1</v>
      </c>
      <c r="E39" s="99" t="s">
        <v>46</v>
      </c>
      <c r="F39" s="56">
        <v>144</v>
      </c>
      <c r="G39" s="46">
        <f>F39*4180</f>
        <v>601920</v>
      </c>
      <c r="H39" s="45">
        <f>F39*($H$38/$F$38)</f>
        <v>322.27873855544254</v>
      </c>
      <c r="I39" s="46">
        <f>H39*4180</f>
        <v>1347125.1271617499</v>
      </c>
      <c r="J39" s="49">
        <v>2</v>
      </c>
      <c r="K39" s="39">
        <f t="shared" ref="K39:K48" si="40">SUM(L39:N39)</f>
        <v>25</v>
      </c>
      <c r="L39" s="39">
        <v>7</v>
      </c>
      <c r="M39" s="39">
        <v>18</v>
      </c>
      <c r="N39" s="384"/>
      <c r="O39" s="43"/>
      <c r="P39" s="43"/>
      <c r="Q39" s="335"/>
      <c r="R39" s="129"/>
      <c r="S39" s="129"/>
      <c r="T39" s="129"/>
      <c r="U39" s="345"/>
      <c r="V39" s="331">
        <v>45786</v>
      </c>
      <c r="W39" s="124"/>
      <c r="X39" s="124"/>
      <c r="Y39" s="124"/>
      <c r="Z39" s="124"/>
      <c r="AA39" s="124"/>
      <c r="AB39" s="330"/>
      <c r="AC39" s="330"/>
      <c r="AD39" s="330"/>
      <c r="AE39" s="330"/>
      <c r="AF39" s="330"/>
      <c r="AG39" s="330"/>
      <c r="AH39" s="330"/>
      <c r="AI39" s="129">
        <f>SUM(J39:K39)-CI39+CJ39</f>
        <v>71.217700915564592</v>
      </c>
      <c r="AJ39" s="129">
        <f t="shared" ref="AJ39:AJ48" si="41">AI39-CK39+CL39</f>
        <v>46.670786368209434</v>
      </c>
      <c r="AK39" s="129">
        <f t="shared" ref="AK39:AK48" si="42">AJ39-CM39+CN39</f>
        <v>7.9973377415563291</v>
      </c>
      <c r="AL39" s="129">
        <f t="shared" ref="AL39:AL48" si="43">AK39-CO39+CP39</f>
        <v>15.769463886012076</v>
      </c>
      <c r="AM39" s="393">
        <f t="shared" ref="AM39:AM48" si="44">AL39-CQ39+CR39</f>
        <v>-13.235622583977751</v>
      </c>
      <c r="AN39" s="393">
        <f>0-CS39+CT39</f>
        <v>57.772126144455747</v>
      </c>
      <c r="AO39" s="393">
        <f t="shared" ref="AO39:AO48" si="45">AN39-CU39+CV39</f>
        <v>38.147163623350082</v>
      </c>
      <c r="AP39" s="96">
        <f t="shared" ref="AP39:AP48" si="46">AO39-CW39+CX39</f>
        <v>20.221014448010326</v>
      </c>
      <c r="AQ39" s="91">
        <f t="shared" ref="AQ39:AQ48" si="47">AP39-CY39+CZ39</f>
        <v>-5.5612846364250785</v>
      </c>
      <c r="AR39" s="198"/>
      <c r="AS39" s="81">
        <f>$H$39*月別販売比率!AG5</f>
        <v>32.227873855544253</v>
      </c>
      <c r="AT39" s="39"/>
      <c r="AU39" s="81">
        <f>$H$39*月別販売比率!AL5</f>
        <v>29.005086469989827</v>
      </c>
      <c r="AV39" s="39"/>
      <c r="AW39" s="245">
        <f>$H$39*月別販売比率!AQ5</f>
        <v>32.227873855544253</v>
      </c>
      <c r="AX39" s="280"/>
      <c r="AY39" s="81">
        <f>$H$39*月別販売比率!AV5</f>
        <v>19.624962521105669</v>
      </c>
      <c r="AZ39" s="39"/>
      <c r="BA39" s="81">
        <f>$H$39*月別販売比率!BA5</f>
        <v>17.926149175339756</v>
      </c>
      <c r="BB39" s="39"/>
      <c r="BC39" s="81">
        <f>$H$39*月別販売比率!BF5</f>
        <v>25.782299084435405</v>
      </c>
      <c r="BD39" s="39"/>
      <c r="BE39" s="245">
        <f>$H$39*月別販売比率!C21</f>
        <v>22.838041458289091</v>
      </c>
      <c r="BF39" s="280">
        <v>50</v>
      </c>
      <c r="BG39" s="245">
        <f>$H$39*月別販売比率!H21</f>
        <v>22.559511698880979</v>
      </c>
      <c r="BH39" s="280">
        <v>68</v>
      </c>
      <c r="BI39" s="245">
        <f>$H$39*月別販売比率!M21</f>
        <v>32.570678244530612</v>
      </c>
      <c r="BJ39" s="280">
        <v>95</v>
      </c>
      <c r="BK39" s="81">
        <f>$H$39*月別販売比率!R21</f>
        <v>25.782299084435405</v>
      </c>
      <c r="BL39" s="39"/>
      <c r="BM39" s="81">
        <f>$H$39*月別販売比率!W21</f>
        <v>24.546914547355158</v>
      </c>
      <c r="BN39" s="39"/>
      <c r="BO39" s="245">
        <f>$H$39*月別販売比率!AB21</f>
        <v>38.673448626653105</v>
      </c>
      <c r="BP39" s="280"/>
      <c r="BQ39" s="245">
        <f>$H$39*月別販売比率!AG21</f>
        <v>32.227873855544253</v>
      </c>
      <c r="BR39" s="280">
        <v>70</v>
      </c>
      <c r="BS39" s="245">
        <f>$H$39*月別販売比率!AL21</f>
        <v>29.005086469989827</v>
      </c>
      <c r="BT39" s="280">
        <v>70</v>
      </c>
      <c r="BU39" s="81">
        <f>$H$39*月別販売比率!AQ21</f>
        <v>32.227873855544253</v>
      </c>
      <c r="BV39" s="39"/>
      <c r="BW39" s="81">
        <f>$H$39*月別販売比率!AV21</f>
        <v>19.624962521105669</v>
      </c>
      <c r="BX39" s="39"/>
      <c r="BY39" s="81">
        <f>$H$39*月別販売比率!BA21</f>
        <v>17.926149175339756</v>
      </c>
      <c r="BZ39" s="39"/>
      <c r="CA39" s="81">
        <f>$H$39*月別販売比率!BF21</f>
        <v>25.782299084435405</v>
      </c>
      <c r="CB39" s="39"/>
      <c r="CC39" s="81">
        <f>H39*月別販売比率!$C$21</f>
        <v>22.838041458289091</v>
      </c>
      <c r="CD39" s="39"/>
      <c r="CE39" s="81">
        <f>H39*月別販売比率!$H$21</f>
        <v>22.559511698880979</v>
      </c>
      <c r="CF39" s="39"/>
      <c r="CG39" s="81">
        <f>$H$39*月別販売比率!M21</f>
        <v>32.570678244530612</v>
      </c>
      <c r="CH39" s="280">
        <v>17</v>
      </c>
      <c r="CI39" s="81">
        <f>H39*月別販売比率!$R$21</f>
        <v>25.782299084435405</v>
      </c>
      <c r="CJ39" s="39">
        <v>70</v>
      </c>
      <c r="CK39" s="41">
        <f>H39*月別販売比率!$W$21</f>
        <v>24.546914547355158</v>
      </c>
      <c r="CL39" s="39"/>
      <c r="CM39" s="81">
        <f>H39*月別販売比率!$AB$21</f>
        <v>38.673448626653105</v>
      </c>
      <c r="CN39" s="39"/>
      <c r="CO39" s="41">
        <f>H39*月別販売比率!$AG$21</f>
        <v>32.227873855544253</v>
      </c>
      <c r="CP39" s="39">
        <v>40</v>
      </c>
      <c r="CQ39" s="81">
        <f>H39*月別販売比率!$AL$21</f>
        <v>29.005086469989827</v>
      </c>
      <c r="CR39" s="39"/>
      <c r="CS39" s="41">
        <f>H39*月別販売比率!$AQ$21</f>
        <v>32.227873855544253</v>
      </c>
      <c r="CT39" s="39">
        <v>90</v>
      </c>
      <c r="CU39" s="81">
        <f>H39*月別販売比率!$AV$21</f>
        <v>19.624962521105669</v>
      </c>
      <c r="CV39" s="39"/>
      <c r="CW39" s="81">
        <f>H39*月別販売比率!$BA$21</f>
        <v>17.926149175339756</v>
      </c>
      <c r="CX39" s="39"/>
      <c r="CY39" s="81">
        <f>H39*月別販売比率!$BF$21</f>
        <v>25.782299084435405</v>
      </c>
      <c r="CZ39" s="39"/>
      <c r="DA39" s="50"/>
      <c r="DB39" s="295"/>
    </row>
    <row r="40" spans="2:106" ht="30.75" customHeight="1">
      <c r="C40" s="457"/>
      <c r="D40" s="441"/>
      <c r="E40" s="94" t="s">
        <v>47</v>
      </c>
      <c r="F40" s="57">
        <v>226</v>
      </c>
      <c r="G40" s="46">
        <f t="shared" ref="G40:G48" si="48">F40*4180</f>
        <v>944680</v>
      </c>
      <c r="H40" s="164">
        <v>550</v>
      </c>
      <c r="I40" s="46">
        <f t="shared" ref="I40:I48" si="49">H40*4180</f>
        <v>2299000</v>
      </c>
      <c r="J40" s="9">
        <v>107</v>
      </c>
      <c r="K40" s="21">
        <f>SUM(L40:N40)</f>
        <v>30</v>
      </c>
      <c r="L40" s="21">
        <v>10</v>
      </c>
      <c r="M40" s="21">
        <v>20</v>
      </c>
      <c r="N40" s="386"/>
      <c r="O40" s="19"/>
      <c r="P40" s="19"/>
      <c r="Q40" s="330"/>
      <c r="R40" s="124"/>
      <c r="S40" s="124"/>
      <c r="T40" s="124"/>
      <c r="U40" s="328"/>
      <c r="V40" s="331">
        <v>45786</v>
      </c>
      <c r="W40" s="124"/>
      <c r="X40" s="124"/>
      <c r="Y40" s="124"/>
      <c r="Z40" s="124"/>
      <c r="AA40" s="124"/>
      <c r="AB40" s="124"/>
      <c r="AC40" s="124"/>
      <c r="AD40" s="124"/>
      <c r="AE40" s="124"/>
      <c r="AF40" s="124"/>
      <c r="AG40" s="124"/>
      <c r="AH40" s="331"/>
      <c r="AI40" s="129">
        <f t="shared" ref="AI40:AI48" si="50">SUM(J40:K40)-CI40+CJ40</f>
        <v>193</v>
      </c>
      <c r="AJ40" s="129">
        <f t="shared" si="41"/>
        <v>151.10830381935745</v>
      </c>
      <c r="AK40" s="129">
        <f t="shared" si="42"/>
        <v>85.108303819357445</v>
      </c>
      <c r="AL40" s="399">
        <f t="shared" si="43"/>
        <v>100.10830381935745</v>
      </c>
      <c r="AM40" s="393">
        <f t="shared" si="44"/>
        <v>50.608303819357445</v>
      </c>
      <c r="AN40" s="393">
        <f t="shared" ref="AN40:AN48" si="51">AM40-CS40+CT40</f>
        <v>145.60830381935745</v>
      </c>
      <c r="AO40" s="393">
        <f t="shared" si="45"/>
        <v>112.11639729462328</v>
      </c>
      <c r="AP40" s="96">
        <f t="shared" si="46"/>
        <v>81.523680906847275</v>
      </c>
      <c r="AQ40" s="91">
        <f t="shared" si="47"/>
        <v>37.523680906847275</v>
      </c>
      <c r="AR40" s="198"/>
      <c r="AS40" s="81">
        <f>$H$40*月別販売比率!AG5</f>
        <v>55</v>
      </c>
      <c r="AT40" s="21"/>
      <c r="AU40" s="81">
        <f>$H$40*月別販売比率!AL5</f>
        <v>49.5</v>
      </c>
      <c r="AV40" s="21"/>
      <c r="AW40" s="245">
        <f>$H$40*月別販売比率!AQ5</f>
        <v>55</v>
      </c>
      <c r="AX40" s="241">
        <v>100</v>
      </c>
      <c r="AY40" s="81">
        <f>$H$40*月別販売比率!AV5</f>
        <v>33.491906524734155</v>
      </c>
      <c r="AZ40" s="21"/>
      <c r="BA40" s="81">
        <f>$H$40*月別販売比率!BA5</f>
        <v>30.592716387776004</v>
      </c>
      <c r="BB40" s="21"/>
      <c r="BC40" s="81">
        <f>$H$40*月別販売比率!BF5</f>
        <v>44</v>
      </c>
      <c r="BD40" s="21"/>
      <c r="BE40" s="245">
        <f>$H$40*月別販売比率!C21</f>
        <v>38.975338113712112</v>
      </c>
      <c r="BF40" s="241">
        <v>49</v>
      </c>
      <c r="BG40" s="245">
        <f>$H$40*月別販売比率!H21</f>
        <v>38.500000000000007</v>
      </c>
      <c r="BH40" s="241">
        <v>146</v>
      </c>
      <c r="BI40" s="245">
        <f>$H$40*月別販売比率!M21</f>
        <v>55.585029018009699</v>
      </c>
      <c r="BJ40" s="241">
        <v>155</v>
      </c>
      <c r="BK40" s="81">
        <f>$H$40*月別販売比率!R21</f>
        <v>44</v>
      </c>
      <c r="BL40" s="21"/>
      <c r="BM40" s="81">
        <f>$H$40*月別販売比率!W21</f>
        <v>41.891696180642569</v>
      </c>
      <c r="BN40" s="21"/>
      <c r="BO40" s="245">
        <f>$H$40*月別販売比率!AB21</f>
        <v>66</v>
      </c>
      <c r="BP40" s="241"/>
      <c r="BQ40" s="245">
        <f>$H$40*月別販売比率!AG21</f>
        <v>55</v>
      </c>
      <c r="BR40" s="241">
        <v>100</v>
      </c>
      <c r="BS40" s="245">
        <f>$H$40*月別販売比率!AL21</f>
        <v>49.5</v>
      </c>
      <c r="BT40" s="241">
        <v>95</v>
      </c>
      <c r="BU40" s="81">
        <f>$H$40*月別販売比率!AQ21</f>
        <v>55</v>
      </c>
      <c r="BV40" s="21"/>
      <c r="BW40" s="81">
        <f>$H$40*月別販売比率!AV21</f>
        <v>33.491906524734155</v>
      </c>
      <c r="BX40" s="21"/>
      <c r="BY40" s="81">
        <f>$H$40*月別販売比率!BA21</f>
        <v>30.592716387776004</v>
      </c>
      <c r="BZ40" s="21"/>
      <c r="CA40" s="81">
        <f>$H$40*月別販売比率!BF21</f>
        <v>44</v>
      </c>
      <c r="CB40" s="21"/>
      <c r="CC40" s="81">
        <f>H40*月別販売比率!$C$21</f>
        <v>38.975338113712112</v>
      </c>
      <c r="CD40" s="21"/>
      <c r="CE40" s="81">
        <f>H40*月別販売比率!$H$21</f>
        <v>38.500000000000007</v>
      </c>
      <c r="CF40" s="21"/>
      <c r="CG40" s="81">
        <f>$H$40*月別販売比率!M21</f>
        <v>55.585029018009699</v>
      </c>
      <c r="CH40" s="241">
        <v>137</v>
      </c>
      <c r="CI40" s="81">
        <f>H40*月別販売比率!$R$21</f>
        <v>44</v>
      </c>
      <c r="CJ40" s="21">
        <v>100</v>
      </c>
      <c r="CK40" s="41">
        <f>H40*月別販売比率!$W$21</f>
        <v>41.891696180642569</v>
      </c>
      <c r="CL40" s="21"/>
      <c r="CM40" s="81">
        <f>H40*月別販売比率!$AB$21</f>
        <v>66</v>
      </c>
      <c r="CN40" s="21"/>
      <c r="CO40" s="41">
        <f>H40*月別販売比率!$AG$21</f>
        <v>55</v>
      </c>
      <c r="CP40" s="21">
        <v>70</v>
      </c>
      <c r="CQ40" s="81">
        <f>H40*月別販売比率!$AL$21</f>
        <v>49.5</v>
      </c>
      <c r="CR40" s="21"/>
      <c r="CS40" s="41">
        <f>H40*月別販売比率!$AQ$21</f>
        <v>55</v>
      </c>
      <c r="CT40" s="21">
        <v>150</v>
      </c>
      <c r="CU40" s="81">
        <f>H40*月別販売比率!$AV$21</f>
        <v>33.491906524734155</v>
      </c>
      <c r="CV40" s="21"/>
      <c r="CW40" s="81">
        <f>H40*月別販売比率!$BA$21</f>
        <v>30.592716387776004</v>
      </c>
      <c r="CX40" s="21"/>
      <c r="CY40" s="81">
        <f>H40*月別販売比率!$BF$21</f>
        <v>44</v>
      </c>
      <c r="CZ40" s="21"/>
      <c r="DA40" s="28"/>
      <c r="DB40" s="294"/>
    </row>
    <row r="41" spans="2:106" ht="30.75" customHeight="1">
      <c r="C41" s="457"/>
      <c r="D41" s="441"/>
      <c r="E41" s="94" t="s">
        <v>51</v>
      </c>
      <c r="F41" s="57">
        <v>204</v>
      </c>
      <c r="G41" s="46">
        <f t="shared" si="48"/>
        <v>852720</v>
      </c>
      <c r="H41" s="45">
        <f t="shared" ref="H41:H44" si="52">F41*($H$38/$F$38)</f>
        <v>456.56154628687693</v>
      </c>
      <c r="I41" s="46">
        <f t="shared" si="49"/>
        <v>1908427.2634791455</v>
      </c>
      <c r="J41" s="9">
        <v>41</v>
      </c>
      <c r="K41" s="21">
        <f t="shared" si="40"/>
        <v>17</v>
      </c>
      <c r="L41" s="21">
        <v>5</v>
      </c>
      <c r="M41" s="21">
        <v>12</v>
      </c>
      <c r="N41" s="386"/>
      <c r="O41" s="19"/>
      <c r="P41" s="19"/>
      <c r="Q41" s="330"/>
      <c r="R41" s="124"/>
      <c r="S41" s="124"/>
      <c r="T41" s="124"/>
      <c r="U41" s="328"/>
      <c r="V41" s="331">
        <v>45786</v>
      </c>
      <c r="W41" s="124"/>
      <c r="X41" s="124"/>
      <c r="Y41" s="124"/>
      <c r="Z41" s="124"/>
      <c r="AA41" s="124"/>
      <c r="AB41" s="330"/>
      <c r="AC41" s="330"/>
      <c r="AD41" s="330"/>
      <c r="AE41" s="330"/>
      <c r="AF41" s="330"/>
      <c r="AG41" s="124"/>
      <c r="AH41" s="331"/>
      <c r="AI41" s="129">
        <f t="shared" si="50"/>
        <v>101.47507629704984</v>
      </c>
      <c r="AJ41" s="129">
        <f t="shared" si="41"/>
        <v>66.700280688296701</v>
      </c>
      <c r="AK41" s="129">
        <f t="shared" si="42"/>
        <v>11.912895133871473</v>
      </c>
      <c r="AL41" s="129">
        <f t="shared" si="43"/>
        <v>51.256740505183778</v>
      </c>
      <c r="AM41" s="393">
        <f t="shared" si="44"/>
        <v>10.166201339364854</v>
      </c>
      <c r="AN41" s="393">
        <f t="shared" si="51"/>
        <v>89.510046710677159</v>
      </c>
      <c r="AO41" s="393">
        <f t="shared" si="45"/>
        <v>61.708016472444129</v>
      </c>
      <c r="AP41" s="96">
        <f t="shared" si="46"/>
        <v>36.312638474046139</v>
      </c>
      <c r="AQ41" s="91">
        <f t="shared" si="47"/>
        <v>-0.21228522890401536</v>
      </c>
      <c r="AR41" s="198"/>
      <c r="AS41" s="81">
        <f>$H$41*月別販売比率!AG5</f>
        <v>45.656154628687695</v>
      </c>
      <c r="AT41" s="21"/>
      <c r="AU41" s="81">
        <f>$H$41*月別販売比率!AL5</f>
        <v>41.090539165818925</v>
      </c>
      <c r="AV41" s="21"/>
      <c r="AW41" s="245">
        <f>$H$41*月別販売比率!AQ5</f>
        <v>45.656154628687695</v>
      </c>
      <c r="AX41" s="241">
        <v>100</v>
      </c>
      <c r="AY41" s="81">
        <f>$H$41*月別販売比率!AV5</f>
        <v>27.802030238233034</v>
      </c>
      <c r="AZ41" s="21"/>
      <c r="BA41" s="81">
        <f>$H$41*月別販売比率!BA5</f>
        <v>25.395377998397986</v>
      </c>
      <c r="BB41" s="21"/>
      <c r="BC41" s="81">
        <f>$H$41*月別販売比率!BF5</f>
        <v>36.524923702950154</v>
      </c>
      <c r="BD41" s="21"/>
      <c r="BE41" s="245">
        <f>$H$41*月別販売比率!C21</f>
        <v>32.353892065909548</v>
      </c>
      <c r="BF41" s="241">
        <v>49</v>
      </c>
      <c r="BG41" s="245">
        <f>$H$41*月別販売比率!H21</f>
        <v>31.959308240081388</v>
      </c>
      <c r="BH41" s="241">
        <v>131</v>
      </c>
      <c r="BI41" s="245">
        <f>$H$41*月別販売比率!M21</f>
        <v>46.141794179751699</v>
      </c>
      <c r="BJ41" s="241">
        <v>135</v>
      </c>
      <c r="BK41" s="81">
        <f>$H$41*月別販売比率!R21</f>
        <v>36.524923702950154</v>
      </c>
      <c r="BL41" s="21"/>
      <c r="BM41" s="81">
        <f>$H$41*月別販売比率!W21</f>
        <v>34.774795608753138</v>
      </c>
      <c r="BN41" s="21"/>
      <c r="BO41" s="245">
        <f>$H$41*月別販売比率!AB21</f>
        <v>54.787385554425228</v>
      </c>
      <c r="BP41" s="241"/>
      <c r="BQ41" s="245">
        <f>$H$41*月別販売比率!AG21</f>
        <v>45.656154628687695</v>
      </c>
      <c r="BR41" s="241">
        <v>100</v>
      </c>
      <c r="BS41" s="245">
        <f>$H$41*月別販売比率!AL21</f>
        <v>41.090539165818925</v>
      </c>
      <c r="BT41" s="241">
        <v>95</v>
      </c>
      <c r="BU41" s="81">
        <f>$H$41*月別販売比率!AQ21</f>
        <v>45.656154628687695</v>
      </c>
      <c r="BV41" s="21"/>
      <c r="BW41" s="81">
        <f>$H$41*月別販売比率!AV21</f>
        <v>27.802030238233034</v>
      </c>
      <c r="BX41" s="21"/>
      <c r="BY41" s="81">
        <f>$H$41*月別販売比率!BA21</f>
        <v>25.395377998397986</v>
      </c>
      <c r="BZ41" s="21"/>
      <c r="CA41" s="81">
        <f>$H$41*月別販売比率!BF21</f>
        <v>36.524923702950154</v>
      </c>
      <c r="CB41" s="21"/>
      <c r="CC41" s="81">
        <f>H41*月別販売比率!$C$21</f>
        <v>32.353892065909548</v>
      </c>
      <c r="CD41" s="21"/>
      <c r="CE41" s="81">
        <f>H41*月別販売比率!$H$21</f>
        <v>31.959308240081388</v>
      </c>
      <c r="CF41" s="21"/>
      <c r="CG41" s="81">
        <f>$H$41*月別販売比率!M21</f>
        <v>46.141794179751699</v>
      </c>
      <c r="CH41" s="241">
        <v>57</v>
      </c>
      <c r="CI41" s="81">
        <f>H41*月別販売比率!$R$21</f>
        <v>36.524923702950154</v>
      </c>
      <c r="CJ41" s="21">
        <v>80</v>
      </c>
      <c r="CK41" s="41">
        <f>H41*月別販売比率!$W$21</f>
        <v>34.774795608753138</v>
      </c>
      <c r="CL41" s="21"/>
      <c r="CM41" s="81">
        <f>H41*月別販売比率!$AB$21</f>
        <v>54.787385554425228</v>
      </c>
      <c r="CN41" s="21"/>
      <c r="CO41" s="41">
        <f>H41*月別販売比率!$AG$21</f>
        <v>45.656154628687695</v>
      </c>
      <c r="CP41" s="21">
        <v>85</v>
      </c>
      <c r="CQ41" s="81">
        <f>H41*月別販売比率!$AL$21</f>
        <v>41.090539165818925</v>
      </c>
      <c r="CR41" s="21"/>
      <c r="CS41" s="41">
        <f>H41*月別販売比率!$AQ$21</f>
        <v>45.656154628687695</v>
      </c>
      <c r="CT41" s="21">
        <v>125</v>
      </c>
      <c r="CU41" s="81">
        <f>H41*月別販売比率!$AV$21</f>
        <v>27.802030238233034</v>
      </c>
      <c r="CV41" s="21"/>
      <c r="CW41" s="81">
        <f>H41*月別販売比率!$BA$21</f>
        <v>25.395377998397986</v>
      </c>
      <c r="CX41" s="21"/>
      <c r="CY41" s="81">
        <f>H41*月別販売比率!$BF$21</f>
        <v>36.524923702950154</v>
      </c>
      <c r="CZ41" s="21"/>
      <c r="DA41" s="28"/>
      <c r="DB41" s="294"/>
    </row>
    <row r="42" spans="2:106" ht="30.75" customHeight="1">
      <c r="C42" s="457"/>
      <c r="D42" s="441"/>
      <c r="E42" s="94" t="s">
        <v>49</v>
      </c>
      <c r="F42" s="57">
        <v>89</v>
      </c>
      <c r="G42" s="46">
        <f t="shared" si="48"/>
        <v>372020</v>
      </c>
      <c r="H42" s="45">
        <f t="shared" si="52"/>
        <v>199.18616480162768</v>
      </c>
      <c r="I42" s="46">
        <f t="shared" si="49"/>
        <v>832598.16887080367</v>
      </c>
      <c r="J42" s="9">
        <v>21</v>
      </c>
      <c r="K42" s="21">
        <f t="shared" si="40"/>
        <v>31</v>
      </c>
      <c r="L42" s="21">
        <v>10</v>
      </c>
      <c r="M42" s="21">
        <v>21</v>
      </c>
      <c r="N42" s="386"/>
      <c r="O42" s="19"/>
      <c r="P42" s="288"/>
      <c r="Q42" s="331">
        <v>45654</v>
      </c>
      <c r="R42" s="124"/>
      <c r="S42" s="124"/>
      <c r="T42" s="124"/>
      <c r="U42" s="124"/>
      <c r="V42" s="124"/>
      <c r="W42" s="124"/>
      <c r="X42" s="124"/>
      <c r="Y42" s="124"/>
      <c r="Z42" s="124"/>
      <c r="AA42" s="331">
        <v>45950</v>
      </c>
      <c r="AB42" s="124"/>
      <c r="AC42" s="124"/>
      <c r="AD42" s="124"/>
      <c r="AE42" s="124"/>
      <c r="AF42" s="124"/>
      <c r="AG42" s="124"/>
      <c r="AH42" s="124"/>
      <c r="AI42" s="129">
        <f t="shared" si="50"/>
        <v>86.065106815869783</v>
      </c>
      <c r="AJ42" s="129">
        <f t="shared" si="41"/>
        <v>70.893749908129436</v>
      </c>
      <c r="AK42" s="129">
        <f t="shared" si="42"/>
        <v>46.991410131934117</v>
      </c>
      <c r="AL42" s="399">
        <f t="shared" si="43"/>
        <v>42.072793651771349</v>
      </c>
      <c r="AM42" s="393">
        <f t="shared" si="44"/>
        <v>24.146038819624859</v>
      </c>
      <c r="AN42" s="393">
        <f t="shared" si="51"/>
        <v>59.227422339462095</v>
      </c>
      <c r="AO42" s="393">
        <f t="shared" si="45"/>
        <v>47.098105225723174</v>
      </c>
      <c r="AP42" s="96">
        <f t="shared" si="46"/>
        <v>36.018749138186799</v>
      </c>
      <c r="AQ42" s="91">
        <f t="shared" si="47"/>
        <v>20.083855954056581</v>
      </c>
      <c r="AR42" s="198"/>
      <c r="AS42" s="81">
        <f>$H$42*月別販売比率!AG5</f>
        <v>19.918616480162768</v>
      </c>
      <c r="AT42" s="21"/>
      <c r="AU42" s="81">
        <f>$H$42*月別販売比率!AL5</f>
        <v>17.926754832146489</v>
      </c>
      <c r="AV42" s="21"/>
      <c r="AW42" s="245">
        <f>$H$42*月別販売比率!AQ5</f>
        <v>19.918616480162768</v>
      </c>
      <c r="AX42" s="241">
        <v>100</v>
      </c>
      <c r="AY42" s="81">
        <f>$H$42*月別販売比率!AV5</f>
        <v>12.129317113738921</v>
      </c>
      <c r="AZ42" s="21"/>
      <c r="BA42" s="81">
        <f>$H$42*月別販売比率!BA5</f>
        <v>11.079356087536377</v>
      </c>
      <c r="BB42" s="21"/>
      <c r="BC42" s="81">
        <f>$H$42*月別販売比率!BF5</f>
        <v>15.934893184130216</v>
      </c>
      <c r="BD42" s="21"/>
      <c r="BE42" s="245">
        <f>$H$42*月別販売比率!C21</f>
        <v>14.115178401303675</v>
      </c>
      <c r="BF42" s="241">
        <v>29</v>
      </c>
      <c r="BG42" s="245">
        <f>$H$42*月別販売比率!H21</f>
        <v>13.943031536113939</v>
      </c>
      <c r="BH42" s="241">
        <v>31</v>
      </c>
      <c r="BI42" s="245">
        <f>$H$42*月別販売比率!M21</f>
        <v>20.130488637244614</v>
      </c>
      <c r="BJ42" s="241">
        <v>60</v>
      </c>
      <c r="BK42" s="81">
        <f>$H$42*月別販売比率!R21</f>
        <v>15.934893184130216</v>
      </c>
      <c r="BL42" s="21"/>
      <c r="BM42" s="81">
        <f>$H$42*月別販売比率!W21</f>
        <v>15.171356907740341</v>
      </c>
      <c r="BN42" s="21"/>
      <c r="BO42" s="245">
        <f>$H$42*月別販売比率!AB21</f>
        <v>23.902339776195323</v>
      </c>
      <c r="BP42" s="241"/>
      <c r="BQ42" s="245">
        <f>$H$42*月別販売比率!AG21</f>
        <v>19.918616480162768</v>
      </c>
      <c r="BR42" s="241">
        <v>60</v>
      </c>
      <c r="BS42" s="245">
        <f>$H$42*月別販売比率!AL21</f>
        <v>17.926754832146489</v>
      </c>
      <c r="BT42" s="241">
        <v>70</v>
      </c>
      <c r="BU42" s="81">
        <f>$H$42*月別販売比率!AQ21</f>
        <v>19.918616480162768</v>
      </c>
      <c r="BV42" s="21"/>
      <c r="BW42" s="81">
        <f>$H$42*月別販売比率!AV21</f>
        <v>12.129317113738921</v>
      </c>
      <c r="BX42" s="21"/>
      <c r="BY42" s="81">
        <f>$H$42*月別販売比率!BA21</f>
        <v>11.079356087536377</v>
      </c>
      <c r="BZ42" s="21"/>
      <c r="CA42" s="81">
        <f>$H$42*月別販売比率!BF21</f>
        <v>15.934893184130216</v>
      </c>
      <c r="CB42" s="21"/>
      <c r="CC42" s="81">
        <f>H42*月別販売比率!$C$21</f>
        <v>14.115178401303675</v>
      </c>
      <c r="CD42" s="21"/>
      <c r="CE42" s="81">
        <f>H42*月別販売比率!$H$21</f>
        <v>13.943031536113939</v>
      </c>
      <c r="CF42" s="21"/>
      <c r="CG42" s="81">
        <f>$H$42*月別販売比率!M21</f>
        <v>20.130488637244614</v>
      </c>
      <c r="CH42" s="241">
        <v>57</v>
      </c>
      <c r="CI42" s="81">
        <f>H42*月別販売比率!$R$21</f>
        <v>15.934893184130216</v>
      </c>
      <c r="CJ42" s="21">
        <v>50</v>
      </c>
      <c r="CK42" s="41">
        <f>H42*月別販売比率!$W$21</f>
        <v>15.171356907740341</v>
      </c>
      <c r="CL42" s="21"/>
      <c r="CM42" s="81">
        <f>H42*月別販売比率!$AB$21</f>
        <v>23.902339776195323</v>
      </c>
      <c r="CN42" s="21"/>
      <c r="CO42" s="41">
        <f>H42*月別販売比率!$AG$21</f>
        <v>19.918616480162768</v>
      </c>
      <c r="CP42" s="21">
        <v>15</v>
      </c>
      <c r="CQ42" s="81">
        <f>H42*月別販売比率!$AL$21</f>
        <v>17.926754832146489</v>
      </c>
      <c r="CR42" s="21"/>
      <c r="CS42" s="41">
        <f>H42*月別販売比率!$AQ$21</f>
        <v>19.918616480162768</v>
      </c>
      <c r="CT42" s="21">
        <v>55</v>
      </c>
      <c r="CU42" s="81">
        <f>H42*月別販売比率!$AV$21</f>
        <v>12.129317113738921</v>
      </c>
      <c r="CV42" s="21"/>
      <c r="CW42" s="81">
        <f>H42*月別販売比率!$BA$21</f>
        <v>11.079356087536377</v>
      </c>
      <c r="CX42" s="21"/>
      <c r="CY42" s="81">
        <f>H42*月別販売比率!$BF$21</f>
        <v>15.934893184130216</v>
      </c>
      <c r="CZ42" s="21"/>
      <c r="DA42" s="28"/>
      <c r="DB42" s="294"/>
    </row>
    <row r="43" spans="2:106" ht="30.75" customHeight="1">
      <c r="C43" s="457"/>
      <c r="D43" s="442"/>
      <c r="E43" s="94" t="s">
        <v>50</v>
      </c>
      <c r="F43" s="57">
        <v>50</v>
      </c>
      <c r="G43" s="46">
        <f t="shared" si="48"/>
        <v>209000</v>
      </c>
      <c r="H43" s="45">
        <f t="shared" si="52"/>
        <v>111.90233977619532</v>
      </c>
      <c r="I43" s="46">
        <f t="shared" si="49"/>
        <v>467751.78026449645</v>
      </c>
      <c r="J43" s="9">
        <v>0</v>
      </c>
      <c r="K43" s="21">
        <f t="shared" si="40"/>
        <v>22</v>
      </c>
      <c r="L43" s="21">
        <v>9</v>
      </c>
      <c r="M43" s="21">
        <v>13</v>
      </c>
      <c r="N43" s="386"/>
      <c r="O43" s="19"/>
      <c r="P43" s="19"/>
      <c r="Q43" s="330"/>
      <c r="R43" s="124"/>
      <c r="S43" s="124"/>
      <c r="T43" s="124"/>
      <c r="U43" s="124"/>
      <c r="V43" s="124"/>
      <c r="W43" s="124"/>
      <c r="X43" s="124"/>
      <c r="Y43" s="124"/>
      <c r="Z43" s="124"/>
      <c r="AA43" s="331">
        <v>45950</v>
      </c>
      <c r="AB43" s="330"/>
      <c r="AC43" s="330"/>
      <c r="AD43" s="330"/>
      <c r="AE43" s="330"/>
      <c r="AF43" s="328"/>
      <c r="AG43" s="331"/>
      <c r="AH43" s="331"/>
      <c r="AI43" s="129">
        <f t="shared" si="50"/>
        <v>43.047812817904372</v>
      </c>
      <c r="AJ43" s="129">
        <f t="shared" si="41"/>
        <v>34.524578600072722</v>
      </c>
      <c r="AK43" s="129">
        <f t="shared" si="42"/>
        <v>21.096297826929284</v>
      </c>
      <c r="AL43" s="399">
        <f t="shared" si="43"/>
        <v>19.906063849309753</v>
      </c>
      <c r="AM43" s="393">
        <f t="shared" si="44"/>
        <v>9.8348532694521751</v>
      </c>
      <c r="AN43" s="393">
        <f t="shared" si="51"/>
        <v>38.64461929183264</v>
      </c>
      <c r="AO43" s="393">
        <f t="shared" si="45"/>
        <v>31.830396194226505</v>
      </c>
      <c r="AP43" s="96">
        <f t="shared" si="46"/>
        <v>25.606038841677979</v>
      </c>
      <c r="AQ43" s="91">
        <f t="shared" si="47"/>
        <v>16.653851659582351</v>
      </c>
      <c r="AR43" s="198"/>
      <c r="AS43" s="81">
        <f>$H$43*月別販売比率!AG5</f>
        <v>11.190233977619533</v>
      </c>
      <c r="AT43" s="21"/>
      <c r="AU43" s="81">
        <f>$H$43*月別販売比率!AL5</f>
        <v>10.071210579857578</v>
      </c>
      <c r="AV43" s="21"/>
      <c r="AW43" s="245">
        <f>$H$43*月別販売比率!AQ5</f>
        <v>11.190233977619533</v>
      </c>
      <c r="AX43" s="241"/>
      <c r="AY43" s="81">
        <f>$H$43*月別販売比率!AV5</f>
        <v>6.8142230976061349</v>
      </c>
      <c r="AZ43" s="21"/>
      <c r="BA43" s="81">
        <f>$H$43*月別販売比率!BA5</f>
        <v>6.2243573525485258</v>
      </c>
      <c r="BB43" s="21"/>
      <c r="BC43" s="81">
        <f>$H$43*月別販売比率!BF5</f>
        <v>8.952187182095626</v>
      </c>
      <c r="BD43" s="21"/>
      <c r="BE43" s="245">
        <f>$H$43*月別販売比率!C21</f>
        <v>7.9298755063503785</v>
      </c>
      <c r="BF43" s="241">
        <v>25</v>
      </c>
      <c r="BG43" s="245">
        <f>$H$43*月別販売比率!H21</f>
        <v>7.8331637843336734</v>
      </c>
      <c r="BH43" s="241">
        <v>25</v>
      </c>
      <c r="BI43" s="245">
        <f>$H$43*月別販売比率!M21</f>
        <v>11.309263279350905</v>
      </c>
      <c r="BJ43" s="241">
        <v>35</v>
      </c>
      <c r="BK43" s="81">
        <f>$H$43*月別販売比率!R21</f>
        <v>8.952187182095626</v>
      </c>
      <c r="BL43" s="21"/>
      <c r="BM43" s="81">
        <f>$H$43*月別販売比率!W21</f>
        <v>8.5232342178316518</v>
      </c>
      <c r="BN43" s="21"/>
      <c r="BO43" s="245">
        <f>$H$43*月別販売比率!AB21</f>
        <v>13.428280773143438</v>
      </c>
      <c r="BP43" s="241"/>
      <c r="BQ43" s="245">
        <f>$H$43*月別販売比率!AG21</f>
        <v>11.190233977619533</v>
      </c>
      <c r="BR43" s="241">
        <v>30</v>
      </c>
      <c r="BS43" s="245">
        <f>$H$43*月別販売比率!AL21</f>
        <v>10.071210579857578</v>
      </c>
      <c r="BT43" s="241">
        <v>30</v>
      </c>
      <c r="BU43" s="81">
        <f>$H$43*月別販売比率!AQ21</f>
        <v>11.190233977619533</v>
      </c>
      <c r="BV43" s="21"/>
      <c r="BW43" s="81">
        <f>$H$43*月別販売比率!AV21</f>
        <v>6.8142230976061349</v>
      </c>
      <c r="BX43" s="21"/>
      <c r="BY43" s="81">
        <f>$H$43*月別販売比率!BA21</f>
        <v>6.2243573525485258</v>
      </c>
      <c r="BZ43" s="21"/>
      <c r="CA43" s="81">
        <f>$H$43*月別販売比率!BF21</f>
        <v>8.952187182095626</v>
      </c>
      <c r="CB43" s="21"/>
      <c r="CC43" s="81">
        <f>H43*月別販売比率!$C$21</f>
        <v>7.9298755063503785</v>
      </c>
      <c r="CD43" s="21"/>
      <c r="CE43" s="81">
        <f>H43*月別販売比率!$H$21</f>
        <v>7.8331637843336734</v>
      </c>
      <c r="CF43" s="21"/>
      <c r="CG43" s="81">
        <f>$H$43*月別販売比率!M21</f>
        <v>11.309263279350905</v>
      </c>
      <c r="CH43" s="241">
        <v>27</v>
      </c>
      <c r="CI43" s="81">
        <f>H43*月別販売比率!$R$21</f>
        <v>8.952187182095626</v>
      </c>
      <c r="CJ43" s="21">
        <v>30</v>
      </c>
      <c r="CK43" s="41">
        <f>H43*月別販売比率!$W$21</f>
        <v>8.5232342178316518</v>
      </c>
      <c r="CL43" s="21"/>
      <c r="CM43" s="81">
        <f>H43*月別販売比率!$AB$21</f>
        <v>13.428280773143438</v>
      </c>
      <c r="CN43" s="21"/>
      <c r="CO43" s="41">
        <f>H43*月別販売比率!$AG$21</f>
        <v>11.190233977619533</v>
      </c>
      <c r="CP43" s="21">
        <v>10</v>
      </c>
      <c r="CQ43" s="81">
        <f>H43*月別販売比率!$AL$21</f>
        <v>10.071210579857578</v>
      </c>
      <c r="CR43" s="21"/>
      <c r="CS43" s="41">
        <f>H43*月別販売比率!$AQ$21</f>
        <v>11.190233977619533</v>
      </c>
      <c r="CT43" s="21">
        <v>40</v>
      </c>
      <c r="CU43" s="81">
        <f>H43*月別販売比率!$AV$21</f>
        <v>6.8142230976061349</v>
      </c>
      <c r="CV43" s="21"/>
      <c r="CW43" s="81">
        <f>H43*月別販売比率!$BA$21</f>
        <v>6.2243573525485258</v>
      </c>
      <c r="CX43" s="21"/>
      <c r="CY43" s="81">
        <f>H43*月別販売比率!$BF$21</f>
        <v>8.952187182095626</v>
      </c>
      <c r="CZ43" s="21"/>
      <c r="DA43" s="28"/>
      <c r="DB43" s="294"/>
    </row>
    <row r="44" spans="2:106" ht="30.75" customHeight="1">
      <c r="C44" s="457"/>
      <c r="D44" s="443">
        <v>2</v>
      </c>
      <c r="E44" s="94" t="s">
        <v>46</v>
      </c>
      <c r="F44" s="57">
        <v>56</v>
      </c>
      <c r="G44" s="46">
        <f t="shared" si="48"/>
        <v>234080</v>
      </c>
      <c r="H44" s="45">
        <f t="shared" si="52"/>
        <v>125.33062054933876</v>
      </c>
      <c r="I44" s="46">
        <f t="shared" si="49"/>
        <v>523881.993896236</v>
      </c>
      <c r="J44" s="9">
        <v>12</v>
      </c>
      <c r="K44" s="21">
        <f t="shared" si="40"/>
        <v>34</v>
      </c>
      <c r="L44" s="21">
        <v>12</v>
      </c>
      <c r="M44" s="21">
        <v>22</v>
      </c>
      <c r="N44" s="386"/>
      <c r="O44" s="19"/>
      <c r="P44" s="19"/>
      <c r="Q44" s="331"/>
      <c r="R44" s="124"/>
      <c r="S44" s="124"/>
      <c r="T44" s="124"/>
      <c r="U44" s="328"/>
      <c r="V44" s="331">
        <v>45786</v>
      </c>
      <c r="W44" s="124"/>
      <c r="X44" s="124"/>
      <c r="Y44" s="124"/>
      <c r="Z44" s="124"/>
      <c r="AA44" s="124"/>
      <c r="AB44" s="124"/>
      <c r="AC44" s="124"/>
      <c r="AD44" s="124"/>
      <c r="AE44" s="124"/>
      <c r="AF44" s="124"/>
      <c r="AG44" s="124"/>
      <c r="AH44" s="331"/>
      <c r="AI44" s="129">
        <f t="shared" si="50"/>
        <v>65.973550356052897</v>
      </c>
      <c r="AJ44" s="129">
        <f t="shared" si="41"/>
        <v>56.427528032081447</v>
      </c>
      <c r="AK44" s="129">
        <f t="shared" si="42"/>
        <v>41.3878535661608</v>
      </c>
      <c r="AL44" s="399">
        <f t="shared" si="43"/>
        <v>38.854791511226921</v>
      </c>
      <c r="AM44" s="393">
        <f t="shared" si="44"/>
        <v>27.575035661786433</v>
      </c>
      <c r="AN44" s="393">
        <f t="shared" si="51"/>
        <v>35.041973606852558</v>
      </c>
      <c r="AO44" s="393">
        <f t="shared" si="45"/>
        <v>27.410043737533687</v>
      </c>
      <c r="AP44" s="96">
        <f t="shared" si="46"/>
        <v>20.438763502679336</v>
      </c>
      <c r="AQ44" s="91">
        <f t="shared" si="47"/>
        <v>10.412313858732235</v>
      </c>
      <c r="AR44" s="198"/>
      <c r="AS44" s="81">
        <f>$H$44*月別販売比率!AG5</f>
        <v>12.533062054933877</v>
      </c>
      <c r="AT44" s="21"/>
      <c r="AU44" s="81">
        <f>$H$44*月別販売比率!AL5</f>
        <v>11.279755849440487</v>
      </c>
      <c r="AV44" s="21"/>
      <c r="AW44" s="245">
        <f>$H$44*月別販売比率!AQ5</f>
        <v>12.533062054933877</v>
      </c>
      <c r="AX44" s="241">
        <v>50</v>
      </c>
      <c r="AY44" s="81">
        <f>$H$44*月別販売比率!AV5</f>
        <v>7.6319298693188715</v>
      </c>
      <c r="AZ44" s="21"/>
      <c r="BA44" s="81">
        <f>$H$44*月別販売比率!BA5</f>
        <v>6.9712802348543494</v>
      </c>
      <c r="BB44" s="21"/>
      <c r="BC44" s="81">
        <f>$H$44*月別販売比率!BF5</f>
        <v>10.026449643947101</v>
      </c>
      <c r="BD44" s="21"/>
      <c r="BE44" s="245">
        <f>$H$44*月別販売比率!C21</f>
        <v>8.8814605671124234</v>
      </c>
      <c r="BF44" s="241">
        <v>44</v>
      </c>
      <c r="BG44" s="245">
        <f>$H$44*月別販売比率!H21</f>
        <v>8.7731434384537135</v>
      </c>
      <c r="BH44" s="241">
        <v>1</v>
      </c>
      <c r="BI44" s="245">
        <f>$H$44*月別販売比率!M21</f>
        <v>12.666374872873014</v>
      </c>
      <c r="BJ44" s="241">
        <v>40</v>
      </c>
      <c r="BK44" s="81">
        <f>$H$44*月別販売比率!R21</f>
        <v>10.026449643947101</v>
      </c>
      <c r="BL44" s="21"/>
      <c r="BM44" s="81">
        <f>$H$44*月別販売比率!W21</f>
        <v>9.5460223239714495</v>
      </c>
      <c r="BN44" s="21"/>
      <c r="BO44" s="245">
        <f>$H$44*月別販売比率!AB21</f>
        <v>15.039674465920651</v>
      </c>
      <c r="BP44" s="241"/>
      <c r="BQ44" s="245">
        <f>$H$44*月別販売比率!AG21</f>
        <v>12.533062054933877</v>
      </c>
      <c r="BR44" s="241">
        <v>30</v>
      </c>
      <c r="BS44" s="245">
        <f>$H$44*月別販売比率!AL21</f>
        <v>11.279755849440487</v>
      </c>
      <c r="BT44" s="241">
        <v>60</v>
      </c>
      <c r="BU44" s="81">
        <f>$H$44*月別販売比率!AQ21</f>
        <v>12.533062054933877</v>
      </c>
      <c r="BV44" s="21"/>
      <c r="BW44" s="81">
        <f>$H$44*月別販売比率!AV21</f>
        <v>7.6319298693188715</v>
      </c>
      <c r="BX44" s="21"/>
      <c r="BY44" s="81">
        <f>$H$44*月別販売比率!BA21</f>
        <v>6.9712802348543494</v>
      </c>
      <c r="BZ44" s="21"/>
      <c r="CA44" s="81">
        <f>$H$44*月別販売比率!BF21</f>
        <v>10.026449643947101</v>
      </c>
      <c r="CB44" s="21"/>
      <c r="CC44" s="81">
        <f>H44*月別販売比率!$C$21</f>
        <v>8.8814605671124234</v>
      </c>
      <c r="CD44" s="21"/>
      <c r="CE44" s="81">
        <f>H44*月別販売比率!$H$21</f>
        <v>8.7731434384537135</v>
      </c>
      <c r="CF44" s="21"/>
      <c r="CG44" s="81">
        <f>$H$44*月別販売比率!M21</f>
        <v>12.666374872873014</v>
      </c>
      <c r="CH44" s="241">
        <v>37</v>
      </c>
      <c r="CI44" s="81">
        <f>H44*月別販売比率!$R$21</f>
        <v>10.026449643947101</v>
      </c>
      <c r="CJ44" s="21">
        <v>30</v>
      </c>
      <c r="CK44" s="41">
        <f>H44*月別販売比率!$W$21</f>
        <v>9.5460223239714495</v>
      </c>
      <c r="CL44" s="21"/>
      <c r="CM44" s="81">
        <f>H44*月別販売比率!$AB$21</f>
        <v>15.039674465920651</v>
      </c>
      <c r="CN44" s="21"/>
      <c r="CO44" s="41">
        <f>H44*月別販売比率!$AG$21</f>
        <v>12.533062054933877</v>
      </c>
      <c r="CP44" s="21">
        <v>10</v>
      </c>
      <c r="CQ44" s="81">
        <f>H44*月別販売比率!$AL$21</f>
        <v>11.279755849440487</v>
      </c>
      <c r="CR44" s="21"/>
      <c r="CS44" s="41">
        <f>H44*月別販売比率!$AQ$21</f>
        <v>12.533062054933877</v>
      </c>
      <c r="CT44" s="21">
        <v>20</v>
      </c>
      <c r="CU44" s="81">
        <f>H44*月別販売比率!$AV$21</f>
        <v>7.6319298693188715</v>
      </c>
      <c r="CV44" s="21"/>
      <c r="CW44" s="81">
        <f>H44*月別販売比率!$BA$21</f>
        <v>6.9712802348543494</v>
      </c>
      <c r="CX44" s="21"/>
      <c r="CY44" s="81">
        <f>H44*月別販売比率!$BF$21</f>
        <v>10.026449643947101</v>
      </c>
      <c r="CZ44" s="21"/>
      <c r="DA44" s="28"/>
      <c r="DB44" s="294"/>
    </row>
    <row r="45" spans="2:106" ht="30.75" customHeight="1">
      <c r="C45" s="457"/>
      <c r="D45" s="441"/>
      <c r="E45" s="94" t="s">
        <v>47</v>
      </c>
      <c r="F45" s="57">
        <v>88</v>
      </c>
      <c r="G45" s="46">
        <f t="shared" si="48"/>
        <v>367840</v>
      </c>
      <c r="H45" s="164">
        <v>380</v>
      </c>
      <c r="I45" s="46">
        <f t="shared" si="49"/>
        <v>1588400</v>
      </c>
      <c r="J45" s="9">
        <v>67</v>
      </c>
      <c r="K45" s="21">
        <f t="shared" si="40"/>
        <v>25</v>
      </c>
      <c r="L45" s="21">
        <v>10</v>
      </c>
      <c r="M45" s="21">
        <v>15</v>
      </c>
      <c r="N45" s="386"/>
      <c r="O45" s="288"/>
      <c r="P45" s="288"/>
      <c r="Q45" s="331">
        <v>45654</v>
      </c>
      <c r="R45" s="124"/>
      <c r="S45" s="124"/>
      <c r="T45" s="124"/>
      <c r="U45" s="124"/>
      <c r="V45" s="124"/>
      <c r="W45" s="124"/>
      <c r="X45" s="124"/>
      <c r="Y45" s="124"/>
      <c r="Z45" s="124"/>
      <c r="AA45" s="331">
        <v>45950</v>
      </c>
      <c r="AB45" s="330"/>
      <c r="AC45" s="330"/>
      <c r="AD45" s="330"/>
      <c r="AE45" s="330"/>
      <c r="AF45" s="330"/>
      <c r="AG45" s="331"/>
      <c r="AH45" s="331"/>
      <c r="AI45" s="129">
        <f t="shared" si="50"/>
        <v>141.6</v>
      </c>
      <c r="AJ45" s="129">
        <f t="shared" si="41"/>
        <v>112.6566462751924</v>
      </c>
      <c r="AK45" s="129">
        <f t="shared" si="42"/>
        <v>67.056646275192406</v>
      </c>
      <c r="AL45" s="399">
        <f t="shared" si="43"/>
        <v>74.056646275192406</v>
      </c>
      <c r="AM45" s="393">
        <f t="shared" si="44"/>
        <v>39.856646275192411</v>
      </c>
      <c r="AN45" s="393">
        <f t="shared" si="51"/>
        <v>116.85664627519242</v>
      </c>
      <c r="AO45" s="393">
        <f t="shared" si="45"/>
        <v>93.716783585376092</v>
      </c>
      <c r="AP45" s="96">
        <f t="shared" si="46"/>
        <v>72.579997717458127</v>
      </c>
      <c r="AQ45" s="91">
        <f t="shared" si="47"/>
        <v>42.179997717458122</v>
      </c>
      <c r="AR45" s="198"/>
      <c r="AS45" s="81">
        <f>$H$45*月別販売比率!AG5</f>
        <v>38</v>
      </c>
      <c r="AT45" s="21"/>
      <c r="AU45" s="81">
        <f>$H$45*月別販売比率!AL5</f>
        <v>34.199999999999996</v>
      </c>
      <c r="AV45" s="21"/>
      <c r="AW45" s="245">
        <f>$H$45*月別販売比率!AQ5</f>
        <v>38</v>
      </c>
      <c r="AX45" s="241">
        <v>100</v>
      </c>
      <c r="AY45" s="81">
        <f>$H$45*月別販売比率!AV5</f>
        <v>23.139862689816326</v>
      </c>
      <c r="AZ45" s="21"/>
      <c r="BA45" s="81">
        <f>$H$45*月別販売比率!BA5</f>
        <v>21.136785867917968</v>
      </c>
      <c r="BB45" s="21"/>
      <c r="BC45" s="81">
        <f>$H$45*月別販売比率!BF5</f>
        <v>30.400000000000002</v>
      </c>
      <c r="BD45" s="21"/>
      <c r="BE45" s="245">
        <f>$H$45*月別販売比率!C21</f>
        <v>26.928415424019278</v>
      </c>
      <c r="BF45" s="241">
        <v>55</v>
      </c>
      <c r="BG45" s="245">
        <f>$H$45*月別販売比率!H21</f>
        <v>26.6</v>
      </c>
      <c r="BH45" s="241"/>
      <c r="BI45" s="245">
        <f>$H$45*月別販売比率!M21</f>
        <v>38.404201866988522</v>
      </c>
      <c r="BJ45" s="241">
        <v>60</v>
      </c>
      <c r="BK45" s="81">
        <f>$H$45*月別販売比率!R21</f>
        <v>30.400000000000002</v>
      </c>
      <c r="BL45" s="21"/>
      <c r="BM45" s="81">
        <f>$H$45*月別販売比率!W21</f>
        <v>28.943353724807594</v>
      </c>
      <c r="BN45" s="21"/>
      <c r="BO45" s="245">
        <f>$H$45*月別販売比率!AB21</f>
        <v>45.6</v>
      </c>
      <c r="BP45" s="241">
        <v>80</v>
      </c>
      <c r="BQ45" s="245">
        <f>$H$45*月別販売比率!AG21</f>
        <v>38</v>
      </c>
      <c r="BR45" s="241"/>
      <c r="BS45" s="245">
        <f>$H$45*月別販売比率!AL21</f>
        <v>34.199999999999996</v>
      </c>
      <c r="BT45" s="241">
        <v>60</v>
      </c>
      <c r="BU45" s="81">
        <f>$H$45*月別販売比率!AQ21</f>
        <v>38</v>
      </c>
      <c r="BV45" s="21"/>
      <c r="BW45" s="81">
        <f>$H$45*月別販売比率!AV21</f>
        <v>23.139862689816326</v>
      </c>
      <c r="BX45" s="21"/>
      <c r="BY45" s="81">
        <f>$H$45*月別販売比率!BA21</f>
        <v>21.136785867917968</v>
      </c>
      <c r="BZ45" s="21"/>
      <c r="CA45" s="81">
        <f>$H$45*月別販売比率!BF21</f>
        <v>30.400000000000002</v>
      </c>
      <c r="CB45" s="21"/>
      <c r="CC45" s="81">
        <f>H45*月別販売比率!$C$21</f>
        <v>26.928415424019278</v>
      </c>
      <c r="CD45" s="21"/>
      <c r="CE45" s="81">
        <f>H45*月別販売比率!$H$21</f>
        <v>26.6</v>
      </c>
      <c r="CF45" s="21"/>
      <c r="CG45" s="81">
        <f>$H$45*月別販売比率!M21</f>
        <v>38.404201866988522</v>
      </c>
      <c r="CH45" s="241">
        <v>97</v>
      </c>
      <c r="CI45" s="81">
        <f>H45*月別販売比率!$R$21</f>
        <v>30.400000000000002</v>
      </c>
      <c r="CJ45" s="21">
        <v>80</v>
      </c>
      <c r="CK45" s="41">
        <f>H45*月別販売比率!$W$21</f>
        <v>28.943353724807594</v>
      </c>
      <c r="CL45" s="21"/>
      <c r="CM45" s="81">
        <f>H45*月別販売比率!$AB$21</f>
        <v>45.6</v>
      </c>
      <c r="CN45" s="21"/>
      <c r="CO45" s="41">
        <f>H45*月別販売比率!$AG$21</f>
        <v>38</v>
      </c>
      <c r="CP45" s="21">
        <v>45</v>
      </c>
      <c r="CQ45" s="81">
        <f>H45*月別販売比率!$AL$21</f>
        <v>34.199999999999996</v>
      </c>
      <c r="CR45" s="21"/>
      <c r="CS45" s="41">
        <f>H45*月別販売比率!$AQ$21</f>
        <v>38</v>
      </c>
      <c r="CT45" s="21">
        <v>115</v>
      </c>
      <c r="CU45" s="81">
        <f>H45*月別販売比率!$AV$21</f>
        <v>23.139862689816326</v>
      </c>
      <c r="CV45" s="21"/>
      <c r="CW45" s="81">
        <f>H45*月別販売比率!$BA$21</f>
        <v>21.136785867917968</v>
      </c>
      <c r="CX45" s="21"/>
      <c r="CY45" s="81">
        <f>H45*月別販売比率!$BF$21</f>
        <v>30.400000000000002</v>
      </c>
      <c r="CZ45" s="21"/>
      <c r="DA45" s="28"/>
      <c r="DB45" s="294"/>
    </row>
    <row r="46" spans="2:106" ht="30.75" customHeight="1">
      <c r="C46" s="457"/>
      <c r="D46" s="441"/>
      <c r="E46" s="94" t="s">
        <v>51</v>
      </c>
      <c r="F46" s="57">
        <v>66</v>
      </c>
      <c r="G46" s="46">
        <f t="shared" si="48"/>
        <v>275880</v>
      </c>
      <c r="H46" s="164">
        <v>300</v>
      </c>
      <c r="I46" s="46">
        <f t="shared" si="49"/>
        <v>1254000</v>
      </c>
      <c r="J46" s="9">
        <v>47</v>
      </c>
      <c r="K46" s="21">
        <f t="shared" si="40"/>
        <v>24</v>
      </c>
      <c r="L46" s="21">
        <v>9</v>
      </c>
      <c r="M46" s="21">
        <v>15</v>
      </c>
      <c r="N46" s="386"/>
      <c r="O46" s="19"/>
      <c r="P46" s="288"/>
      <c r="Q46" s="331">
        <v>45654</v>
      </c>
      <c r="R46" s="124"/>
      <c r="S46" s="124"/>
      <c r="T46" s="124"/>
      <c r="U46" s="124"/>
      <c r="V46" s="124"/>
      <c r="W46" s="124"/>
      <c r="X46" s="124"/>
      <c r="Y46" s="124"/>
      <c r="Z46" s="124"/>
      <c r="AA46" s="124"/>
      <c r="AB46" s="124"/>
      <c r="AC46" s="124"/>
      <c r="AD46" s="124"/>
      <c r="AE46" s="124"/>
      <c r="AF46" s="328"/>
      <c r="AG46" s="331"/>
      <c r="AH46" s="331"/>
      <c r="AI46" s="129">
        <f t="shared" si="50"/>
        <v>117</v>
      </c>
      <c r="AJ46" s="129">
        <f t="shared" si="41"/>
        <v>94.149983901467692</v>
      </c>
      <c r="AK46" s="129">
        <f t="shared" si="42"/>
        <v>58.149983901467692</v>
      </c>
      <c r="AL46" s="399">
        <f t="shared" si="43"/>
        <v>58.149983901467692</v>
      </c>
      <c r="AM46" s="393">
        <f t="shared" si="44"/>
        <v>31.149983901467692</v>
      </c>
      <c r="AN46" s="393">
        <f t="shared" si="51"/>
        <v>91.149983901467692</v>
      </c>
      <c r="AO46" s="393">
        <f t="shared" si="45"/>
        <v>72.881671251612701</v>
      </c>
      <c r="AP46" s="96">
        <f t="shared" si="46"/>
        <v>56.194735040098521</v>
      </c>
      <c r="AQ46" s="91">
        <f t="shared" si="47"/>
        <v>32.194735040098521</v>
      </c>
      <c r="AR46" s="198"/>
      <c r="AS46" s="81">
        <f>$H$46*月別販売比率!AG5</f>
        <v>30</v>
      </c>
      <c r="AT46" s="21"/>
      <c r="AU46" s="81">
        <f>$H$46*月別販売比率!AL5</f>
        <v>27</v>
      </c>
      <c r="AV46" s="21"/>
      <c r="AW46" s="245">
        <f>$H$46*月別販売比率!AQ5</f>
        <v>30</v>
      </c>
      <c r="AX46" s="241">
        <v>90</v>
      </c>
      <c r="AY46" s="81">
        <f>$H$46*月別販売比率!AV5</f>
        <v>18.268312649854995</v>
      </c>
      <c r="AZ46" s="21"/>
      <c r="BA46" s="81">
        <f>$H$46*月別販売比率!BA5</f>
        <v>16.686936211514183</v>
      </c>
      <c r="BB46" s="21"/>
      <c r="BC46" s="81">
        <f>$H$46*月別販売比率!BF5</f>
        <v>24</v>
      </c>
      <c r="BD46" s="21"/>
      <c r="BE46" s="245">
        <f>$H$46*月別販売比率!C21</f>
        <v>21.259275334752061</v>
      </c>
      <c r="BF46" s="241">
        <v>20</v>
      </c>
      <c r="BG46" s="245">
        <f>$H$46*月別販売比率!H21</f>
        <v>21.000000000000004</v>
      </c>
      <c r="BH46" s="241"/>
      <c r="BI46" s="245">
        <f>$H$46*月別販売比率!M21</f>
        <v>30.319106737096199</v>
      </c>
      <c r="BJ46" s="241">
        <v>40</v>
      </c>
      <c r="BK46" s="81">
        <f>$H$46*月別販売比率!R21</f>
        <v>24</v>
      </c>
      <c r="BL46" s="21"/>
      <c r="BM46" s="81">
        <f>$H$46*月別販売比率!W21</f>
        <v>22.850016098532308</v>
      </c>
      <c r="BN46" s="21"/>
      <c r="BO46" s="245">
        <f>$H$46*月別販売比率!AB21</f>
        <v>36</v>
      </c>
      <c r="BP46" s="241">
        <v>70</v>
      </c>
      <c r="BQ46" s="245">
        <f>$H$46*月別販売比率!AG21</f>
        <v>30</v>
      </c>
      <c r="BR46" s="241"/>
      <c r="BS46" s="245">
        <f>$H$46*月別販売比率!AL21</f>
        <v>27</v>
      </c>
      <c r="BT46" s="241">
        <v>60</v>
      </c>
      <c r="BU46" s="81">
        <f>$H$46*月別販売比率!AQ21</f>
        <v>30</v>
      </c>
      <c r="BV46" s="21"/>
      <c r="BW46" s="81">
        <f>$H$46*月別販売比率!AV21</f>
        <v>18.268312649854995</v>
      </c>
      <c r="BX46" s="21"/>
      <c r="BY46" s="81">
        <f>$H$46*月別販売比率!BA21</f>
        <v>16.686936211514183</v>
      </c>
      <c r="BZ46" s="21"/>
      <c r="CA46" s="81">
        <f>$H$46*月別販売比率!BF21</f>
        <v>24</v>
      </c>
      <c r="CB46" s="21"/>
      <c r="CC46" s="81">
        <f>H46*月別販売比率!$C$21</f>
        <v>21.259275334752061</v>
      </c>
      <c r="CD46" s="21"/>
      <c r="CE46" s="81">
        <f>H46*月別販売比率!$H$21</f>
        <v>21.000000000000004</v>
      </c>
      <c r="CF46" s="21"/>
      <c r="CG46" s="81">
        <f>$H$46*月別販売比率!M21</f>
        <v>30.319106737096199</v>
      </c>
      <c r="CH46" s="241">
        <v>77</v>
      </c>
      <c r="CI46" s="81">
        <f>H46*月別販売比率!$R$21</f>
        <v>24</v>
      </c>
      <c r="CJ46" s="21">
        <v>70</v>
      </c>
      <c r="CK46" s="41">
        <f>H46*月別販売比率!$W$21</f>
        <v>22.850016098532308</v>
      </c>
      <c r="CL46" s="21"/>
      <c r="CM46" s="81">
        <f>H46*月別販売比率!$AB$21</f>
        <v>36</v>
      </c>
      <c r="CN46" s="21"/>
      <c r="CO46" s="41">
        <f>H46*月別販売比率!$AG$21</f>
        <v>30</v>
      </c>
      <c r="CP46" s="21">
        <v>30</v>
      </c>
      <c r="CQ46" s="81">
        <f>H46*月別販売比率!$AL$21</f>
        <v>27</v>
      </c>
      <c r="CR46" s="21"/>
      <c r="CS46" s="41">
        <f>H46*月別販売比率!$AQ$21</f>
        <v>30</v>
      </c>
      <c r="CT46" s="21">
        <v>90</v>
      </c>
      <c r="CU46" s="81">
        <f>H46*月別販売比率!$AV$21</f>
        <v>18.268312649854995</v>
      </c>
      <c r="CV46" s="21"/>
      <c r="CW46" s="81">
        <f>H46*月別販売比率!$BA$21</f>
        <v>16.686936211514183</v>
      </c>
      <c r="CX46" s="21"/>
      <c r="CY46" s="81">
        <f>H46*月別販売比率!$BF$21</f>
        <v>24</v>
      </c>
      <c r="CZ46" s="21"/>
      <c r="DA46" s="28"/>
      <c r="DB46" s="294"/>
    </row>
    <row r="47" spans="2:106" ht="30.75" customHeight="1">
      <c r="C47" s="457"/>
      <c r="D47" s="441"/>
      <c r="E47" s="94" t="s">
        <v>49</v>
      </c>
      <c r="F47" s="57">
        <v>37</v>
      </c>
      <c r="G47" s="46">
        <f t="shared" si="48"/>
        <v>154660</v>
      </c>
      <c r="H47" s="164">
        <v>130</v>
      </c>
      <c r="I47" s="46">
        <f t="shared" si="49"/>
        <v>543400</v>
      </c>
      <c r="J47" s="9">
        <v>6</v>
      </c>
      <c r="K47" s="21">
        <f t="shared" si="40"/>
        <v>29</v>
      </c>
      <c r="L47" s="21">
        <v>10</v>
      </c>
      <c r="M47" s="21">
        <v>19</v>
      </c>
      <c r="N47" s="386"/>
      <c r="O47" s="288"/>
      <c r="P47" s="288"/>
      <c r="Q47" s="331">
        <v>45654</v>
      </c>
      <c r="R47" s="124"/>
      <c r="S47" s="124"/>
      <c r="T47" s="124"/>
      <c r="U47" s="124"/>
      <c r="V47" s="124"/>
      <c r="W47" s="124"/>
      <c r="X47" s="124"/>
      <c r="Y47" s="328"/>
      <c r="Z47" s="124"/>
      <c r="AA47" s="124"/>
      <c r="AB47" s="330"/>
      <c r="AC47" s="331"/>
      <c r="AD47" s="124"/>
      <c r="AE47" s="328"/>
      <c r="AF47" s="328"/>
      <c r="AG47" s="331"/>
      <c r="AH47" s="331"/>
      <c r="AI47" s="129">
        <f t="shared" si="50"/>
        <v>54.6</v>
      </c>
      <c r="AJ47" s="129">
        <f t="shared" si="41"/>
        <v>44.698326357302669</v>
      </c>
      <c r="AK47" s="129">
        <f t="shared" si="42"/>
        <v>29.098326357302668</v>
      </c>
      <c r="AL47" s="399">
        <f t="shared" si="43"/>
        <v>31.098326357302668</v>
      </c>
      <c r="AM47" s="393">
        <f t="shared" si="44"/>
        <v>19.398326357302668</v>
      </c>
      <c r="AN47" s="393">
        <f t="shared" si="51"/>
        <v>41.398326357302665</v>
      </c>
      <c r="AO47" s="393">
        <f t="shared" si="45"/>
        <v>33.482057542365503</v>
      </c>
      <c r="AP47" s="96">
        <f t="shared" si="46"/>
        <v>26.251051850709356</v>
      </c>
      <c r="AQ47" s="91">
        <f t="shared" si="47"/>
        <v>15.851051850709355</v>
      </c>
      <c r="AR47" s="198"/>
      <c r="AS47" s="81">
        <f>$H$47*月別販売比率!AG5</f>
        <v>13</v>
      </c>
      <c r="AT47" s="21"/>
      <c r="AU47" s="81">
        <f>$H$47*月別販売比率!AL5</f>
        <v>11.7</v>
      </c>
      <c r="AV47" s="21"/>
      <c r="AW47" s="245">
        <f>$H$47*月別販売比率!AQ5</f>
        <v>13</v>
      </c>
      <c r="AX47" s="241">
        <v>70</v>
      </c>
      <c r="AY47" s="81">
        <f>$H$47*月別販売比率!AV5</f>
        <v>7.9162688149371636</v>
      </c>
      <c r="AZ47" s="21"/>
      <c r="BA47" s="81">
        <f>$H$47*月別販売比率!BA5</f>
        <v>7.2310056916561471</v>
      </c>
      <c r="BB47" s="21"/>
      <c r="BC47" s="81">
        <f>$H$47*月別販売比率!BF5</f>
        <v>10.4</v>
      </c>
      <c r="BD47" s="21"/>
      <c r="BE47" s="245">
        <f>$H$47*月別販売比率!C21</f>
        <v>9.2123526450592266</v>
      </c>
      <c r="BF47" s="241">
        <v>0</v>
      </c>
      <c r="BG47" s="245">
        <f>$H$47*月別販売比率!H21</f>
        <v>9.1000000000000014</v>
      </c>
      <c r="BH47" s="241"/>
      <c r="BI47" s="245">
        <f>$H$47*月別販売比率!M21</f>
        <v>13.13827958607502</v>
      </c>
      <c r="BJ47" s="241">
        <v>0</v>
      </c>
      <c r="BK47" s="81">
        <f>$H$47*月別販売比率!R21</f>
        <v>10.4</v>
      </c>
      <c r="BL47" s="21"/>
      <c r="BM47" s="81">
        <f>$H$47*月別販売比率!W21</f>
        <v>9.9016736426973342</v>
      </c>
      <c r="BN47" s="21"/>
      <c r="BO47" s="245">
        <f>$H$47*月別販売比率!AB21</f>
        <v>15.6</v>
      </c>
      <c r="BP47" s="241">
        <v>40</v>
      </c>
      <c r="BQ47" s="245">
        <f>$H$47*月別販売比率!AG21</f>
        <v>13</v>
      </c>
      <c r="BR47" s="241"/>
      <c r="BS47" s="245">
        <f>$H$47*月別販売比率!AL21</f>
        <v>11.7</v>
      </c>
      <c r="BT47" s="241">
        <v>30</v>
      </c>
      <c r="BU47" s="81">
        <f>$H$47*月別販売比率!AQ21</f>
        <v>13</v>
      </c>
      <c r="BV47" s="21"/>
      <c r="BW47" s="81">
        <f>$H$47*月別販売比率!AV21</f>
        <v>7.9162688149371636</v>
      </c>
      <c r="BX47" s="21"/>
      <c r="BY47" s="81">
        <f>$H$47*月別販売比率!BA21</f>
        <v>7.2310056916561471</v>
      </c>
      <c r="BZ47" s="21"/>
      <c r="CA47" s="81">
        <f>$H$47*月別販売比率!BF21</f>
        <v>10.4</v>
      </c>
      <c r="CB47" s="21"/>
      <c r="CC47" s="81">
        <f>H47*月別販売比率!$C$21</f>
        <v>9.2123526450592266</v>
      </c>
      <c r="CD47" s="21"/>
      <c r="CE47" s="81">
        <f>H47*月別販売比率!$H$21</f>
        <v>9.1000000000000014</v>
      </c>
      <c r="CF47" s="21"/>
      <c r="CG47" s="81">
        <f>$H$47*月別販売比率!M21</f>
        <v>13.13827958607502</v>
      </c>
      <c r="CH47" s="241">
        <v>37</v>
      </c>
      <c r="CI47" s="81">
        <f>H47*月別販売比率!$R$21</f>
        <v>10.4</v>
      </c>
      <c r="CJ47" s="21">
        <v>30</v>
      </c>
      <c r="CK47" s="41">
        <f>H47*月別販売比率!$W$21</f>
        <v>9.9016736426973342</v>
      </c>
      <c r="CL47" s="21"/>
      <c r="CM47" s="81">
        <f>H47*月別販売比率!$AB$21</f>
        <v>15.6</v>
      </c>
      <c r="CN47" s="21"/>
      <c r="CO47" s="41">
        <f>H47*月別販売比率!$AG$21</f>
        <v>13</v>
      </c>
      <c r="CP47" s="21">
        <v>15</v>
      </c>
      <c r="CQ47" s="81">
        <f>H47*月別販売比率!$AL$21</f>
        <v>11.7</v>
      </c>
      <c r="CR47" s="21"/>
      <c r="CS47" s="41">
        <f>H47*月別販売比率!$AQ$21</f>
        <v>13</v>
      </c>
      <c r="CT47" s="21">
        <v>35</v>
      </c>
      <c r="CU47" s="81">
        <f>H47*月別販売比率!$AV$21</f>
        <v>7.9162688149371636</v>
      </c>
      <c r="CV47" s="21"/>
      <c r="CW47" s="81">
        <f>H47*月別販売比率!$BA$21</f>
        <v>7.2310056916561471</v>
      </c>
      <c r="CX47" s="21"/>
      <c r="CY47" s="81">
        <f>H47*月別販売比率!$BF$21</f>
        <v>10.4</v>
      </c>
      <c r="CZ47" s="21"/>
      <c r="DA47" s="28"/>
      <c r="DB47" s="294"/>
    </row>
    <row r="48" spans="2:106" ht="30.75" customHeight="1">
      <c r="C48" s="458"/>
      <c r="D48" s="444"/>
      <c r="E48" s="101" t="s">
        <v>50</v>
      </c>
      <c r="F48" s="58">
        <v>23</v>
      </c>
      <c r="G48" s="53">
        <f t="shared" si="48"/>
        <v>96140</v>
      </c>
      <c r="H48" s="392">
        <v>100</v>
      </c>
      <c r="I48" s="53">
        <f t="shared" si="49"/>
        <v>418000</v>
      </c>
      <c r="J48" s="113">
        <v>0</v>
      </c>
      <c r="K48" s="104">
        <f t="shared" si="40"/>
        <v>26</v>
      </c>
      <c r="L48" s="104">
        <v>5</v>
      </c>
      <c r="M48" s="104">
        <v>21</v>
      </c>
      <c r="N48" s="387"/>
      <c r="O48" s="290"/>
      <c r="P48" s="290"/>
      <c r="Q48" s="334"/>
      <c r="R48" s="329"/>
      <c r="S48" s="329"/>
      <c r="T48" s="329"/>
      <c r="U48" s="329"/>
      <c r="V48" s="334">
        <v>45786</v>
      </c>
      <c r="W48" s="238"/>
      <c r="X48" s="238"/>
      <c r="Y48" s="238"/>
      <c r="Z48" s="238"/>
      <c r="AA48" s="238"/>
      <c r="AB48" s="238"/>
      <c r="AC48" s="238"/>
      <c r="AD48" s="238"/>
      <c r="AE48" s="238"/>
      <c r="AF48" s="328"/>
      <c r="AG48" s="331"/>
      <c r="AH48" s="331"/>
      <c r="AI48" s="238">
        <f t="shared" si="50"/>
        <v>48</v>
      </c>
      <c r="AJ48" s="238">
        <f t="shared" si="41"/>
        <v>40.3833279671559</v>
      </c>
      <c r="AK48" s="238">
        <f t="shared" si="42"/>
        <v>28.3833279671559</v>
      </c>
      <c r="AL48" s="401">
        <f t="shared" si="43"/>
        <v>28.3833279671559</v>
      </c>
      <c r="AM48" s="395">
        <f t="shared" si="44"/>
        <v>19.3833279671559</v>
      </c>
      <c r="AN48" s="395">
        <f t="shared" si="51"/>
        <v>29.3833279671559</v>
      </c>
      <c r="AO48" s="395">
        <f t="shared" si="45"/>
        <v>23.293890417204235</v>
      </c>
      <c r="AP48" s="403">
        <f t="shared" si="46"/>
        <v>17.731578346699507</v>
      </c>
      <c r="AQ48" s="90">
        <f t="shared" si="47"/>
        <v>9.7315783466995072</v>
      </c>
      <c r="AR48" s="238"/>
      <c r="AS48" s="282">
        <f>$H$48*月別販売比率!AG5</f>
        <v>10</v>
      </c>
      <c r="AT48" s="104"/>
      <c r="AU48" s="282">
        <f>$H$48*月別販売比率!AL5</f>
        <v>9</v>
      </c>
      <c r="AV48" s="104"/>
      <c r="AW48" s="301">
        <f>$H$48*月別販売比率!AQ5</f>
        <v>10</v>
      </c>
      <c r="AX48" s="339"/>
      <c r="AY48" s="282">
        <f>$H$48*月別販売比率!AV5</f>
        <v>6.089437549951664</v>
      </c>
      <c r="AZ48" s="104"/>
      <c r="BA48" s="282">
        <f>$H$48*月別販売比率!BA5</f>
        <v>5.5623120705047286</v>
      </c>
      <c r="BB48" s="104"/>
      <c r="BC48" s="282">
        <f>$H$48*月別販売比率!BF5</f>
        <v>8</v>
      </c>
      <c r="BD48" s="104"/>
      <c r="BE48" s="301">
        <f>$H$48*月別販売比率!C21</f>
        <v>7.0864251115840204</v>
      </c>
      <c r="BF48" s="339">
        <v>24</v>
      </c>
      <c r="BG48" s="301">
        <f>$H$48*月別販売比率!H21</f>
        <v>7.0000000000000009</v>
      </c>
      <c r="BH48" s="339">
        <v>1</v>
      </c>
      <c r="BI48" s="301">
        <f>$H$48*月別販売比率!M21</f>
        <v>10.106368912365401</v>
      </c>
      <c r="BJ48" s="339">
        <v>10</v>
      </c>
      <c r="BK48" s="282">
        <f>$H$48*月別販売比率!R21</f>
        <v>8</v>
      </c>
      <c r="BL48" s="104"/>
      <c r="BM48" s="282">
        <f>$H$48*月別販売比率!W21</f>
        <v>7.6166720328441029</v>
      </c>
      <c r="BN48" s="104"/>
      <c r="BO48" s="301">
        <f>$H$48*月別販売比率!AB21</f>
        <v>12</v>
      </c>
      <c r="BP48" s="339">
        <v>20</v>
      </c>
      <c r="BQ48" s="301">
        <f>$H$48*月別販売比率!AG21</f>
        <v>10</v>
      </c>
      <c r="BR48" s="339"/>
      <c r="BS48" s="301">
        <f>$H$48*月別販売比率!AL21</f>
        <v>9</v>
      </c>
      <c r="BT48" s="339">
        <v>30</v>
      </c>
      <c r="BU48" s="282">
        <f>$H$48*月別販売比率!AQ21</f>
        <v>10</v>
      </c>
      <c r="BV48" s="104"/>
      <c r="BW48" s="282">
        <f>$H$48*月別販売比率!AV21</f>
        <v>6.089437549951664</v>
      </c>
      <c r="BX48" s="104"/>
      <c r="BY48" s="282">
        <f>$H$48*月別販売比率!BA21</f>
        <v>5.5623120705047286</v>
      </c>
      <c r="BZ48" s="104"/>
      <c r="CA48" s="282">
        <f>$H$48*月別販売比率!BF21</f>
        <v>8</v>
      </c>
      <c r="CB48" s="104"/>
      <c r="CC48" s="282">
        <f>H48*月別販売比率!$C$21</f>
        <v>7.0864251115840204</v>
      </c>
      <c r="CD48" s="104"/>
      <c r="CE48" s="282">
        <f>H48*月別販売比率!$H$21</f>
        <v>7.0000000000000009</v>
      </c>
      <c r="CF48" s="104"/>
      <c r="CG48" s="282">
        <f>$H$48*月別販売比率!M21</f>
        <v>10.106368912365401</v>
      </c>
      <c r="CH48" s="339">
        <v>27</v>
      </c>
      <c r="CI48" s="282">
        <f>H48*月別販売比率!$R$21</f>
        <v>8</v>
      </c>
      <c r="CJ48" s="104">
        <v>30</v>
      </c>
      <c r="CK48" s="282">
        <f>H48*月別販売比率!$W$21</f>
        <v>7.6166720328441029</v>
      </c>
      <c r="CL48" s="104"/>
      <c r="CM48" s="282">
        <f>H48*月別販売比率!$AB$21</f>
        <v>12</v>
      </c>
      <c r="CN48" s="104"/>
      <c r="CO48" s="41">
        <f>H48*月別販売比率!$AG$21</f>
        <v>10</v>
      </c>
      <c r="CP48" s="104">
        <v>10</v>
      </c>
      <c r="CQ48" s="282">
        <f>H48*月別販売比率!$AL$21</f>
        <v>9</v>
      </c>
      <c r="CR48" s="104"/>
      <c r="CS48" s="41">
        <f>H48*月別販売比率!$AQ$21</f>
        <v>10</v>
      </c>
      <c r="CT48" s="104">
        <v>20</v>
      </c>
      <c r="CU48" s="282">
        <f>H48*月別販売比率!$AV$21</f>
        <v>6.089437549951664</v>
      </c>
      <c r="CV48" s="104"/>
      <c r="CW48" s="282">
        <f>H48*月別販売比率!$BA$21</f>
        <v>5.5623120705047286</v>
      </c>
      <c r="CX48" s="104"/>
      <c r="CY48" s="282">
        <f>H48*月別販売比率!$BF$21</f>
        <v>8</v>
      </c>
      <c r="CZ48" s="104"/>
      <c r="DA48" s="296"/>
      <c r="DB48" s="297"/>
    </row>
    <row r="49" spans="2:106" ht="30.6" customHeight="1">
      <c r="B49" s="2">
        <v>4</v>
      </c>
      <c r="C49" s="435" t="s">
        <v>283</v>
      </c>
      <c r="D49" s="436"/>
      <c r="E49" s="445"/>
      <c r="F49" s="130">
        <f>SUM(F50:F64)</f>
        <v>1702</v>
      </c>
      <c r="G49" s="131">
        <f>SUM(G50:G63)</f>
        <v>5097400</v>
      </c>
      <c r="H49" s="130">
        <v>1700</v>
      </c>
      <c r="I49" s="131">
        <f t="shared" ref="I49:N49" si="53">SUM(I50:I63)</f>
        <v>8281164.512338425</v>
      </c>
      <c r="J49" s="133">
        <f t="shared" si="53"/>
        <v>-2</v>
      </c>
      <c r="K49" s="134">
        <f t="shared" si="53"/>
        <v>449</v>
      </c>
      <c r="L49" s="134">
        <f t="shared" si="53"/>
        <v>121</v>
      </c>
      <c r="M49" s="134">
        <f t="shared" si="53"/>
        <v>198</v>
      </c>
      <c r="N49" s="135">
        <f t="shared" si="53"/>
        <v>130</v>
      </c>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6">
        <f t="shared" ref="AS49:CE49" si="54">SUM(AS50:AS63)</f>
        <v>268.8689776733255</v>
      </c>
      <c r="AT49" s="134">
        <f t="shared" si="54"/>
        <v>0</v>
      </c>
      <c r="AU49" s="136">
        <f t="shared" si="54"/>
        <v>268.8689776733255</v>
      </c>
      <c r="AV49" s="134">
        <f t="shared" si="54"/>
        <v>341</v>
      </c>
      <c r="AW49" s="136">
        <f t="shared" si="54"/>
        <v>268.8689776733255</v>
      </c>
      <c r="AX49" s="134">
        <f t="shared" si="54"/>
        <v>0</v>
      </c>
      <c r="AY49" s="136">
        <f t="shared" si="54"/>
        <v>163.72608486610639</v>
      </c>
      <c r="AZ49" s="134">
        <f>SUM(AZ50:AZ64)</f>
        <v>415</v>
      </c>
      <c r="BA49" s="136">
        <f t="shared" si="54"/>
        <v>149.55331598966052</v>
      </c>
      <c r="BB49" s="134">
        <f t="shared" si="54"/>
        <v>0</v>
      </c>
      <c r="BC49" s="136">
        <f t="shared" si="54"/>
        <v>215.09518213866039</v>
      </c>
      <c r="BD49" s="134">
        <f t="shared" si="54"/>
        <v>0</v>
      </c>
      <c r="BE49" s="136">
        <f t="shared" si="54"/>
        <v>190.53198751101769</v>
      </c>
      <c r="BF49" s="134">
        <f t="shared" si="54"/>
        <v>260</v>
      </c>
      <c r="BG49" s="136">
        <f t="shared" si="54"/>
        <v>188.20828437132786</v>
      </c>
      <c r="BH49" s="134">
        <f t="shared" si="54"/>
        <v>325</v>
      </c>
      <c r="BI49" s="136">
        <f t="shared" si="54"/>
        <v>271.72890774571636</v>
      </c>
      <c r="BJ49" s="134">
        <f t="shared" si="54"/>
        <v>0</v>
      </c>
      <c r="BK49" s="136">
        <f t="shared" si="54"/>
        <v>215.09518213866039</v>
      </c>
      <c r="BL49" s="134">
        <f>SUM(BL50:BL64)</f>
        <v>340</v>
      </c>
      <c r="BM49" s="136">
        <f t="shared" si="54"/>
        <v>204.78868227438036</v>
      </c>
      <c r="BN49" s="134">
        <f>SUM(BN50:BN64)</f>
        <v>295</v>
      </c>
      <c r="BO49" s="136">
        <f t="shared" si="54"/>
        <v>322.64277320799061</v>
      </c>
      <c r="BP49" s="134">
        <f>SUM(BP50:BP64)</f>
        <v>0</v>
      </c>
      <c r="BQ49" s="136">
        <f t="shared" si="54"/>
        <v>268.8689776733255</v>
      </c>
      <c r="BR49" s="134">
        <f t="shared" si="54"/>
        <v>430</v>
      </c>
      <c r="BS49" s="136">
        <f t="shared" si="54"/>
        <v>241.98207990599292</v>
      </c>
      <c r="BT49" s="134">
        <f>SUM(BT50:BT64)</f>
        <v>350</v>
      </c>
      <c r="BU49" s="136">
        <f t="shared" si="54"/>
        <v>268.8689776733255</v>
      </c>
      <c r="BV49" s="134">
        <f>SUM(BV50:BV64)</f>
        <v>240</v>
      </c>
      <c r="BW49" s="136">
        <f t="shared" si="54"/>
        <v>163.72608486610639</v>
      </c>
      <c r="BX49" s="134">
        <f t="shared" si="54"/>
        <v>0</v>
      </c>
      <c r="BY49" s="136">
        <f t="shared" si="54"/>
        <v>149.55331598966052</v>
      </c>
      <c r="BZ49" s="134">
        <f t="shared" si="54"/>
        <v>0</v>
      </c>
      <c r="CA49" s="136">
        <f t="shared" si="54"/>
        <v>215.09518213866039</v>
      </c>
      <c r="CB49" s="134">
        <f t="shared" si="54"/>
        <v>0</v>
      </c>
      <c r="CC49" s="136">
        <f t="shared" si="54"/>
        <v>190.53198751101769</v>
      </c>
      <c r="CD49" s="134">
        <f t="shared" si="54"/>
        <v>0</v>
      </c>
      <c r="CE49" s="136">
        <f t="shared" si="54"/>
        <v>188.20828437132786</v>
      </c>
      <c r="CF49" s="134">
        <f>SUM(CF50:CF64)</f>
        <v>597</v>
      </c>
      <c r="CG49" s="136">
        <f t="shared" ref="CG49:CI49" si="55">SUM(CG50:CG63)</f>
        <v>271.72890774571636</v>
      </c>
      <c r="CH49" s="134">
        <f t="shared" si="55"/>
        <v>0</v>
      </c>
      <c r="CI49" s="136">
        <f t="shared" si="55"/>
        <v>215.09518213866039</v>
      </c>
      <c r="CJ49" s="134">
        <f>SUM(CJ50:CJ64)</f>
        <v>233</v>
      </c>
      <c r="CK49" s="136">
        <f t="shared" ref="CK49:CZ49" si="56">SUM(CK50:CK63)</f>
        <v>204.78868227438036</v>
      </c>
      <c r="CL49" s="134">
        <f>SUM(CL50:CL64)</f>
        <v>315</v>
      </c>
      <c r="CM49" s="136">
        <f t="shared" si="56"/>
        <v>322.64277320799061</v>
      </c>
      <c r="CN49" s="134">
        <f t="shared" si="56"/>
        <v>0</v>
      </c>
      <c r="CO49" s="136">
        <f t="shared" si="56"/>
        <v>268.8689776733255</v>
      </c>
      <c r="CP49" s="134">
        <f t="shared" si="56"/>
        <v>355</v>
      </c>
      <c r="CQ49" s="136">
        <f t="shared" si="56"/>
        <v>241.98207990599292</v>
      </c>
      <c r="CR49" s="134">
        <f t="shared" si="56"/>
        <v>495</v>
      </c>
      <c r="CS49" s="136">
        <f t="shared" si="56"/>
        <v>268.8689776733255</v>
      </c>
      <c r="CT49" s="134">
        <f t="shared" si="56"/>
        <v>0</v>
      </c>
      <c r="CU49" s="136">
        <v>163.11714111111121</v>
      </c>
      <c r="CV49" s="134">
        <f t="shared" si="56"/>
        <v>510</v>
      </c>
      <c r="CW49" s="136">
        <f t="shared" si="56"/>
        <v>149.55331598966052</v>
      </c>
      <c r="CX49" s="134">
        <f t="shared" si="56"/>
        <v>0</v>
      </c>
      <c r="CY49" s="136">
        <f t="shared" si="56"/>
        <v>215.09518213866039</v>
      </c>
      <c r="CZ49" s="134">
        <f t="shared" si="56"/>
        <v>0</v>
      </c>
      <c r="DA49" s="141"/>
      <c r="DB49" s="293"/>
    </row>
    <row r="50" spans="2:106" ht="30.75" customHeight="1">
      <c r="B50" s="25"/>
      <c r="C50" s="446" t="s">
        <v>480</v>
      </c>
      <c r="D50" s="443">
        <v>1</v>
      </c>
      <c r="E50" s="99" t="s">
        <v>275</v>
      </c>
      <c r="F50" s="1">
        <v>196</v>
      </c>
      <c r="G50" s="46">
        <f>F50*3080</f>
        <v>603680</v>
      </c>
      <c r="H50" s="164">
        <v>230</v>
      </c>
      <c r="I50" s="46">
        <f>H50*3080</f>
        <v>708400</v>
      </c>
      <c r="J50" s="9">
        <v>2</v>
      </c>
      <c r="K50" s="39">
        <f t="shared" ref="K50:K52" si="57">SUM(L50:N50)</f>
        <v>47</v>
      </c>
      <c r="L50" s="39">
        <v>12</v>
      </c>
      <c r="M50" s="40">
        <v>15</v>
      </c>
      <c r="N50" s="42">
        <v>20</v>
      </c>
      <c r="O50" s="288"/>
      <c r="P50" s="288"/>
      <c r="Q50" s="331">
        <v>45643</v>
      </c>
      <c r="R50" s="124"/>
      <c r="S50" s="129"/>
      <c r="T50" s="129"/>
      <c r="U50" s="129"/>
      <c r="V50" s="124"/>
      <c r="W50" s="124"/>
      <c r="X50" s="124"/>
      <c r="Y50" s="124"/>
      <c r="Z50" s="124"/>
      <c r="AA50" s="124"/>
      <c r="AB50" s="124"/>
      <c r="AC50" s="124"/>
      <c r="AD50" s="124"/>
      <c r="AE50" s="124"/>
      <c r="AF50" s="124"/>
      <c r="AG50" s="124"/>
      <c r="AH50" s="124"/>
      <c r="AI50" s="129">
        <f t="shared" ref="AI50:AI64" si="58">SUM(J50:K50)-CI50+CJ50</f>
        <v>45.599999999999994</v>
      </c>
      <c r="AJ50" s="129">
        <f t="shared" ref="AJ50:AJ64" si="59">AI50-CK50+CL50</f>
        <v>48.081654324458555</v>
      </c>
      <c r="AK50" s="129">
        <f t="shared" ref="AK50:AK64" si="60">AJ50-CM50+CN50</f>
        <v>20.481654324458557</v>
      </c>
      <c r="AL50" s="399">
        <f t="shared" ref="AL50:AL64" si="61">AK50-CO50+CP50</f>
        <v>17.481654324458557</v>
      </c>
      <c r="AM50" s="393">
        <f t="shared" ref="AM50:AM64" si="62">AL50-CQ50+CR50</f>
        <v>46.781654324458557</v>
      </c>
      <c r="AN50" s="393">
        <f t="shared" ref="AN50:AN64" si="63">AM50-CS50+CT50</f>
        <v>23.781654324458557</v>
      </c>
      <c r="AO50" s="393">
        <f t="shared" ref="AO50:AO64" si="64">AN50-CU50+CV50</f>
        <v>59.775947959569727</v>
      </c>
      <c r="AP50" s="96">
        <f t="shared" ref="AP50:AP64" si="65">AO50-CW50+CX50</f>
        <v>46.982630197408852</v>
      </c>
      <c r="AQ50" s="91">
        <f t="shared" ref="AQ50:AQ64" si="66">AP50-CY50+CZ50</f>
        <v>28.58263019740885</v>
      </c>
      <c r="AR50" s="198"/>
      <c r="AS50" s="81">
        <f>$H$50*月別販売比率!AG5</f>
        <v>23</v>
      </c>
      <c r="AT50" s="39"/>
      <c r="AU50" s="245">
        <f>$H$50*月別販売比率!AG5</f>
        <v>23</v>
      </c>
      <c r="AV50" s="280">
        <v>37</v>
      </c>
      <c r="AW50" s="81">
        <f>$H$50*月別販売比率!AQ5</f>
        <v>23</v>
      </c>
      <c r="AX50" s="39"/>
      <c r="AY50" s="245">
        <f>$H$50*月別販売比率!AV5</f>
        <v>14.005706364888828</v>
      </c>
      <c r="AZ50" s="280">
        <v>30</v>
      </c>
      <c r="BA50" s="81">
        <f>$H$50*月別販売比率!BA5</f>
        <v>12.793317762160875</v>
      </c>
      <c r="BB50" s="39"/>
      <c r="BC50" s="81">
        <f>$H$50*月別販売比率!BF5</f>
        <v>18.400000000000002</v>
      </c>
      <c r="BD50" s="39"/>
      <c r="BE50" s="245">
        <f>$H$50*月別販売比率!C5</f>
        <v>16.298777756643247</v>
      </c>
      <c r="BF50" s="280">
        <v>60</v>
      </c>
      <c r="BG50" s="245">
        <f>$H$50*月別販売比率!H5</f>
        <v>16.100000000000001</v>
      </c>
      <c r="BH50" s="280">
        <v>28</v>
      </c>
      <c r="BI50" s="81">
        <f>$H$50*月別販売比率!M5</f>
        <v>23.244648498440419</v>
      </c>
      <c r="BJ50" s="39"/>
      <c r="BK50" s="245">
        <f>$H$50*月別販売比率!R5</f>
        <v>18.400000000000002</v>
      </c>
      <c r="BL50" s="280">
        <v>20</v>
      </c>
      <c r="BM50" s="245">
        <f>$H$50*月別販売比率!W5</f>
        <v>17.518345675541436</v>
      </c>
      <c r="BN50" s="280">
        <v>30</v>
      </c>
      <c r="BO50" s="81">
        <f>$H$50*月別販売比率!AB5</f>
        <v>27.599999999999998</v>
      </c>
      <c r="BP50" s="39"/>
      <c r="BQ50" s="245">
        <f>$H$50*月別販売比率!AG5</f>
        <v>23</v>
      </c>
      <c r="BR50" s="280">
        <v>40</v>
      </c>
      <c r="BS50" s="245">
        <f>$H$50*月別販売比率!AL5</f>
        <v>20.7</v>
      </c>
      <c r="BT50" s="280">
        <v>20</v>
      </c>
      <c r="BU50" s="245">
        <f>$H$50*月別販売比率!AQ5</f>
        <v>23</v>
      </c>
      <c r="BV50" s="280">
        <v>15</v>
      </c>
      <c r="BW50" s="81">
        <f>$H$50*月別販売比率!AV5</f>
        <v>14.005706364888828</v>
      </c>
      <c r="BX50" s="39"/>
      <c r="BY50" s="81">
        <f>$H$50*月別販売比率!BA5</f>
        <v>12.793317762160875</v>
      </c>
      <c r="BZ50" s="39"/>
      <c r="CA50" s="81">
        <f>$H$50*月別販売比率!BF5</f>
        <v>18.400000000000002</v>
      </c>
      <c r="CB50" s="39"/>
      <c r="CC50" s="81">
        <f>H50*月別販売比率!$C$21</f>
        <v>16.298777756643247</v>
      </c>
      <c r="CD50" s="39"/>
      <c r="CE50" s="81">
        <f>H50*月別販売比率!$H$21</f>
        <v>16.100000000000001</v>
      </c>
      <c r="CF50" s="280">
        <v>40</v>
      </c>
      <c r="CG50" s="81">
        <f>H50*月別販売比率!$M$21</f>
        <v>23.244648498440419</v>
      </c>
      <c r="CH50" s="39"/>
      <c r="CI50" s="81">
        <f>H50*月別販売比率!$R$21</f>
        <v>18.400000000000002</v>
      </c>
      <c r="CJ50" s="39">
        <v>15</v>
      </c>
      <c r="CK50" s="81">
        <f>H50*月別販売比率!$W$21</f>
        <v>17.518345675541436</v>
      </c>
      <c r="CL50" s="39">
        <v>20</v>
      </c>
      <c r="CM50" s="81">
        <f>H50*月別販売比率!$AB$21</f>
        <v>27.599999999999998</v>
      </c>
      <c r="CN50" s="39"/>
      <c r="CO50" s="81">
        <f>H50*月別販売比率!$AG$21</f>
        <v>23</v>
      </c>
      <c r="CP50" s="39">
        <v>20</v>
      </c>
      <c r="CQ50" s="81">
        <f>H50*月別販売比率!$AL$21</f>
        <v>20.7</v>
      </c>
      <c r="CR50" s="39">
        <v>50</v>
      </c>
      <c r="CS50" s="81">
        <f>H50*月別販売比率!$AQ$21</f>
        <v>23</v>
      </c>
      <c r="CT50" s="39"/>
      <c r="CU50" s="81">
        <f>H50*月別販売比率!$AV$21</f>
        <v>14.005706364888828</v>
      </c>
      <c r="CV50" s="39">
        <v>50</v>
      </c>
      <c r="CW50" s="81">
        <f>H50*月別販売比率!$BA$21</f>
        <v>12.793317762160875</v>
      </c>
      <c r="CX50" s="39"/>
      <c r="CY50" s="81">
        <f>H50*月別販売比率!$BF$21</f>
        <v>18.400000000000002</v>
      </c>
      <c r="CZ50" s="39"/>
      <c r="DA50" s="28"/>
      <c r="DB50" s="294"/>
    </row>
    <row r="51" spans="2:106" ht="30.75" customHeight="1">
      <c r="B51" s="25"/>
      <c r="C51" s="438"/>
      <c r="D51" s="441"/>
      <c r="E51" s="94" t="s">
        <v>287</v>
      </c>
      <c r="F51" s="1">
        <v>52</v>
      </c>
      <c r="G51" s="46">
        <f t="shared" ref="G51:G64" si="67">F51*3080</f>
        <v>160160</v>
      </c>
      <c r="H51" s="164">
        <v>220</v>
      </c>
      <c r="I51" s="46">
        <f t="shared" ref="I51:I64" si="68">H51*3080</f>
        <v>677600</v>
      </c>
      <c r="J51" s="9">
        <v>0</v>
      </c>
      <c r="K51" s="21">
        <f t="shared" si="57"/>
        <v>52</v>
      </c>
      <c r="L51" s="39">
        <v>14</v>
      </c>
      <c r="M51" s="40">
        <v>16</v>
      </c>
      <c r="N51" s="42">
        <v>22</v>
      </c>
      <c r="O51" s="288"/>
      <c r="P51" s="288"/>
      <c r="Q51" s="331"/>
      <c r="R51" s="328"/>
      <c r="S51" s="129"/>
      <c r="T51" s="345"/>
      <c r="U51" s="331">
        <v>45757</v>
      </c>
      <c r="V51" s="124"/>
      <c r="W51" s="124"/>
      <c r="X51" s="331">
        <v>45848</v>
      </c>
      <c r="Y51" s="331"/>
      <c r="Z51" s="330"/>
      <c r="AA51" s="331">
        <v>45940</v>
      </c>
      <c r="AB51" s="124"/>
      <c r="AC51" s="124"/>
      <c r="AD51" s="124"/>
      <c r="AE51" s="328"/>
      <c r="AF51" s="328"/>
      <c r="AG51" s="331"/>
      <c r="AH51" s="331">
        <v>46157</v>
      </c>
      <c r="AI51" s="129">
        <f t="shared" si="58"/>
        <v>39.4</v>
      </c>
      <c r="AJ51" s="129">
        <f t="shared" si="59"/>
        <v>52.64332152774297</v>
      </c>
      <c r="AK51" s="129">
        <f t="shared" si="60"/>
        <v>26.243321527742971</v>
      </c>
      <c r="AL51" s="399">
        <f t="shared" si="61"/>
        <v>29.243321527742971</v>
      </c>
      <c r="AM51" s="393">
        <f t="shared" si="62"/>
        <v>49.443321527742967</v>
      </c>
      <c r="AN51" s="393">
        <f t="shared" si="63"/>
        <v>27.443321527742967</v>
      </c>
      <c r="AO51" s="393">
        <f t="shared" si="64"/>
        <v>54.046558917849303</v>
      </c>
      <c r="AP51" s="96">
        <f t="shared" si="65"/>
        <v>41.809472362738902</v>
      </c>
      <c r="AQ51" s="91">
        <f t="shared" si="66"/>
        <v>24.2094723627389</v>
      </c>
      <c r="AR51" s="198"/>
      <c r="AS51" s="81">
        <f>$H$51*月別販売比率!AG5</f>
        <v>22</v>
      </c>
      <c r="AT51" s="21"/>
      <c r="AU51" s="245">
        <f>$H$51*月別販売比率!AG5</f>
        <v>22</v>
      </c>
      <c r="AV51" s="241"/>
      <c r="AW51" s="81">
        <f>$H$51*月別販売比率!AQ5</f>
        <v>22</v>
      </c>
      <c r="AX51" s="21"/>
      <c r="AY51" s="245">
        <f>$H$51*月別販売比率!AV5</f>
        <v>13.396762609893662</v>
      </c>
      <c r="AZ51" s="241">
        <v>35</v>
      </c>
      <c r="BA51" s="81">
        <f>$H$51*月別販売比率!BA5</f>
        <v>12.237086555110402</v>
      </c>
      <c r="BB51" s="21"/>
      <c r="BC51" s="81">
        <f>$H$51*月別販売比率!BF5</f>
        <v>17.600000000000001</v>
      </c>
      <c r="BD51" s="21"/>
      <c r="BE51" s="245">
        <f>$H$51*月別販売比率!C5</f>
        <v>15.590135245484845</v>
      </c>
      <c r="BF51" s="241">
        <v>10</v>
      </c>
      <c r="BG51" s="245">
        <f>$H$51*月別販売比率!H5</f>
        <v>15.400000000000002</v>
      </c>
      <c r="BH51" s="241">
        <v>6</v>
      </c>
      <c r="BI51" s="81">
        <f>$H$51*月別販売比率!M5</f>
        <v>22.234011607203879</v>
      </c>
      <c r="BJ51" s="21"/>
      <c r="BK51" s="245">
        <f>$H$51*月別販売比率!R5</f>
        <v>17.600000000000001</v>
      </c>
      <c r="BL51" s="241">
        <v>10</v>
      </c>
      <c r="BM51" s="245">
        <f>$H$51*月別販売比率!W5</f>
        <v>16.756678472257025</v>
      </c>
      <c r="BN51" s="241">
        <v>15</v>
      </c>
      <c r="BO51" s="81">
        <f>$H$51*月別販売比率!AB5</f>
        <v>26.4</v>
      </c>
      <c r="BP51" s="21"/>
      <c r="BQ51" s="245">
        <f>$H$51*月別販売比率!AG5</f>
        <v>22</v>
      </c>
      <c r="BR51" s="241">
        <v>20</v>
      </c>
      <c r="BS51" s="245">
        <f>$H$51*月別販売比率!AL5</f>
        <v>19.8</v>
      </c>
      <c r="BT51" s="241">
        <v>10</v>
      </c>
      <c r="BU51" s="245">
        <f>$H$51*月別販売比率!AQ5</f>
        <v>22</v>
      </c>
      <c r="BV51" s="241">
        <v>10</v>
      </c>
      <c r="BW51" s="81">
        <f>$H$51*月別販売比率!AV5</f>
        <v>13.396762609893662</v>
      </c>
      <c r="BX51" s="21"/>
      <c r="BY51" s="81">
        <f>$H$51*月別販売比率!BA5</f>
        <v>12.237086555110402</v>
      </c>
      <c r="BZ51" s="21"/>
      <c r="CA51" s="81">
        <f>$H$51*月別販売比率!BF5</f>
        <v>17.600000000000001</v>
      </c>
      <c r="CB51" s="21"/>
      <c r="CC51" s="81">
        <f>H51*月別販売比率!$C$21</f>
        <v>15.590135245484845</v>
      </c>
      <c r="CD51" s="21"/>
      <c r="CE51" s="81">
        <f>H51*月別販売比率!$H$21</f>
        <v>15.400000000000002</v>
      </c>
      <c r="CF51" s="241">
        <v>60</v>
      </c>
      <c r="CG51" s="81">
        <f>H51*月別販売比率!$M$21</f>
        <v>22.234011607203879</v>
      </c>
      <c r="CH51" s="21"/>
      <c r="CI51" s="81">
        <f>H51*月別販売比率!$R$21</f>
        <v>17.600000000000001</v>
      </c>
      <c r="CJ51" s="21">
        <v>5</v>
      </c>
      <c r="CK51" s="81">
        <f>H51*月別販売比率!$W$21</f>
        <v>16.756678472257025</v>
      </c>
      <c r="CL51" s="21">
        <v>30</v>
      </c>
      <c r="CM51" s="81">
        <f>H51*月別販売比率!$AB$21</f>
        <v>26.4</v>
      </c>
      <c r="CN51" s="21"/>
      <c r="CO51" s="81">
        <f>H51*月別販売比率!$AG$21</f>
        <v>22</v>
      </c>
      <c r="CP51" s="21">
        <v>25</v>
      </c>
      <c r="CQ51" s="81">
        <f>H51*月別販売比率!$AL$21</f>
        <v>19.8</v>
      </c>
      <c r="CR51" s="21">
        <v>40</v>
      </c>
      <c r="CS51" s="81">
        <f>H51*月別販売比率!$AQ$21</f>
        <v>22</v>
      </c>
      <c r="CT51" s="21"/>
      <c r="CU51" s="81">
        <f>H51*月別販売比率!$AV$21</f>
        <v>13.396762609893662</v>
      </c>
      <c r="CV51" s="21">
        <v>40</v>
      </c>
      <c r="CW51" s="81">
        <f>H51*月別販売比率!$BA$21</f>
        <v>12.237086555110402</v>
      </c>
      <c r="CX51" s="21"/>
      <c r="CY51" s="81">
        <f>H51*月別販売比率!$BF$21</f>
        <v>17.600000000000001</v>
      </c>
      <c r="CZ51" s="21"/>
      <c r="DA51" s="28"/>
      <c r="DB51" s="294"/>
    </row>
    <row r="52" spans="2:106" ht="30.75" customHeight="1">
      <c r="B52" s="25"/>
      <c r="C52" s="438"/>
      <c r="D52" s="441"/>
      <c r="E52" s="94" t="s">
        <v>286</v>
      </c>
      <c r="F52" s="1">
        <v>52</v>
      </c>
      <c r="G52" s="46">
        <f t="shared" si="67"/>
        <v>160160</v>
      </c>
      <c r="H52" s="164">
        <v>220</v>
      </c>
      <c r="I52" s="46">
        <f t="shared" si="68"/>
        <v>677600</v>
      </c>
      <c r="J52" s="9">
        <v>0</v>
      </c>
      <c r="K52" s="21">
        <f t="shared" si="57"/>
        <v>43</v>
      </c>
      <c r="L52" s="39">
        <v>10</v>
      </c>
      <c r="M52" s="40">
        <v>15</v>
      </c>
      <c r="N52" s="42">
        <v>18</v>
      </c>
      <c r="O52" s="288"/>
      <c r="P52" s="288"/>
      <c r="Q52" s="331"/>
      <c r="R52" s="328"/>
      <c r="S52" s="129"/>
      <c r="T52" s="129"/>
      <c r="U52" s="345"/>
      <c r="V52" s="328"/>
      <c r="W52" s="328"/>
      <c r="X52" s="328"/>
      <c r="Y52" s="328"/>
      <c r="Z52" s="124"/>
      <c r="AA52" s="331">
        <v>45940</v>
      </c>
      <c r="AB52" s="124"/>
      <c r="AC52" s="124"/>
      <c r="AD52" s="124"/>
      <c r="AE52" s="124"/>
      <c r="AF52" s="124"/>
      <c r="AG52" s="124"/>
      <c r="AH52" s="331"/>
      <c r="AI52" s="129">
        <f t="shared" si="58"/>
        <v>40.4</v>
      </c>
      <c r="AJ52" s="129">
        <f t="shared" si="59"/>
        <v>58.64332152774297</v>
      </c>
      <c r="AK52" s="129">
        <f t="shared" si="60"/>
        <v>32.243321527742971</v>
      </c>
      <c r="AL52" s="399">
        <f t="shared" si="61"/>
        <v>40.243321527742971</v>
      </c>
      <c r="AM52" s="393">
        <f t="shared" si="62"/>
        <v>60.443321527742967</v>
      </c>
      <c r="AN52" s="393">
        <f t="shared" si="63"/>
        <v>38.443321527742967</v>
      </c>
      <c r="AO52" s="393">
        <f t="shared" si="64"/>
        <v>65.046558917849296</v>
      </c>
      <c r="AP52" s="96">
        <f t="shared" si="65"/>
        <v>52.809472362738894</v>
      </c>
      <c r="AQ52" s="91">
        <f t="shared" si="66"/>
        <v>35.209472362738893</v>
      </c>
      <c r="AR52" s="198"/>
      <c r="AS52" s="81">
        <f>$H$52*月別販売比率!AG5</f>
        <v>22</v>
      </c>
      <c r="AT52" s="21"/>
      <c r="AU52" s="245">
        <f>$H$52*月別販売比率!AG5</f>
        <v>22</v>
      </c>
      <c r="AV52" s="241"/>
      <c r="AW52" s="81">
        <f>$H$52*月別販売比率!AQ5</f>
        <v>22</v>
      </c>
      <c r="AX52" s="21"/>
      <c r="AY52" s="245">
        <f>$H$52*月別販売比率!AV5</f>
        <v>13.396762609893662</v>
      </c>
      <c r="AZ52" s="241">
        <v>30</v>
      </c>
      <c r="BA52" s="81">
        <f>$H$52*月別販売比率!BA5</f>
        <v>12.237086555110402</v>
      </c>
      <c r="BB52" s="21"/>
      <c r="BC52" s="81">
        <f>$H$52*月別販売比率!BF5</f>
        <v>17.600000000000001</v>
      </c>
      <c r="BD52" s="21"/>
      <c r="BE52" s="245">
        <f>$H$52*月別販売比率!C5</f>
        <v>15.590135245484845</v>
      </c>
      <c r="BF52" s="241">
        <v>10</v>
      </c>
      <c r="BG52" s="245">
        <f>$H$52*月別販売比率!H5</f>
        <v>15.400000000000002</v>
      </c>
      <c r="BH52" s="241"/>
      <c r="BI52" s="81">
        <f>$H$52*月別販売比率!M5</f>
        <v>22.234011607203879</v>
      </c>
      <c r="BJ52" s="21"/>
      <c r="BK52" s="245">
        <f>$H$52*月別販売比率!R5</f>
        <v>17.600000000000001</v>
      </c>
      <c r="BL52" s="241"/>
      <c r="BM52" s="245">
        <f>$H$52*月別販売比率!W5</f>
        <v>16.756678472257025</v>
      </c>
      <c r="BN52" s="241">
        <v>10</v>
      </c>
      <c r="BO52" s="81">
        <f>$H$52*月別販売比率!AB5</f>
        <v>26.4</v>
      </c>
      <c r="BP52" s="21"/>
      <c r="BQ52" s="245">
        <f>$H$52*月別販売比率!AG5</f>
        <v>22</v>
      </c>
      <c r="BR52" s="241">
        <v>40</v>
      </c>
      <c r="BS52" s="245">
        <f>$H$52*月別販売比率!AL5</f>
        <v>19.8</v>
      </c>
      <c r="BT52" s="241">
        <v>25</v>
      </c>
      <c r="BU52" s="245">
        <f>$H$52*月別販売比率!AQ5</f>
        <v>22</v>
      </c>
      <c r="BV52" s="241">
        <v>15</v>
      </c>
      <c r="BW52" s="81">
        <f>$H$52*月別販売比率!AV5</f>
        <v>13.396762609893662</v>
      </c>
      <c r="BX52" s="21"/>
      <c r="BY52" s="81">
        <f>$H$52*月別販売比率!BA5</f>
        <v>12.237086555110402</v>
      </c>
      <c r="BZ52" s="21"/>
      <c r="CA52" s="81">
        <f>$H$52*月別販売比率!BF5</f>
        <v>17.600000000000001</v>
      </c>
      <c r="CB52" s="21"/>
      <c r="CC52" s="81">
        <f>H52*月別販売比率!$C$21</f>
        <v>15.590135245484845</v>
      </c>
      <c r="CD52" s="21"/>
      <c r="CE52" s="81">
        <f>H52*月別販売比率!$H$21</f>
        <v>15.400000000000002</v>
      </c>
      <c r="CF52" s="241">
        <v>50</v>
      </c>
      <c r="CG52" s="81">
        <f>H52*月別販売比率!$M$21</f>
        <v>22.234011607203879</v>
      </c>
      <c r="CH52" s="21"/>
      <c r="CI52" s="81">
        <f>H52*月別販売比率!$R$21</f>
        <v>17.600000000000001</v>
      </c>
      <c r="CJ52" s="21">
        <v>15</v>
      </c>
      <c r="CK52" s="81">
        <f>H52*月別販売比率!$W$21</f>
        <v>16.756678472257025</v>
      </c>
      <c r="CL52" s="21">
        <v>35</v>
      </c>
      <c r="CM52" s="81">
        <f>H52*月別販売比率!$AB$21</f>
        <v>26.4</v>
      </c>
      <c r="CN52" s="21"/>
      <c r="CO52" s="81">
        <f>H52*月別販売比率!$AG$21</f>
        <v>22</v>
      </c>
      <c r="CP52" s="21">
        <v>30</v>
      </c>
      <c r="CQ52" s="81">
        <f>H52*月別販売比率!$AL$21</f>
        <v>19.8</v>
      </c>
      <c r="CR52" s="21">
        <v>40</v>
      </c>
      <c r="CS52" s="81">
        <f>H52*月別販売比率!$AQ$21</f>
        <v>22</v>
      </c>
      <c r="CT52" s="21"/>
      <c r="CU52" s="81">
        <f>H52*月別販売比率!$AV$21</f>
        <v>13.396762609893662</v>
      </c>
      <c r="CV52" s="21">
        <v>40</v>
      </c>
      <c r="CW52" s="81">
        <f>H52*月別販売比率!$BA$21</f>
        <v>12.237086555110402</v>
      </c>
      <c r="CX52" s="21"/>
      <c r="CY52" s="81">
        <f>H52*月別販売比率!$BF$21</f>
        <v>17.600000000000001</v>
      </c>
      <c r="CZ52" s="21"/>
      <c r="DA52" s="28"/>
      <c r="DB52" s="294"/>
    </row>
    <row r="53" spans="2:106" ht="30.75" customHeight="1">
      <c r="B53" s="25"/>
      <c r="C53" s="438"/>
      <c r="D53" s="441"/>
      <c r="E53" s="94" t="s">
        <v>285</v>
      </c>
      <c r="F53" s="1">
        <v>52</v>
      </c>
      <c r="G53" s="46">
        <f t="shared" si="67"/>
        <v>160160</v>
      </c>
      <c r="H53" s="164">
        <v>85</v>
      </c>
      <c r="I53" s="46">
        <f t="shared" si="68"/>
        <v>261800</v>
      </c>
      <c r="J53" s="9">
        <v>0</v>
      </c>
      <c r="K53" s="21">
        <f>SUM(L53:N53)</f>
        <v>14</v>
      </c>
      <c r="L53" s="39">
        <v>5</v>
      </c>
      <c r="M53" s="40">
        <v>9</v>
      </c>
      <c r="N53" s="42"/>
      <c r="O53" s="288"/>
      <c r="P53" s="288"/>
      <c r="Q53" s="331"/>
      <c r="R53" s="328"/>
      <c r="S53" s="129"/>
      <c r="T53" s="345"/>
      <c r="U53" s="345"/>
      <c r="V53" s="328"/>
      <c r="W53" s="328"/>
      <c r="X53" s="331">
        <v>45848</v>
      </c>
      <c r="Y53" s="124"/>
      <c r="Z53" s="124"/>
      <c r="AA53" s="124"/>
      <c r="AB53" s="124"/>
      <c r="AC53" s="124"/>
      <c r="AD53" s="124"/>
      <c r="AE53" s="124"/>
      <c r="AF53" s="124"/>
      <c r="AG53" s="124"/>
      <c r="AH53" s="124"/>
      <c r="AI53" s="129">
        <f t="shared" si="58"/>
        <v>15.2</v>
      </c>
      <c r="AJ53" s="129">
        <f t="shared" si="59"/>
        <v>23.725828772082512</v>
      </c>
      <c r="AK53" s="129">
        <f t="shared" si="60"/>
        <v>13.525828772082512</v>
      </c>
      <c r="AL53" s="399">
        <f t="shared" si="61"/>
        <v>15.025828772082512</v>
      </c>
      <c r="AM53" s="393">
        <f t="shared" si="62"/>
        <v>27.375828772082514</v>
      </c>
      <c r="AN53" s="393">
        <f t="shared" si="63"/>
        <v>18.875828772082514</v>
      </c>
      <c r="AO53" s="393">
        <f t="shared" si="64"/>
        <v>33.699806854623603</v>
      </c>
      <c r="AP53" s="96">
        <f t="shared" si="65"/>
        <v>28.971841594694585</v>
      </c>
      <c r="AQ53" s="91">
        <f t="shared" si="66"/>
        <v>22.171841594694584</v>
      </c>
      <c r="AR53" s="198"/>
      <c r="AS53" s="81">
        <f>$H$53*月別販売比率!AG5</f>
        <v>8.5</v>
      </c>
      <c r="AT53" s="21"/>
      <c r="AU53" s="245">
        <f>$H$53*月別販売比率!AG5</f>
        <v>8.5</v>
      </c>
      <c r="AV53" s="241"/>
      <c r="AW53" s="81">
        <f>$H$53*月別販売比率!AQ5</f>
        <v>8.5</v>
      </c>
      <c r="AX53" s="21"/>
      <c r="AY53" s="245">
        <f>$H$53*月別販売比率!AV5</f>
        <v>5.1760219174589146</v>
      </c>
      <c r="AZ53" s="241">
        <v>25</v>
      </c>
      <c r="BA53" s="81">
        <f>$H$53*月別販売比率!BA5</f>
        <v>4.7279652599290189</v>
      </c>
      <c r="BB53" s="21"/>
      <c r="BC53" s="81">
        <f>$H$53*月別販売比率!BF5</f>
        <v>6.8</v>
      </c>
      <c r="BD53" s="21"/>
      <c r="BE53" s="245">
        <f>$H$53*月別販売比率!C5</f>
        <v>6.0234613448464174</v>
      </c>
      <c r="BF53" s="241">
        <v>10</v>
      </c>
      <c r="BG53" s="245">
        <f>$H$53*月別販売比率!H5</f>
        <v>5.95</v>
      </c>
      <c r="BH53" s="241">
        <v>5</v>
      </c>
      <c r="BI53" s="81">
        <f>$H$53*月別販売比率!M5</f>
        <v>8.5904135755105901</v>
      </c>
      <c r="BJ53" s="21"/>
      <c r="BK53" s="245">
        <f>$H$53*月別販売比率!R5</f>
        <v>6.8</v>
      </c>
      <c r="BL53" s="241">
        <v>20</v>
      </c>
      <c r="BM53" s="245">
        <f>$H$53*月別販売比率!W5</f>
        <v>6.4741712279174877</v>
      </c>
      <c r="BN53" s="241">
        <v>10</v>
      </c>
      <c r="BO53" s="81">
        <f>$H$53*月別販売比率!AB5</f>
        <v>10.199999999999999</v>
      </c>
      <c r="BP53" s="21"/>
      <c r="BQ53" s="245">
        <f>$H$53*月別販売比率!AG5</f>
        <v>8.5</v>
      </c>
      <c r="BR53" s="241">
        <v>20</v>
      </c>
      <c r="BS53" s="245">
        <f>$H$53*月別販売比率!AL5</f>
        <v>7.6499999999999995</v>
      </c>
      <c r="BT53" s="241">
        <v>10</v>
      </c>
      <c r="BU53" s="245">
        <f>$H$53*月別販売比率!AQ5</f>
        <v>8.5</v>
      </c>
      <c r="BV53" s="241">
        <v>10</v>
      </c>
      <c r="BW53" s="81">
        <f>$H$53*月別販売比率!AV5</f>
        <v>5.1760219174589146</v>
      </c>
      <c r="BX53" s="21"/>
      <c r="BY53" s="81">
        <f>$H$53*月別販売比率!BA5</f>
        <v>4.7279652599290189</v>
      </c>
      <c r="BZ53" s="21"/>
      <c r="CA53" s="81">
        <f>$H$53*月別販売比率!BF5</f>
        <v>6.8</v>
      </c>
      <c r="CB53" s="21"/>
      <c r="CC53" s="81">
        <f>H53*月別販売比率!$C$21</f>
        <v>6.0234613448464174</v>
      </c>
      <c r="CD53" s="21"/>
      <c r="CE53" s="81">
        <f>H53*月別販売比率!$H$21</f>
        <v>5.95</v>
      </c>
      <c r="CF53" s="241"/>
      <c r="CG53" s="81">
        <f>H53*月別販売比率!$M$21</f>
        <v>8.5904135755105901</v>
      </c>
      <c r="CH53" s="21"/>
      <c r="CI53" s="81">
        <f>H53*月別販売比率!$R$21</f>
        <v>6.8</v>
      </c>
      <c r="CJ53" s="21">
        <v>8</v>
      </c>
      <c r="CK53" s="81">
        <f>H53*月別販売比率!$W$21</f>
        <v>6.4741712279174877</v>
      </c>
      <c r="CL53" s="21">
        <v>15</v>
      </c>
      <c r="CM53" s="81">
        <f>H53*月別販売比率!$AB$21</f>
        <v>10.199999999999999</v>
      </c>
      <c r="CN53" s="21"/>
      <c r="CO53" s="81">
        <f>H53*月別販売比率!$AG$21</f>
        <v>8.5</v>
      </c>
      <c r="CP53" s="21">
        <v>10</v>
      </c>
      <c r="CQ53" s="81">
        <f>H53*月別販売比率!$AL$21</f>
        <v>7.6499999999999995</v>
      </c>
      <c r="CR53" s="21">
        <v>20</v>
      </c>
      <c r="CS53" s="81">
        <f>H53*月別販売比率!$AQ$21</f>
        <v>8.5</v>
      </c>
      <c r="CT53" s="21"/>
      <c r="CU53" s="81">
        <f>H53*月別販売比率!$AV$21</f>
        <v>5.1760219174589146</v>
      </c>
      <c r="CV53" s="21">
        <v>20</v>
      </c>
      <c r="CW53" s="81">
        <f>H53*月別販売比率!$BA$21</f>
        <v>4.7279652599290189</v>
      </c>
      <c r="CX53" s="21"/>
      <c r="CY53" s="81">
        <f>H53*月別販売比率!$BF$21</f>
        <v>6.8</v>
      </c>
      <c r="CZ53" s="21"/>
      <c r="DA53" s="28"/>
      <c r="DB53" s="294"/>
    </row>
    <row r="54" spans="2:106" ht="30.75" customHeight="1">
      <c r="B54" s="25"/>
      <c r="C54" s="438"/>
      <c r="D54" s="442"/>
      <c r="E54" s="94" t="s">
        <v>284</v>
      </c>
      <c r="F54" s="1">
        <v>10</v>
      </c>
      <c r="G54" s="46">
        <f t="shared" si="67"/>
        <v>30800</v>
      </c>
      <c r="H54" s="164">
        <v>60</v>
      </c>
      <c r="I54" s="46">
        <f t="shared" si="68"/>
        <v>184800</v>
      </c>
      <c r="J54" s="9">
        <v>0</v>
      </c>
      <c r="K54" s="21">
        <f>SUM(L54:N54)</f>
        <v>48</v>
      </c>
      <c r="L54" s="39">
        <v>30</v>
      </c>
      <c r="M54" s="40">
        <v>18</v>
      </c>
      <c r="N54" s="42"/>
      <c r="O54" s="288"/>
      <c r="P54" s="288"/>
      <c r="Q54" s="331"/>
      <c r="R54" s="328"/>
      <c r="S54" s="129"/>
      <c r="T54" s="129"/>
      <c r="U54" s="129"/>
      <c r="V54" s="328"/>
      <c r="W54" s="328"/>
      <c r="X54" s="328"/>
      <c r="Y54" s="328"/>
      <c r="Z54" s="124"/>
      <c r="AA54" s="124"/>
      <c r="AB54" s="124"/>
      <c r="AC54" s="124"/>
      <c r="AD54" s="124"/>
      <c r="AE54" s="124"/>
      <c r="AF54" s="124"/>
      <c r="AG54" s="124"/>
      <c r="AH54" s="124"/>
      <c r="AI54" s="129">
        <f t="shared" si="58"/>
        <v>48.2</v>
      </c>
      <c r="AJ54" s="129">
        <f t="shared" si="59"/>
        <v>43.629996780293538</v>
      </c>
      <c r="AK54" s="129">
        <f t="shared" si="60"/>
        <v>36.429996780293536</v>
      </c>
      <c r="AL54" s="399">
        <f t="shared" si="61"/>
        <v>30.429996780293536</v>
      </c>
      <c r="AM54" s="393">
        <f t="shared" si="62"/>
        <v>35.029996780293537</v>
      </c>
      <c r="AN54" s="393">
        <f t="shared" si="63"/>
        <v>29.029996780293537</v>
      </c>
      <c r="AO54" s="393">
        <f t="shared" si="64"/>
        <v>35.376334250322543</v>
      </c>
      <c r="AP54" s="96">
        <f t="shared" si="65"/>
        <v>32.038947008019704</v>
      </c>
      <c r="AQ54" s="91">
        <f t="shared" si="66"/>
        <v>27.238947008019704</v>
      </c>
      <c r="AR54" s="198"/>
      <c r="AS54" s="81">
        <f>$H$54*月別販売比率!AG5</f>
        <v>6</v>
      </c>
      <c r="AT54" s="21"/>
      <c r="AU54" s="245">
        <f>$H$54*月別販売比率!AG5</f>
        <v>6</v>
      </c>
      <c r="AV54" s="241"/>
      <c r="AW54" s="81">
        <f>$H$54*月別販売比率!AQ5</f>
        <v>6</v>
      </c>
      <c r="AX54" s="21"/>
      <c r="AY54" s="245">
        <f>$H$54*月別販売比率!AV5</f>
        <v>3.6536625299709988</v>
      </c>
      <c r="AZ54" s="241">
        <v>25</v>
      </c>
      <c r="BA54" s="81">
        <f>$H$54*月別販売比率!BA5</f>
        <v>3.337387242302837</v>
      </c>
      <c r="BB54" s="21"/>
      <c r="BC54" s="81">
        <f>$H$54*月別販売比率!BF5</f>
        <v>4.8</v>
      </c>
      <c r="BD54" s="21"/>
      <c r="BE54" s="245">
        <f>$H$54*月別販売比率!C5</f>
        <v>4.2518550669504123</v>
      </c>
      <c r="BF54" s="241"/>
      <c r="BG54" s="245">
        <f>$H$54*月別販売比率!H5</f>
        <v>4.2</v>
      </c>
      <c r="BH54" s="241"/>
      <c r="BI54" s="81">
        <f>$H$54*月別販売比率!M5</f>
        <v>6.0638213474192399</v>
      </c>
      <c r="BJ54" s="21"/>
      <c r="BK54" s="245">
        <f>$H$54*月別販売比率!R5</f>
        <v>4.8</v>
      </c>
      <c r="BL54" s="241"/>
      <c r="BM54" s="245">
        <f>$H$54*月別販売比率!W5</f>
        <v>4.5700032197064617</v>
      </c>
      <c r="BN54" s="241"/>
      <c r="BO54" s="81">
        <f>$H$54*月別販売比率!AB5</f>
        <v>7.1999999999999993</v>
      </c>
      <c r="BP54" s="21"/>
      <c r="BQ54" s="245">
        <f>$H$54*月別販売比率!AG5</f>
        <v>6</v>
      </c>
      <c r="BR54" s="241">
        <v>10</v>
      </c>
      <c r="BS54" s="245">
        <f>$H$54*月別販売比率!AL5</f>
        <v>5.3999999999999995</v>
      </c>
      <c r="BT54" s="241">
        <v>10</v>
      </c>
      <c r="BU54" s="245">
        <f>$H$54*月別販売比率!AQ5</f>
        <v>6</v>
      </c>
      <c r="BV54" s="241"/>
      <c r="BW54" s="81">
        <f>$H$54*月別販売比率!AV5</f>
        <v>3.6536625299709988</v>
      </c>
      <c r="BX54" s="21"/>
      <c r="BY54" s="81">
        <f>$H$54*月別販売比率!BA5</f>
        <v>3.337387242302837</v>
      </c>
      <c r="BZ54" s="21"/>
      <c r="CA54" s="81">
        <f>$H$54*月別販売比率!BF5</f>
        <v>4.8</v>
      </c>
      <c r="CB54" s="21"/>
      <c r="CC54" s="81">
        <f>H54*月別販売比率!$C$21</f>
        <v>4.2518550669504123</v>
      </c>
      <c r="CD54" s="21"/>
      <c r="CE54" s="81">
        <f>H54*月別販売比率!$H$21</f>
        <v>4.2</v>
      </c>
      <c r="CF54" s="241"/>
      <c r="CG54" s="81">
        <f>H54*月別販売比率!$M$21</f>
        <v>6.0638213474192399</v>
      </c>
      <c r="CH54" s="21"/>
      <c r="CI54" s="81">
        <f>H54*月別販売比率!$R$21</f>
        <v>4.8</v>
      </c>
      <c r="CJ54" s="21">
        <v>5</v>
      </c>
      <c r="CK54" s="81">
        <f>H54*月別販売比率!$W$21</f>
        <v>4.5700032197064617</v>
      </c>
      <c r="CL54" s="21"/>
      <c r="CM54" s="81">
        <f>H54*月別販売比率!$AB$21</f>
        <v>7.1999999999999993</v>
      </c>
      <c r="CN54" s="21"/>
      <c r="CO54" s="81">
        <f>H54*月別販売比率!$AG$21</f>
        <v>6</v>
      </c>
      <c r="CP54" s="21"/>
      <c r="CQ54" s="81">
        <f>H54*月別販売比率!$AL$21</f>
        <v>5.3999999999999995</v>
      </c>
      <c r="CR54" s="21">
        <v>10</v>
      </c>
      <c r="CS54" s="81">
        <f>H54*月別販売比率!$AQ$21</f>
        <v>6</v>
      </c>
      <c r="CT54" s="21"/>
      <c r="CU54" s="81">
        <f>H54*月別販売比率!$AV$21</f>
        <v>3.6536625299709988</v>
      </c>
      <c r="CV54" s="21">
        <v>10</v>
      </c>
      <c r="CW54" s="81">
        <f>H54*月別販売比率!$BA$21</f>
        <v>3.337387242302837</v>
      </c>
      <c r="CX54" s="21"/>
      <c r="CY54" s="81">
        <f>H54*月別販売比率!$BF$21</f>
        <v>4.8</v>
      </c>
      <c r="CZ54" s="21"/>
      <c r="DA54" s="28"/>
      <c r="DB54" s="294"/>
    </row>
    <row r="55" spans="2:106" ht="30.75" customHeight="1">
      <c r="B55" s="25"/>
      <c r="C55" s="438"/>
      <c r="D55" s="443">
        <v>2</v>
      </c>
      <c r="E55" s="99" t="s">
        <v>275</v>
      </c>
      <c r="F55" s="1">
        <v>233</v>
      </c>
      <c r="G55" s="46">
        <f t="shared" si="67"/>
        <v>717640</v>
      </c>
      <c r="H55" s="164">
        <v>280</v>
      </c>
      <c r="I55" s="46">
        <f t="shared" si="68"/>
        <v>862400</v>
      </c>
      <c r="J55" s="9">
        <v>0</v>
      </c>
      <c r="K55" s="21">
        <f>SUM(L55:N55)</f>
        <v>40</v>
      </c>
      <c r="L55" s="39">
        <v>10</v>
      </c>
      <c r="M55" s="40">
        <v>14</v>
      </c>
      <c r="N55" s="42">
        <v>16</v>
      </c>
      <c r="O55" s="288"/>
      <c r="P55" s="288"/>
      <c r="Q55" s="331">
        <v>45643</v>
      </c>
      <c r="R55" s="124"/>
      <c r="S55" s="129"/>
      <c r="T55" s="345"/>
      <c r="U55" s="331">
        <v>45757</v>
      </c>
      <c r="V55" s="328"/>
      <c r="W55" s="328"/>
      <c r="X55" s="328"/>
      <c r="Y55" s="328"/>
      <c r="Z55" s="124"/>
      <c r="AA55" s="331">
        <v>45940</v>
      </c>
      <c r="AB55" s="124"/>
      <c r="AC55" s="124"/>
      <c r="AD55" s="124"/>
      <c r="AE55" s="124"/>
      <c r="AF55" s="124"/>
      <c r="AG55" s="331"/>
      <c r="AH55" s="331"/>
      <c r="AI55" s="129">
        <f t="shared" si="58"/>
        <v>47.599999999999994</v>
      </c>
      <c r="AJ55" s="129">
        <f t="shared" si="59"/>
        <v>61.273318308036508</v>
      </c>
      <c r="AK55" s="129">
        <f t="shared" si="60"/>
        <v>27.673318308036507</v>
      </c>
      <c r="AL55" s="399">
        <f t="shared" si="61"/>
        <v>29.673318308036507</v>
      </c>
      <c r="AM55" s="393">
        <f t="shared" si="62"/>
        <v>64.473318308036511</v>
      </c>
      <c r="AN55" s="393">
        <f t="shared" si="63"/>
        <v>36.473318308036511</v>
      </c>
      <c r="AO55" s="393">
        <f t="shared" si="64"/>
        <v>79.422893168171854</v>
      </c>
      <c r="AP55" s="96">
        <f t="shared" si="65"/>
        <v>63.848419370758613</v>
      </c>
      <c r="AQ55" s="91">
        <f t="shared" si="66"/>
        <v>41.448419370758614</v>
      </c>
      <c r="AR55" s="198"/>
      <c r="AS55" s="81">
        <f>$H$55*月別販売比率!AG5</f>
        <v>28</v>
      </c>
      <c r="AT55" s="21"/>
      <c r="AU55" s="245">
        <f>$H$55*月別販売比率!AG5</f>
        <v>28</v>
      </c>
      <c r="AV55" s="241">
        <v>42</v>
      </c>
      <c r="AW55" s="81">
        <f>$H$55*月別販売比率!AQ5</f>
        <v>28</v>
      </c>
      <c r="AX55" s="21"/>
      <c r="AY55" s="245">
        <f>$H$55*月別販売比率!AV5</f>
        <v>17.050425139864661</v>
      </c>
      <c r="AZ55" s="241">
        <v>30</v>
      </c>
      <c r="BA55" s="81">
        <f>$H$55*月別販売比率!BA5</f>
        <v>15.574473797413239</v>
      </c>
      <c r="BB55" s="21"/>
      <c r="BC55" s="81">
        <f>$H$55*月別販売比率!BF5</f>
        <v>22.400000000000002</v>
      </c>
      <c r="BD55" s="21"/>
      <c r="BE55" s="245">
        <f>$H$55*月別販売比率!C5</f>
        <v>19.841990312435257</v>
      </c>
      <c r="BF55" s="241">
        <v>40</v>
      </c>
      <c r="BG55" s="245">
        <f>$H$55*月別販売比率!H5</f>
        <v>19.600000000000001</v>
      </c>
      <c r="BH55" s="241">
        <v>47</v>
      </c>
      <c r="BI55" s="81">
        <f>$H$55*月別販売比率!M5</f>
        <v>28.297832954623122</v>
      </c>
      <c r="BJ55" s="21"/>
      <c r="BK55" s="245">
        <f>$H$55*月別販売比率!R5</f>
        <v>22.400000000000002</v>
      </c>
      <c r="BL55" s="241">
        <v>50</v>
      </c>
      <c r="BM55" s="245">
        <f>$H$55*月別販売比率!W5</f>
        <v>21.32668169196349</v>
      </c>
      <c r="BN55" s="241">
        <v>40</v>
      </c>
      <c r="BO55" s="81">
        <f>$H$55*月別販売比率!AB5</f>
        <v>33.6</v>
      </c>
      <c r="BP55" s="21"/>
      <c r="BQ55" s="245">
        <f>$H$55*月別販売比率!AG5</f>
        <v>28</v>
      </c>
      <c r="BR55" s="241">
        <v>60</v>
      </c>
      <c r="BS55" s="245">
        <f>$H$55*月別販売比率!AL5</f>
        <v>25.2</v>
      </c>
      <c r="BT55" s="241">
        <v>30</v>
      </c>
      <c r="BU55" s="245">
        <f>$H$55*月別販売比率!AQ5</f>
        <v>28</v>
      </c>
      <c r="BV55" s="241">
        <v>25</v>
      </c>
      <c r="BW55" s="81">
        <f>$H$55*月別販売比率!AV5</f>
        <v>17.050425139864661</v>
      </c>
      <c r="BX55" s="21"/>
      <c r="BY55" s="81">
        <f>$H$55*月別販売比率!BA5</f>
        <v>15.574473797413239</v>
      </c>
      <c r="BZ55" s="21"/>
      <c r="CA55" s="81">
        <f>$H$55*月別販売比率!BF5</f>
        <v>22.400000000000002</v>
      </c>
      <c r="CB55" s="21"/>
      <c r="CC55" s="81">
        <f>H55*月別販売比率!$C$21</f>
        <v>19.841990312435257</v>
      </c>
      <c r="CD55" s="21"/>
      <c r="CE55" s="81">
        <f>H55*月別販売比率!$H$21</f>
        <v>19.600000000000001</v>
      </c>
      <c r="CF55" s="241">
        <v>52</v>
      </c>
      <c r="CG55" s="81">
        <f>H55*月別販売比率!$M$21</f>
        <v>28.297832954623122</v>
      </c>
      <c r="CH55" s="21"/>
      <c r="CI55" s="81">
        <f>H55*月別販売比率!$R$21</f>
        <v>22.400000000000002</v>
      </c>
      <c r="CJ55" s="21">
        <v>30</v>
      </c>
      <c r="CK55" s="81">
        <f>H55*月別販売比率!$W$21</f>
        <v>21.32668169196349</v>
      </c>
      <c r="CL55" s="21">
        <v>35</v>
      </c>
      <c r="CM55" s="81">
        <f>H55*月別販売比率!$AB$21</f>
        <v>33.6</v>
      </c>
      <c r="CN55" s="21"/>
      <c r="CO55" s="81">
        <f>H55*月別販売比率!$AG$21</f>
        <v>28</v>
      </c>
      <c r="CP55" s="21">
        <v>30</v>
      </c>
      <c r="CQ55" s="81">
        <f>H55*月別販売比率!$AL$21</f>
        <v>25.2</v>
      </c>
      <c r="CR55" s="21">
        <v>60</v>
      </c>
      <c r="CS55" s="81">
        <f>H55*月別販売比率!$AQ$21</f>
        <v>28</v>
      </c>
      <c r="CT55" s="21"/>
      <c r="CU55" s="81">
        <f>H55*月別販売比率!$AV$21</f>
        <v>17.050425139864661</v>
      </c>
      <c r="CV55" s="21">
        <v>60</v>
      </c>
      <c r="CW55" s="81">
        <f>H55*月別販売比率!$BA$21</f>
        <v>15.574473797413239</v>
      </c>
      <c r="CX55" s="21"/>
      <c r="CY55" s="81">
        <f>H55*月別販売比率!$BF$21</f>
        <v>22.400000000000002</v>
      </c>
      <c r="CZ55" s="21"/>
      <c r="DA55" s="28"/>
      <c r="DB55" s="294"/>
    </row>
    <row r="56" spans="2:106" ht="30.75" customHeight="1">
      <c r="B56" s="25"/>
      <c r="C56" s="438"/>
      <c r="D56" s="441"/>
      <c r="E56" s="94" t="s">
        <v>287</v>
      </c>
      <c r="F56" s="1">
        <v>103</v>
      </c>
      <c r="G56" s="46">
        <f t="shared" si="67"/>
        <v>317240</v>
      </c>
      <c r="H56" s="164">
        <v>180</v>
      </c>
      <c r="I56" s="46">
        <f t="shared" si="68"/>
        <v>554400</v>
      </c>
      <c r="J56" s="9">
        <v>0</v>
      </c>
      <c r="K56" s="21">
        <f t="shared" ref="K56:K64" si="69">SUM(L56:N56)</f>
        <v>8</v>
      </c>
      <c r="L56" s="39">
        <v>0</v>
      </c>
      <c r="M56" s="40">
        <v>8</v>
      </c>
      <c r="N56" s="42"/>
      <c r="O56" s="288"/>
      <c r="P56" s="288"/>
      <c r="Q56" s="331"/>
      <c r="R56" s="328"/>
      <c r="S56" s="129"/>
      <c r="T56" s="345"/>
      <c r="U56" s="345"/>
      <c r="V56" s="328"/>
      <c r="W56" s="328"/>
      <c r="X56" s="124"/>
      <c r="Y56" s="328"/>
      <c r="Z56" s="124"/>
      <c r="AA56" s="328"/>
      <c r="AB56" s="328"/>
      <c r="AC56" s="328"/>
      <c r="AD56" s="330"/>
      <c r="AE56" s="328"/>
      <c r="AF56" s="328"/>
      <c r="AG56" s="331"/>
      <c r="AH56" s="331">
        <v>46157</v>
      </c>
      <c r="AI56" s="129">
        <f t="shared" si="58"/>
        <v>28.6</v>
      </c>
      <c r="AJ56" s="129">
        <f t="shared" si="59"/>
        <v>39.889990340880615</v>
      </c>
      <c r="AK56" s="129">
        <f t="shared" si="60"/>
        <v>18.289990340880617</v>
      </c>
      <c r="AL56" s="399">
        <f t="shared" si="61"/>
        <v>25.289990340880617</v>
      </c>
      <c r="AM56" s="393">
        <f t="shared" si="62"/>
        <v>49.089990340880618</v>
      </c>
      <c r="AN56" s="393">
        <f t="shared" si="63"/>
        <v>31.089990340880618</v>
      </c>
      <c r="AO56" s="393">
        <f t="shared" si="64"/>
        <v>50.129002750967622</v>
      </c>
      <c r="AP56" s="96">
        <f t="shared" si="65"/>
        <v>40.116841024059113</v>
      </c>
      <c r="AQ56" s="91">
        <f t="shared" si="66"/>
        <v>25.716841024059114</v>
      </c>
      <c r="AR56" s="198"/>
      <c r="AS56" s="81">
        <f>$H$56*月別販売比率!AG5</f>
        <v>18</v>
      </c>
      <c r="AT56" s="21"/>
      <c r="AU56" s="245">
        <f>$H$56*月別販売比率!AG5</f>
        <v>18</v>
      </c>
      <c r="AV56" s="241">
        <v>17</v>
      </c>
      <c r="AW56" s="81">
        <f>$H$56*月別販売比率!AQ5</f>
        <v>18</v>
      </c>
      <c r="AX56" s="21"/>
      <c r="AY56" s="245">
        <f>$H$56*月別販売比率!AV5</f>
        <v>10.960987589912996</v>
      </c>
      <c r="AZ56" s="241">
        <v>35</v>
      </c>
      <c r="BA56" s="81">
        <f>$H$56*月別販売比率!BA5</f>
        <v>10.012161726908511</v>
      </c>
      <c r="BB56" s="21"/>
      <c r="BC56" s="81">
        <f>$H$56*月別販売比率!BF5</f>
        <v>14.4</v>
      </c>
      <c r="BD56" s="21"/>
      <c r="BE56" s="245">
        <f>$H$56*月別販売比率!C5</f>
        <v>12.755565200851237</v>
      </c>
      <c r="BF56" s="241"/>
      <c r="BG56" s="245">
        <f>$H$56*月別販売比率!H5</f>
        <v>12.600000000000001</v>
      </c>
      <c r="BH56" s="241">
        <v>30</v>
      </c>
      <c r="BI56" s="81">
        <f>$H$56*月別販売比率!M5</f>
        <v>18.191464042257721</v>
      </c>
      <c r="BJ56" s="21"/>
      <c r="BK56" s="245">
        <f>$H$56*月別販売比率!R5</f>
        <v>14.4</v>
      </c>
      <c r="BL56" s="241">
        <v>25</v>
      </c>
      <c r="BM56" s="245">
        <f>$H$56*月別販売比率!W5</f>
        <v>13.710009659119386</v>
      </c>
      <c r="BN56" s="241">
        <v>20</v>
      </c>
      <c r="BO56" s="81">
        <f>$H$56*月別販売比率!AB5</f>
        <v>21.599999999999998</v>
      </c>
      <c r="BP56" s="21"/>
      <c r="BQ56" s="245">
        <f>$H$56*月別販売比率!AG5</f>
        <v>18</v>
      </c>
      <c r="BR56" s="241">
        <v>60</v>
      </c>
      <c r="BS56" s="245">
        <f>$H$56*月別販売比率!AL5</f>
        <v>16.2</v>
      </c>
      <c r="BT56" s="241">
        <v>30</v>
      </c>
      <c r="BU56" s="245">
        <f>$H$56*月別販売比率!AQ5</f>
        <v>18</v>
      </c>
      <c r="BV56" s="241">
        <v>30</v>
      </c>
      <c r="BW56" s="81">
        <f>$H$56*月別販売比率!AV5</f>
        <v>10.960987589912996</v>
      </c>
      <c r="BX56" s="21"/>
      <c r="BY56" s="81">
        <f>$H$56*月別販売比率!BA5</f>
        <v>10.012161726908511</v>
      </c>
      <c r="BZ56" s="21"/>
      <c r="CA56" s="81">
        <f>$H$56*月別販売比率!BF5</f>
        <v>14.4</v>
      </c>
      <c r="CB56" s="21"/>
      <c r="CC56" s="81">
        <f>H56*月別販売比率!$C$21</f>
        <v>12.755565200851237</v>
      </c>
      <c r="CD56" s="21"/>
      <c r="CE56" s="81">
        <f>H56*月別販売比率!$H$21</f>
        <v>12.600000000000001</v>
      </c>
      <c r="CF56" s="241">
        <v>15</v>
      </c>
      <c r="CG56" s="81">
        <f>H56*月別販売比率!$M$21</f>
        <v>18.191464042257721</v>
      </c>
      <c r="CH56" s="21"/>
      <c r="CI56" s="81">
        <f>H56*月別販売比率!$R$21</f>
        <v>14.4</v>
      </c>
      <c r="CJ56" s="21">
        <v>35</v>
      </c>
      <c r="CK56" s="81">
        <f>H56*月別販売比率!$W$21</f>
        <v>13.710009659119386</v>
      </c>
      <c r="CL56" s="21">
        <v>25</v>
      </c>
      <c r="CM56" s="81">
        <f>H56*月別販売比率!$AB$21</f>
        <v>21.599999999999998</v>
      </c>
      <c r="CN56" s="21"/>
      <c r="CO56" s="81">
        <f>H56*月別販売比率!$AG$21</f>
        <v>18</v>
      </c>
      <c r="CP56" s="21">
        <v>25</v>
      </c>
      <c r="CQ56" s="81">
        <f>H56*月別販売比率!$AL$21</f>
        <v>16.2</v>
      </c>
      <c r="CR56" s="21">
        <v>40</v>
      </c>
      <c r="CS56" s="81">
        <f>H56*月別販売比率!$AQ$21</f>
        <v>18</v>
      </c>
      <c r="CT56" s="21"/>
      <c r="CU56" s="81">
        <f>H56*月別販売比率!$AV$21</f>
        <v>10.960987589912996</v>
      </c>
      <c r="CV56" s="21">
        <v>30</v>
      </c>
      <c r="CW56" s="81">
        <f>H56*月別販売比率!$BA$21</f>
        <v>10.012161726908511</v>
      </c>
      <c r="CX56" s="21"/>
      <c r="CY56" s="81">
        <f>H56*月別販売比率!$BF$21</f>
        <v>14.4</v>
      </c>
      <c r="CZ56" s="21"/>
      <c r="DA56" s="28"/>
      <c r="DB56" s="294"/>
    </row>
    <row r="57" spans="2:106" ht="30.75" customHeight="1">
      <c r="B57" s="25"/>
      <c r="C57" s="438"/>
      <c r="D57" s="441"/>
      <c r="E57" s="94" t="s">
        <v>286</v>
      </c>
      <c r="F57" s="1">
        <v>186</v>
      </c>
      <c r="G57" s="46">
        <f t="shared" si="67"/>
        <v>572880</v>
      </c>
      <c r="H57" s="45">
        <f>F57*($H$49/$F$49)</f>
        <v>185.78143360752057</v>
      </c>
      <c r="I57" s="46">
        <f t="shared" si="68"/>
        <v>572206.81551116332</v>
      </c>
      <c r="J57" s="9">
        <v>0</v>
      </c>
      <c r="K57" s="21">
        <f t="shared" si="69"/>
        <v>30</v>
      </c>
      <c r="L57" s="39">
        <v>11</v>
      </c>
      <c r="M57" s="40">
        <v>15</v>
      </c>
      <c r="N57" s="42">
        <v>4</v>
      </c>
      <c r="O57" s="288"/>
      <c r="P57" s="288"/>
      <c r="Q57" s="330"/>
      <c r="R57" s="124"/>
      <c r="S57" s="129"/>
      <c r="T57" s="345"/>
      <c r="U57" s="331">
        <v>45757</v>
      </c>
      <c r="V57" s="328"/>
      <c r="W57" s="328"/>
      <c r="X57" s="331">
        <v>45848</v>
      </c>
      <c r="Y57" s="331"/>
      <c r="Z57" s="330"/>
      <c r="AA57" s="331"/>
      <c r="AB57" s="331"/>
      <c r="AC57" s="331"/>
      <c r="AD57" s="330"/>
      <c r="AE57" s="328"/>
      <c r="AF57" s="328"/>
      <c r="AG57" s="331"/>
      <c r="AH57" s="331"/>
      <c r="AI57" s="129">
        <f t="shared" si="58"/>
        <v>30.137485311398354</v>
      </c>
      <c r="AJ57" s="129">
        <f t="shared" si="59"/>
        <v>20.987122815597502</v>
      </c>
      <c r="AK57" s="129">
        <f t="shared" si="60"/>
        <v>-1.3066492173049653</v>
      </c>
      <c r="AL57" s="399">
        <f>0-CO57+CP57</f>
        <v>16.421856639247942</v>
      </c>
      <c r="AM57" s="393">
        <f t="shared" si="62"/>
        <v>39.701527614571091</v>
      </c>
      <c r="AN57" s="393">
        <f t="shared" si="63"/>
        <v>21.123384253819033</v>
      </c>
      <c r="AO57" s="393">
        <f t="shared" si="64"/>
        <v>39.810339874884157</v>
      </c>
      <c r="AP57" s="96">
        <f t="shared" si="65"/>
        <v>29.476596768576314</v>
      </c>
      <c r="AQ57" s="91">
        <f t="shared" si="66"/>
        <v>14.614082079974668</v>
      </c>
      <c r="AR57" s="198"/>
      <c r="AS57" s="81">
        <f>$H$57*月別販売比率!AG5</f>
        <v>18.578143360752058</v>
      </c>
      <c r="AT57" s="21"/>
      <c r="AU57" s="245">
        <f>$H$57*月別販売比率!AG5</f>
        <v>18.578143360752058</v>
      </c>
      <c r="AV57" s="241">
        <v>52</v>
      </c>
      <c r="AW57" s="81">
        <f>$H$57*月別販売比率!AQ5</f>
        <v>18.578143360752058</v>
      </c>
      <c r="AX57" s="21"/>
      <c r="AY57" s="245">
        <f>$H$57*月別販売比率!AV5</f>
        <v>11.313044378934878</v>
      </c>
      <c r="AZ57" s="241">
        <v>10</v>
      </c>
      <c r="BA57" s="81">
        <f>$H$57*月別販売比率!BA5</f>
        <v>10.333743106307844</v>
      </c>
      <c r="BB57" s="21"/>
      <c r="BC57" s="81">
        <f>$H$57*月別販売比率!BF5</f>
        <v>14.862514688601646</v>
      </c>
      <c r="BD57" s="21"/>
      <c r="BE57" s="245">
        <f>$H$57*月別販売比率!C5</f>
        <v>13.165262163824131</v>
      </c>
      <c r="BF57" s="241">
        <v>60</v>
      </c>
      <c r="BG57" s="245">
        <f>$H$57*月別販売比率!H5</f>
        <v>13.004700352526442</v>
      </c>
      <c r="BH57" s="241">
        <v>20</v>
      </c>
      <c r="BI57" s="81">
        <f>$H$57*月別販売比率!M5</f>
        <v>18.775757051057223</v>
      </c>
      <c r="BJ57" s="21"/>
      <c r="BK57" s="245">
        <f>$H$57*月別販売比率!R5</f>
        <v>14.862514688601646</v>
      </c>
      <c r="BL57" s="241">
        <v>35</v>
      </c>
      <c r="BM57" s="245">
        <f>$H$57*月別販売比率!W5</f>
        <v>14.150362495800854</v>
      </c>
      <c r="BN57" s="241">
        <v>25</v>
      </c>
      <c r="BO57" s="81">
        <f>$H$57*月別販売比率!AB5</f>
        <v>22.293772032902467</v>
      </c>
      <c r="BP57" s="21"/>
      <c r="BQ57" s="245">
        <f>$H$57*月別販売比率!AG5</f>
        <v>18.578143360752058</v>
      </c>
      <c r="BR57" s="241">
        <v>30</v>
      </c>
      <c r="BS57" s="245">
        <f>$H$57*月別販売比率!AL5</f>
        <v>16.72032902467685</v>
      </c>
      <c r="BT57" s="241">
        <v>50</v>
      </c>
      <c r="BU57" s="245">
        <f>$H$57*月別販売比率!AQ5</f>
        <v>18.578143360752058</v>
      </c>
      <c r="BV57" s="241">
        <v>25</v>
      </c>
      <c r="BW57" s="81">
        <f>$H$57*月別販売比率!AV5</f>
        <v>11.313044378934878</v>
      </c>
      <c r="BX57" s="21"/>
      <c r="BY57" s="81">
        <f>$H$57*月別販売比率!BA5</f>
        <v>10.333743106307844</v>
      </c>
      <c r="BZ57" s="21"/>
      <c r="CA57" s="81">
        <f>$H$57*月別販売比率!BF5</f>
        <v>14.862514688601646</v>
      </c>
      <c r="CB57" s="21"/>
      <c r="CC57" s="81">
        <f>H57*月別販売比率!$C$21</f>
        <v>13.165262163824131</v>
      </c>
      <c r="CD57" s="21"/>
      <c r="CE57" s="81">
        <f>H57*月別販売比率!$H$21</f>
        <v>13.004700352526442</v>
      </c>
      <c r="CF57" s="241">
        <v>45</v>
      </c>
      <c r="CG57" s="81">
        <f>H57*月別販売比率!$M$21</f>
        <v>18.775757051057223</v>
      </c>
      <c r="CH57" s="21"/>
      <c r="CI57" s="81">
        <f>H57*月別販売比率!$R$21</f>
        <v>14.862514688601646</v>
      </c>
      <c r="CJ57" s="21">
        <v>15</v>
      </c>
      <c r="CK57" s="81">
        <f>H57*月別販売比率!$W$21</f>
        <v>14.150362495800854</v>
      </c>
      <c r="CL57" s="21">
        <v>5</v>
      </c>
      <c r="CM57" s="81">
        <f>H57*月別販売比率!$AB$21</f>
        <v>22.293772032902467</v>
      </c>
      <c r="CN57" s="21"/>
      <c r="CO57" s="81">
        <f>H57*月別販売比率!$AG$21</f>
        <v>18.578143360752058</v>
      </c>
      <c r="CP57" s="21">
        <v>35</v>
      </c>
      <c r="CQ57" s="81">
        <f>H57*月別販売比率!$AL$21</f>
        <v>16.72032902467685</v>
      </c>
      <c r="CR57" s="21">
        <v>40</v>
      </c>
      <c r="CS57" s="81">
        <f>H57*月別販売比率!$AQ$21</f>
        <v>18.578143360752058</v>
      </c>
      <c r="CT57" s="21"/>
      <c r="CU57" s="81">
        <f>H57*月別販売比率!$AV$21</f>
        <v>11.313044378934878</v>
      </c>
      <c r="CV57" s="21">
        <v>30</v>
      </c>
      <c r="CW57" s="81">
        <f>H57*月別販売比率!$BA$21</f>
        <v>10.333743106307844</v>
      </c>
      <c r="CX57" s="21"/>
      <c r="CY57" s="81">
        <f>H57*月別販売比率!$BF$21</f>
        <v>14.862514688601646</v>
      </c>
      <c r="CZ57" s="21"/>
      <c r="DA57" s="28"/>
      <c r="DB57" s="294"/>
    </row>
    <row r="58" spans="2:106" ht="30.75" customHeight="1">
      <c r="B58" s="25"/>
      <c r="C58" s="438"/>
      <c r="D58" s="441"/>
      <c r="E58" s="119" t="s">
        <v>285</v>
      </c>
      <c r="F58" s="1">
        <v>78</v>
      </c>
      <c r="G58" s="46">
        <f t="shared" si="67"/>
        <v>240240</v>
      </c>
      <c r="H58" s="45">
        <f>F58*($H$49/$F$49)</f>
        <v>77.908343125734433</v>
      </c>
      <c r="I58" s="46">
        <f t="shared" si="68"/>
        <v>239957.69682726206</v>
      </c>
      <c r="J58" s="102">
        <v>0</v>
      </c>
      <c r="K58" s="21">
        <f t="shared" si="69"/>
        <v>17</v>
      </c>
      <c r="L58" s="39">
        <v>3</v>
      </c>
      <c r="M58" s="40">
        <v>14</v>
      </c>
      <c r="N58" s="42"/>
      <c r="O58" s="288"/>
      <c r="P58" s="288"/>
      <c r="Q58" s="331"/>
      <c r="R58" s="328"/>
      <c r="S58" s="129"/>
      <c r="T58" s="345"/>
      <c r="U58" s="345"/>
      <c r="V58" s="328"/>
      <c r="W58" s="328"/>
      <c r="X58" s="124"/>
      <c r="Y58" s="328"/>
      <c r="Z58" s="124"/>
      <c r="AA58" s="328"/>
      <c r="AB58" s="328"/>
      <c r="AC58" s="328"/>
      <c r="AD58" s="330"/>
      <c r="AE58" s="328"/>
      <c r="AF58" s="328"/>
      <c r="AG58" s="331"/>
      <c r="AH58" s="331"/>
      <c r="AI58" s="129">
        <f t="shared" si="58"/>
        <v>25.767332549941244</v>
      </c>
      <c r="AJ58" s="129">
        <f t="shared" si="59"/>
        <v>19.833309567831208</v>
      </c>
      <c r="AK58" s="129">
        <f t="shared" si="60"/>
        <v>10.484308392743076</v>
      </c>
      <c r="AL58" s="399">
        <f t="shared" si="61"/>
        <v>17.693474080169633</v>
      </c>
      <c r="AM58" s="393">
        <f t="shared" si="62"/>
        <v>20.681723198853533</v>
      </c>
      <c r="AN58" s="393">
        <f t="shared" si="63"/>
        <v>12.890888886280088</v>
      </c>
      <c r="AO58" s="393">
        <f t="shared" si="64"/>
        <v>18.14670898543643</v>
      </c>
      <c r="AP58" s="96">
        <f t="shared" si="65"/>
        <v>13.813203811823463</v>
      </c>
      <c r="AQ58" s="91">
        <f t="shared" si="66"/>
        <v>7.5805363617647084</v>
      </c>
      <c r="AR58" s="198"/>
      <c r="AS58" s="81">
        <f>$H$58*月別販売比率!AG5</f>
        <v>7.7908343125734438</v>
      </c>
      <c r="AT58" s="107"/>
      <c r="AU58" s="245">
        <f>$H$58*月別販売比率!AG5</f>
        <v>7.7908343125734438</v>
      </c>
      <c r="AV58" s="341">
        <v>27</v>
      </c>
      <c r="AW58" s="81">
        <f>$H$58*月別販売比率!AQ5</f>
        <v>7.7908343125734438</v>
      </c>
      <c r="AX58" s="107"/>
      <c r="AY58" s="245">
        <f>$H$58*月別販売比率!AV5</f>
        <v>4.7441799008436591</v>
      </c>
      <c r="AZ58" s="341">
        <v>25</v>
      </c>
      <c r="BA58" s="81">
        <f>$H$58*月別販売比率!BA5</f>
        <v>4.3335051736129673</v>
      </c>
      <c r="BB58" s="107"/>
      <c r="BC58" s="81">
        <f>$H$58*月別販売比率!BF5</f>
        <v>6.2326674500587549</v>
      </c>
      <c r="BD58" s="107"/>
      <c r="BE58" s="245">
        <f>$H$58*月別販売比率!C5</f>
        <v>5.5209163912810872</v>
      </c>
      <c r="BF58" s="341"/>
      <c r="BG58" s="245">
        <f>$H$58*月別販売比率!H5</f>
        <v>5.4535840188014104</v>
      </c>
      <c r="BH58" s="341">
        <v>45</v>
      </c>
      <c r="BI58" s="81">
        <f>$H$58*月別販売比率!M5</f>
        <v>7.8737045697981909</v>
      </c>
      <c r="BJ58" s="107"/>
      <c r="BK58" s="245">
        <f>$H$58*月別販売比率!R5</f>
        <v>6.2326674500587549</v>
      </c>
      <c r="BL58" s="341"/>
      <c r="BM58" s="245">
        <f>$H$58*月別販売比率!W5</f>
        <v>5.9340229821100356</v>
      </c>
      <c r="BN58" s="341">
        <v>15</v>
      </c>
      <c r="BO58" s="81">
        <f>$H$58*月別販売比率!AB5</f>
        <v>9.3490011750881319</v>
      </c>
      <c r="BP58" s="107"/>
      <c r="BQ58" s="245">
        <f>$H$58*月別販売比率!AG5</f>
        <v>7.7908343125734438</v>
      </c>
      <c r="BR58" s="341">
        <v>0</v>
      </c>
      <c r="BS58" s="245">
        <f>$H$58*月別販売比率!AL5</f>
        <v>7.0117508813160985</v>
      </c>
      <c r="BT58" s="341">
        <v>10</v>
      </c>
      <c r="BU58" s="245">
        <f>$H$58*月別販売比率!AQ5</f>
        <v>7.7908343125734438</v>
      </c>
      <c r="BV58" s="341">
        <v>20</v>
      </c>
      <c r="BW58" s="81">
        <f>$H$58*月別販売比率!AV5</f>
        <v>4.7441799008436591</v>
      </c>
      <c r="BX58" s="107"/>
      <c r="BY58" s="81">
        <f>$H$58*月別販売比率!BA5</f>
        <v>4.3335051736129673</v>
      </c>
      <c r="BZ58" s="107"/>
      <c r="CA58" s="81">
        <f>$H$58*月別販売比率!BF5</f>
        <v>6.2326674500587549</v>
      </c>
      <c r="CB58" s="107"/>
      <c r="CC58" s="81">
        <f>H58*月別販売比率!$C$21</f>
        <v>5.5209163912810872</v>
      </c>
      <c r="CD58" s="107"/>
      <c r="CE58" s="81">
        <f>H58*月別販売比率!$H$21</f>
        <v>5.4535840188014104</v>
      </c>
      <c r="CF58" s="341">
        <v>20</v>
      </c>
      <c r="CG58" s="81">
        <f>H58*月別販売比率!$M$21</f>
        <v>7.8737045697981909</v>
      </c>
      <c r="CH58" s="107"/>
      <c r="CI58" s="81">
        <f>H58*月別販売比率!$R$21</f>
        <v>6.2326674500587549</v>
      </c>
      <c r="CJ58" s="107">
        <v>15</v>
      </c>
      <c r="CK58" s="81">
        <f>H58*月別販売比率!$W$21</f>
        <v>5.9340229821100356</v>
      </c>
      <c r="CL58" s="107"/>
      <c r="CM58" s="81">
        <f>H58*月別販売比率!$AB$21</f>
        <v>9.3490011750881319</v>
      </c>
      <c r="CN58" s="107"/>
      <c r="CO58" s="81">
        <f>H58*月別販売比率!$AG$21</f>
        <v>7.7908343125734438</v>
      </c>
      <c r="CP58" s="107">
        <v>15</v>
      </c>
      <c r="CQ58" s="81">
        <f>H58*月別販売比率!$AL$21</f>
        <v>7.0117508813160985</v>
      </c>
      <c r="CR58" s="107">
        <v>10</v>
      </c>
      <c r="CS58" s="81">
        <f>H58*月別販売比率!$AQ$21</f>
        <v>7.7908343125734438</v>
      </c>
      <c r="CT58" s="107"/>
      <c r="CU58" s="81">
        <f>H58*月別販売比率!$AV$21</f>
        <v>4.7441799008436591</v>
      </c>
      <c r="CV58" s="107">
        <v>10</v>
      </c>
      <c r="CW58" s="81">
        <f>H58*月別販売比率!$BA$21</f>
        <v>4.3335051736129673</v>
      </c>
      <c r="CX58" s="107"/>
      <c r="CY58" s="81">
        <f>H58*月別販売比率!$BF$21</f>
        <v>6.2326674500587549</v>
      </c>
      <c r="CZ58" s="107"/>
      <c r="DA58" s="28"/>
      <c r="DB58" s="294"/>
    </row>
    <row r="59" spans="2:106" ht="30.75" customHeight="1">
      <c r="B59" s="25"/>
      <c r="C59" s="438"/>
      <c r="D59" s="442"/>
      <c r="E59" s="119" t="s">
        <v>284</v>
      </c>
      <c r="F59" s="1">
        <v>31</v>
      </c>
      <c r="G59" s="46">
        <f t="shared" si="67"/>
        <v>95480</v>
      </c>
      <c r="H59" s="164">
        <v>150</v>
      </c>
      <c r="I59" s="46">
        <f t="shared" si="68"/>
        <v>462000</v>
      </c>
      <c r="J59" s="102">
        <v>1</v>
      </c>
      <c r="K59" s="21">
        <f t="shared" si="69"/>
        <v>46</v>
      </c>
      <c r="L59" s="39">
        <v>6</v>
      </c>
      <c r="M59" s="40">
        <v>15</v>
      </c>
      <c r="N59" s="42">
        <v>25</v>
      </c>
      <c r="O59" s="288"/>
      <c r="P59" s="288"/>
      <c r="Q59" s="331"/>
      <c r="R59" s="328"/>
      <c r="S59" s="124"/>
      <c r="T59" s="328"/>
      <c r="U59" s="328"/>
      <c r="V59" s="328"/>
      <c r="W59" s="328"/>
      <c r="X59" s="331">
        <v>45848</v>
      </c>
      <c r="Y59" s="331"/>
      <c r="Z59" s="330"/>
      <c r="AA59" s="330"/>
      <c r="AB59" s="330"/>
      <c r="AC59" s="330"/>
      <c r="AD59" s="330"/>
      <c r="AE59" s="330"/>
      <c r="AF59" s="330"/>
      <c r="AG59" s="124"/>
      <c r="AH59" s="124"/>
      <c r="AI59" s="129">
        <f t="shared" si="58"/>
        <v>45</v>
      </c>
      <c r="AJ59" s="129">
        <f t="shared" si="59"/>
        <v>58.574991950733846</v>
      </c>
      <c r="AK59" s="129">
        <f t="shared" si="60"/>
        <v>40.574991950733846</v>
      </c>
      <c r="AL59" s="399">
        <f t="shared" si="61"/>
        <v>45.574991950733846</v>
      </c>
      <c r="AM59" s="393">
        <f t="shared" si="62"/>
        <v>42.074991950733846</v>
      </c>
      <c r="AN59" s="393">
        <f t="shared" si="63"/>
        <v>27.074991950733846</v>
      </c>
      <c r="AO59" s="393">
        <f t="shared" si="64"/>
        <v>37.940835625806351</v>
      </c>
      <c r="AP59" s="96">
        <f t="shared" si="65"/>
        <v>29.597367520049261</v>
      </c>
      <c r="AQ59" s="91">
        <f t="shared" si="66"/>
        <v>17.597367520049261</v>
      </c>
      <c r="AR59" s="198"/>
      <c r="AS59" s="81">
        <f>$H$59*月別販売比率!AG5</f>
        <v>15</v>
      </c>
      <c r="AT59" s="107"/>
      <c r="AU59" s="245">
        <f>$H$59*月別販売比率!AG5</f>
        <v>15</v>
      </c>
      <c r="AV59" s="341">
        <v>3</v>
      </c>
      <c r="AW59" s="81">
        <f>$H$59*月別販売比率!AQ5</f>
        <v>15</v>
      </c>
      <c r="AX59" s="107"/>
      <c r="AY59" s="245">
        <f>$H$59*月別販売比率!AV5</f>
        <v>9.1341563249274973</v>
      </c>
      <c r="AZ59" s="341">
        <v>25</v>
      </c>
      <c r="BA59" s="81">
        <f>$H$59*月別販売比率!BA5</f>
        <v>8.3434681057570916</v>
      </c>
      <c r="BB59" s="107"/>
      <c r="BC59" s="81">
        <f>$H$59*月別販売比率!BF5</f>
        <v>12</v>
      </c>
      <c r="BD59" s="107"/>
      <c r="BE59" s="245">
        <f>$H$59*月別販売比率!C5</f>
        <v>10.629637667376031</v>
      </c>
      <c r="BF59" s="341"/>
      <c r="BG59" s="245">
        <f>$H$59*月別販売比率!H5</f>
        <v>10.500000000000002</v>
      </c>
      <c r="BH59" s="341">
        <v>7</v>
      </c>
      <c r="BI59" s="81">
        <f>$H$59*月別販売比率!M5</f>
        <v>15.159553368548099</v>
      </c>
      <c r="BJ59" s="107"/>
      <c r="BK59" s="245">
        <f>$H$59*月別販売比率!R5</f>
        <v>12</v>
      </c>
      <c r="BL59" s="341">
        <v>5</v>
      </c>
      <c r="BM59" s="245">
        <f>$H$59*月別販売比率!W5</f>
        <v>11.425008049266154</v>
      </c>
      <c r="BN59" s="341">
        <v>10</v>
      </c>
      <c r="BO59" s="81">
        <f>$H$59*月別販売比率!AB5</f>
        <v>18</v>
      </c>
      <c r="BP59" s="107"/>
      <c r="BQ59" s="245">
        <f>$H$59*月別販売比率!AG5</f>
        <v>15</v>
      </c>
      <c r="BR59" s="341">
        <v>20</v>
      </c>
      <c r="BS59" s="245">
        <f>$H$59*月別販売比率!AL5</f>
        <v>13.5</v>
      </c>
      <c r="BT59" s="341">
        <v>10</v>
      </c>
      <c r="BU59" s="245">
        <f>$H$59*月別販売比率!AQ5</f>
        <v>15</v>
      </c>
      <c r="BV59" s="341">
        <v>10</v>
      </c>
      <c r="BW59" s="81">
        <f>$H$59*月別販売比率!AV5</f>
        <v>9.1341563249274973</v>
      </c>
      <c r="BX59" s="107"/>
      <c r="BY59" s="81">
        <f>$H$59*月別販売比率!BA5</f>
        <v>8.3434681057570916</v>
      </c>
      <c r="BZ59" s="107"/>
      <c r="CA59" s="81">
        <f>$H$59*月別販売比率!BF5</f>
        <v>12</v>
      </c>
      <c r="CB59" s="107"/>
      <c r="CC59" s="81">
        <f>H59*月別販売比率!$C$21</f>
        <v>10.629637667376031</v>
      </c>
      <c r="CD59" s="107"/>
      <c r="CE59" s="81">
        <f>H59*月別販売比率!$H$21</f>
        <v>10.500000000000002</v>
      </c>
      <c r="CF59" s="341">
        <v>40</v>
      </c>
      <c r="CG59" s="81">
        <f>H59*月別販売比率!$M$21</f>
        <v>15.159553368548099</v>
      </c>
      <c r="CH59" s="107"/>
      <c r="CI59" s="81">
        <f>H59*月別販売比率!$R$21</f>
        <v>12</v>
      </c>
      <c r="CJ59" s="107">
        <v>10</v>
      </c>
      <c r="CK59" s="81">
        <f>H59*月別販売比率!$W$21</f>
        <v>11.425008049266154</v>
      </c>
      <c r="CL59" s="107">
        <v>25</v>
      </c>
      <c r="CM59" s="81">
        <f>H59*月別販売比率!$AB$21</f>
        <v>18</v>
      </c>
      <c r="CN59" s="107"/>
      <c r="CO59" s="81">
        <f>H59*月別販売比率!$AG$21</f>
        <v>15</v>
      </c>
      <c r="CP59" s="107">
        <v>20</v>
      </c>
      <c r="CQ59" s="81">
        <f>H59*月別販売比率!$AL$21</f>
        <v>13.5</v>
      </c>
      <c r="CR59" s="107">
        <v>10</v>
      </c>
      <c r="CS59" s="81">
        <f>H59*月別販売比率!$AQ$21</f>
        <v>15</v>
      </c>
      <c r="CT59" s="107"/>
      <c r="CU59" s="81">
        <f>H59*月別販売比率!$AV$21</f>
        <v>9.1341563249274973</v>
      </c>
      <c r="CV59" s="107">
        <v>20</v>
      </c>
      <c r="CW59" s="81">
        <f>H59*月別販売比率!$BA$21</f>
        <v>8.3434681057570916</v>
      </c>
      <c r="CX59" s="107"/>
      <c r="CY59" s="81">
        <f>H59*月別販売比率!$BF$21</f>
        <v>12</v>
      </c>
      <c r="CZ59" s="107"/>
      <c r="DA59" s="28"/>
      <c r="DB59" s="294"/>
    </row>
    <row r="60" spans="2:106" ht="30.75" customHeight="1">
      <c r="C60" s="438"/>
      <c r="D60" s="448">
        <v>3</v>
      </c>
      <c r="E60" s="99" t="s">
        <v>275</v>
      </c>
      <c r="F60" s="1">
        <v>222</v>
      </c>
      <c r="G60" s="46">
        <f t="shared" si="67"/>
        <v>683760</v>
      </c>
      <c r="H60" s="164">
        <v>290</v>
      </c>
      <c r="I60" s="46">
        <f t="shared" si="68"/>
        <v>893200</v>
      </c>
      <c r="J60" s="49">
        <v>0</v>
      </c>
      <c r="K60" s="21">
        <f t="shared" si="69"/>
        <v>38</v>
      </c>
      <c r="L60" s="39">
        <v>3</v>
      </c>
      <c r="M60" s="40">
        <v>16</v>
      </c>
      <c r="N60" s="42">
        <v>19</v>
      </c>
      <c r="O60" s="288"/>
      <c r="P60" s="288"/>
      <c r="Q60" s="331">
        <v>45643</v>
      </c>
      <c r="R60" s="328"/>
      <c r="S60" s="285"/>
      <c r="T60" s="328"/>
      <c r="U60" s="331">
        <v>45757</v>
      </c>
      <c r="V60" s="328"/>
      <c r="W60" s="328"/>
      <c r="X60" s="331">
        <v>45848</v>
      </c>
      <c r="Y60" s="331"/>
      <c r="Z60" s="330"/>
      <c r="AA60" s="331">
        <v>45940</v>
      </c>
      <c r="AB60" s="124"/>
      <c r="AC60" s="328"/>
      <c r="AD60" s="330"/>
      <c r="AE60" s="330"/>
      <c r="AF60" s="328"/>
      <c r="AG60" s="331"/>
      <c r="AH60" s="331"/>
      <c r="AI60" s="129">
        <f t="shared" si="58"/>
        <v>24.8</v>
      </c>
      <c r="AJ60" s="129">
        <f t="shared" si="59"/>
        <v>37.7116511047521</v>
      </c>
      <c r="AK60" s="129">
        <f t="shared" si="60"/>
        <v>2.911651104752103</v>
      </c>
      <c r="AL60" s="399">
        <f t="shared" si="61"/>
        <v>8.911651104752103</v>
      </c>
      <c r="AM60" s="393">
        <f t="shared" si="62"/>
        <v>42.811651104752102</v>
      </c>
      <c r="AN60" s="393">
        <f t="shared" si="63"/>
        <v>13.811651104752102</v>
      </c>
      <c r="AO60" s="393">
        <f t="shared" si="64"/>
        <v>56.152282209892277</v>
      </c>
      <c r="AP60" s="96">
        <f t="shared" si="65"/>
        <v>40.021577205428564</v>
      </c>
      <c r="AQ60" s="91">
        <f t="shared" si="66"/>
        <v>16.821577205428564</v>
      </c>
      <c r="AR60" s="198"/>
      <c r="AS60" s="81">
        <f>$H$60*月別販売比率!AG5</f>
        <v>29</v>
      </c>
      <c r="AT60" s="39"/>
      <c r="AU60" s="245">
        <f>$H$60*月別販売比率!AG5</f>
        <v>29</v>
      </c>
      <c r="AV60" s="280">
        <v>42</v>
      </c>
      <c r="AW60" s="81">
        <f>$H$60*月別販売比率!AQ5</f>
        <v>29</v>
      </c>
      <c r="AX60" s="39"/>
      <c r="AY60" s="245">
        <f>$H$60*月別販売比率!AV5</f>
        <v>17.659368894859828</v>
      </c>
      <c r="AZ60" s="280">
        <v>30</v>
      </c>
      <c r="BA60" s="81">
        <f>$H$60*月別販売比率!BA5</f>
        <v>16.130705004463714</v>
      </c>
      <c r="BB60" s="39"/>
      <c r="BC60" s="81">
        <f>$H$60*月別販売比率!BF5</f>
        <v>23.2</v>
      </c>
      <c r="BD60" s="39"/>
      <c r="BE60" s="245">
        <f>$H$60*月別販売比率!C5</f>
        <v>20.550632823593659</v>
      </c>
      <c r="BF60" s="280">
        <v>40</v>
      </c>
      <c r="BG60" s="245">
        <f>$H$60*月別販売比率!H5</f>
        <v>20.3</v>
      </c>
      <c r="BH60" s="280">
        <v>65</v>
      </c>
      <c r="BI60" s="81">
        <f>$H$60*月別販売比率!M5</f>
        <v>29.308469845859662</v>
      </c>
      <c r="BJ60" s="39"/>
      <c r="BK60" s="245">
        <f>$H$60*月別販売比率!R5</f>
        <v>23.2</v>
      </c>
      <c r="BL60" s="280">
        <v>30</v>
      </c>
      <c r="BM60" s="245">
        <f>$H$60*月別販売比率!W5</f>
        <v>22.088348895247901</v>
      </c>
      <c r="BN60" s="280">
        <v>40</v>
      </c>
      <c r="BO60" s="81">
        <f>$H$60*月別販売比率!AB5</f>
        <v>34.799999999999997</v>
      </c>
      <c r="BP60" s="39"/>
      <c r="BQ60" s="245">
        <f>$H$60*月別販売比率!AG5</f>
        <v>29</v>
      </c>
      <c r="BR60" s="280">
        <v>50</v>
      </c>
      <c r="BS60" s="245">
        <f>$H$60*月別販売比率!AL5</f>
        <v>26.099999999999998</v>
      </c>
      <c r="BT60" s="280">
        <v>30</v>
      </c>
      <c r="BU60" s="245">
        <f>$H$60*月別販売比率!AQ5</f>
        <v>29</v>
      </c>
      <c r="BV60" s="280">
        <v>25</v>
      </c>
      <c r="BW60" s="81">
        <f>$H$60*月別販売比率!AV5</f>
        <v>17.659368894859828</v>
      </c>
      <c r="BX60" s="39"/>
      <c r="BY60" s="81">
        <f>$H$60*月別販売比率!BA5</f>
        <v>16.130705004463714</v>
      </c>
      <c r="BZ60" s="39"/>
      <c r="CA60" s="81">
        <f>$H$60*月別販売比率!BF5</f>
        <v>23.2</v>
      </c>
      <c r="CB60" s="39"/>
      <c r="CC60" s="81">
        <f>H60*月別販売比率!$C$21</f>
        <v>20.550632823593659</v>
      </c>
      <c r="CD60" s="39"/>
      <c r="CE60" s="81">
        <f>H60*月別販売比率!$H$21</f>
        <v>20.3</v>
      </c>
      <c r="CF60" s="280">
        <v>75</v>
      </c>
      <c r="CG60" s="81">
        <f>H60*月別販売比率!$M$21</f>
        <v>29.308469845859662</v>
      </c>
      <c r="CH60" s="39"/>
      <c r="CI60" s="81">
        <f>H60*月別販売比率!$R$21</f>
        <v>23.2</v>
      </c>
      <c r="CJ60" s="39">
        <v>10</v>
      </c>
      <c r="CK60" s="81">
        <f>H60*月別販売比率!$W$21</f>
        <v>22.088348895247901</v>
      </c>
      <c r="CL60" s="39">
        <v>35</v>
      </c>
      <c r="CM60" s="81">
        <f>H60*月別販売比率!$AB$21</f>
        <v>34.799999999999997</v>
      </c>
      <c r="CN60" s="39"/>
      <c r="CO60" s="81">
        <f>H60*月別販売比率!$AG$21</f>
        <v>29</v>
      </c>
      <c r="CP60" s="39">
        <v>35</v>
      </c>
      <c r="CQ60" s="81">
        <f>H60*月別販売比率!$AL$21</f>
        <v>26.099999999999998</v>
      </c>
      <c r="CR60" s="39">
        <v>60</v>
      </c>
      <c r="CS60" s="81">
        <f>H60*月別販売比率!$AQ$21</f>
        <v>29</v>
      </c>
      <c r="CT60" s="39"/>
      <c r="CU60" s="81">
        <f>H60*月別販売比率!$AV$21</f>
        <v>17.659368894859828</v>
      </c>
      <c r="CV60" s="39">
        <v>60</v>
      </c>
      <c r="CW60" s="81">
        <f>H60*月別販売比率!$BA$21</f>
        <v>16.130705004463714</v>
      </c>
      <c r="CX60" s="39"/>
      <c r="CY60" s="81">
        <f>H60*月別販売比率!$BF$21</f>
        <v>23.2</v>
      </c>
      <c r="CZ60" s="39"/>
      <c r="DA60" s="28"/>
      <c r="DB60" s="294"/>
    </row>
    <row r="61" spans="2:106" ht="30.75" customHeight="1">
      <c r="C61" s="438"/>
      <c r="D61" s="449"/>
      <c r="E61" s="94" t="s">
        <v>287</v>
      </c>
      <c r="F61" s="1">
        <v>119</v>
      </c>
      <c r="G61" s="46">
        <f t="shared" si="67"/>
        <v>366520</v>
      </c>
      <c r="H61" s="164">
        <v>290</v>
      </c>
      <c r="I61" s="46">
        <f t="shared" si="68"/>
        <v>893200</v>
      </c>
      <c r="J61" s="9">
        <v>0</v>
      </c>
      <c r="K61" s="21">
        <f t="shared" si="69"/>
        <v>18</v>
      </c>
      <c r="L61" s="39">
        <v>4</v>
      </c>
      <c r="M61" s="40">
        <v>14</v>
      </c>
      <c r="N61" s="42"/>
      <c r="O61" s="288"/>
      <c r="P61" s="288"/>
      <c r="Q61" s="331"/>
      <c r="R61" s="328"/>
      <c r="S61" s="328"/>
      <c r="T61" s="328"/>
      <c r="U61" s="331">
        <v>45757</v>
      </c>
      <c r="V61" s="328"/>
      <c r="W61" s="328"/>
      <c r="X61" s="331">
        <v>45848</v>
      </c>
      <c r="Y61" s="331"/>
      <c r="Z61" s="330"/>
      <c r="AA61" s="331">
        <v>45940</v>
      </c>
      <c r="AB61" s="124"/>
      <c r="AC61" s="124"/>
      <c r="AD61" s="124"/>
      <c r="AE61" s="328"/>
      <c r="AF61" s="328"/>
      <c r="AG61" s="331"/>
      <c r="AH61" s="331"/>
      <c r="AI61" s="129">
        <f t="shared" si="58"/>
        <v>24.8</v>
      </c>
      <c r="AJ61" s="129">
        <f t="shared" si="59"/>
        <v>47.7116511047521</v>
      </c>
      <c r="AK61" s="129">
        <f t="shared" si="60"/>
        <v>12.911651104752103</v>
      </c>
      <c r="AL61" s="399">
        <f t="shared" si="61"/>
        <v>28.911651104752103</v>
      </c>
      <c r="AM61" s="393">
        <f t="shared" si="62"/>
        <v>42.811651104752102</v>
      </c>
      <c r="AN61" s="393">
        <f t="shared" si="63"/>
        <v>13.811651104752102</v>
      </c>
      <c r="AO61" s="393">
        <f t="shared" si="64"/>
        <v>56.152282209892277</v>
      </c>
      <c r="AP61" s="96">
        <f t="shared" si="65"/>
        <v>40.021577205428564</v>
      </c>
      <c r="AQ61" s="91">
        <f t="shared" si="66"/>
        <v>16.821577205428564</v>
      </c>
      <c r="AR61" s="198"/>
      <c r="AS61" s="81">
        <f>$H$61*月別販売比率!AG5</f>
        <v>29</v>
      </c>
      <c r="AT61" s="21"/>
      <c r="AU61" s="245">
        <f>$H$61*月別販売比率!AG5</f>
        <v>29</v>
      </c>
      <c r="AV61" s="241">
        <v>22</v>
      </c>
      <c r="AW61" s="81">
        <f>$H$61*月別販売比率!AQ5</f>
        <v>29</v>
      </c>
      <c r="AX61" s="21"/>
      <c r="AY61" s="245">
        <f>$H$61*月別販売比率!AV5</f>
        <v>17.659368894859828</v>
      </c>
      <c r="AZ61" s="241">
        <v>35</v>
      </c>
      <c r="BA61" s="81">
        <f>$H$61*月別販売比率!BA5</f>
        <v>16.130705004463714</v>
      </c>
      <c r="BB61" s="21"/>
      <c r="BC61" s="81">
        <f>$H$61*月別販売比率!BF5</f>
        <v>23.2</v>
      </c>
      <c r="BD61" s="21"/>
      <c r="BE61" s="245">
        <f>$H$61*月別販売比率!C5</f>
        <v>20.550632823593659</v>
      </c>
      <c r="BF61" s="241">
        <v>15</v>
      </c>
      <c r="BG61" s="245">
        <f>$H$61*月別販売比率!H5</f>
        <v>20.3</v>
      </c>
      <c r="BH61" s="241">
        <v>15</v>
      </c>
      <c r="BI61" s="81">
        <f>$H$61*月別販売比率!M5</f>
        <v>29.308469845859662</v>
      </c>
      <c r="BJ61" s="21"/>
      <c r="BK61" s="245">
        <f>$H$61*月別販売比率!R5</f>
        <v>23.2</v>
      </c>
      <c r="BL61" s="241">
        <v>45</v>
      </c>
      <c r="BM61" s="245">
        <f>$H$61*月別販売比率!W5</f>
        <v>22.088348895247901</v>
      </c>
      <c r="BN61" s="241">
        <v>20</v>
      </c>
      <c r="BO61" s="81">
        <f>$H$61*月別販売比率!AB5</f>
        <v>34.799999999999997</v>
      </c>
      <c r="BP61" s="21"/>
      <c r="BQ61" s="245">
        <f>$H$61*月別販売比率!AG5</f>
        <v>29</v>
      </c>
      <c r="BR61" s="241">
        <v>40</v>
      </c>
      <c r="BS61" s="245">
        <f>$H$61*月別販売比率!AL5</f>
        <v>26.099999999999998</v>
      </c>
      <c r="BT61" s="241">
        <v>20</v>
      </c>
      <c r="BU61" s="245">
        <f>$H$61*月別販売比率!AQ5</f>
        <v>29</v>
      </c>
      <c r="BV61" s="241">
        <v>20</v>
      </c>
      <c r="BW61" s="81">
        <f>$H$61*月別販売比率!AV5</f>
        <v>17.659368894859828</v>
      </c>
      <c r="BX61" s="21"/>
      <c r="BY61" s="81">
        <f>$H$61*月別販売比率!BA5</f>
        <v>16.130705004463714</v>
      </c>
      <c r="BZ61" s="21"/>
      <c r="CA61" s="81">
        <f>$H$61*月別販売比率!BF5</f>
        <v>23.2</v>
      </c>
      <c r="CB61" s="21"/>
      <c r="CC61" s="81">
        <f>H61*月別販売比率!$C$21</f>
        <v>20.550632823593659</v>
      </c>
      <c r="CD61" s="21"/>
      <c r="CE61" s="81">
        <f>H61*月別販売比率!$H$21</f>
        <v>20.3</v>
      </c>
      <c r="CF61" s="241">
        <v>55</v>
      </c>
      <c r="CG61" s="81">
        <f>H61*月別販売比率!$M$21</f>
        <v>29.308469845859662</v>
      </c>
      <c r="CH61" s="21"/>
      <c r="CI61" s="81">
        <f>H61*月別販売比率!$R$21</f>
        <v>23.2</v>
      </c>
      <c r="CJ61" s="21">
        <v>30</v>
      </c>
      <c r="CK61" s="81">
        <f>H61*月別販売比率!$W$21</f>
        <v>22.088348895247901</v>
      </c>
      <c r="CL61" s="21">
        <v>45</v>
      </c>
      <c r="CM61" s="81">
        <f>H61*月別販売比率!$AB$21</f>
        <v>34.799999999999997</v>
      </c>
      <c r="CN61" s="21"/>
      <c r="CO61" s="81">
        <f>H61*月別販売比率!$AG$21</f>
        <v>29</v>
      </c>
      <c r="CP61" s="21">
        <v>45</v>
      </c>
      <c r="CQ61" s="81">
        <f>H61*月別販売比率!$AL$21</f>
        <v>26.099999999999998</v>
      </c>
      <c r="CR61" s="21">
        <v>40</v>
      </c>
      <c r="CS61" s="81">
        <f>H61*月別販売比率!$AQ$21</f>
        <v>29</v>
      </c>
      <c r="CT61" s="21"/>
      <c r="CU61" s="81">
        <f>H61*月別販売比率!$AV$21</f>
        <v>17.659368894859828</v>
      </c>
      <c r="CV61" s="21">
        <v>60</v>
      </c>
      <c r="CW61" s="81">
        <f>H61*月別販売比率!$BA$21</f>
        <v>16.130705004463714</v>
      </c>
      <c r="CX61" s="21"/>
      <c r="CY61" s="81">
        <f>H61*月別販売比率!$BF$21</f>
        <v>23.2</v>
      </c>
      <c r="CZ61" s="21"/>
      <c r="DA61" s="28"/>
      <c r="DB61" s="294"/>
    </row>
    <row r="62" spans="2:106" ht="30.75" customHeight="1">
      <c r="C62" s="438"/>
      <c r="D62" s="449"/>
      <c r="E62" s="94" t="s">
        <v>286</v>
      </c>
      <c r="F62" s="1">
        <v>176</v>
      </c>
      <c r="G62" s="46">
        <f t="shared" si="67"/>
        <v>542080</v>
      </c>
      <c r="H62" s="164">
        <v>230</v>
      </c>
      <c r="I62" s="46">
        <f t="shared" si="68"/>
        <v>708400</v>
      </c>
      <c r="J62" s="9">
        <v>-5</v>
      </c>
      <c r="K62" s="21">
        <f t="shared" si="69"/>
        <v>31</v>
      </c>
      <c r="L62" s="39">
        <v>10</v>
      </c>
      <c r="M62" s="40">
        <v>15</v>
      </c>
      <c r="N62" s="42">
        <v>6</v>
      </c>
      <c r="O62" s="288"/>
      <c r="P62" s="288"/>
      <c r="Q62" s="330"/>
      <c r="R62" s="328"/>
      <c r="S62" s="285"/>
      <c r="T62" s="328"/>
      <c r="U62" s="328"/>
      <c r="V62" s="328"/>
      <c r="W62" s="328"/>
      <c r="X62" s="331">
        <v>45848</v>
      </c>
      <c r="Y62" s="331"/>
      <c r="Z62" s="330"/>
      <c r="AA62" s="331">
        <v>45940</v>
      </c>
      <c r="AB62" s="124"/>
      <c r="AC62" s="124"/>
      <c r="AD62" s="124"/>
      <c r="AE62" s="328"/>
      <c r="AF62" s="328"/>
      <c r="AG62" s="331"/>
      <c r="AH62" s="331"/>
      <c r="AI62" s="129">
        <f t="shared" si="58"/>
        <v>17.599999999999998</v>
      </c>
      <c r="AJ62" s="129">
        <f t="shared" si="59"/>
        <v>10.081654324458562</v>
      </c>
      <c r="AK62" s="129">
        <f t="shared" si="60"/>
        <v>-17.518345675541436</v>
      </c>
      <c r="AL62" s="399">
        <f t="shared" si="61"/>
        <v>-10.51834567554144</v>
      </c>
      <c r="AM62" s="393">
        <f>0-CQ62+CR62</f>
        <v>19.3</v>
      </c>
      <c r="AN62" s="393">
        <f t="shared" si="63"/>
        <v>-3.6999999999999993</v>
      </c>
      <c r="AO62" s="393">
        <f>0-CU62+CV62</f>
        <v>35.99429363511117</v>
      </c>
      <c r="AP62" s="96">
        <f t="shared" si="65"/>
        <v>23.200975872950295</v>
      </c>
      <c r="AQ62" s="91">
        <f t="shared" si="66"/>
        <v>4.8009758729502927</v>
      </c>
      <c r="AR62" s="198"/>
      <c r="AS62" s="81">
        <f>$H$62*月別販売比率!AG5</f>
        <v>23</v>
      </c>
      <c r="AT62" s="21"/>
      <c r="AU62" s="245">
        <f>$H$62*月別販売比率!AG5</f>
        <v>23</v>
      </c>
      <c r="AV62" s="241">
        <v>52</v>
      </c>
      <c r="AW62" s="81">
        <f>$H$62*月別販売比率!AQ5</f>
        <v>23</v>
      </c>
      <c r="AX62" s="21"/>
      <c r="AY62" s="245">
        <f>$H$62*月別販売比率!AV5</f>
        <v>14.005706364888828</v>
      </c>
      <c r="AZ62" s="241">
        <v>30</v>
      </c>
      <c r="BA62" s="81">
        <f>$H$62*月別販売比率!BA5</f>
        <v>12.793317762160875</v>
      </c>
      <c r="BB62" s="21"/>
      <c r="BC62" s="81">
        <f>$H$62*月別販売比率!BF5</f>
        <v>18.400000000000002</v>
      </c>
      <c r="BD62" s="21"/>
      <c r="BE62" s="245">
        <f>$H$62*月別販売比率!C5</f>
        <v>16.298777756643247</v>
      </c>
      <c r="BF62" s="241">
        <v>10</v>
      </c>
      <c r="BG62" s="245">
        <f>$H$62*月別販売比率!H5</f>
        <v>16.100000000000001</v>
      </c>
      <c r="BH62" s="241">
        <v>30</v>
      </c>
      <c r="BI62" s="81">
        <f>$H$62*月別販売比率!M5</f>
        <v>23.244648498440419</v>
      </c>
      <c r="BJ62" s="21"/>
      <c r="BK62" s="245">
        <f>$H$62*月別販売比率!R5</f>
        <v>18.400000000000002</v>
      </c>
      <c r="BL62" s="241">
        <v>30</v>
      </c>
      <c r="BM62" s="245">
        <f>$H$62*月別販売比率!W5</f>
        <v>17.518345675541436</v>
      </c>
      <c r="BN62" s="241">
        <v>30</v>
      </c>
      <c r="BO62" s="81">
        <f>$H$62*月別販売比率!AB5</f>
        <v>27.599999999999998</v>
      </c>
      <c r="BP62" s="21"/>
      <c r="BQ62" s="245">
        <f>$H$62*月別販売比率!AG5</f>
        <v>23</v>
      </c>
      <c r="BR62" s="241">
        <v>20</v>
      </c>
      <c r="BS62" s="245">
        <f>$H$62*月別販売比率!AL5</f>
        <v>20.7</v>
      </c>
      <c r="BT62" s="241">
        <v>45</v>
      </c>
      <c r="BU62" s="245">
        <f>$H$62*月別販売比率!AQ5</f>
        <v>23</v>
      </c>
      <c r="BV62" s="241">
        <v>15</v>
      </c>
      <c r="BW62" s="81">
        <f>$H$62*月別販売比率!AV5</f>
        <v>14.005706364888828</v>
      </c>
      <c r="BX62" s="21"/>
      <c r="BY62" s="81">
        <f>$H$62*月別販売比率!BA5</f>
        <v>12.793317762160875</v>
      </c>
      <c r="BZ62" s="21"/>
      <c r="CA62" s="81">
        <f>$H$62*月別販売比率!BF5</f>
        <v>18.400000000000002</v>
      </c>
      <c r="CB62" s="21"/>
      <c r="CC62" s="81">
        <f>H62*月別販売比率!$C$21</f>
        <v>16.298777756643247</v>
      </c>
      <c r="CD62" s="21"/>
      <c r="CE62" s="81">
        <f>H62*月別販売比率!$H$21</f>
        <v>16.100000000000001</v>
      </c>
      <c r="CF62" s="241">
        <v>65</v>
      </c>
      <c r="CG62" s="81">
        <f>H62*月別販売比率!$M$21</f>
        <v>23.244648498440419</v>
      </c>
      <c r="CH62" s="21"/>
      <c r="CI62" s="81">
        <f>H62*月別販売比率!$R$21</f>
        <v>18.400000000000002</v>
      </c>
      <c r="CJ62" s="21">
        <v>10</v>
      </c>
      <c r="CK62" s="81">
        <f>H62*月別販売比率!$W$21</f>
        <v>17.518345675541436</v>
      </c>
      <c r="CL62" s="21">
        <v>10</v>
      </c>
      <c r="CM62" s="81">
        <f>H62*月別販売比率!$AB$21</f>
        <v>27.599999999999998</v>
      </c>
      <c r="CN62" s="21"/>
      <c r="CO62" s="81">
        <f>H62*月別販売比率!$AG$21</f>
        <v>23</v>
      </c>
      <c r="CP62" s="21">
        <v>30</v>
      </c>
      <c r="CQ62" s="81">
        <f>H62*月別販売比率!$AL$21</f>
        <v>20.7</v>
      </c>
      <c r="CR62" s="21">
        <v>40</v>
      </c>
      <c r="CS62" s="81">
        <f>H62*月別販売比率!$AQ$21</f>
        <v>23</v>
      </c>
      <c r="CT62" s="21"/>
      <c r="CU62" s="81">
        <f>H62*月別販売比率!$AV$21</f>
        <v>14.005706364888828</v>
      </c>
      <c r="CV62" s="21">
        <v>50</v>
      </c>
      <c r="CW62" s="81">
        <f>H62*月別販売比率!$BA$21</f>
        <v>12.793317762160875</v>
      </c>
      <c r="CX62" s="21"/>
      <c r="CY62" s="81">
        <f>H62*月別販売比率!$BF$21</f>
        <v>18.400000000000002</v>
      </c>
      <c r="CZ62" s="21"/>
      <c r="DA62" s="28"/>
      <c r="DB62" s="294"/>
    </row>
    <row r="63" spans="2:106" ht="30.75" customHeight="1">
      <c r="C63" s="438"/>
      <c r="D63" s="449"/>
      <c r="E63" s="119" t="s">
        <v>285</v>
      </c>
      <c r="F63" s="1">
        <v>145</v>
      </c>
      <c r="G63" s="46">
        <f t="shared" si="67"/>
        <v>446600</v>
      </c>
      <c r="H63" s="164">
        <v>190</v>
      </c>
      <c r="I63" s="46">
        <f t="shared" si="68"/>
        <v>585200</v>
      </c>
      <c r="J63" s="102">
        <v>0</v>
      </c>
      <c r="K63" s="79">
        <f t="shared" si="69"/>
        <v>17</v>
      </c>
      <c r="L63" s="39">
        <v>3</v>
      </c>
      <c r="M63" s="80">
        <v>14</v>
      </c>
      <c r="N63" s="44"/>
      <c r="O63" s="292"/>
      <c r="P63" s="292"/>
      <c r="Q63" s="337"/>
      <c r="R63" s="344"/>
      <c r="S63" s="286"/>
      <c r="T63" s="344"/>
      <c r="U63" s="344"/>
      <c r="V63" s="328"/>
      <c r="W63" s="328"/>
      <c r="X63" s="328"/>
      <c r="Y63" s="328"/>
      <c r="Z63" s="124"/>
      <c r="AA63" s="331">
        <v>45940</v>
      </c>
      <c r="AB63" s="124"/>
      <c r="AC63" s="328"/>
      <c r="AD63" s="330"/>
      <c r="AE63" s="328"/>
      <c r="AF63" s="328"/>
      <c r="AG63" s="331"/>
      <c r="AH63" s="331"/>
      <c r="AI63" s="198">
        <f t="shared" si="58"/>
        <v>21.799999999999997</v>
      </c>
      <c r="AJ63" s="198">
        <f t="shared" si="59"/>
        <v>17.3283231375962</v>
      </c>
      <c r="AK63" s="198">
        <f t="shared" si="60"/>
        <v>-5.4716768624038004</v>
      </c>
      <c r="AL63" s="402">
        <f>0-CO63+CP63</f>
        <v>16</v>
      </c>
      <c r="AM63" s="396">
        <f t="shared" si="62"/>
        <v>33.900000000000006</v>
      </c>
      <c r="AN63" s="396">
        <f t="shared" si="63"/>
        <v>14.900000000000006</v>
      </c>
      <c r="AO63" s="396">
        <f t="shared" si="64"/>
        <v>33.330068655091843</v>
      </c>
      <c r="AP63" s="199">
        <f t="shared" si="65"/>
        <v>22.76167572113286</v>
      </c>
      <c r="AQ63" s="194">
        <f t="shared" si="66"/>
        <v>7.5616757211328594</v>
      </c>
      <c r="AR63" s="198"/>
      <c r="AS63" s="81">
        <f>$H$63*月別販売比率!AG5</f>
        <v>19</v>
      </c>
      <c r="AT63" s="79"/>
      <c r="AU63" s="245">
        <f>$H$63*月別販売比率!AG5</f>
        <v>19</v>
      </c>
      <c r="AV63" s="342">
        <v>47</v>
      </c>
      <c r="AW63" s="81">
        <f>$H$63*月別販売比率!AQ5</f>
        <v>19</v>
      </c>
      <c r="AX63" s="79"/>
      <c r="AY63" s="245">
        <f>$H$63*月別販売比率!AV5</f>
        <v>11.569931344908163</v>
      </c>
      <c r="AZ63" s="342">
        <v>25</v>
      </c>
      <c r="BA63" s="81">
        <f>$H$63*月別販売比率!BA5</f>
        <v>10.568392933958984</v>
      </c>
      <c r="BB63" s="79"/>
      <c r="BC63" s="81">
        <f>$H$63*月別販売比率!BF5</f>
        <v>15.200000000000001</v>
      </c>
      <c r="BD63" s="79"/>
      <c r="BE63" s="245">
        <f>$H$63*月別販売比率!C5</f>
        <v>13.464207712009639</v>
      </c>
      <c r="BF63" s="342">
        <v>5</v>
      </c>
      <c r="BG63" s="245">
        <f>$H$63*月別販売比率!H5</f>
        <v>13.3</v>
      </c>
      <c r="BH63" s="341">
        <v>27</v>
      </c>
      <c r="BI63" s="81">
        <f>$H$63*月別販売比率!M5</f>
        <v>19.202100933494261</v>
      </c>
      <c r="BJ63" s="107"/>
      <c r="BK63" s="245">
        <f>$H$63*月別販売比率!R5</f>
        <v>15.200000000000001</v>
      </c>
      <c r="BL63" s="341">
        <v>50</v>
      </c>
      <c r="BM63" s="245">
        <f>$H$63*月別販売比率!W5</f>
        <v>14.471676862403797</v>
      </c>
      <c r="BN63" s="341">
        <v>25</v>
      </c>
      <c r="BO63" s="81">
        <f>$H$63*月別販売比率!AB5</f>
        <v>22.8</v>
      </c>
      <c r="BP63" s="107"/>
      <c r="BQ63" s="245">
        <f>$H$63*月別販売比率!AG5</f>
        <v>19</v>
      </c>
      <c r="BR63" s="341">
        <v>20</v>
      </c>
      <c r="BS63" s="245">
        <f>$H$63*月別販売比率!AL5</f>
        <v>17.099999999999998</v>
      </c>
      <c r="BT63" s="341">
        <v>40</v>
      </c>
      <c r="BU63" s="245">
        <f>$H$63*月別販売比率!AQ5</f>
        <v>19</v>
      </c>
      <c r="BV63" s="341">
        <v>10</v>
      </c>
      <c r="BW63" s="81">
        <f>$H$63*月別販売比率!AV5</f>
        <v>11.569931344908163</v>
      </c>
      <c r="BX63" s="107"/>
      <c r="BY63" s="81">
        <f>$H$63*月別販売比率!BA5</f>
        <v>10.568392933958984</v>
      </c>
      <c r="BZ63" s="107"/>
      <c r="CA63" s="81">
        <f>$H$63*月別販売比率!BF5</f>
        <v>15.200000000000001</v>
      </c>
      <c r="CB63" s="107"/>
      <c r="CC63" s="81">
        <f>H63*月別販売比率!$C$21</f>
        <v>13.464207712009639</v>
      </c>
      <c r="CD63" s="107"/>
      <c r="CE63" s="81">
        <f>H63*月別販売比率!$H$21</f>
        <v>13.3</v>
      </c>
      <c r="CF63" s="341">
        <v>40</v>
      </c>
      <c r="CG63" s="81">
        <f>H63*月別販売比率!$M$21</f>
        <v>19.202100933494261</v>
      </c>
      <c r="CH63" s="107"/>
      <c r="CI63" s="81">
        <f>H63*月別販売比率!$R$21</f>
        <v>15.200000000000001</v>
      </c>
      <c r="CJ63" s="107">
        <v>20</v>
      </c>
      <c r="CK63" s="81">
        <f>H63*月別販売比率!$W$21</f>
        <v>14.471676862403797</v>
      </c>
      <c r="CL63" s="107">
        <v>10</v>
      </c>
      <c r="CM63" s="81">
        <f>H63*月別販売比率!$AB$21</f>
        <v>22.8</v>
      </c>
      <c r="CN63" s="107"/>
      <c r="CO63" s="81">
        <f>H63*月別販売比率!$AG$21</f>
        <v>19</v>
      </c>
      <c r="CP63" s="107">
        <v>35</v>
      </c>
      <c r="CQ63" s="81">
        <f>H63*月別販売比率!$AL$21</f>
        <v>17.099999999999998</v>
      </c>
      <c r="CR63" s="107">
        <v>35</v>
      </c>
      <c r="CS63" s="81">
        <f>H63*月別販売比率!$AQ$21</f>
        <v>19</v>
      </c>
      <c r="CT63" s="107"/>
      <c r="CU63" s="81">
        <f>H63*月別販売比率!$AV$21</f>
        <v>11.569931344908163</v>
      </c>
      <c r="CV63" s="107">
        <v>30</v>
      </c>
      <c r="CW63" s="81">
        <f>H63*月別販売比率!$BA$21</f>
        <v>10.568392933958984</v>
      </c>
      <c r="CX63" s="107"/>
      <c r="CY63" s="81">
        <f>H63*月別販売比率!$BF$21</f>
        <v>15.200000000000001</v>
      </c>
      <c r="CZ63" s="107"/>
      <c r="DA63" s="298"/>
      <c r="DB63" s="299"/>
    </row>
    <row r="64" spans="2:106" ht="30.75" customHeight="1">
      <c r="C64" s="447"/>
      <c r="D64" s="450"/>
      <c r="E64" s="122" t="s">
        <v>284</v>
      </c>
      <c r="F64" s="307">
        <v>47</v>
      </c>
      <c r="G64" s="53">
        <f t="shared" si="67"/>
        <v>144760</v>
      </c>
      <c r="H64" s="392">
        <v>150</v>
      </c>
      <c r="I64" s="53">
        <f t="shared" si="68"/>
        <v>462000</v>
      </c>
      <c r="J64" s="82">
        <v>1</v>
      </c>
      <c r="K64" s="79">
        <f t="shared" si="69"/>
        <v>31</v>
      </c>
      <c r="L64" s="79">
        <v>2</v>
      </c>
      <c r="M64" s="108">
        <v>14</v>
      </c>
      <c r="N64" s="117">
        <v>15</v>
      </c>
      <c r="O64" s="291"/>
      <c r="P64" s="291"/>
      <c r="Q64" s="334"/>
      <c r="R64" s="329"/>
      <c r="S64" s="306"/>
      <c r="T64" s="329"/>
      <c r="U64" s="329"/>
      <c r="V64" s="328"/>
      <c r="W64" s="328"/>
      <c r="X64" s="331">
        <v>45848</v>
      </c>
      <c r="Y64" s="334"/>
      <c r="Z64" s="332"/>
      <c r="AA64" s="334">
        <v>45940</v>
      </c>
      <c r="AB64" s="238"/>
      <c r="AC64" s="238"/>
      <c r="AD64" s="238"/>
      <c r="AE64" s="238"/>
      <c r="AF64" s="328"/>
      <c r="AG64" s="331"/>
      <c r="AH64" s="331">
        <v>46157</v>
      </c>
      <c r="AI64" s="238">
        <f t="shared" si="58"/>
        <v>30</v>
      </c>
      <c r="AJ64" s="238">
        <f t="shared" si="59"/>
        <v>43.574991950733846</v>
      </c>
      <c r="AK64" s="238">
        <f t="shared" si="60"/>
        <v>25.574991950733846</v>
      </c>
      <c r="AL64" s="401">
        <f t="shared" si="61"/>
        <v>25.574991950733846</v>
      </c>
      <c r="AM64" s="395">
        <f t="shared" si="62"/>
        <v>27.074991950733846</v>
      </c>
      <c r="AN64" s="395">
        <f t="shared" si="63"/>
        <v>12.074991950733846</v>
      </c>
      <c r="AO64" s="395">
        <f t="shared" si="64"/>
        <v>32.940835625806351</v>
      </c>
      <c r="AP64" s="403">
        <f t="shared" si="65"/>
        <v>24.597367520049261</v>
      </c>
      <c r="AQ64" s="90">
        <f t="shared" si="66"/>
        <v>12.597367520049261</v>
      </c>
      <c r="AR64" s="238"/>
      <c r="AS64" s="282">
        <f>$H$64*月別販売比率!AG5</f>
        <v>15</v>
      </c>
      <c r="AT64" s="103"/>
      <c r="AU64" s="301">
        <f>$H$64*月別販売比率!AG5</f>
        <v>15</v>
      </c>
      <c r="AV64" s="302">
        <v>7</v>
      </c>
      <c r="AW64" s="282">
        <f>$H$64*月別販売比率!AQ5</f>
        <v>15</v>
      </c>
      <c r="AX64" s="103"/>
      <c r="AY64" s="301">
        <f>$H$64*月別販売比率!AV5</f>
        <v>9.1341563249274973</v>
      </c>
      <c r="AZ64" s="302">
        <v>25</v>
      </c>
      <c r="BA64" s="282">
        <f>$H$64*月別販売比率!BA5</f>
        <v>8.3434681057570916</v>
      </c>
      <c r="BB64" s="103"/>
      <c r="BC64" s="282">
        <f>$H$64*月別販売比率!BF5</f>
        <v>12</v>
      </c>
      <c r="BD64" s="103"/>
      <c r="BE64" s="301">
        <f>$H$64*月別販売比率!C5</f>
        <v>10.629637667376031</v>
      </c>
      <c r="BF64" s="352"/>
      <c r="BG64" s="301">
        <f>$H$64*月別販売比率!H5</f>
        <v>10.500000000000002</v>
      </c>
      <c r="BH64" s="302">
        <v>10</v>
      </c>
      <c r="BI64" s="282">
        <f>$H$64*月別販売比率!M5</f>
        <v>15.159553368548099</v>
      </c>
      <c r="BJ64" s="117"/>
      <c r="BK64" s="301">
        <f>$H$64*月別販売比率!R5</f>
        <v>12</v>
      </c>
      <c r="BL64" s="302">
        <v>20</v>
      </c>
      <c r="BM64" s="301">
        <f>$H$64*月別販売比率!W5</f>
        <v>11.425008049266154</v>
      </c>
      <c r="BN64" s="302">
        <v>5</v>
      </c>
      <c r="BO64" s="282">
        <f>$H$64*月別販売比率!AB5</f>
        <v>18</v>
      </c>
      <c r="BP64" s="103"/>
      <c r="BQ64" s="301">
        <f>$H$64*月別販売比率!AG5</f>
        <v>15</v>
      </c>
      <c r="BR64" s="302">
        <v>20</v>
      </c>
      <c r="BS64" s="301">
        <f>$H$64*月別販売比率!AL5</f>
        <v>13.5</v>
      </c>
      <c r="BT64" s="302">
        <v>10</v>
      </c>
      <c r="BU64" s="301">
        <f>$H$64*月別販売比率!AQ5</f>
        <v>15</v>
      </c>
      <c r="BV64" s="302">
        <v>10</v>
      </c>
      <c r="BW64" s="282">
        <f>$H$64*月別販売比率!AV5</f>
        <v>9.1341563249274973</v>
      </c>
      <c r="BX64" s="103"/>
      <c r="BY64" s="282">
        <f>$H$64*月別販売比率!BA5</f>
        <v>8.3434681057570916</v>
      </c>
      <c r="BZ64" s="103"/>
      <c r="CA64" s="282">
        <f>$H$64*月別販売比率!BF5</f>
        <v>12</v>
      </c>
      <c r="CB64" s="117"/>
      <c r="CC64" s="282">
        <f>H64*月別販売比率!$C$21</f>
        <v>10.629637667376031</v>
      </c>
      <c r="CD64" s="117"/>
      <c r="CE64" s="282">
        <f>H64*月別販売比率!$H$21</f>
        <v>10.500000000000002</v>
      </c>
      <c r="CF64" s="352">
        <v>40</v>
      </c>
      <c r="CG64" s="282">
        <f>H64*月別販売比率!$M$21</f>
        <v>15.159553368548099</v>
      </c>
      <c r="CH64" s="117"/>
      <c r="CI64" s="282">
        <f>H64*月別販売比率!$R$21</f>
        <v>12</v>
      </c>
      <c r="CJ64" s="117">
        <v>10</v>
      </c>
      <c r="CK64" s="282">
        <f>H64*月別販売比率!$W$21</f>
        <v>11.425008049266154</v>
      </c>
      <c r="CL64" s="117">
        <v>25</v>
      </c>
      <c r="CM64" s="282">
        <f>H64*月別販売比率!$AB$21</f>
        <v>18</v>
      </c>
      <c r="CN64" s="117"/>
      <c r="CO64" s="282">
        <f>H64*月別販売比率!$AG$21</f>
        <v>15</v>
      </c>
      <c r="CP64" s="117">
        <v>15</v>
      </c>
      <c r="CQ64" s="282">
        <f>H64*月別販売比率!$AL$21</f>
        <v>13.5</v>
      </c>
      <c r="CR64" s="117">
        <v>15</v>
      </c>
      <c r="CS64" s="282">
        <f>H64*月別販売比率!$AQ$21</f>
        <v>15</v>
      </c>
      <c r="CT64" s="117"/>
      <c r="CU64" s="282">
        <f>H64*月別販売比率!$AV$21</f>
        <v>9.1341563249274973</v>
      </c>
      <c r="CV64" s="103">
        <v>30</v>
      </c>
      <c r="CW64" s="282">
        <f>H64*月別販売比率!$BA$21</f>
        <v>8.3434681057570916</v>
      </c>
      <c r="CX64" s="103"/>
      <c r="CY64" s="282">
        <f>H64*月別販売比率!$BF$21</f>
        <v>12</v>
      </c>
      <c r="CZ64" s="103"/>
      <c r="DA64" s="296"/>
      <c r="DB64" s="297"/>
    </row>
    <row r="65" spans="2:106" ht="30.75" customHeight="1">
      <c r="B65" s="2">
        <v>5</v>
      </c>
      <c r="C65" s="471" t="s">
        <v>5</v>
      </c>
      <c r="D65" s="472"/>
      <c r="E65" s="437"/>
      <c r="F65" s="130">
        <f>SUM(F66:F75)</f>
        <v>691</v>
      </c>
      <c r="G65" s="131">
        <f>SUM(G66:G75)</f>
        <v>2508330</v>
      </c>
      <c r="H65" s="130">
        <v>1970</v>
      </c>
      <c r="I65" s="131">
        <f t="shared" ref="I65:N65" si="70">SUM(I66:I75)</f>
        <v>7613544.1389290877</v>
      </c>
      <c r="J65" s="133">
        <f t="shared" si="70"/>
        <v>178</v>
      </c>
      <c r="K65" s="134">
        <f t="shared" si="70"/>
        <v>508</v>
      </c>
      <c r="L65" s="134">
        <f t="shared" si="70"/>
        <v>50</v>
      </c>
      <c r="M65" s="134">
        <f t="shared" si="70"/>
        <v>114</v>
      </c>
      <c r="N65" s="135">
        <f t="shared" si="70"/>
        <v>344</v>
      </c>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6">
        <f t="shared" ref="AS65:CZ65" si="71">SUM(AS66:AS75)</f>
        <v>209.739507959479</v>
      </c>
      <c r="AT65" s="134">
        <f t="shared" si="71"/>
        <v>416</v>
      </c>
      <c r="AU65" s="136">
        <f t="shared" si="71"/>
        <v>188.76555716353107</v>
      </c>
      <c r="AV65" s="134">
        <f t="shared" si="71"/>
        <v>0</v>
      </c>
      <c r="AW65" s="136">
        <f t="shared" si="71"/>
        <v>209.739507959479</v>
      </c>
      <c r="AX65" s="134">
        <f t="shared" si="71"/>
        <v>0</v>
      </c>
      <c r="AY65" s="136">
        <f t="shared" si="71"/>
        <v>127.71956354768373</v>
      </c>
      <c r="AZ65" s="134">
        <f t="shared" si="71"/>
        <v>311</v>
      </c>
      <c r="BA65" s="136">
        <f t="shared" si="71"/>
        <v>116.66365967847325</v>
      </c>
      <c r="BB65" s="134">
        <f t="shared" si="71"/>
        <v>0</v>
      </c>
      <c r="BC65" s="136">
        <f t="shared" si="71"/>
        <v>167.7916063675832</v>
      </c>
      <c r="BD65" s="134">
        <f t="shared" si="71"/>
        <v>224</v>
      </c>
      <c r="BE65" s="136">
        <f t="shared" si="71"/>
        <v>148.63033160953287</v>
      </c>
      <c r="BF65" s="134">
        <f t="shared" si="71"/>
        <v>0</v>
      </c>
      <c r="BG65" s="136">
        <f t="shared" si="71"/>
        <v>146.81765557163536</v>
      </c>
      <c r="BH65" s="134">
        <f t="shared" si="71"/>
        <v>538</v>
      </c>
      <c r="BI65" s="136">
        <f>SUM(BI66:BI75)</f>
        <v>211.97048429364941</v>
      </c>
      <c r="BJ65" s="134">
        <f t="shared" ref="BJ65" si="72">SUM(BJ66:BJ75)</f>
        <v>0</v>
      </c>
      <c r="BK65" s="136">
        <f t="shared" si="71"/>
        <v>167.7916063675832</v>
      </c>
      <c r="BL65" s="134">
        <f t="shared" si="71"/>
        <v>465</v>
      </c>
      <c r="BM65" s="136">
        <f t="shared" si="71"/>
        <v>159.75170444574468</v>
      </c>
      <c r="BN65" s="134">
        <f>SUM(BN66:BN75)</f>
        <v>346</v>
      </c>
      <c r="BO65" s="136">
        <f t="shared" si="71"/>
        <v>251.6874095513748</v>
      </c>
      <c r="BP65" s="134">
        <f t="shared" si="71"/>
        <v>0</v>
      </c>
      <c r="BQ65" s="136">
        <f t="shared" si="71"/>
        <v>209.739507959479</v>
      </c>
      <c r="BR65" s="134">
        <f t="shared" si="71"/>
        <v>0</v>
      </c>
      <c r="BS65" s="136">
        <f t="shared" si="71"/>
        <v>188.76555716353107</v>
      </c>
      <c r="BT65" s="134">
        <f t="shared" si="71"/>
        <v>0</v>
      </c>
      <c r="BU65" s="136">
        <f t="shared" si="71"/>
        <v>209.739507959479</v>
      </c>
      <c r="BV65" s="134">
        <f t="shared" si="71"/>
        <v>417</v>
      </c>
      <c r="BW65" s="136">
        <f t="shared" si="71"/>
        <v>127.71956354768373</v>
      </c>
      <c r="BX65" s="134">
        <f t="shared" si="71"/>
        <v>0</v>
      </c>
      <c r="BY65" s="136">
        <f t="shared" si="71"/>
        <v>116.66365967847325</v>
      </c>
      <c r="BZ65" s="134">
        <f t="shared" si="71"/>
        <v>0</v>
      </c>
      <c r="CA65" s="136">
        <f t="shared" si="71"/>
        <v>167.7916063675832</v>
      </c>
      <c r="CB65" s="134">
        <f t="shared" si="71"/>
        <v>0</v>
      </c>
      <c r="CC65" s="136">
        <f t="shared" si="71"/>
        <v>148.63033160953287</v>
      </c>
      <c r="CD65" s="134">
        <f t="shared" si="71"/>
        <v>110</v>
      </c>
      <c r="CE65" s="136">
        <f t="shared" si="71"/>
        <v>146.81765557163536</v>
      </c>
      <c r="CF65" s="134">
        <f t="shared" si="71"/>
        <v>0</v>
      </c>
      <c r="CG65" s="136">
        <f t="shared" si="71"/>
        <v>211.97048429364941</v>
      </c>
      <c r="CH65" s="134">
        <f t="shared" si="71"/>
        <v>0</v>
      </c>
      <c r="CI65" s="136">
        <f t="shared" si="71"/>
        <v>167.7916063675832</v>
      </c>
      <c r="CJ65" s="134">
        <f t="shared" si="71"/>
        <v>289</v>
      </c>
      <c r="CK65" s="136">
        <f t="shared" si="71"/>
        <v>159.75170444574468</v>
      </c>
      <c r="CL65" s="134">
        <f t="shared" si="71"/>
        <v>0</v>
      </c>
      <c r="CM65" s="136">
        <f t="shared" si="71"/>
        <v>251.6874095513748</v>
      </c>
      <c r="CN65" s="134">
        <f t="shared" si="71"/>
        <v>0</v>
      </c>
      <c r="CO65" s="136">
        <f t="shared" si="71"/>
        <v>209.739507959479</v>
      </c>
      <c r="CP65" s="134">
        <f t="shared" si="71"/>
        <v>0</v>
      </c>
      <c r="CQ65" s="136">
        <f t="shared" si="71"/>
        <v>188.76555716353107</v>
      </c>
      <c r="CR65" s="134">
        <f t="shared" si="71"/>
        <v>610</v>
      </c>
      <c r="CS65" s="136">
        <f t="shared" si="71"/>
        <v>209.739507959479</v>
      </c>
      <c r="CT65" s="134">
        <f t="shared" si="71"/>
        <v>0</v>
      </c>
      <c r="CU65" s="136">
        <v>127.71956354768373</v>
      </c>
      <c r="CV65" s="134">
        <f t="shared" si="71"/>
        <v>0</v>
      </c>
      <c r="CW65" s="136">
        <f t="shared" si="71"/>
        <v>116.66365967847325</v>
      </c>
      <c r="CX65" s="134">
        <f t="shared" si="71"/>
        <v>0</v>
      </c>
      <c r="CY65" s="136">
        <f t="shared" si="71"/>
        <v>167.7916063675832</v>
      </c>
      <c r="CZ65" s="134">
        <f t="shared" si="71"/>
        <v>0</v>
      </c>
      <c r="DA65" s="141"/>
      <c r="DB65" s="293"/>
    </row>
    <row r="66" spans="2:106" ht="30.75" customHeight="1">
      <c r="C66" s="446" t="s">
        <v>477</v>
      </c>
      <c r="D66" s="443">
        <v>1</v>
      </c>
      <c r="E66" s="99" t="s">
        <v>46</v>
      </c>
      <c r="F66" s="56">
        <v>60</v>
      </c>
      <c r="G66" s="46">
        <f>F66*3630</f>
        <v>217800</v>
      </c>
      <c r="H66" s="164">
        <v>250</v>
      </c>
      <c r="I66" s="46">
        <f>H66*3630</f>
        <v>907500</v>
      </c>
      <c r="J66" s="49">
        <v>0</v>
      </c>
      <c r="K66" s="39">
        <f t="shared" ref="K66:K75" si="73">SUM(L66:N66)</f>
        <v>13</v>
      </c>
      <c r="L66" s="39">
        <v>0</v>
      </c>
      <c r="M66" s="39">
        <v>13</v>
      </c>
      <c r="N66" s="42"/>
      <c r="O66" s="289">
        <v>45594</v>
      </c>
      <c r="P66" s="19"/>
      <c r="Q66" s="124"/>
      <c r="R66" s="331">
        <v>45687</v>
      </c>
      <c r="S66" s="124"/>
      <c r="T66" s="124"/>
      <c r="U66" s="124"/>
      <c r="V66" s="124"/>
      <c r="W66" s="124"/>
      <c r="X66" s="328"/>
      <c r="Y66" s="328"/>
      <c r="Z66" s="124"/>
      <c r="AA66" s="124"/>
      <c r="AB66" s="124"/>
      <c r="AC66" s="124"/>
      <c r="AD66" s="124"/>
      <c r="AE66" s="124"/>
      <c r="AF66" s="124"/>
      <c r="AG66" s="124"/>
      <c r="AH66" s="124"/>
      <c r="AI66" s="129">
        <f>SUM(J66:K66)-CI66+CJ66</f>
        <v>0</v>
      </c>
      <c r="AJ66" s="129">
        <f t="shared" ref="AJ66:AJ75" si="74">AI66-CK66+CL66</f>
        <v>-19.041680082110258</v>
      </c>
      <c r="AK66" s="129">
        <f t="shared" ref="AK66:AK75" si="75">AJ66-CM66+CN66</f>
        <v>-49.041680082110261</v>
      </c>
      <c r="AL66" s="399">
        <f t="shared" ref="AL66:AL75" si="76">AK66-CO66+CP66</f>
        <v>-74.041680082110261</v>
      </c>
      <c r="AM66" s="393">
        <f>0-CQ66+CR66</f>
        <v>77.5</v>
      </c>
      <c r="AN66" s="393">
        <f t="shared" ref="AN66:AN75" si="77">AM66-CS66+CT66</f>
        <v>52.5</v>
      </c>
      <c r="AO66" s="393">
        <f t="shared" ref="AO66:AO75" si="78">AN66-CU66+CV66</f>
        <v>37.276406125120843</v>
      </c>
      <c r="AP66" s="96">
        <f t="shared" ref="AP66:AP75" si="79">AO66-CW66+CX66</f>
        <v>23.370625948859022</v>
      </c>
      <c r="AQ66" s="91">
        <f t="shared" ref="AQ66:AQ75" si="80">AP66-CY66+CZ66</f>
        <v>3.370625948859022</v>
      </c>
      <c r="AR66" s="198"/>
      <c r="AS66" s="245">
        <f>$H$66*月別販売比率!AG5</f>
        <v>25</v>
      </c>
      <c r="AT66" s="280">
        <v>30</v>
      </c>
      <c r="AU66" s="81">
        <f>$H$66*月別販売比率!AL5</f>
        <v>22.5</v>
      </c>
      <c r="AV66" s="39"/>
      <c r="AW66" s="81">
        <f>$H$66*月別販売比率!AQ5</f>
        <v>25</v>
      </c>
      <c r="AX66" s="39"/>
      <c r="AY66" s="245">
        <f>$H$66*月別販売比率!AV5</f>
        <v>15.22359387487916</v>
      </c>
      <c r="AZ66" s="280">
        <v>40</v>
      </c>
      <c r="BA66" s="81">
        <f>$H$66*月別販売比率!BA5</f>
        <v>13.905780176261821</v>
      </c>
      <c r="BB66" s="39"/>
      <c r="BC66" s="245">
        <f>$H$66*月別販売比率!BF5</f>
        <v>20</v>
      </c>
      <c r="BD66" s="280">
        <v>3</v>
      </c>
      <c r="BE66" s="81">
        <f>$H$66*月別販売比率!C21</f>
        <v>17.716062778960051</v>
      </c>
      <c r="BF66" s="39"/>
      <c r="BG66" s="245">
        <f>$H$66*月別販売比率!H21</f>
        <v>17.5</v>
      </c>
      <c r="BH66" s="280">
        <v>50</v>
      </c>
      <c r="BI66" s="81">
        <f>$H$66*月別販売比率!M21</f>
        <v>25.2659222809135</v>
      </c>
      <c r="BJ66" s="39"/>
      <c r="BK66" s="245">
        <f>$H$66*月別販売比率!R21</f>
        <v>20</v>
      </c>
      <c r="BL66" s="280">
        <v>40</v>
      </c>
      <c r="BM66" s="245">
        <f>$H$66*月別販売比率!W21</f>
        <v>19.041680082110258</v>
      </c>
      <c r="BN66" s="280">
        <v>28</v>
      </c>
      <c r="BO66" s="81">
        <f>$H$66*月別販売比率!AB21</f>
        <v>30</v>
      </c>
      <c r="BP66" s="39"/>
      <c r="BQ66" s="81">
        <f>$H$66*月別販売比率!AG21</f>
        <v>25</v>
      </c>
      <c r="BR66" s="39"/>
      <c r="BS66" s="81">
        <f>$H$66*月別販売比率!AL21</f>
        <v>22.5</v>
      </c>
      <c r="BT66" s="39"/>
      <c r="BU66" s="245">
        <f>$H$66*月別販売比率!AQ21</f>
        <v>25</v>
      </c>
      <c r="BV66" s="280">
        <v>69</v>
      </c>
      <c r="BW66" s="81">
        <f>$H$66*月別販売比率!AV21</f>
        <v>15.22359387487916</v>
      </c>
      <c r="BX66" s="39"/>
      <c r="BY66" s="81">
        <f>$H$66*月別販売比率!BA21</f>
        <v>13.905780176261821</v>
      </c>
      <c r="BZ66" s="39"/>
      <c r="CA66" s="81">
        <f>$H$66*月別販売比率!BF21</f>
        <v>20</v>
      </c>
      <c r="CB66" s="39"/>
      <c r="CC66" s="245">
        <f>H66*月別販売比率!$C$21</f>
        <v>17.716062778960051</v>
      </c>
      <c r="CD66" s="280">
        <v>10</v>
      </c>
      <c r="CE66" s="81">
        <f>H66*月別販売比率!$H$21</f>
        <v>17.5</v>
      </c>
      <c r="CF66" s="39"/>
      <c r="CG66" s="81">
        <f>H66*月別販売比率!$M$21</f>
        <v>25.2659222809135</v>
      </c>
      <c r="CH66" s="39"/>
      <c r="CI66" s="81">
        <f>H66*月別販売比率!$R$21</f>
        <v>20</v>
      </c>
      <c r="CJ66" s="39">
        <v>7</v>
      </c>
      <c r="CK66" s="81">
        <f>H66*月別販売比率!$W$21</f>
        <v>19.041680082110258</v>
      </c>
      <c r="CL66" s="39"/>
      <c r="CM66" s="81">
        <f>H66*月別販売比率!$AB$21</f>
        <v>30</v>
      </c>
      <c r="CN66" s="39"/>
      <c r="CO66" s="81">
        <f>H66*月別販売比率!$AG$21</f>
        <v>25</v>
      </c>
      <c r="CP66" s="39"/>
      <c r="CQ66" s="81">
        <f>H66*月別販売比率!$AL$21</f>
        <v>22.5</v>
      </c>
      <c r="CR66" s="39">
        <v>100</v>
      </c>
      <c r="CS66" s="81">
        <f>H66*月別販売比率!$AQ$21</f>
        <v>25</v>
      </c>
      <c r="CT66" s="39"/>
      <c r="CU66" s="81">
        <f>H66*月別販売比率!$AV$21</f>
        <v>15.22359387487916</v>
      </c>
      <c r="CV66" s="39"/>
      <c r="CW66" s="81">
        <f>H66*月別販売比率!$BA$21</f>
        <v>13.905780176261821</v>
      </c>
      <c r="CX66" s="39"/>
      <c r="CY66" s="81">
        <f>H66*月別販売比率!$BF$21</f>
        <v>20</v>
      </c>
      <c r="CZ66" s="39"/>
      <c r="DA66" s="28"/>
      <c r="DB66" s="294"/>
    </row>
    <row r="67" spans="2:106" ht="30.75" customHeight="1">
      <c r="C67" s="457"/>
      <c r="D67" s="441"/>
      <c r="E67" s="94" t="s">
        <v>47</v>
      </c>
      <c r="F67" s="57">
        <v>88</v>
      </c>
      <c r="G67" s="46">
        <f t="shared" ref="G67:G75" si="81">F67*3630</f>
        <v>319440</v>
      </c>
      <c r="H67" s="45">
        <f>F67*($H$65/$F$65)</f>
        <v>250.88277858176554</v>
      </c>
      <c r="I67" s="46">
        <f t="shared" ref="I67:I75" si="82">H67*3630</f>
        <v>910704.48625180894</v>
      </c>
      <c r="J67" s="9">
        <v>19</v>
      </c>
      <c r="K67" s="21">
        <f t="shared" si="73"/>
        <v>93</v>
      </c>
      <c r="L67" s="21">
        <v>8</v>
      </c>
      <c r="M67" s="39">
        <v>15</v>
      </c>
      <c r="N67" s="95">
        <v>70</v>
      </c>
      <c r="O67" s="289">
        <v>45594</v>
      </c>
      <c r="P67" s="19"/>
      <c r="Q67" s="328"/>
      <c r="R67" s="331">
        <v>45687</v>
      </c>
      <c r="S67" s="124"/>
      <c r="T67" s="328"/>
      <c r="U67" s="331">
        <v>45765</v>
      </c>
      <c r="V67" s="124"/>
      <c r="W67" s="124"/>
      <c r="X67" s="328"/>
      <c r="Y67" s="328"/>
      <c r="Z67" s="124"/>
      <c r="AA67" s="124"/>
      <c r="AB67" s="124"/>
      <c r="AC67" s="328"/>
      <c r="AD67" s="124"/>
      <c r="AE67" s="124"/>
      <c r="AF67" s="124"/>
      <c r="AG67" s="124"/>
      <c r="AH67" s="124"/>
      <c r="AI67" s="129">
        <f>SUM(J67:K67)-CI67+CJ67</f>
        <v>148.92937771345876</v>
      </c>
      <c r="AJ67" s="129">
        <f t="shared" si="74"/>
        <v>129.82045928199923</v>
      </c>
      <c r="AK67" s="129">
        <f t="shared" si="75"/>
        <v>99.714525852187364</v>
      </c>
      <c r="AL67" s="399">
        <f t="shared" si="76"/>
        <v>74.626247994010811</v>
      </c>
      <c r="AM67" s="393">
        <f t="shared" ref="AM67:AM73" si="83">AL67-CQ67+CR67</f>
        <v>92.046797921651915</v>
      </c>
      <c r="AN67" s="393">
        <f t="shared" si="77"/>
        <v>66.958520063475362</v>
      </c>
      <c r="AO67" s="393">
        <f t="shared" si="78"/>
        <v>51.681169938155236</v>
      </c>
      <c r="AP67" s="96">
        <f t="shared" si="79"/>
        <v>37.726286862284041</v>
      </c>
      <c r="AQ67" s="91">
        <f t="shared" si="80"/>
        <v>17.655664575742797</v>
      </c>
      <c r="AR67" s="198"/>
      <c r="AS67" s="245">
        <f>$H$67*月別販売比率!AG5</f>
        <v>25.088277858176554</v>
      </c>
      <c r="AT67" s="241">
        <v>50</v>
      </c>
      <c r="AU67" s="81">
        <f>$H$67*月別販売比率!AL5</f>
        <v>22.579450072358899</v>
      </c>
      <c r="AV67" s="21"/>
      <c r="AW67" s="81">
        <f>$H$67*月別販売比率!AQ5</f>
        <v>25.088277858176554</v>
      </c>
      <c r="AX67" s="21"/>
      <c r="AY67" s="245">
        <f>$H$67*月別販売比率!AV5</f>
        <v>15.277350125320122</v>
      </c>
      <c r="AZ67" s="241">
        <v>50</v>
      </c>
      <c r="BA67" s="81">
        <f>$H$67*月別販売比率!BA5</f>
        <v>13.954883075871196</v>
      </c>
      <c r="BB67" s="21"/>
      <c r="BC67" s="245">
        <f>$H$67*月別販売比率!BF5</f>
        <v>20.070622286541244</v>
      </c>
      <c r="BD67" s="241">
        <v>40</v>
      </c>
      <c r="BE67" s="81">
        <f>$H$67*月別販売比率!C21</f>
        <v>17.77862022205797</v>
      </c>
      <c r="BF67" s="21"/>
      <c r="BG67" s="245">
        <f>$H$67*月別販売比率!H21</f>
        <v>17.56179450072359</v>
      </c>
      <c r="BH67" s="241">
        <v>55</v>
      </c>
      <c r="BI67" s="81">
        <f>$H$67*月別販売比率!M21</f>
        <v>25.355139141066072</v>
      </c>
      <c r="BJ67" s="21"/>
      <c r="BK67" s="245">
        <f>$H$67*月別販売比率!R21</f>
        <v>20.070622286541244</v>
      </c>
      <c r="BL67" s="241">
        <v>60</v>
      </c>
      <c r="BM67" s="245">
        <f>$H$67*月別販売比率!W21</f>
        <v>19.108918431459532</v>
      </c>
      <c r="BN67" s="241">
        <v>42</v>
      </c>
      <c r="BO67" s="81">
        <f>$H$67*月別販売比率!AB21</f>
        <v>30.105933429811863</v>
      </c>
      <c r="BP67" s="21"/>
      <c r="BQ67" s="81">
        <f>$H$67*月別販売比率!AG21</f>
        <v>25.088277858176554</v>
      </c>
      <c r="BR67" s="21"/>
      <c r="BS67" s="81">
        <f>$H$67*月別販売比率!AL21</f>
        <v>22.579450072358899</v>
      </c>
      <c r="BT67" s="21"/>
      <c r="BU67" s="245">
        <f>$H$67*月別販売比率!AQ21</f>
        <v>25.088277858176554</v>
      </c>
      <c r="BV67" s="241">
        <v>59</v>
      </c>
      <c r="BW67" s="81">
        <f>$H$67*月別販売比率!AV21</f>
        <v>15.277350125320122</v>
      </c>
      <c r="BX67" s="21"/>
      <c r="BY67" s="81">
        <f>$H$67*月別販売比率!BA21</f>
        <v>13.954883075871196</v>
      </c>
      <c r="BZ67" s="21"/>
      <c r="CA67" s="81">
        <f>$H$67*月別販売比率!BF21</f>
        <v>20.070622286541244</v>
      </c>
      <c r="CB67" s="21"/>
      <c r="CC67" s="245">
        <f>H67*月別販売比率!$C$21</f>
        <v>17.77862022205797</v>
      </c>
      <c r="CD67" s="241">
        <v>20</v>
      </c>
      <c r="CE67" s="81">
        <f>H67*月別販売比率!$H$21</f>
        <v>17.56179450072359</v>
      </c>
      <c r="CF67" s="21"/>
      <c r="CG67" s="81">
        <f>H67*月別販売比率!$M$21</f>
        <v>25.355139141066072</v>
      </c>
      <c r="CH67" s="21"/>
      <c r="CI67" s="81">
        <f>H67*月別販売比率!$R$21</f>
        <v>20.070622286541244</v>
      </c>
      <c r="CJ67" s="21">
        <v>57</v>
      </c>
      <c r="CK67" s="81">
        <f>H67*月別販売比率!$W$21</f>
        <v>19.108918431459532</v>
      </c>
      <c r="CL67" s="21"/>
      <c r="CM67" s="81">
        <f>H67*月別販売比率!$AB$21</f>
        <v>30.105933429811863</v>
      </c>
      <c r="CN67" s="21"/>
      <c r="CO67" s="81">
        <f>H67*月別販売比率!$AG$21</f>
        <v>25.088277858176554</v>
      </c>
      <c r="CP67" s="21"/>
      <c r="CQ67" s="81">
        <f>H67*月別販売比率!$AL$21</f>
        <v>22.579450072358899</v>
      </c>
      <c r="CR67" s="21">
        <v>40</v>
      </c>
      <c r="CS67" s="81">
        <f>H67*月別販売比率!$AQ$21</f>
        <v>25.088277858176554</v>
      </c>
      <c r="CT67" s="21"/>
      <c r="CU67" s="81">
        <f>H67*月別販売比率!$AV$21</f>
        <v>15.277350125320122</v>
      </c>
      <c r="CV67" s="21"/>
      <c r="CW67" s="81">
        <f>H67*月別販売比率!$BA$21</f>
        <v>13.954883075871196</v>
      </c>
      <c r="CX67" s="21"/>
      <c r="CY67" s="81">
        <f>H67*月別販売比率!$BF$21</f>
        <v>20.070622286541244</v>
      </c>
      <c r="CZ67" s="21"/>
      <c r="DA67" s="28"/>
      <c r="DB67" s="294"/>
    </row>
    <row r="68" spans="2:106" ht="30.75" customHeight="1">
      <c r="C68" s="457"/>
      <c r="D68" s="441"/>
      <c r="E68" s="94" t="s">
        <v>51</v>
      </c>
      <c r="F68" s="57">
        <v>66</v>
      </c>
      <c r="G68" s="46">
        <f t="shared" si="81"/>
        <v>239580</v>
      </c>
      <c r="H68" s="45">
        <f>F68*($H$65/$F$65)</f>
        <v>188.16208393632417</v>
      </c>
      <c r="I68" s="46">
        <f t="shared" si="82"/>
        <v>683028.36468885676</v>
      </c>
      <c r="J68" s="9">
        <v>1</v>
      </c>
      <c r="K68" s="21">
        <f t="shared" si="73"/>
        <v>71</v>
      </c>
      <c r="L68" s="21">
        <v>8</v>
      </c>
      <c r="M68" s="39">
        <v>13</v>
      </c>
      <c r="N68" s="95">
        <v>50</v>
      </c>
      <c r="O68" s="289">
        <v>45594</v>
      </c>
      <c r="P68" s="19"/>
      <c r="Q68" s="328"/>
      <c r="R68" s="331">
        <v>45687</v>
      </c>
      <c r="S68" s="124"/>
      <c r="T68" s="124"/>
      <c r="U68" s="124"/>
      <c r="V68" s="124"/>
      <c r="W68" s="124"/>
      <c r="X68" s="328"/>
      <c r="Y68" s="328"/>
      <c r="Z68" s="124"/>
      <c r="AA68" s="328"/>
      <c r="AB68" s="124"/>
      <c r="AC68" s="124"/>
      <c r="AD68" s="124"/>
      <c r="AE68" s="124"/>
      <c r="AF68" s="124"/>
      <c r="AG68" s="124"/>
      <c r="AH68" s="124"/>
      <c r="AI68" s="129">
        <f>SUM(J68:K68)-CI68+CJ68</f>
        <v>123.94703328509407</v>
      </c>
      <c r="AJ68" s="129">
        <f t="shared" si="74"/>
        <v>109.61534446149942</v>
      </c>
      <c r="AK68" s="129">
        <f t="shared" si="75"/>
        <v>87.035894389140523</v>
      </c>
      <c r="AL68" s="399">
        <f t="shared" si="76"/>
        <v>68.219685995508101</v>
      </c>
      <c r="AM68" s="393">
        <f t="shared" si="83"/>
        <v>61.285098441238929</v>
      </c>
      <c r="AN68" s="393">
        <f t="shared" si="77"/>
        <v>42.468890047606507</v>
      </c>
      <c r="AO68" s="393">
        <f t="shared" si="78"/>
        <v>31.010877453616416</v>
      </c>
      <c r="AP68" s="96">
        <f t="shared" si="79"/>
        <v>20.544715146713017</v>
      </c>
      <c r="AQ68" s="91">
        <f t="shared" si="80"/>
        <v>5.4917484318070837</v>
      </c>
      <c r="AR68" s="198"/>
      <c r="AS68" s="245">
        <f>$H$68*月別販売比率!AG5</f>
        <v>18.816208393632419</v>
      </c>
      <c r="AT68" s="241">
        <v>30</v>
      </c>
      <c r="AU68" s="81">
        <f>$H$68*月別販売比率!AL5</f>
        <v>16.934587554269175</v>
      </c>
      <c r="AV68" s="21"/>
      <c r="AW68" s="81">
        <f>$H$68*月別販売比率!AQ5</f>
        <v>18.816208393632419</v>
      </c>
      <c r="AX68" s="21"/>
      <c r="AY68" s="245">
        <f>$H$68*月別販売比率!AV5</f>
        <v>11.458012593990093</v>
      </c>
      <c r="AZ68" s="241">
        <v>43</v>
      </c>
      <c r="BA68" s="81">
        <f>$H$68*月別販売比率!BA5</f>
        <v>10.466162306903398</v>
      </c>
      <c r="BB68" s="21"/>
      <c r="BC68" s="245">
        <f>$H$68*月別販売比率!BF5</f>
        <v>15.052966714905933</v>
      </c>
      <c r="BD68" s="241">
        <v>20</v>
      </c>
      <c r="BE68" s="81">
        <f>$H$68*月別販売比率!C21</f>
        <v>13.333965166543477</v>
      </c>
      <c r="BF68" s="21"/>
      <c r="BG68" s="245">
        <f>$H$68*月別販売比率!H21</f>
        <v>13.171345875542693</v>
      </c>
      <c r="BH68" s="241">
        <v>45</v>
      </c>
      <c r="BI68" s="81">
        <f>$H$68*月別販売比率!M21</f>
        <v>19.016354355799557</v>
      </c>
      <c r="BJ68" s="21"/>
      <c r="BK68" s="245">
        <f>$H$68*月別販売比率!R21</f>
        <v>15.052966714905933</v>
      </c>
      <c r="BL68" s="241">
        <v>45</v>
      </c>
      <c r="BM68" s="245">
        <f>$H$68*月別販売比率!W21</f>
        <v>14.33168882359465</v>
      </c>
      <c r="BN68" s="241">
        <v>31</v>
      </c>
      <c r="BO68" s="81">
        <f>$H$68*月別販売比率!AB21</f>
        <v>22.579450072358899</v>
      </c>
      <c r="BP68" s="21"/>
      <c r="BQ68" s="81">
        <f>$H$68*月別販売比率!AG21</f>
        <v>18.816208393632419</v>
      </c>
      <c r="BR68" s="21"/>
      <c r="BS68" s="81">
        <f>$H$68*月別販売比率!AL21</f>
        <v>16.934587554269175</v>
      </c>
      <c r="BT68" s="21"/>
      <c r="BU68" s="245">
        <f>$H$68*月別販売比率!AQ21</f>
        <v>18.816208393632419</v>
      </c>
      <c r="BV68" s="241">
        <v>37</v>
      </c>
      <c r="BW68" s="81">
        <f>$H$68*月別販売比率!AV21</f>
        <v>11.458012593990093</v>
      </c>
      <c r="BX68" s="21"/>
      <c r="BY68" s="81">
        <f>$H$68*月別販売比率!BA21</f>
        <v>10.466162306903398</v>
      </c>
      <c r="BZ68" s="21"/>
      <c r="CA68" s="81">
        <f>$H$68*月別販売比率!BF21</f>
        <v>15.052966714905933</v>
      </c>
      <c r="CB68" s="21"/>
      <c r="CC68" s="245">
        <f>H68*月別販売比率!$C$21</f>
        <v>13.333965166543477</v>
      </c>
      <c r="CD68" s="241"/>
      <c r="CE68" s="81">
        <f>H68*月別販売比率!$H$21</f>
        <v>13.171345875542693</v>
      </c>
      <c r="CF68" s="21"/>
      <c r="CG68" s="81">
        <f>H68*月別販売比率!$M$21</f>
        <v>19.016354355799557</v>
      </c>
      <c r="CH68" s="21"/>
      <c r="CI68" s="81">
        <f>H68*月別販売比率!$R$21</f>
        <v>15.052966714905933</v>
      </c>
      <c r="CJ68" s="21">
        <v>67</v>
      </c>
      <c r="CK68" s="81">
        <f>H68*月別販売比率!$W$21</f>
        <v>14.33168882359465</v>
      </c>
      <c r="CL68" s="21"/>
      <c r="CM68" s="81">
        <f>H68*月別販売比率!$AB$21</f>
        <v>22.579450072358899</v>
      </c>
      <c r="CN68" s="21"/>
      <c r="CO68" s="81">
        <f>H68*月別販売比率!$AG$21</f>
        <v>18.816208393632419</v>
      </c>
      <c r="CP68" s="21"/>
      <c r="CQ68" s="81">
        <f>H68*月別販売比率!$AL$21</f>
        <v>16.934587554269175</v>
      </c>
      <c r="CR68" s="21">
        <v>10</v>
      </c>
      <c r="CS68" s="81">
        <f>H68*月別販売比率!$AQ$21</f>
        <v>18.816208393632419</v>
      </c>
      <c r="CT68" s="21"/>
      <c r="CU68" s="81">
        <f>H68*月別販売比率!$AV$21</f>
        <v>11.458012593990093</v>
      </c>
      <c r="CV68" s="21"/>
      <c r="CW68" s="81">
        <f>H68*月別販売比率!$BA$21</f>
        <v>10.466162306903398</v>
      </c>
      <c r="CX68" s="21"/>
      <c r="CY68" s="81">
        <f>H68*月別販売比率!$BF$21</f>
        <v>15.052966714905933</v>
      </c>
      <c r="CZ68" s="21"/>
      <c r="DA68" s="28"/>
      <c r="DB68" s="294"/>
    </row>
    <row r="69" spans="2:106" ht="30.75" customHeight="1">
      <c r="C69" s="457"/>
      <c r="D69" s="441"/>
      <c r="E69" s="94" t="s">
        <v>49</v>
      </c>
      <c r="F69" s="57">
        <v>70</v>
      </c>
      <c r="G69" s="46">
        <f t="shared" si="81"/>
        <v>254100</v>
      </c>
      <c r="H69" s="164">
        <v>160</v>
      </c>
      <c r="I69" s="46">
        <f t="shared" si="82"/>
        <v>580800</v>
      </c>
      <c r="J69" s="9">
        <v>83</v>
      </c>
      <c r="K69" s="21">
        <f t="shared" si="73"/>
        <v>51</v>
      </c>
      <c r="L69" s="21">
        <v>10</v>
      </c>
      <c r="M69" s="39">
        <v>13</v>
      </c>
      <c r="N69" s="95">
        <v>28</v>
      </c>
      <c r="O69" s="289">
        <v>45594</v>
      </c>
      <c r="P69" s="19"/>
      <c r="Q69" s="328"/>
      <c r="R69" s="331">
        <v>45687</v>
      </c>
      <c r="S69" s="124"/>
      <c r="T69" s="124"/>
      <c r="U69" s="124"/>
      <c r="V69" s="124"/>
      <c r="W69" s="124"/>
      <c r="X69" s="328"/>
      <c r="Y69" s="328"/>
      <c r="Z69" s="124"/>
      <c r="AA69" s="124"/>
      <c r="AB69" s="124"/>
      <c r="AC69" s="124"/>
      <c r="AD69" s="124"/>
      <c r="AE69" s="124"/>
      <c r="AF69" s="124"/>
      <c r="AG69" s="124"/>
      <c r="AH69" s="124"/>
      <c r="AI69" s="129">
        <f>SUM(J69:K69)-CI69+CJ69</f>
        <v>121.2</v>
      </c>
      <c r="AJ69" s="129">
        <f t="shared" si="74"/>
        <v>109.01332474744945</v>
      </c>
      <c r="AK69" s="129">
        <f t="shared" si="75"/>
        <v>89.813324747449442</v>
      </c>
      <c r="AL69" s="399">
        <f t="shared" si="76"/>
        <v>73.813324747449442</v>
      </c>
      <c r="AM69" s="393">
        <f t="shared" si="83"/>
        <v>79.413324747449451</v>
      </c>
      <c r="AN69" s="393">
        <f t="shared" si="77"/>
        <v>63.413324747449451</v>
      </c>
      <c r="AO69" s="393">
        <f t="shared" si="78"/>
        <v>53.670224667526789</v>
      </c>
      <c r="AP69" s="96">
        <f t="shared" si="79"/>
        <v>44.770525354719226</v>
      </c>
      <c r="AQ69" s="91">
        <f t="shared" si="80"/>
        <v>31.970525354719225</v>
      </c>
      <c r="AR69" s="198"/>
      <c r="AS69" s="245">
        <f>$H$69*月別販売比率!AG5</f>
        <v>16</v>
      </c>
      <c r="AT69" s="241">
        <v>50</v>
      </c>
      <c r="AU69" s="81">
        <f>$H$69*月別販売比率!AL5</f>
        <v>14.399999999999999</v>
      </c>
      <c r="AV69" s="21"/>
      <c r="AW69" s="81">
        <f>$H$69*月別販売比率!AQ5</f>
        <v>16</v>
      </c>
      <c r="AX69" s="21"/>
      <c r="AY69" s="245">
        <f>$H$69*月別販売比率!AV5</f>
        <v>9.7431000799226624</v>
      </c>
      <c r="AZ69" s="241">
        <v>20</v>
      </c>
      <c r="BA69" s="81">
        <f>$H$69*月別販売比率!BA5</f>
        <v>8.8996993128075648</v>
      </c>
      <c r="BB69" s="21"/>
      <c r="BC69" s="245">
        <f>$H$69*月別販売比率!BF5</f>
        <v>12.8</v>
      </c>
      <c r="BD69" s="241">
        <v>27</v>
      </c>
      <c r="BE69" s="81">
        <f>$H$69*月別販売比率!C21</f>
        <v>11.338280178534433</v>
      </c>
      <c r="BF69" s="21"/>
      <c r="BG69" s="245">
        <f>$H$69*月別販売比率!H21</f>
        <v>11.200000000000001</v>
      </c>
      <c r="BH69" s="241">
        <v>60</v>
      </c>
      <c r="BI69" s="81">
        <f>$H$69*月別販売比率!M21</f>
        <v>16.17019025978464</v>
      </c>
      <c r="BJ69" s="21"/>
      <c r="BK69" s="245">
        <f>$H$69*月別販売比率!R21</f>
        <v>12.8</v>
      </c>
      <c r="BL69" s="241">
        <v>40</v>
      </c>
      <c r="BM69" s="245">
        <f>$H$69*月別販売比率!W21</f>
        <v>12.186675252550565</v>
      </c>
      <c r="BN69" s="241">
        <v>35</v>
      </c>
      <c r="BO69" s="81">
        <f>$H$69*月別販売比率!AB21</f>
        <v>19.2</v>
      </c>
      <c r="BP69" s="21"/>
      <c r="BQ69" s="81">
        <f>$H$69*月別販売比率!AG21</f>
        <v>16</v>
      </c>
      <c r="BR69" s="21"/>
      <c r="BS69" s="81">
        <f>$H$69*月別販売比率!AL21</f>
        <v>14.399999999999999</v>
      </c>
      <c r="BT69" s="21"/>
      <c r="BU69" s="245">
        <f>$H$69*月別販売比率!AQ21</f>
        <v>16</v>
      </c>
      <c r="BV69" s="241">
        <v>12</v>
      </c>
      <c r="BW69" s="81">
        <f>$H$69*月別販売比率!AV21</f>
        <v>9.7431000799226624</v>
      </c>
      <c r="BX69" s="21"/>
      <c r="BY69" s="81">
        <f>$H$69*月別販売比率!BA21</f>
        <v>8.8996993128075648</v>
      </c>
      <c r="BZ69" s="21"/>
      <c r="CA69" s="81">
        <f>$H$69*月別販売比率!BF21</f>
        <v>12.8</v>
      </c>
      <c r="CB69" s="21"/>
      <c r="CC69" s="245">
        <f>H69*月別販売比率!$C$21</f>
        <v>11.338280178534433</v>
      </c>
      <c r="CD69" s="241"/>
      <c r="CE69" s="81">
        <f>H69*月別販売比率!$H$21</f>
        <v>11.200000000000001</v>
      </c>
      <c r="CF69" s="21"/>
      <c r="CG69" s="81">
        <f>H69*月別販売比率!$M$21</f>
        <v>16.17019025978464</v>
      </c>
      <c r="CH69" s="21"/>
      <c r="CI69" s="81">
        <f>H69*月別販売比率!$R$21</f>
        <v>12.8</v>
      </c>
      <c r="CJ69" s="21"/>
      <c r="CK69" s="81">
        <f>H69*月別販売比率!$W$21</f>
        <v>12.186675252550565</v>
      </c>
      <c r="CL69" s="21"/>
      <c r="CM69" s="81">
        <f>H69*月別販売比率!$AB$21</f>
        <v>19.2</v>
      </c>
      <c r="CN69" s="21"/>
      <c r="CO69" s="81">
        <f>H69*月別販売比率!$AG$21</f>
        <v>16</v>
      </c>
      <c r="CP69" s="21"/>
      <c r="CQ69" s="81">
        <f>H69*月別販売比率!$AL$21</f>
        <v>14.399999999999999</v>
      </c>
      <c r="CR69" s="21">
        <v>20</v>
      </c>
      <c r="CS69" s="81">
        <f>H69*月別販売比率!$AQ$21</f>
        <v>16</v>
      </c>
      <c r="CT69" s="21"/>
      <c r="CU69" s="81">
        <f>H69*月別販売比率!$AV$21</f>
        <v>9.7431000799226624</v>
      </c>
      <c r="CV69" s="21"/>
      <c r="CW69" s="81">
        <f>H69*月別販売比率!$BA$21</f>
        <v>8.8996993128075648</v>
      </c>
      <c r="CX69" s="21"/>
      <c r="CY69" s="81">
        <f>H69*月別販売比率!$BF$21</f>
        <v>12.8</v>
      </c>
      <c r="CZ69" s="21"/>
      <c r="DA69" s="28"/>
      <c r="DB69" s="294"/>
    </row>
    <row r="70" spans="2:106" ht="30.75" customHeight="1">
      <c r="C70" s="457"/>
      <c r="D70" s="442"/>
      <c r="E70" s="94" t="s">
        <v>50</v>
      </c>
      <c r="F70" s="57">
        <v>44</v>
      </c>
      <c r="G70" s="46">
        <f t="shared" si="81"/>
        <v>159720</v>
      </c>
      <c r="H70" s="45">
        <f>F70*($H$65/$F$65)</f>
        <v>125.44138929088277</v>
      </c>
      <c r="I70" s="46">
        <f t="shared" si="82"/>
        <v>455352.24312590447</v>
      </c>
      <c r="J70" s="9">
        <v>30</v>
      </c>
      <c r="K70" s="21">
        <f t="shared" si="73"/>
        <v>42</v>
      </c>
      <c r="L70" s="21">
        <v>3</v>
      </c>
      <c r="M70" s="39">
        <v>9</v>
      </c>
      <c r="N70" s="95">
        <v>30</v>
      </c>
      <c r="O70" s="289">
        <v>45594</v>
      </c>
      <c r="P70" s="19"/>
      <c r="Q70" s="124"/>
      <c r="R70" s="331">
        <v>45687</v>
      </c>
      <c r="S70" s="328"/>
      <c r="T70" s="124"/>
      <c r="U70" s="124"/>
      <c r="V70" s="124"/>
      <c r="W70" s="124"/>
      <c r="X70" s="328"/>
      <c r="Y70" s="328"/>
      <c r="Z70" s="124"/>
      <c r="AA70" s="328"/>
      <c r="AB70" s="124"/>
      <c r="AC70" s="124"/>
      <c r="AD70" s="124"/>
      <c r="AE70" s="124"/>
      <c r="AF70" s="124"/>
      <c r="AG70" s="124"/>
      <c r="AH70" s="124"/>
      <c r="AI70" s="129">
        <f>SUM(J70:K70)-CI70+CJ70</f>
        <v>61.964688856729381</v>
      </c>
      <c r="AJ70" s="129">
        <f t="shared" si="74"/>
        <v>52.410229640999617</v>
      </c>
      <c r="AK70" s="129">
        <f t="shared" si="75"/>
        <v>37.357262926093682</v>
      </c>
      <c r="AL70" s="399">
        <f t="shared" si="76"/>
        <v>24.813123997005405</v>
      </c>
      <c r="AM70" s="393">
        <f t="shared" si="83"/>
        <v>48.523398960825958</v>
      </c>
      <c r="AN70" s="393">
        <f t="shared" si="77"/>
        <v>35.979260031737681</v>
      </c>
      <c r="AO70" s="393">
        <f t="shared" si="78"/>
        <v>28.340584969077618</v>
      </c>
      <c r="AP70" s="96">
        <f t="shared" si="79"/>
        <v>21.363143431142021</v>
      </c>
      <c r="AQ70" s="91">
        <f t="shared" si="80"/>
        <v>11.327832287871399</v>
      </c>
      <c r="AR70" s="198"/>
      <c r="AS70" s="245">
        <f>$H$70*月別販売比率!AG5</f>
        <v>12.544138929088277</v>
      </c>
      <c r="AT70" s="241">
        <v>30</v>
      </c>
      <c r="AU70" s="81">
        <f>$H$70*月別販売比率!AL5</f>
        <v>11.289725036179449</v>
      </c>
      <c r="AV70" s="21"/>
      <c r="AW70" s="81">
        <f>$H$70*月別販売比率!AQ5</f>
        <v>12.544138929088277</v>
      </c>
      <c r="AX70" s="21"/>
      <c r="AY70" s="245">
        <f>$H$70*月別販売比率!AV5</f>
        <v>7.6386750626600612</v>
      </c>
      <c r="AZ70" s="241"/>
      <c r="BA70" s="81">
        <f>$H$70*月別販売比率!BA5</f>
        <v>6.9774415379355981</v>
      </c>
      <c r="BB70" s="21"/>
      <c r="BC70" s="245">
        <f>$H$70*月別販売比率!BF5</f>
        <v>10.035311143270622</v>
      </c>
      <c r="BD70" s="241">
        <v>11</v>
      </c>
      <c r="BE70" s="81">
        <f>$H$70*月別販売比率!C21</f>
        <v>8.8893101110289852</v>
      </c>
      <c r="BF70" s="21"/>
      <c r="BG70" s="245">
        <f>$H$70*月別販売比率!H21</f>
        <v>8.7808972503617948</v>
      </c>
      <c r="BH70" s="241">
        <v>40</v>
      </c>
      <c r="BI70" s="81">
        <f>$H$70*月別販売比率!M21</f>
        <v>12.677569570533036</v>
      </c>
      <c r="BJ70" s="21"/>
      <c r="BK70" s="245">
        <f>$H$70*月別販売比率!R21</f>
        <v>10.035311143270622</v>
      </c>
      <c r="BL70" s="241">
        <v>30</v>
      </c>
      <c r="BM70" s="245">
        <f>$H$70*月別販売比率!W21</f>
        <v>9.5544592157297661</v>
      </c>
      <c r="BN70" s="241">
        <v>23</v>
      </c>
      <c r="BO70" s="81">
        <f>$H$70*月別販売比率!AB21</f>
        <v>15.052966714905931</v>
      </c>
      <c r="BP70" s="21"/>
      <c r="BQ70" s="81">
        <f>$H$70*月別販売比率!AG21</f>
        <v>12.544138929088277</v>
      </c>
      <c r="BR70" s="21"/>
      <c r="BS70" s="81">
        <f>$H$70*月別販売比率!AL21</f>
        <v>11.289725036179449</v>
      </c>
      <c r="BT70" s="21"/>
      <c r="BU70" s="245">
        <f>$H$70*月別販売比率!AQ21</f>
        <v>12.544138929088277</v>
      </c>
      <c r="BV70" s="241"/>
      <c r="BW70" s="81">
        <f>$H$70*月別販売比率!AV21</f>
        <v>7.6386750626600612</v>
      </c>
      <c r="BX70" s="21"/>
      <c r="BY70" s="81">
        <f>$H$70*月別販売比率!BA21</f>
        <v>6.9774415379355981</v>
      </c>
      <c r="BZ70" s="21"/>
      <c r="CA70" s="81">
        <f>$H$70*月別販売比率!BF21</f>
        <v>10.035311143270622</v>
      </c>
      <c r="CB70" s="21"/>
      <c r="CC70" s="245">
        <f>H70*月別販売比率!$C$21</f>
        <v>8.8893101110289852</v>
      </c>
      <c r="CD70" s="241"/>
      <c r="CE70" s="81">
        <f>H70*月別販売比率!$H$21</f>
        <v>8.7808972503617948</v>
      </c>
      <c r="CF70" s="21"/>
      <c r="CG70" s="81">
        <f>H70*月別販売比率!$M$21</f>
        <v>12.677569570533036</v>
      </c>
      <c r="CH70" s="21"/>
      <c r="CI70" s="81">
        <f>H70*月別販売比率!$R$21</f>
        <v>10.035311143270622</v>
      </c>
      <c r="CJ70" s="21"/>
      <c r="CK70" s="81">
        <f>H70*月別販売比率!$W$21</f>
        <v>9.5544592157297661</v>
      </c>
      <c r="CL70" s="21"/>
      <c r="CM70" s="81">
        <f>H70*月別販売比率!$AB$21</f>
        <v>15.052966714905931</v>
      </c>
      <c r="CN70" s="21"/>
      <c r="CO70" s="81">
        <f>H70*月別販売比率!$AG$21</f>
        <v>12.544138929088277</v>
      </c>
      <c r="CP70" s="21"/>
      <c r="CQ70" s="81">
        <f>H70*月別販売比率!$AL$21</f>
        <v>11.289725036179449</v>
      </c>
      <c r="CR70" s="21">
        <v>35</v>
      </c>
      <c r="CS70" s="81">
        <f>H70*月別販売比率!$AQ$21</f>
        <v>12.544138929088277</v>
      </c>
      <c r="CT70" s="21"/>
      <c r="CU70" s="81">
        <f>H70*月別販売比率!$AV$21</f>
        <v>7.6386750626600612</v>
      </c>
      <c r="CV70" s="21"/>
      <c r="CW70" s="81">
        <f>H70*月別販売比率!$BA$21</f>
        <v>6.9774415379355981</v>
      </c>
      <c r="CX70" s="21"/>
      <c r="CY70" s="81">
        <f>H70*月別販売比率!$BF$21</f>
        <v>10.035311143270622</v>
      </c>
      <c r="CZ70" s="21"/>
      <c r="DA70" s="28"/>
      <c r="DB70" s="294"/>
    </row>
    <row r="71" spans="2:106" ht="30.75" customHeight="1">
      <c r="C71" s="457"/>
      <c r="D71" s="443">
        <v>2</v>
      </c>
      <c r="E71" s="94" t="s">
        <v>46</v>
      </c>
      <c r="F71" s="57">
        <v>97</v>
      </c>
      <c r="G71" s="46">
        <f t="shared" si="81"/>
        <v>352110</v>
      </c>
      <c r="H71" s="45">
        <f>F71*($H$65/$F$65)</f>
        <v>276.54124457308245</v>
      </c>
      <c r="I71" s="46">
        <f t="shared" si="82"/>
        <v>1003844.7178002893</v>
      </c>
      <c r="J71" s="9">
        <v>7</v>
      </c>
      <c r="K71" s="21">
        <f t="shared" si="73"/>
        <v>70</v>
      </c>
      <c r="L71" s="21">
        <v>2</v>
      </c>
      <c r="M71" s="39">
        <v>13</v>
      </c>
      <c r="N71" s="95">
        <v>55</v>
      </c>
      <c r="O71" s="289">
        <v>45594</v>
      </c>
      <c r="P71" s="19"/>
      <c r="Q71" s="124"/>
      <c r="R71" s="331">
        <v>45687</v>
      </c>
      <c r="S71" s="124"/>
      <c r="T71" s="124"/>
      <c r="U71" s="124"/>
      <c r="V71" s="124"/>
      <c r="W71" s="124"/>
      <c r="X71" s="328"/>
      <c r="Y71" s="328"/>
      <c r="Z71" s="124"/>
      <c r="AA71" s="328"/>
      <c r="AB71" s="124"/>
      <c r="AC71" s="328"/>
      <c r="AD71" s="124"/>
      <c r="AE71" s="124"/>
      <c r="AF71" s="124"/>
      <c r="AG71" s="124"/>
      <c r="AH71" s="124"/>
      <c r="AI71" s="129">
        <f>SUM(J71:K71)-CI71+CJ71</f>
        <v>54.876700434153406</v>
      </c>
      <c r="AJ71" s="129">
        <f t="shared" si="74"/>
        <v>33.813460799476424</v>
      </c>
      <c r="AK71" s="129">
        <f t="shared" si="75"/>
        <v>0.62851145070653303</v>
      </c>
      <c r="AL71" s="399">
        <f t="shared" si="76"/>
        <v>-27.025613006601713</v>
      </c>
      <c r="AM71" s="393">
        <f>0-CQ71+CR71</f>
        <v>85.111287988422589</v>
      </c>
      <c r="AN71" s="393">
        <f t="shared" si="77"/>
        <v>57.457163531114347</v>
      </c>
      <c r="AO71" s="393">
        <f t="shared" si="78"/>
        <v>40.617357142977397</v>
      </c>
      <c r="AP71" s="96">
        <f t="shared" si="79"/>
        <v>25.235270116164831</v>
      </c>
      <c r="AQ71" s="91">
        <f t="shared" si="80"/>
        <v>3.1119705503182331</v>
      </c>
      <c r="AR71" s="198"/>
      <c r="AS71" s="245">
        <f>$H$71*月別販売比率!AG5</f>
        <v>27.654124457308246</v>
      </c>
      <c r="AT71" s="241">
        <v>36</v>
      </c>
      <c r="AU71" s="81">
        <f>$H$71*月別販売比率!AL5</f>
        <v>24.888712011577418</v>
      </c>
      <c r="AV71" s="21"/>
      <c r="AW71" s="81">
        <f>$H$71*月別販売比率!AQ5</f>
        <v>27.654124457308246</v>
      </c>
      <c r="AX71" s="21"/>
      <c r="AY71" s="245">
        <f>$H$71*月別販売比率!AV5</f>
        <v>16.839806388136953</v>
      </c>
      <c r="AZ71" s="241">
        <v>55</v>
      </c>
      <c r="BA71" s="81">
        <f>$H$71*月別販売比率!BA5</f>
        <v>15.382087026812567</v>
      </c>
      <c r="BB71" s="21"/>
      <c r="BC71" s="245">
        <f>$H$71*月別販売比率!BF5</f>
        <v>22.123299565846597</v>
      </c>
      <c r="BD71" s="241">
        <v>38</v>
      </c>
      <c r="BE71" s="81">
        <f>$H$71*月別販売比率!C21</f>
        <v>19.596888199313895</v>
      </c>
      <c r="BF71" s="21"/>
      <c r="BG71" s="245">
        <f>$H$71*月別販売比率!H21</f>
        <v>19.357887120115773</v>
      </c>
      <c r="BH71" s="241">
        <v>75</v>
      </c>
      <c r="BI71" s="81">
        <f>$H$71*月別販売比率!M21</f>
        <v>27.948278371402374</v>
      </c>
      <c r="BJ71" s="21"/>
      <c r="BK71" s="245">
        <f>$H$71*月別販売比率!R21</f>
        <v>22.123299565846597</v>
      </c>
      <c r="BL71" s="241">
        <v>60</v>
      </c>
      <c r="BM71" s="245">
        <f>$H$71*月別販売比率!W21</f>
        <v>21.063239634676982</v>
      </c>
      <c r="BN71" s="241">
        <v>50</v>
      </c>
      <c r="BO71" s="81">
        <f>$H$71*月別販売比率!AB21</f>
        <v>33.184949348769891</v>
      </c>
      <c r="BP71" s="21"/>
      <c r="BQ71" s="81">
        <f>$H$71*月別販売比率!AG21</f>
        <v>27.654124457308246</v>
      </c>
      <c r="BR71" s="21"/>
      <c r="BS71" s="81">
        <f>$H$71*月別販売比率!AL21</f>
        <v>24.888712011577418</v>
      </c>
      <c r="BT71" s="21"/>
      <c r="BU71" s="245">
        <f>$H$71*月別販売比率!AQ21</f>
        <v>27.654124457308246</v>
      </c>
      <c r="BV71" s="241">
        <v>112</v>
      </c>
      <c r="BW71" s="81">
        <f>$H$71*月別販売比率!AV21</f>
        <v>16.839806388136953</v>
      </c>
      <c r="BX71" s="21"/>
      <c r="BY71" s="81">
        <f>$H$71*月別販売比率!BA21</f>
        <v>15.382087026812567</v>
      </c>
      <c r="BZ71" s="21"/>
      <c r="CA71" s="81">
        <f>$H$71*月別販売比率!BF21</f>
        <v>22.123299565846597</v>
      </c>
      <c r="CB71" s="21"/>
      <c r="CC71" s="245">
        <f>H71*月別販売比率!$C$21</f>
        <v>19.596888199313895</v>
      </c>
      <c r="CD71" s="241"/>
      <c r="CE71" s="81">
        <f>H71*月別販売比率!$H$21</f>
        <v>19.357887120115773</v>
      </c>
      <c r="CF71" s="21"/>
      <c r="CG71" s="81">
        <f>H71*月別販売比率!$M$21</f>
        <v>27.948278371402374</v>
      </c>
      <c r="CH71" s="21"/>
      <c r="CI71" s="81">
        <f>H71*月別販売比率!$R$21</f>
        <v>22.123299565846597</v>
      </c>
      <c r="CJ71" s="21"/>
      <c r="CK71" s="81">
        <f>H71*月別販売比率!$W$21</f>
        <v>21.063239634676982</v>
      </c>
      <c r="CL71" s="21"/>
      <c r="CM71" s="81">
        <f>H71*月別販売比率!$AB$21</f>
        <v>33.184949348769891</v>
      </c>
      <c r="CN71" s="21"/>
      <c r="CO71" s="81">
        <f>H71*月別販売比率!$AG$21</f>
        <v>27.654124457308246</v>
      </c>
      <c r="CP71" s="21"/>
      <c r="CQ71" s="81">
        <f>H71*月別販売比率!$AL$21</f>
        <v>24.888712011577418</v>
      </c>
      <c r="CR71" s="21">
        <v>110</v>
      </c>
      <c r="CS71" s="81">
        <f>H71*月別販売比率!$AQ$21</f>
        <v>27.654124457308246</v>
      </c>
      <c r="CT71" s="21"/>
      <c r="CU71" s="81">
        <f>H71*月別販売比率!$AV$21</f>
        <v>16.839806388136953</v>
      </c>
      <c r="CV71" s="21"/>
      <c r="CW71" s="81">
        <f>H71*月別販売比率!$BA$21</f>
        <v>15.382087026812567</v>
      </c>
      <c r="CX71" s="21"/>
      <c r="CY71" s="81">
        <f>H71*月別販売比率!$BF$21</f>
        <v>22.123299565846597</v>
      </c>
      <c r="CZ71" s="21"/>
      <c r="DA71" s="28"/>
      <c r="DB71" s="294"/>
    </row>
    <row r="72" spans="2:106" ht="30.75" customHeight="1">
      <c r="C72" s="457"/>
      <c r="D72" s="441"/>
      <c r="E72" s="94" t="s">
        <v>47</v>
      </c>
      <c r="F72" s="57">
        <v>78</v>
      </c>
      <c r="G72" s="46">
        <f t="shared" si="81"/>
        <v>283140</v>
      </c>
      <c r="H72" s="164">
        <v>260</v>
      </c>
      <c r="I72" s="46">
        <f t="shared" si="82"/>
        <v>943800</v>
      </c>
      <c r="J72" s="9">
        <v>13</v>
      </c>
      <c r="K72" s="21">
        <f t="shared" si="73"/>
        <v>62</v>
      </c>
      <c r="L72" s="21">
        <v>4</v>
      </c>
      <c r="M72" s="39">
        <v>13</v>
      </c>
      <c r="N72" s="95">
        <v>45</v>
      </c>
      <c r="O72" s="289">
        <v>45594</v>
      </c>
      <c r="P72" s="19"/>
      <c r="Q72" s="328"/>
      <c r="R72" s="331">
        <v>45687</v>
      </c>
      <c r="S72" s="328"/>
      <c r="T72" s="328"/>
      <c r="U72" s="331">
        <v>45765</v>
      </c>
      <c r="V72" s="124"/>
      <c r="W72" s="124"/>
      <c r="X72" s="328"/>
      <c r="Y72" s="328"/>
      <c r="Z72" s="124"/>
      <c r="AA72" s="124"/>
      <c r="AB72" s="328"/>
      <c r="AC72" s="328"/>
      <c r="AD72" s="124"/>
      <c r="AE72" s="124"/>
      <c r="AF72" s="124"/>
      <c r="AG72" s="124"/>
      <c r="AH72" s="124"/>
      <c r="AI72" s="129">
        <f>SUM(J72:K72)-CI72+CJ72</f>
        <v>141.19999999999999</v>
      </c>
      <c r="AJ72" s="129">
        <f t="shared" si="74"/>
        <v>121.39665271460532</v>
      </c>
      <c r="AK72" s="129">
        <f t="shared" si="75"/>
        <v>90.196652714605321</v>
      </c>
      <c r="AL72" s="399">
        <f t="shared" si="76"/>
        <v>64.196652714605321</v>
      </c>
      <c r="AM72" s="393">
        <f t="shared" si="83"/>
        <v>100.79665271460533</v>
      </c>
      <c r="AN72" s="393">
        <f t="shared" si="77"/>
        <v>74.796652714605329</v>
      </c>
      <c r="AO72" s="393">
        <f t="shared" si="78"/>
        <v>58.964115084731006</v>
      </c>
      <c r="AP72" s="96">
        <f t="shared" si="79"/>
        <v>44.502103701418712</v>
      </c>
      <c r="AQ72" s="91">
        <f t="shared" si="80"/>
        <v>23.702103701418711</v>
      </c>
      <c r="AR72" s="198"/>
      <c r="AS72" s="245">
        <f>$H$72*月別販売比率!AG5</f>
        <v>26</v>
      </c>
      <c r="AT72" s="241">
        <v>50</v>
      </c>
      <c r="AU72" s="81">
        <f>$H$72*月別販売比率!AL5</f>
        <v>23.4</v>
      </c>
      <c r="AV72" s="21"/>
      <c r="AW72" s="81">
        <f>$H$72*月別販売比率!AQ5</f>
        <v>26</v>
      </c>
      <c r="AX72" s="21"/>
      <c r="AY72" s="245">
        <f>$H$72*月別販売比率!AV5</f>
        <v>15.832537629874327</v>
      </c>
      <c r="AZ72" s="241">
        <v>35</v>
      </c>
      <c r="BA72" s="81">
        <f>$H$72*月別販売比率!BA5</f>
        <v>14.462011383312294</v>
      </c>
      <c r="BB72" s="21"/>
      <c r="BC72" s="245">
        <f>$H$72*月別販売比率!BF5</f>
        <v>20.8</v>
      </c>
      <c r="BD72" s="241">
        <v>45</v>
      </c>
      <c r="BE72" s="81">
        <f>$H$72*月別販売比率!C21</f>
        <v>18.424705290118453</v>
      </c>
      <c r="BF72" s="21"/>
      <c r="BG72" s="245">
        <f>$H$72*月別販売比率!H21</f>
        <v>18.200000000000003</v>
      </c>
      <c r="BH72" s="241">
        <v>50</v>
      </c>
      <c r="BI72" s="81">
        <f>$H$72*月別販売比率!M21</f>
        <v>26.276559172150041</v>
      </c>
      <c r="BJ72" s="21"/>
      <c r="BK72" s="245">
        <f>$H$72*月別販売比率!R21</f>
        <v>20.8</v>
      </c>
      <c r="BL72" s="241">
        <v>55</v>
      </c>
      <c r="BM72" s="245">
        <f>$H$72*月別販売比率!W21</f>
        <v>19.803347285394668</v>
      </c>
      <c r="BN72" s="241">
        <v>39</v>
      </c>
      <c r="BO72" s="81">
        <f>$H$72*月別販売比率!AB21</f>
        <v>31.2</v>
      </c>
      <c r="BP72" s="21"/>
      <c r="BQ72" s="81">
        <f>$H$72*月別販売比率!AG21</f>
        <v>26</v>
      </c>
      <c r="BR72" s="21"/>
      <c r="BS72" s="81">
        <f>$H$72*月別販売比率!AL21</f>
        <v>23.4</v>
      </c>
      <c r="BT72" s="21"/>
      <c r="BU72" s="245">
        <f>$H$72*月別販売比率!AQ21</f>
        <v>26</v>
      </c>
      <c r="BV72" s="241">
        <v>29</v>
      </c>
      <c r="BW72" s="81">
        <f>$H$72*月別販売比率!AV21</f>
        <v>15.832537629874327</v>
      </c>
      <c r="BX72" s="21"/>
      <c r="BY72" s="81">
        <f>$H$72*月別販売比率!BA21</f>
        <v>14.462011383312294</v>
      </c>
      <c r="BZ72" s="21"/>
      <c r="CA72" s="81">
        <f>$H$72*月別販売比率!BF21</f>
        <v>20.8</v>
      </c>
      <c r="CB72" s="21"/>
      <c r="CC72" s="245">
        <f>H72*月別販売比率!$C$21</f>
        <v>18.424705290118453</v>
      </c>
      <c r="CD72" s="241">
        <v>40</v>
      </c>
      <c r="CE72" s="81">
        <f>H72*月別販売比率!$H$21</f>
        <v>18.200000000000003</v>
      </c>
      <c r="CF72" s="21"/>
      <c r="CG72" s="81">
        <f>H72*月別販売比率!$M$21</f>
        <v>26.276559172150041</v>
      </c>
      <c r="CH72" s="21"/>
      <c r="CI72" s="81">
        <f>H72*月別販売比率!$R$21</f>
        <v>20.8</v>
      </c>
      <c r="CJ72" s="21">
        <v>87</v>
      </c>
      <c r="CK72" s="81">
        <f>H72*月別販売比率!$W$21</f>
        <v>19.803347285394668</v>
      </c>
      <c r="CL72" s="21"/>
      <c r="CM72" s="81">
        <f>H72*月別販売比率!$AB$21</f>
        <v>31.2</v>
      </c>
      <c r="CN72" s="21"/>
      <c r="CO72" s="81">
        <f>H72*月別販売比率!$AG$21</f>
        <v>26</v>
      </c>
      <c r="CP72" s="21"/>
      <c r="CQ72" s="81">
        <f>H72*月別販売比率!$AL$21</f>
        <v>23.4</v>
      </c>
      <c r="CR72" s="21">
        <v>60</v>
      </c>
      <c r="CS72" s="81">
        <f>H72*月別販売比率!$AQ$21</f>
        <v>26</v>
      </c>
      <c r="CT72" s="21"/>
      <c r="CU72" s="81">
        <f>H72*月別販売比率!$AV$21</f>
        <v>15.832537629874327</v>
      </c>
      <c r="CV72" s="21"/>
      <c r="CW72" s="81">
        <f>H72*月別販売比率!$BA$21</f>
        <v>14.462011383312294</v>
      </c>
      <c r="CX72" s="21"/>
      <c r="CY72" s="81">
        <f>H72*月別販売比率!$BF$21</f>
        <v>20.8</v>
      </c>
      <c r="CZ72" s="21"/>
      <c r="DA72" s="28"/>
      <c r="DB72" s="294"/>
    </row>
    <row r="73" spans="2:106" ht="30.75" customHeight="1">
      <c r="C73" s="457"/>
      <c r="D73" s="441"/>
      <c r="E73" s="94" t="s">
        <v>51</v>
      </c>
      <c r="F73" s="57">
        <v>63</v>
      </c>
      <c r="G73" s="46">
        <f t="shared" si="81"/>
        <v>228690</v>
      </c>
      <c r="H73" s="164">
        <v>230</v>
      </c>
      <c r="I73" s="46">
        <f t="shared" si="82"/>
        <v>834900</v>
      </c>
      <c r="J73" s="9">
        <v>9</v>
      </c>
      <c r="K73" s="21">
        <f t="shared" si="73"/>
        <v>42</v>
      </c>
      <c r="L73" s="21">
        <v>6</v>
      </c>
      <c r="M73" s="39">
        <v>10</v>
      </c>
      <c r="N73" s="95">
        <v>26</v>
      </c>
      <c r="O73" s="289">
        <v>45594</v>
      </c>
      <c r="P73" s="19"/>
      <c r="Q73" s="328"/>
      <c r="R73" s="331">
        <v>45687</v>
      </c>
      <c r="S73" s="328"/>
      <c r="T73" s="328"/>
      <c r="U73" s="331">
        <v>45765</v>
      </c>
      <c r="V73" s="124"/>
      <c r="W73" s="124"/>
      <c r="X73" s="328"/>
      <c r="Y73" s="328"/>
      <c r="Z73" s="124"/>
      <c r="AA73" s="124"/>
      <c r="AB73" s="124"/>
      <c r="AC73" s="124"/>
      <c r="AD73" s="124"/>
      <c r="AE73" s="124"/>
      <c r="AF73" s="124"/>
      <c r="AG73" s="124"/>
      <c r="AH73" s="124"/>
      <c r="AI73" s="129">
        <f>SUM(J73:K73)-CI73+CJ73</f>
        <v>89.6</v>
      </c>
      <c r="AJ73" s="129">
        <f t="shared" si="74"/>
        <v>72.081654324458555</v>
      </c>
      <c r="AK73" s="129">
        <f t="shared" si="75"/>
        <v>44.48165432445856</v>
      </c>
      <c r="AL73" s="399">
        <f t="shared" si="76"/>
        <v>21.48165432445856</v>
      </c>
      <c r="AM73" s="393">
        <f t="shared" si="83"/>
        <v>90.781654324458557</v>
      </c>
      <c r="AN73" s="393">
        <f t="shared" si="77"/>
        <v>67.781654324458557</v>
      </c>
      <c r="AO73" s="393">
        <f t="shared" si="78"/>
        <v>53.775947959569727</v>
      </c>
      <c r="AP73" s="96">
        <f t="shared" si="79"/>
        <v>40.982630197408852</v>
      </c>
      <c r="AQ73" s="91">
        <f t="shared" si="80"/>
        <v>22.58263019740885</v>
      </c>
      <c r="AR73" s="198"/>
      <c r="AS73" s="245">
        <f>$H$73*月別販売比率!AG5</f>
        <v>23</v>
      </c>
      <c r="AT73" s="241">
        <v>40</v>
      </c>
      <c r="AU73" s="81">
        <f>$H$73*月別販売比率!AL5</f>
        <v>20.7</v>
      </c>
      <c r="AV73" s="21"/>
      <c r="AW73" s="81">
        <f>$H$73*月別販売比率!AQ5</f>
        <v>23</v>
      </c>
      <c r="AX73" s="21"/>
      <c r="AY73" s="245">
        <f>$H$73*月別販売比率!AV5</f>
        <v>14.005706364888828</v>
      </c>
      <c r="AZ73" s="241">
        <v>28</v>
      </c>
      <c r="BA73" s="81">
        <f>$H$73*月別販売比率!BA5</f>
        <v>12.793317762160875</v>
      </c>
      <c r="BB73" s="21"/>
      <c r="BC73" s="245">
        <f>$H$73*月別販売比率!BF5</f>
        <v>18.400000000000002</v>
      </c>
      <c r="BD73" s="241">
        <v>4</v>
      </c>
      <c r="BE73" s="81">
        <f>$H$73*月別販売比率!C21</f>
        <v>16.298777756643247</v>
      </c>
      <c r="BF73" s="21"/>
      <c r="BG73" s="245">
        <f>$H$73*月別販売比率!H21</f>
        <v>16.100000000000001</v>
      </c>
      <c r="BH73" s="241">
        <v>48</v>
      </c>
      <c r="BI73" s="81">
        <f>$H$73*月別販売比率!M21</f>
        <v>23.244648498440419</v>
      </c>
      <c r="BJ73" s="21"/>
      <c r="BK73" s="245">
        <f>$H$73*月別販売比率!R21</f>
        <v>18.400000000000002</v>
      </c>
      <c r="BL73" s="241">
        <v>50</v>
      </c>
      <c r="BM73" s="245">
        <f>$H$73*月別販売比率!W21</f>
        <v>17.518345675541436</v>
      </c>
      <c r="BN73" s="241">
        <v>33</v>
      </c>
      <c r="BO73" s="81">
        <f>$H$73*月別販売比率!AB21</f>
        <v>27.599999999999998</v>
      </c>
      <c r="BP73" s="21"/>
      <c r="BQ73" s="81">
        <f>$H$73*月別販売比率!AG21</f>
        <v>23</v>
      </c>
      <c r="BR73" s="21"/>
      <c r="BS73" s="81">
        <f>$H$73*月別販売比率!AL21</f>
        <v>20.7</v>
      </c>
      <c r="BT73" s="21"/>
      <c r="BU73" s="245">
        <f>$H$73*月別販売比率!AQ21</f>
        <v>23</v>
      </c>
      <c r="BV73" s="241">
        <v>67</v>
      </c>
      <c r="BW73" s="81">
        <f>$H$73*月別販売比率!AV21</f>
        <v>14.005706364888828</v>
      </c>
      <c r="BX73" s="21"/>
      <c r="BY73" s="81">
        <f>$H$73*月別販売比率!BA21</f>
        <v>12.793317762160875</v>
      </c>
      <c r="BZ73" s="21"/>
      <c r="CA73" s="81">
        <f>$H$73*月別販売比率!BF21</f>
        <v>18.400000000000002</v>
      </c>
      <c r="CB73" s="21"/>
      <c r="CC73" s="245">
        <f>H73*月別販売比率!$C$21</f>
        <v>16.298777756643247</v>
      </c>
      <c r="CD73" s="241">
        <v>20</v>
      </c>
      <c r="CE73" s="81">
        <f>H73*月別販売比率!$H$21</f>
        <v>16.100000000000001</v>
      </c>
      <c r="CF73" s="21"/>
      <c r="CG73" s="81">
        <f>H73*月別販売比率!$M$21</f>
        <v>23.244648498440419</v>
      </c>
      <c r="CH73" s="21"/>
      <c r="CI73" s="81">
        <f>H73*月別販売比率!$R$21</f>
        <v>18.400000000000002</v>
      </c>
      <c r="CJ73" s="21">
        <v>57</v>
      </c>
      <c r="CK73" s="81">
        <f>H73*月別販売比率!$W$21</f>
        <v>17.518345675541436</v>
      </c>
      <c r="CL73" s="21"/>
      <c r="CM73" s="81">
        <f>H73*月別販売比率!$AB$21</f>
        <v>27.599999999999998</v>
      </c>
      <c r="CN73" s="21"/>
      <c r="CO73" s="81">
        <f>H73*月別販売比率!$AG$21</f>
        <v>23</v>
      </c>
      <c r="CP73" s="21"/>
      <c r="CQ73" s="81">
        <f>H73*月別販売比率!$AL$21</f>
        <v>20.7</v>
      </c>
      <c r="CR73" s="21">
        <v>90</v>
      </c>
      <c r="CS73" s="81">
        <f>H73*月別販売比率!$AQ$21</f>
        <v>23</v>
      </c>
      <c r="CT73" s="21"/>
      <c r="CU73" s="81">
        <f>H73*月別販売比率!$AV$21</f>
        <v>14.005706364888828</v>
      </c>
      <c r="CV73" s="21"/>
      <c r="CW73" s="81">
        <f>H73*月別販売比率!$BA$21</f>
        <v>12.793317762160875</v>
      </c>
      <c r="CX73" s="21"/>
      <c r="CY73" s="81">
        <f>H73*月別販売比率!$BF$21</f>
        <v>18.400000000000002</v>
      </c>
      <c r="CZ73" s="21"/>
      <c r="DA73" s="28"/>
      <c r="DB73" s="294"/>
    </row>
    <row r="74" spans="2:106" ht="30.75" customHeight="1">
      <c r="C74" s="457"/>
      <c r="D74" s="441"/>
      <c r="E74" s="94" t="s">
        <v>49</v>
      </c>
      <c r="F74" s="57">
        <v>69</v>
      </c>
      <c r="G74" s="46">
        <f t="shared" si="81"/>
        <v>250470</v>
      </c>
      <c r="H74" s="45">
        <f>F74*($H$65/$F$65)</f>
        <v>196.7149059334298</v>
      </c>
      <c r="I74" s="46">
        <f t="shared" si="82"/>
        <v>714075.10853835021</v>
      </c>
      <c r="J74" s="9">
        <v>11</v>
      </c>
      <c r="K74" s="21">
        <f t="shared" si="73"/>
        <v>38</v>
      </c>
      <c r="L74" s="21">
        <v>5</v>
      </c>
      <c r="M74" s="39">
        <v>9</v>
      </c>
      <c r="N74" s="95">
        <v>24</v>
      </c>
      <c r="O74" s="289">
        <v>45594</v>
      </c>
      <c r="P74" s="19"/>
      <c r="Q74" s="328"/>
      <c r="R74" s="331">
        <v>45687</v>
      </c>
      <c r="S74" s="328"/>
      <c r="T74" s="328"/>
      <c r="U74" s="331">
        <v>45765</v>
      </c>
      <c r="V74" s="124"/>
      <c r="W74" s="124"/>
      <c r="X74" s="328"/>
      <c r="Y74" s="328"/>
      <c r="Z74" s="124"/>
      <c r="AA74" s="328"/>
      <c r="AB74" s="124"/>
      <c r="AC74" s="124"/>
      <c r="AD74" s="124"/>
      <c r="AE74" s="124"/>
      <c r="AF74" s="124"/>
      <c r="AG74" s="124"/>
      <c r="AH74" s="124"/>
      <c r="AI74" s="129">
        <f>SUM(J74:K74)-CI74+CJ74</f>
        <v>40.262807525325613</v>
      </c>
      <c r="AJ74" s="129">
        <f t="shared" si="74"/>
        <v>25.279678300658482</v>
      </c>
      <c r="AK74" s="129">
        <f t="shared" si="75"/>
        <v>1.6738895886469045</v>
      </c>
      <c r="AL74" s="399">
        <f t="shared" si="76"/>
        <v>-17.997601004696076</v>
      </c>
      <c r="AM74" s="393">
        <f>0-CQ74+CR74</f>
        <v>62.295658465991323</v>
      </c>
      <c r="AN74" s="393">
        <f t="shared" si="77"/>
        <v>42.624167872648343</v>
      </c>
      <c r="AO74" s="393">
        <f t="shared" si="78"/>
        <v>30.645336524385975</v>
      </c>
      <c r="AP74" s="96">
        <f t="shared" si="79"/>
        <v>19.703439567168786</v>
      </c>
      <c r="AQ74" s="91">
        <f t="shared" si="80"/>
        <v>3.9662470924944007</v>
      </c>
      <c r="AR74" s="198"/>
      <c r="AS74" s="245">
        <f>$H$74*月別販売比率!AG5</f>
        <v>19.67149059334298</v>
      </c>
      <c r="AT74" s="241">
        <v>50</v>
      </c>
      <c r="AU74" s="81">
        <f>$H$74*月別販売比率!AL5</f>
        <v>17.70434153400868</v>
      </c>
      <c r="AV74" s="21"/>
      <c r="AW74" s="81">
        <f>$H$74*月別販売比率!AQ5</f>
        <v>19.67149059334298</v>
      </c>
      <c r="AX74" s="21"/>
      <c r="AY74" s="245">
        <f>$H$74*月別販売比率!AV5</f>
        <v>11.97883134826237</v>
      </c>
      <c r="AZ74" s="241">
        <v>30</v>
      </c>
      <c r="BA74" s="81">
        <f>$H$74*月別販売比率!BA5</f>
        <v>10.941896957217187</v>
      </c>
      <c r="BB74" s="21"/>
      <c r="BC74" s="245">
        <f>$H$74*月別販売比率!BF5</f>
        <v>15.737192474674385</v>
      </c>
      <c r="BD74" s="241">
        <v>16</v>
      </c>
      <c r="BE74" s="81">
        <f>$H$74*月別販売比率!C21</f>
        <v>13.940054492295454</v>
      </c>
      <c r="BF74" s="21"/>
      <c r="BG74" s="245">
        <f>$H$74*月別販売比率!H21</f>
        <v>13.770043415340087</v>
      </c>
      <c r="BH74" s="241">
        <v>60</v>
      </c>
      <c r="BI74" s="81">
        <f>$H$74*月別販売比率!M21</f>
        <v>19.880734099244989</v>
      </c>
      <c r="BJ74" s="21"/>
      <c r="BK74" s="245">
        <f>$H$74*月別販売比率!R21</f>
        <v>15.737192474674385</v>
      </c>
      <c r="BL74" s="241">
        <v>50</v>
      </c>
      <c r="BM74" s="245">
        <f>$H$74*月別販売比率!W21</f>
        <v>14.983129224667133</v>
      </c>
      <c r="BN74" s="241">
        <v>36</v>
      </c>
      <c r="BO74" s="81">
        <f>$H$74*月別販売比率!AB21</f>
        <v>23.605788712011577</v>
      </c>
      <c r="BP74" s="21"/>
      <c r="BQ74" s="81">
        <f>$H$74*月別販売比率!AG21</f>
        <v>19.67149059334298</v>
      </c>
      <c r="BR74" s="21"/>
      <c r="BS74" s="81">
        <f>$H$74*月別販売比率!AL21</f>
        <v>17.70434153400868</v>
      </c>
      <c r="BT74" s="21"/>
      <c r="BU74" s="245">
        <f>$H$74*月別販売比率!AQ21</f>
        <v>19.67149059334298</v>
      </c>
      <c r="BV74" s="241">
        <v>32</v>
      </c>
      <c r="BW74" s="81">
        <f>$H$74*月別販売比率!AV21</f>
        <v>11.97883134826237</v>
      </c>
      <c r="BX74" s="21"/>
      <c r="BY74" s="81">
        <f>$H$74*月別販売比率!BA21</f>
        <v>10.941896957217187</v>
      </c>
      <c r="BZ74" s="21"/>
      <c r="CA74" s="81">
        <f>$H$74*月別販売比率!BF21</f>
        <v>15.737192474674385</v>
      </c>
      <c r="CB74" s="21"/>
      <c r="CC74" s="245">
        <f>H74*月別販売比率!$C$21</f>
        <v>13.940054492295454</v>
      </c>
      <c r="CD74" s="241">
        <v>10</v>
      </c>
      <c r="CE74" s="81">
        <f>H74*月別販売比率!$H$21</f>
        <v>13.770043415340087</v>
      </c>
      <c r="CF74" s="21"/>
      <c r="CG74" s="81">
        <f>H74*月別販売比率!$M$21</f>
        <v>19.880734099244989</v>
      </c>
      <c r="CH74" s="21"/>
      <c r="CI74" s="81">
        <f>H74*月別販売比率!$R$21</f>
        <v>15.737192474674385</v>
      </c>
      <c r="CJ74" s="21">
        <v>7</v>
      </c>
      <c r="CK74" s="81">
        <f>H74*月別販売比率!$W$21</f>
        <v>14.983129224667133</v>
      </c>
      <c r="CL74" s="21"/>
      <c r="CM74" s="81">
        <f>H74*月別販売比率!$AB$21</f>
        <v>23.605788712011577</v>
      </c>
      <c r="CN74" s="21"/>
      <c r="CO74" s="81">
        <f>H74*月別販売比率!$AG$21</f>
        <v>19.67149059334298</v>
      </c>
      <c r="CP74" s="21"/>
      <c r="CQ74" s="81">
        <f>H74*月別販売比率!$AL$21</f>
        <v>17.70434153400868</v>
      </c>
      <c r="CR74" s="21">
        <v>80</v>
      </c>
      <c r="CS74" s="81">
        <f>H74*月別販売比率!$AQ$21</f>
        <v>19.67149059334298</v>
      </c>
      <c r="CT74" s="21"/>
      <c r="CU74" s="81">
        <f>H74*月別販売比率!$AV$21</f>
        <v>11.97883134826237</v>
      </c>
      <c r="CV74" s="21"/>
      <c r="CW74" s="81">
        <f>H74*月別販売比率!$BA$21</f>
        <v>10.941896957217187</v>
      </c>
      <c r="CX74" s="21"/>
      <c r="CY74" s="81">
        <f>H74*月別販売比率!$BF$21</f>
        <v>15.737192474674385</v>
      </c>
      <c r="CZ74" s="21"/>
      <c r="DA74" s="28"/>
      <c r="DB74" s="294"/>
    </row>
    <row r="75" spans="2:106" ht="30.75" customHeight="1">
      <c r="C75" s="458"/>
      <c r="D75" s="444"/>
      <c r="E75" s="122" t="s">
        <v>50</v>
      </c>
      <c r="F75" s="126">
        <v>56</v>
      </c>
      <c r="G75" s="53">
        <f t="shared" si="81"/>
        <v>203280</v>
      </c>
      <c r="H75" s="52">
        <f>F75*($H$65/$F$65)</f>
        <v>159.65267727930535</v>
      </c>
      <c r="I75" s="53">
        <f t="shared" si="82"/>
        <v>579539.21852387837</v>
      </c>
      <c r="J75" s="127">
        <v>5</v>
      </c>
      <c r="K75" s="103">
        <f t="shared" si="73"/>
        <v>26</v>
      </c>
      <c r="L75" s="103">
        <v>4</v>
      </c>
      <c r="M75" s="103">
        <v>6</v>
      </c>
      <c r="N75" s="117">
        <v>16</v>
      </c>
      <c r="O75" s="319">
        <v>45594</v>
      </c>
      <c r="P75" s="123"/>
      <c r="Q75" s="238"/>
      <c r="R75" s="334">
        <v>45687</v>
      </c>
      <c r="S75" s="329"/>
      <c r="T75" s="329"/>
      <c r="U75" s="334">
        <v>45765</v>
      </c>
      <c r="V75" s="238"/>
      <c r="W75" s="238"/>
      <c r="X75" s="329"/>
      <c r="Y75" s="329"/>
      <c r="Z75" s="238"/>
      <c r="AA75" s="238"/>
      <c r="AB75" s="238"/>
      <c r="AC75" s="238"/>
      <c r="AD75" s="238"/>
      <c r="AE75" s="238"/>
      <c r="AF75" s="238"/>
      <c r="AG75" s="238"/>
      <c r="AH75" s="238"/>
      <c r="AI75" s="238">
        <f>SUM(J75:K75)-CI75+CJ75</f>
        <v>25.227785817655572</v>
      </c>
      <c r="AJ75" s="238">
        <f t="shared" si="74"/>
        <v>13.06756499763587</v>
      </c>
      <c r="AK75" s="238">
        <f t="shared" si="75"/>
        <v>-6.0907562758807714</v>
      </c>
      <c r="AL75" s="401">
        <f t="shared" si="76"/>
        <v>-22.056024003811309</v>
      </c>
      <c r="AM75" s="395">
        <f>0-CQ75+CR75</f>
        <v>50.631259044862517</v>
      </c>
      <c r="AN75" s="395">
        <f t="shared" si="77"/>
        <v>34.665991316931979</v>
      </c>
      <c r="AO75" s="395">
        <f t="shared" si="78"/>
        <v>24.944041237182809</v>
      </c>
      <c r="AP75" s="403">
        <f t="shared" si="79"/>
        <v>16.063661097992046</v>
      </c>
      <c r="AQ75" s="90">
        <f t="shared" si="80"/>
        <v>3.2914469156476187</v>
      </c>
      <c r="AR75" s="238"/>
      <c r="AS75" s="301">
        <f>$H$75*月別販売比率!AG5</f>
        <v>15.965267727930536</v>
      </c>
      <c r="AT75" s="302">
        <v>50</v>
      </c>
      <c r="AU75" s="282">
        <f>$H$75*月別販売比率!AL5</f>
        <v>14.368740955137481</v>
      </c>
      <c r="AV75" s="103"/>
      <c r="AW75" s="282">
        <f>$H$75*月別販売比率!AQ5</f>
        <v>15.965267727930536</v>
      </c>
      <c r="AX75" s="103"/>
      <c r="AY75" s="301">
        <f>$H$75*月別販売比率!AV5</f>
        <v>9.7219500797491687</v>
      </c>
      <c r="AZ75" s="302">
        <v>10</v>
      </c>
      <c r="BA75" s="282">
        <f>$H$75*月別販売比率!BA5</f>
        <v>8.8803801391907609</v>
      </c>
      <c r="BB75" s="103"/>
      <c r="BC75" s="301">
        <f>$H$75*月別販売比率!BF5</f>
        <v>12.772214182344428</v>
      </c>
      <c r="BD75" s="302">
        <v>20</v>
      </c>
      <c r="BE75" s="282">
        <f>$H$75*月別販売比率!C21</f>
        <v>11.313667414036891</v>
      </c>
      <c r="BF75" s="103"/>
      <c r="BG75" s="301">
        <f>$H$75*月別販売比率!H21</f>
        <v>11.175687409551376</v>
      </c>
      <c r="BH75" s="302">
        <v>55</v>
      </c>
      <c r="BI75" s="282">
        <f>$H$75*月別販売比率!M21</f>
        <v>16.135088544314776</v>
      </c>
      <c r="BJ75" s="104"/>
      <c r="BK75" s="301">
        <f>$H$75*月別販売比率!R21</f>
        <v>12.772214182344428</v>
      </c>
      <c r="BL75" s="302">
        <v>35</v>
      </c>
      <c r="BM75" s="301">
        <f>$H$75*月別販売比率!W21</f>
        <v>12.160220820019703</v>
      </c>
      <c r="BN75" s="302">
        <v>29</v>
      </c>
      <c r="BO75" s="282">
        <f>$H$75*月別販売比率!AB21</f>
        <v>19.158321273516641</v>
      </c>
      <c r="BP75" s="103"/>
      <c r="BQ75" s="282">
        <f>$H$75*月別販売比率!AG21</f>
        <v>15.965267727930536</v>
      </c>
      <c r="BR75" s="103"/>
      <c r="BS75" s="282">
        <f>$H$75*月別販売比率!AL21</f>
        <v>14.368740955137481</v>
      </c>
      <c r="BT75" s="103"/>
      <c r="BU75" s="301">
        <f>$H$75*月別販売比率!AQ21</f>
        <v>15.965267727930536</v>
      </c>
      <c r="BV75" s="302"/>
      <c r="BW75" s="282">
        <f>$H$75*月別販売比率!AV21</f>
        <v>9.7219500797491687</v>
      </c>
      <c r="BX75" s="103"/>
      <c r="BY75" s="282">
        <f>$H$75*月別販売比率!BA21</f>
        <v>8.8803801391907609</v>
      </c>
      <c r="BZ75" s="103"/>
      <c r="CA75" s="282">
        <f>$H$75*月別販売比率!BF21</f>
        <v>12.772214182344428</v>
      </c>
      <c r="CB75" s="103"/>
      <c r="CC75" s="301">
        <f>H75*月別販売比率!$C$21</f>
        <v>11.313667414036891</v>
      </c>
      <c r="CD75" s="302">
        <v>10</v>
      </c>
      <c r="CE75" s="282">
        <f>H75*月別販売比率!$H$21</f>
        <v>11.175687409551376</v>
      </c>
      <c r="CF75" s="103"/>
      <c r="CG75" s="282">
        <f>H75*月別販売比率!$M$21</f>
        <v>16.135088544314776</v>
      </c>
      <c r="CH75" s="103"/>
      <c r="CI75" s="282">
        <f>H75*月別販売比率!$R$21</f>
        <v>12.772214182344428</v>
      </c>
      <c r="CJ75" s="103">
        <v>7</v>
      </c>
      <c r="CK75" s="282">
        <f>H75*月別販売比率!$W$21</f>
        <v>12.160220820019703</v>
      </c>
      <c r="CL75" s="103"/>
      <c r="CM75" s="282">
        <f>H75*月別販売比率!$AB$21</f>
        <v>19.158321273516641</v>
      </c>
      <c r="CN75" s="103"/>
      <c r="CO75" s="282">
        <f>H75*月別販売比率!$AG$21</f>
        <v>15.965267727930536</v>
      </c>
      <c r="CP75" s="103"/>
      <c r="CQ75" s="282">
        <f>H75*月別販売比率!$AL$21</f>
        <v>14.368740955137481</v>
      </c>
      <c r="CR75" s="103">
        <v>65</v>
      </c>
      <c r="CS75" s="282">
        <f>H75*月別販売比率!$AQ$21</f>
        <v>15.965267727930536</v>
      </c>
      <c r="CT75" s="103"/>
      <c r="CU75" s="282">
        <f>H75*月別販売比率!$AV$21</f>
        <v>9.7219500797491687</v>
      </c>
      <c r="CV75" s="103"/>
      <c r="CW75" s="282">
        <f>H75*月別販売比率!$BA$21</f>
        <v>8.8803801391907609</v>
      </c>
      <c r="CX75" s="103"/>
      <c r="CY75" s="282">
        <f>H75*月別販売比率!$BF$21</f>
        <v>12.772214182344428</v>
      </c>
      <c r="CZ75" s="103"/>
      <c r="DA75" s="303"/>
      <c r="DB75" s="300"/>
    </row>
    <row r="76" spans="2:106" ht="30.6" customHeight="1">
      <c r="B76" s="2">
        <v>6</v>
      </c>
      <c r="C76" s="435" t="s">
        <v>280</v>
      </c>
      <c r="D76" s="436"/>
      <c r="E76" s="445"/>
      <c r="F76" s="170">
        <f>SUM(F77:F88)</f>
        <v>272</v>
      </c>
      <c r="G76" s="171">
        <f>SUM(G77:G88)</f>
        <v>1795200</v>
      </c>
      <c r="H76" s="165">
        <v>1250</v>
      </c>
      <c r="I76" s="171">
        <f t="shared" ref="I76:N76" si="84">SUM(I77:I88)</f>
        <v>8250000</v>
      </c>
      <c r="J76" s="133">
        <f t="shared" si="84"/>
        <v>137</v>
      </c>
      <c r="K76" s="134">
        <f t="shared" si="84"/>
        <v>515</v>
      </c>
      <c r="L76" s="134">
        <f t="shared" si="84"/>
        <v>113</v>
      </c>
      <c r="M76" s="134">
        <f t="shared" si="84"/>
        <v>96</v>
      </c>
      <c r="N76" s="135">
        <f t="shared" si="84"/>
        <v>306</v>
      </c>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6">
        <f t="shared" ref="AS76:CZ76" si="85">SUM(AS77:AS88)</f>
        <v>125</v>
      </c>
      <c r="AT76" s="134">
        <f t="shared" si="85"/>
        <v>0</v>
      </c>
      <c r="AU76" s="136">
        <f t="shared" si="85"/>
        <v>112.5</v>
      </c>
      <c r="AV76" s="134">
        <f t="shared" si="85"/>
        <v>0</v>
      </c>
      <c r="AW76" s="136">
        <f t="shared" si="85"/>
        <v>125</v>
      </c>
      <c r="AX76" s="134">
        <f t="shared" si="85"/>
        <v>0</v>
      </c>
      <c r="AY76" s="136">
        <f t="shared" si="85"/>
        <v>76.117969374395813</v>
      </c>
      <c r="AZ76" s="134">
        <f t="shared" si="85"/>
        <v>0</v>
      </c>
      <c r="BA76" s="136">
        <f t="shared" si="85"/>
        <v>69.528900881309113</v>
      </c>
      <c r="BB76" s="134">
        <f t="shared" si="85"/>
        <v>193</v>
      </c>
      <c r="BC76" s="136">
        <f t="shared" si="85"/>
        <v>100</v>
      </c>
      <c r="BD76" s="134">
        <f t="shared" si="85"/>
        <v>0</v>
      </c>
      <c r="BE76" s="136">
        <f t="shared" si="85"/>
        <v>88.58031389480027</v>
      </c>
      <c r="BF76" s="134">
        <f t="shared" si="85"/>
        <v>0</v>
      </c>
      <c r="BG76" s="136">
        <f t="shared" si="85"/>
        <v>87.500000000000014</v>
      </c>
      <c r="BH76" s="134">
        <f t="shared" si="85"/>
        <v>155</v>
      </c>
      <c r="BI76" s="136">
        <f t="shared" si="85"/>
        <v>126.32961140456752</v>
      </c>
      <c r="BJ76" s="134">
        <f t="shared" si="85"/>
        <v>0</v>
      </c>
      <c r="BK76" s="136">
        <f t="shared" si="85"/>
        <v>100</v>
      </c>
      <c r="BL76" s="134">
        <f t="shared" si="85"/>
        <v>0</v>
      </c>
      <c r="BM76" s="136">
        <f t="shared" si="85"/>
        <v>95.208400410551292</v>
      </c>
      <c r="BN76" s="136">
        <f>SUM(BN77:BN88)</f>
        <v>264</v>
      </c>
      <c r="BO76" s="136">
        <f t="shared" si="85"/>
        <v>150.00000000000003</v>
      </c>
      <c r="BP76" s="134">
        <f t="shared" si="85"/>
        <v>0</v>
      </c>
      <c r="BQ76" s="136">
        <f t="shared" si="85"/>
        <v>125</v>
      </c>
      <c r="BR76" s="134">
        <f t="shared" si="85"/>
        <v>0</v>
      </c>
      <c r="BS76" s="136">
        <f t="shared" si="85"/>
        <v>112.5</v>
      </c>
      <c r="BT76" s="134">
        <f t="shared" si="85"/>
        <v>0</v>
      </c>
      <c r="BU76" s="136">
        <f t="shared" si="85"/>
        <v>125</v>
      </c>
      <c r="BV76" s="134">
        <f t="shared" si="85"/>
        <v>173</v>
      </c>
      <c r="BW76" s="136">
        <f t="shared" si="85"/>
        <v>76.117969374395813</v>
      </c>
      <c r="BX76" s="134">
        <f t="shared" si="85"/>
        <v>0</v>
      </c>
      <c r="BY76" s="136">
        <f t="shared" si="85"/>
        <v>69.528900881309113</v>
      </c>
      <c r="BZ76" s="134">
        <f t="shared" si="85"/>
        <v>286</v>
      </c>
      <c r="CA76" s="136">
        <f t="shared" si="85"/>
        <v>100</v>
      </c>
      <c r="CB76" s="134">
        <f t="shared" si="85"/>
        <v>0</v>
      </c>
      <c r="CC76" s="136">
        <f t="shared" si="85"/>
        <v>88.58031389480027</v>
      </c>
      <c r="CD76" s="134">
        <f t="shared" si="85"/>
        <v>0</v>
      </c>
      <c r="CE76" s="136">
        <f t="shared" si="85"/>
        <v>87.500000000000014</v>
      </c>
      <c r="CF76" s="134">
        <f t="shared" si="85"/>
        <v>385</v>
      </c>
      <c r="CG76" s="136">
        <f t="shared" si="85"/>
        <v>126.32961140456752</v>
      </c>
      <c r="CH76" s="134">
        <f>SUM(CH77:CH88)</f>
        <v>320</v>
      </c>
      <c r="CI76" s="136">
        <f t="shared" si="85"/>
        <v>100</v>
      </c>
      <c r="CJ76" s="134">
        <f t="shared" si="85"/>
        <v>60</v>
      </c>
      <c r="CK76" s="136">
        <f t="shared" si="85"/>
        <v>95.208400410551292</v>
      </c>
      <c r="CL76" s="134">
        <f t="shared" si="85"/>
        <v>245</v>
      </c>
      <c r="CM76" s="136">
        <f t="shared" si="85"/>
        <v>150.00000000000003</v>
      </c>
      <c r="CN76" s="134">
        <f t="shared" si="85"/>
        <v>0</v>
      </c>
      <c r="CO76" s="136">
        <f t="shared" si="85"/>
        <v>125</v>
      </c>
      <c r="CP76" s="134">
        <f t="shared" si="85"/>
        <v>185</v>
      </c>
      <c r="CQ76" s="136">
        <f t="shared" si="85"/>
        <v>112.5</v>
      </c>
      <c r="CR76" s="134">
        <f t="shared" si="85"/>
        <v>0</v>
      </c>
      <c r="CS76" s="136">
        <f t="shared" si="85"/>
        <v>125</v>
      </c>
      <c r="CT76" s="134">
        <f t="shared" si="85"/>
        <v>0</v>
      </c>
      <c r="CU76" s="136">
        <v>76.117969374395813</v>
      </c>
      <c r="CV76" s="134">
        <f t="shared" si="85"/>
        <v>0</v>
      </c>
      <c r="CW76" s="136">
        <f t="shared" si="85"/>
        <v>69.528900881309113</v>
      </c>
      <c r="CX76" s="134">
        <f t="shared" si="85"/>
        <v>0</v>
      </c>
      <c r="CY76" s="136">
        <f t="shared" si="85"/>
        <v>100</v>
      </c>
      <c r="CZ76" s="134">
        <f t="shared" si="85"/>
        <v>0</v>
      </c>
      <c r="DA76" s="141"/>
      <c r="DB76" s="293"/>
    </row>
    <row r="77" spans="2:106" ht="30.75" customHeight="1">
      <c r="C77" s="438" t="s">
        <v>505</v>
      </c>
      <c r="D77" s="441">
        <v>1</v>
      </c>
      <c r="E77" s="94" t="s">
        <v>47</v>
      </c>
      <c r="F77" s="57">
        <v>31</v>
      </c>
      <c r="G77" s="5">
        <f>F77*6600</f>
        <v>204600</v>
      </c>
      <c r="H77" s="7">
        <f>F77*($H$76/$F$76)</f>
        <v>142.46323529411765</v>
      </c>
      <c r="I77" s="5">
        <f>H77*6600</f>
        <v>940257.3529411765</v>
      </c>
      <c r="J77" s="9">
        <v>3</v>
      </c>
      <c r="K77" s="21">
        <f t="shared" ref="K77:K81" si="86">SUM(L77:N77)</f>
        <v>57</v>
      </c>
      <c r="L77" s="21">
        <v>9</v>
      </c>
      <c r="M77" s="21">
        <v>3</v>
      </c>
      <c r="N77" s="42">
        <v>45</v>
      </c>
      <c r="O77" s="288"/>
      <c r="P77" s="288"/>
      <c r="Q77" s="328"/>
      <c r="R77" s="328"/>
      <c r="S77" s="331">
        <v>45716</v>
      </c>
      <c r="T77" s="328"/>
      <c r="U77" s="328"/>
      <c r="V77" s="331">
        <v>45786</v>
      </c>
      <c r="W77" s="331"/>
      <c r="X77" s="328"/>
      <c r="Y77" s="331">
        <v>45879</v>
      </c>
      <c r="Z77" s="330"/>
      <c r="AA77" s="331"/>
      <c r="AB77" s="331"/>
      <c r="AC77" s="331"/>
      <c r="AD77" s="331"/>
      <c r="AE77" s="331"/>
      <c r="AG77" s="331"/>
      <c r="AH77" s="331">
        <v>46172</v>
      </c>
      <c r="AI77" s="129">
        <f>SUM(J77:K77)-CI77+CJ77</f>
        <v>58.602941176470587</v>
      </c>
      <c r="AJ77" s="129">
        <f t="shared" ref="AJ77:AJ88" si="87">AI77-CK77+CL77</f>
        <v>77.751983776738641</v>
      </c>
      <c r="AK77" s="129">
        <f t="shared" ref="AK77:AK88" si="88">AJ77-CM77+CN77</f>
        <v>60.656395541444525</v>
      </c>
      <c r="AL77" s="399">
        <f t="shared" ref="AL77:AL88" si="89">AK77-CO77+CP77</f>
        <v>66.410072012032757</v>
      </c>
      <c r="AM77" s="393">
        <f t="shared" ref="AM77:AM88" si="90">AL77-CQ77+CR77</f>
        <v>53.58838083556217</v>
      </c>
      <c r="AN77" s="393">
        <f t="shared" ref="AN77:AN88" si="91">AM77-CS77+CT77</f>
        <v>39.342057306150402</v>
      </c>
      <c r="AO77" s="393">
        <f t="shared" ref="AO77:AO88" si="92">AN77-CU77+CV77</f>
        <v>30.666847561274409</v>
      </c>
      <c r="AP77" s="96">
        <f t="shared" ref="AP77:AP88" si="93">AO77-CW77+CX77</f>
        <v>22.74259782847815</v>
      </c>
      <c r="AQ77" s="91">
        <f t="shared" ref="AQ77:AQ88" si="94">AP77-CY77+CZ77</f>
        <v>11.345539004948737</v>
      </c>
      <c r="AR77" s="198"/>
      <c r="AS77" s="81">
        <f>$H$77*月別販売比率!AG5</f>
        <v>14.246323529411766</v>
      </c>
      <c r="AT77" s="21"/>
      <c r="AU77" s="81">
        <f>$H$77*月別販売比率!AL5</f>
        <v>12.821691176470589</v>
      </c>
      <c r="AV77" s="21"/>
      <c r="AW77" s="81">
        <f>$H$77*月別販売比率!AQ5</f>
        <v>14.246323529411766</v>
      </c>
      <c r="AX77" s="21"/>
      <c r="AY77" s="81">
        <f>$H$77*月別販売比率!AV5</f>
        <v>8.6752097448759926</v>
      </c>
      <c r="AZ77" s="21"/>
      <c r="BA77" s="245">
        <f>$H$77*月別販売比率!BA5</f>
        <v>7.924249732796258</v>
      </c>
      <c r="BB77" s="241">
        <v>20</v>
      </c>
      <c r="BC77" s="81">
        <f>$H$77*月別販売比率!BF5</f>
        <v>11.397058823529413</v>
      </c>
      <c r="BD77" s="21"/>
      <c r="BE77" s="81">
        <f>$H$77*月別販売比率!C21</f>
        <v>10.095550480657382</v>
      </c>
      <c r="BF77" s="21"/>
      <c r="BG77" s="245">
        <f>$H$77*月別販売比率!H21</f>
        <v>9.9724264705882373</v>
      </c>
      <c r="BH77" s="241">
        <v>10</v>
      </c>
      <c r="BI77" s="81">
        <f>$H$77*月別販売比率!M21</f>
        <v>14.397860123314679</v>
      </c>
      <c r="BJ77" s="21"/>
      <c r="BK77" s="81">
        <f>$H$77*月別販売比率!R21</f>
        <v>11.397058823529413</v>
      </c>
      <c r="BL77" s="21"/>
      <c r="BM77" s="245">
        <f>$H$77*月別販売比率!W21</f>
        <v>10.850957399731948</v>
      </c>
      <c r="BN77" s="241">
        <v>37</v>
      </c>
      <c r="BO77" s="81">
        <f>$H$77*月別販売比率!AB21</f>
        <v>17.095588235294116</v>
      </c>
      <c r="BP77" s="21"/>
      <c r="BQ77" s="81">
        <f>$H$77*月別販売比率!AG21</f>
        <v>14.246323529411766</v>
      </c>
      <c r="BR77" s="21"/>
      <c r="BS77" s="81">
        <f>$H$77*月別販売比率!AL21</f>
        <v>12.821691176470589</v>
      </c>
      <c r="BT77" s="21"/>
      <c r="BU77" s="245">
        <f>$H$77*月別販売比率!AQ21</f>
        <v>14.246323529411766</v>
      </c>
      <c r="BV77" s="241">
        <v>10</v>
      </c>
      <c r="BW77" s="81">
        <f>$H$77*月別販売比率!AV21</f>
        <v>8.6752097448759926</v>
      </c>
      <c r="BX77" s="21"/>
      <c r="BY77" s="245">
        <f>$H$77*月別販売比率!BA21</f>
        <v>7.924249732796258</v>
      </c>
      <c r="BZ77" s="241">
        <v>35</v>
      </c>
      <c r="CA77" s="81">
        <f>$H$77*月別販売比率!BF21</f>
        <v>11.397058823529413</v>
      </c>
      <c r="CB77" s="21"/>
      <c r="CC77" s="81">
        <f>H77*月別販売比率!$C$21</f>
        <v>10.095550480657382</v>
      </c>
      <c r="CD77" s="21"/>
      <c r="CE77" s="245">
        <f>H77*月別販売比率!$H$21</f>
        <v>9.9724264705882373</v>
      </c>
      <c r="CF77" s="241">
        <v>40</v>
      </c>
      <c r="CG77" s="81">
        <f>H77*月別販売比率!$M$21</f>
        <v>14.397860123314679</v>
      </c>
      <c r="CH77" s="241">
        <v>40</v>
      </c>
      <c r="CI77" s="81">
        <f>H77*月別販売比率!$R$21</f>
        <v>11.397058823529413</v>
      </c>
      <c r="CJ77" s="241">
        <v>10</v>
      </c>
      <c r="CK77" s="81">
        <f>H77*月別販売比率!$W$21</f>
        <v>10.850957399731948</v>
      </c>
      <c r="CL77" s="21">
        <v>30</v>
      </c>
      <c r="CM77" s="81">
        <f>H77*月別販売比率!$AB$21</f>
        <v>17.095588235294116</v>
      </c>
      <c r="CN77" s="21"/>
      <c r="CO77" s="81">
        <f>H77*月別販売比率!$AG$21</f>
        <v>14.246323529411766</v>
      </c>
      <c r="CP77" s="21">
        <v>20</v>
      </c>
      <c r="CQ77" s="81">
        <f>H77*月別販売比率!$AL$21</f>
        <v>12.821691176470589</v>
      </c>
      <c r="CR77" s="21"/>
      <c r="CS77" s="81">
        <f>H77*月別販売比率!$AQ$21</f>
        <v>14.246323529411766</v>
      </c>
      <c r="CT77" s="21"/>
      <c r="CU77" s="81">
        <f>H77*月別販売比率!$AV$21</f>
        <v>8.6752097448759926</v>
      </c>
      <c r="CV77" s="21"/>
      <c r="CW77" s="81">
        <f>H77*月別販売比率!$BA$21</f>
        <v>7.924249732796258</v>
      </c>
      <c r="CX77" s="21"/>
      <c r="CY77" s="81">
        <f>H77*月別販売比率!$BF$21</f>
        <v>11.397058823529413</v>
      </c>
      <c r="CZ77" s="21"/>
      <c r="DA77" s="28"/>
      <c r="DB77" s="294"/>
    </row>
    <row r="78" spans="2:106" ht="30.75" customHeight="1">
      <c r="C78" s="457"/>
      <c r="D78" s="441"/>
      <c r="E78" s="94" t="s">
        <v>51</v>
      </c>
      <c r="F78" s="57">
        <v>33</v>
      </c>
      <c r="G78" s="5">
        <f t="shared" ref="G78:G88" si="95">F78*6600</f>
        <v>217800</v>
      </c>
      <c r="H78" s="7">
        <f>F78*($H$76/$F$76)</f>
        <v>151.65441176470588</v>
      </c>
      <c r="I78" s="5">
        <f t="shared" ref="I78:I88" si="96">H78*6600</f>
        <v>1000919.1176470588</v>
      </c>
      <c r="J78" s="9">
        <v>0</v>
      </c>
      <c r="K78" s="21">
        <f t="shared" si="86"/>
        <v>46</v>
      </c>
      <c r="L78" s="21">
        <v>8</v>
      </c>
      <c r="M78" s="21">
        <v>3</v>
      </c>
      <c r="N78" s="42">
        <v>35</v>
      </c>
      <c r="O78" s="288"/>
      <c r="P78" s="288"/>
      <c r="Q78" s="328"/>
      <c r="R78" s="328"/>
      <c r="S78" s="331">
        <v>45716</v>
      </c>
      <c r="T78" s="124"/>
      <c r="U78" s="328"/>
      <c r="V78" s="331">
        <v>45786</v>
      </c>
      <c r="W78" s="331"/>
      <c r="X78" s="328"/>
      <c r="Y78" s="331">
        <v>45879</v>
      </c>
      <c r="Z78" s="330"/>
      <c r="AA78" s="330"/>
      <c r="AB78" s="331"/>
      <c r="AC78" s="331">
        <v>46011</v>
      </c>
      <c r="AD78" s="331"/>
      <c r="AE78" s="331"/>
      <c r="AF78" s="331"/>
      <c r="AG78" s="331"/>
      <c r="AH78" s="331">
        <v>46172</v>
      </c>
      <c r="AI78" s="129">
        <f>SUM(J78:K78)-CI78+CJ78</f>
        <v>38.867647058823529</v>
      </c>
      <c r="AJ78" s="129">
        <f t="shared" si="87"/>
        <v>57.316627891366934</v>
      </c>
      <c r="AK78" s="129">
        <f t="shared" si="88"/>
        <v>39.118098479602224</v>
      </c>
      <c r="AL78" s="399">
        <f t="shared" si="89"/>
        <v>43.952657303131637</v>
      </c>
      <c r="AM78" s="393">
        <f t="shared" si="90"/>
        <v>30.303760244308108</v>
      </c>
      <c r="AN78" s="393">
        <f t="shared" si="91"/>
        <v>15.13831906783752</v>
      </c>
      <c r="AO78" s="393">
        <f t="shared" si="92"/>
        <v>5.903418371679205</v>
      </c>
      <c r="AP78" s="96">
        <f t="shared" si="93"/>
        <v>-2.5320732793619722</v>
      </c>
      <c r="AQ78" s="91">
        <f t="shared" si="94"/>
        <v>-14.664426220538443</v>
      </c>
      <c r="AR78" s="198"/>
      <c r="AS78" s="81">
        <f>$H$78*月別販売比率!AG5</f>
        <v>15.165441176470589</v>
      </c>
      <c r="AT78" s="21"/>
      <c r="AU78" s="81">
        <f>$H$78*月別販売比率!AL5</f>
        <v>13.648897058823529</v>
      </c>
      <c r="AV78" s="21"/>
      <c r="AW78" s="81">
        <f>$H$78*月別販売比率!AQ5</f>
        <v>15.165441176470589</v>
      </c>
      <c r="AX78" s="21"/>
      <c r="AY78" s="81">
        <f>$H$78*月別販売比率!AV5</f>
        <v>9.2349006961583147</v>
      </c>
      <c r="AZ78" s="21"/>
      <c r="BA78" s="245">
        <f>$H$78*月別販売比率!BA5</f>
        <v>8.4354916510411773</v>
      </c>
      <c r="BB78" s="241">
        <v>18</v>
      </c>
      <c r="BC78" s="81">
        <f>$H$78*月別販売比率!BF5</f>
        <v>12.132352941176471</v>
      </c>
      <c r="BD78" s="21"/>
      <c r="BE78" s="81">
        <f>$H$78*月別販売比率!C21</f>
        <v>10.746876318119149</v>
      </c>
      <c r="BF78" s="21"/>
      <c r="BG78" s="245">
        <f>$H$78*月別販売比率!H21</f>
        <v>10.615808823529413</v>
      </c>
      <c r="BH78" s="241">
        <v>20</v>
      </c>
      <c r="BI78" s="81">
        <f>$H$78*月別販売比率!M21</f>
        <v>15.326754324818852</v>
      </c>
      <c r="BJ78" s="21"/>
      <c r="BK78" s="81">
        <f>$H$78*月別販売比率!R21</f>
        <v>12.132352941176471</v>
      </c>
      <c r="BL78" s="21"/>
      <c r="BM78" s="245">
        <f>$H$78*月別販売比率!W21</f>
        <v>11.551019167456591</v>
      </c>
      <c r="BN78" s="241">
        <v>35</v>
      </c>
      <c r="BO78" s="81">
        <f>$H$78*月別販売比率!AB21</f>
        <v>18.198529411764707</v>
      </c>
      <c r="BP78" s="21"/>
      <c r="BQ78" s="81">
        <f>$H$78*月別販売比率!AG21</f>
        <v>15.165441176470589</v>
      </c>
      <c r="BR78" s="21"/>
      <c r="BS78" s="81">
        <f>$H$78*月別販売比率!AL21</f>
        <v>13.648897058823529</v>
      </c>
      <c r="BT78" s="21"/>
      <c r="BU78" s="245">
        <f>$H$78*月別販売比率!AQ21</f>
        <v>15.165441176470589</v>
      </c>
      <c r="BV78" s="241">
        <v>25</v>
      </c>
      <c r="BW78" s="81">
        <f>$H$78*月別販売比率!AV21</f>
        <v>9.2349006961583147</v>
      </c>
      <c r="BX78" s="21"/>
      <c r="BY78" s="245">
        <f>$H$78*月別販売比率!BA21</f>
        <v>8.4354916510411773</v>
      </c>
      <c r="BZ78" s="241">
        <v>33</v>
      </c>
      <c r="CA78" s="81">
        <f>$H$78*月別販売比率!BF21</f>
        <v>12.132352941176471</v>
      </c>
      <c r="CB78" s="21"/>
      <c r="CC78" s="81">
        <f>H78*月別販売比率!$C$21</f>
        <v>10.746876318119149</v>
      </c>
      <c r="CD78" s="21"/>
      <c r="CE78" s="245">
        <f>H78*月別販売比率!$H$21</f>
        <v>10.615808823529413</v>
      </c>
      <c r="CF78" s="241">
        <v>45</v>
      </c>
      <c r="CG78" s="81">
        <f>H78*月別販売比率!$M$21</f>
        <v>15.326754324818852</v>
      </c>
      <c r="CH78" s="241">
        <v>40</v>
      </c>
      <c r="CI78" s="81">
        <f>H78*月別販売比率!$R$21</f>
        <v>12.132352941176471</v>
      </c>
      <c r="CJ78" s="241">
        <v>5</v>
      </c>
      <c r="CK78" s="81">
        <f>H78*月別販売比率!$W$21</f>
        <v>11.551019167456591</v>
      </c>
      <c r="CL78" s="21">
        <v>30</v>
      </c>
      <c r="CM78" s="81">
        <f>H78*月別販売比率!$AB$21</f>
        <v>18.198529411764707</v>
      </c>
      <c r="CN78" s="21"/>
      <c r="CO78" s="81">
        <f>H78*月別販売比率!$AG$21</f>
        <v>15.165441176470589</v>
      </c>
      <c r="CP78" s="21">
        <v>20</v>
      </c>
      <c r="CQ78" s="81">
        <f>H78*月別販売比率!$AL$21</f>
        <v>13.648897058823529</v>
      </c>
      <c r="CR78" s="21"/>
      <c r="CS78" s="81">
        <f>H78*月別販売比率!$AQ$21</f>
        <v>15.165441176470589</v>
      </c>
      <c r="CT78" s="21"/>
      <c r="CU78" s="81">
        <f>H78*月別販売比率!$AV$21</f>
        <v>9.2349006961583147</v>
      </c>
      <c r="CV78" s="21"/>
      <c r="CW78" s="81">
        <f>H78*月別販売比率!$BA$21</f>
        <v>8.4354916510411773</v>
      </c>
      <c r="CX78" s="21"/>
      <c r="CY78" s="81">
        <f>H78*月別販売比率!$BF$21</f>
        <v>12.132352941176471</v>
      </c>
      <c r="CZ78" s="21"/>
      <c r="DA78" s="28"/>
      <c r="DB78" s="294"/>
    </row>
    <row r="79" spans="2:106" ht="30.75" customHeight="1">
      <c r="C79" s="457"/>
      <c r="D79" s="441"/>
      <c r="E79" s="94" t="s">
        <v>49</v>
      </c>
      <c r="F79" s="57">
        <v>22</v>
      </c>
      <c r="G79" s="5">
        <f t="shared" si="95"/>
        <v>145200</v>
      </c>
      <c r="H79" s="7">
        <f>F79*($H$76/$F$76)</f>
        <v>101.10294117647059</v>
      </c>
      <c r="I79" s="5">
        <f t="shared" si="96"/>
        <v>667279.4117647059</v>
      </c>
      <c r="J79" s="9">
        <v>16</v>
      </c>
      <c r="K79" s="21">
        <f t="shared" si="86"/>
        <v>53</v>
      </c>
      <c r="L79" s="21">
        <v>10</v>
      </c>
      <c r="M79" s="21">
        <v>18</v>
      </c>
      <c r="N79" s="42">
        <v>25</v>
      </c>
      <c r="O79" s="288"/>
      <c r="P79" s="288"/>
      <c r="Q79" s="328"/>
      <c r="R79" s="328"/>
      <c r="S79" s="331">
        <v>45716</v>
      </c>
      <c r="T79" s="124"/>
      <c r="U79" s="328"/>
      <c r="V79" s="331">
        <v>45786</v>
      </c>
      <c r="W79" s="331"/>
      <c r="X79" s="331">
        <v>45855</v>
      </c>
      <c r="Y79" s="124"/>
      <c r="Z79" s="124"/>
      <c r="AA79" s="328"/>
      <c r="AB79" s="328"/>
      <c r="AG79" s="331"/>
      <c r="AH79" s="331">
        <v>46172</v>
      </c>
      <c r="AI79" s="129">
        <f>SUM(J79:K79)-CI79+CJ79</f>
        <v>65.911764705882348</v>
      </c>
      <c r="AJ79" s="129">
        <f t="shared" si="87"/>
        <v>78.21108526091129</v>
      </c>
      <c r="AK79" s="129">
        <f t="shared" si="88"/>
        <v>66.078732319734826</v>
      </c>
      <c r="AL79" s="399">
        <f t="shared" si="89"/>
        <v>70.968438202087768</v>
      </c>
      <c r="AM79" s="393">
        <f t="shared" si="90"/>
        <v>61.869173496205413</v>
      </c>
      <c r="AN79" s="393">
        <f t="shared" si="91"/>
        <v>51.758879378558355</v>
      </c>
      <c r="AO79" s="393">
        <f t="shared" si="92"/>
        <v>45.60227891445281</v>
      </c>
      <c r="AP79" s="96">
        <f t="shared" si="93"/>
        <v>39.978617813758689</v>
      </c>
      <c r="AQ79" s="91">
        <f t="shared" si="94"/>
        <v>31.89038251964104</v>
      </c>
      <c r="AR79" s="198"/>
      <c r="AS79" s="81">
        <f>$H$79*月別販売比率!AG5</f>
        <v>10.11029411764706</v>
      </c>
      <c r="AT79" s="21"/>
      <c r="AU79" s="81">
        <f>$H$79*月別販売比率!AL5</f>
        <v>9.0992647058823533</v>
      </c>
      <c r="AV79" s="21"/>
      <c r="AW79" s="81">
        <f>$H$79*月別販売比率!AQ5</f>
        <v>10.11029411764706</v>
      </c>
      <c r="AX79" s="21"/>
      <c r="AY79" s="81">
        <f>$H$79*月別販売比率!AV5</f>
        <v>6.1566004641055434</v>
      </c>
      <c r="AZ79" s="21"/>
      <c r="BA79" s="245">
        <f>$H$79*月別販売比率!BA5</f>
        <v>5.6236611006941191</v>
      </c>
      <c r="BB79" s="241">
        <v>17</v>
      </c>
      <c r="BC79" s="81">
        <f>$H$79*月別販売比率!BF5</f>
        <v>8.0882352941176485</v>
      </c>
      <c r="BD79" s="21"/>
      <c r="BE79" s="81">
        <f>$H$79*月別販売比率!C21</f>
        <v>7.1645842120794327</v>
      </c>
      <c r="BF79" s="21"/>
      <c r="BG79" s="245">
        <f>$H$79*月別販売比率!H21</f>
        <v>7.077205882352942</v>
      </c>
      <c r="BH79" s="241">
        <v>10</v>
      </c>
      <c r="BI79" s="81">
        <f>$H$79*月別販売比率!M21</f>
        <v>10.217836216545901</v>
      </c>
      <c r="BJ79" s="21"/>
      <c r="BK79" s="81">
        <f>$H$79*月別販売比率!R21</f>
        <v>8.0882352941176485</v>
      </c>
      <c r="BL79" s="21"/>
      <c r="BM79" s="245">
        <f>$H$79*月別販売比率!W21</f>
        <v>7.7006794449710609</v>
      </c>
      <c r="BN79" s="241">
        <v>25</v>
      </c>
      <c r="BO79" s="81">
        <f>$H$79*月別販売比率!AB21</f>
        <v>12.132352941176471</v>
      </c>
      <c r="BP79" s="21"/>
      <c r="BQ79" s="81">
        <f>$H$79*月別販売比率!AG21</f>
        <v>10.11029411764706</v>
      </c>
      <c r="BR79" s="21"/>
      <c r="BS79" s="81">
        <f>$H$79*月別販売比率!AL21</f>
        <v>9.0992647058823533</v>
      </c>
      <c r="BT79" s="21"/>
      <c r="BU79" s="245">
        <f>$H$79*月別販売比率!AQ21</f>
        <v>10.11029411764706</v>
      </c>
      <c r="BV79" s="241">
        <v>10</v>
      </c>
      <c r="BW79" s="81">
        <f>$H$79*月別販売比率!AV21</f>
        <v>6.1566004641055434</v>
      </c>
      <c r="BX79" s="21"/>
      <c r="BY79" s="245">
        <f>$H$79*月別販売比率!BA21</f>
        <v>5.6236611006941191</v>
      </c>
      <c r="BZ79" s="241">
        <v>23</v>
      </c>
      <c r="CA79" s="81">
        <f>$H$79*月別販売比率!BF21</f>
        <v>8.0882352941176485</v>
      </c>
      <c r="CB79" s="21"/>
      <c r="CC79" s="81">
        <f>H79*月別販売比率!$C$21</f>
        <v>7.1645842120794327</v>
      </c>
      <c r="CD79" s="21"/>
      <c r="CE79" s="245">
        <f>H79*月別販売比率!$H$21</f>
        <v>7.077205882352942</v>
      </c>
      <c r="CF79" s="241">
        <v>35</v>
      </c>
      <c r="CG79" s="81">
        <f>H79*月別販売比率!$M$21</f>
        <v>10.217836216545901</v>
      </c>
      <c r="CH79" s="241">
        <v>20</v>
      </c>
      <c r="CI79" s="81">
        <f>H79*月別販売比率!$R$21</f>
        <v>8.0882352941176485</v>
      </c>
      <c r="CJ79" s="241">
        <v>5</v>
      </c>
      <c r="CK79" s="81">
        <f>H79*月別販売比率!$W$21</f>
        <v>7.7006794449710609</v>
      </c>
      <c r="CL79" s="21">
        <v>20</v>
      </c>
      <c r="CM79" s="81">
        <f>H79*月別販売比率!$AB$21</f>
        <v>12.132352941176471</v>
      </c>
      <c r="CN79" s="21"/>
      <c r="CO79" s="81">
        <f>H79*月別販売比率!$AG$21</f>
        <v>10.11029411764706</v>
      </c>
      <c r="CP79" s="21">
        <v>15</v>
      </c>
      <c r="CQ79" s="81">
        <f>H79*月別販売比率!$AL$21</f>
        <v>9.0992647058823533</v>
      </c>
      <c r="CR79" s="21"/>
      <c r="CS79" s="81">
        <f>H79*月別販売比率!$AQ$21</f>
        <v>10.11029411764706</v>
      </c>
      <c r="CT79" s="21"/>
      <c r="CU79" s="81">
        <f>H79*月別販売比率!$AV$21</f>
        <v>6.1566004641055434</v>
      </c>
      <c r="CV79" s="21"/>
      <c r="CW79" s="81">
        <f>H79*月別販売比率!$BA$21</f>
        <v>5.6236611006941191</v>
      </c>
      <c r="CX79" s="21"/>
      <c r="CY79" s="81">
        <f>H79*月別販売比率!$BF$21</f>
        <v>8.0882352941176485</v>
      </c>
      <c r="CZ79" s="21"/>
      <c r="DA79" s="28"/>
      <c r="DB79" s="294"/>
    </row>
    <row r="80" spans="2:106" ht="30.75" customHeight="1">
      <c r="C80" s="457"/>
      <c r="D80" s="442"/>
      <c r="E80" s="94" t="s">
        <v>50</v>
      </c>
      <c r="F80" s="57">
        <v>18</v>
      </c>
      <c r="G80" s="5">
        <f t="shared" si="95"/>
        <v>118800</v>
      </c>
      <c r="H80" s="7">
        <f>F80*($H$76/$F$76)</f>
        <v>82.720588235294116</v>
      </c>
      <c r="I80" s="5">
        <f t="shared" si="96"/>
        <v>545955.8823529412</v>
      </c>
      <c r="J80" s="9">
        <v>7</v>
      </c>
      <c r="K80" s="21">
        <f t="shared" si="86"/>
        <v>39</v>
      </c>
      <c r="L80" s="21">
        <v>10</v>
      </c>
      <c r="M80" s="21">
        <v>17</v>
      </c>
      <c r="N80" s="42">
        <v>12</v>
      </c>
      <c r="O80" s="288"/>
      <c r="P80" s="288"/>
      <c r="Q80" s="328"/>
      <c r="R80" s="328"/>
      <c r="S80" s="331">
        <v>45716</v>
      </c>
      <c r="T80" s="124"/>
      <c r="U80" s="124"/>
      <c r="V80" s="124"/>
      <c r="W80" s="124"/>
      <c r="X80" s="124"/>
      <c r="Y80" s="124"/>
      <c r="Z80" s="124"/>
      <c r="AA80" s="124"/>
      <c r="AB80" s="328"/>
      <c r="AC80" s="331">
        <v>46011</v>
      </c>
      <c r="AG80" s="124"/>
      <c r="AH80" s="124"/>
      <c r="AI80" s="129">
        <f t="shared" ref="AI80:AI88" si="97">SUM(J80:K80)-CI80+CJ80</f>
        <v>39.382352941176471</v>
      </c>
      <c r="AJ80" s="129">
        <f t="shared" si="87"/>
        <v>48.081797031654695</v>
      </c>
      <c r="AK80" s="129">
        <f t="shared" si="88"/>
        <v>38.155326443419398</v>
      </c>
      <c r="AL80" s="399">
        <f t="shared" si="89"/>
        <v>39.883267619889985</v>
      </c>
      <c r="AM80" s="393">
        <f t="shared" si="90"/>
        <v>32.438414678713514</v>
      </c>
      <c r="AN80" s="393">
        <f t="shared" si="91"/>
        <v>24.166355855184101</v>
      </c>
      <c r="AO80" s="393">
        <f t="shared" si="92"/>
        <v>19.129137293643204</v>
      </c>
      <c r="AP80" s="96">
        <f t="shared" si="93"/>
        <v>14.527960029438926</v>
      </c>
      <c r="AQ80" s="91">
        <f t="shared" si="94"/>
        <v>7.9103129706153972</v>
      </c>
      <c r="AR80" s="198"/>
      <c r="AS80" s="81">
        <f>$H$80*月別販売比率!AG5</f>
        <v>8.2720588235294112</v>
      </c>
      <c r="AT80" s="21"/>
      <c r="AU80" s="81">
        <f>$H$80*月別販売比率!AL5</f>
        <v>7.4448529411764701</v>
      </c>
      <c r="AV80" s="21"/>
      <c r="AW80" s="81">
        <f>$H$80*月別販売比率!AQ5</f>
        <v>8.2720588235294112</v>
      </c>
      <c r="AX80" s="21"/>
      <c r="AY80" s="81">
        <f>$H$80*月別販売比率!AV5</f>
        <v>5.0372185615408984</v>
      </c>
      <c r="AZ80" s="21"/>
      <c r="BA80" s="245">
        <f>$H$80*月別販売比率!BA5</f>
        <v>4.6011772642042787</v>
      </c>
      <c r="BB80" s="241">
        <v>15</v>
      </c>
      <c r="BC80" s="81">
        <f>$H$80*月別販売比率!BF5</f>
        <v>6.617647058823529</v>
      </c>
      <c r="BD80" s="21"/>
      <c r="BE80" s="81">
        <f>$H$80*月別販売比率!C21</f>
        <v>5.8619325371558988</v>
      </c>
      <c r="BF80" s="21"/>
      <c r="BG80" s="245">
        <f>$H$80*月別販売比率!H21</f>
        <v>5.7904411764705888</v>
      </c>
      <c r="BH80" s="241"/>
      <c r="BI80" s="81">
        <f>$H$80*月別販売比率!M21</f>
        <v>8.3600478135375553</v>
      </c>
      <c r="BJ80" s="21"/>
      <c r="BK80" s="81">
        <f>$H$80*月別販売比率!R21</f>
        <v>6.617647058823529</v>
      </c>
      <c r="BL80" s="21"/>
      <c r="BM80" s="245">
        <f>$H$80*月別販売比率!W21</f>
        <v>6.3005559095217762</v>
      </c>
      <c r="BN80" s="241">
        <v>25</v>
      </c>
      <c r="BO80" s="81">
        <f>$H$80*月別販売比率!AB21</f>
        <v>9.9264705882352935</v>
      </c>
      <c r="BP80" s="21"/>
      <c r="BQ80" s="81">
        <f>$H$80*月別販売比率!AG21</f>
        <v>8.2720588235294112</v>
      </c>
      <c r="BR80" s="21"/>
      <c r="BS80" s="81">
        <f>$H$80*月別販売比率!AL21</f>
        <v>7.4448529411764701</v>
      </c>
      <c r="BT80" s="21"/>
      <c r="BU80" s="245">
        <f>$H$80*月別販売比率!AQ21</f>
        <v>8.2720588235294112</v>
      </c>
      <c r="BV80" s="241">
        <v>15</v>
      </c>
      <c r="BW80" s="81">
        <f>$H$80*月別販売比率!AV21</f>
        <v>5.0372185615408984</v>
      </c>
      <c r="BX80" s="21"/>
      <c r="BY80" s="245">
        <f>$H$80*月別販売比率!BA21</f>
        <v>4.6011772642042787</v>
      </c>
      <c r="BZ80" s="241">
        <v>5</v>
      </c>
      <c r="CA80" s="81">
        <f>$H$80*月別販売比率!BF21</f>
        <v>6.617647058823529</v>
      </c>
      <c r="CB80" s="21"/>
      <c r="CC80" s="81">
        <f>H80*月別販売比率!$C$21</f>
        <v>5.8619325371558988</v>
      </c>
      <c r="CD80" s="21"/>
      <c r="CE80" s="245">
        <f>H80*月別販売比率!$H$21</f>
        <v>5.7904411764705888</v>
      </c>
      <c r="CF80" s="241">
        <v>20</v>
      </c>
      <c r="CG80" s="81">
        <f>H80*月別販売比率!$M$21</f>
        <v>8.3600478135375553</v>
      </c>
      <c r="CH80" s="241">
        <v>15</v>
      </c>
      <c r="CI80" s="81">
        <f>H80*月別販売比率!$R$21</f>
        <v>6.617647058823529</v>
      </c>
      <c r="CJ80" s="241"/>
      <c r="CK80" s="81">
        <f>H80*月別販売比率!$W$21</f>
        <v>6.3005559095217762</v>
      </c>
      <c r="CL80" s="21">
        <v>15</v>
      </c>
      <c r="CM80" s="81">
        <f>H80*月別販売比率!$AB$21</f>
        <v>9.9264705882352935</v>
      </c>
      <c r="CN80" s="21"/>
      <c r="CO80" s="81">
        <f>H80*月別販売比率!$AG$21</f>
        <v>8.2720588235294112</v>
      </c>
      <c r="CP80" s="21">
        <v>10</v>
      </c>
      <c r="CQ80" s="81">
        <f>H80*月別販売比率!$AL$21</f>
        <v>7.4448529411764701</v>
      </c>
      <c r="CR80" s="21"/>
      <c r="CS80" s="81">
        <f>H80*月別販売比率!$AQ$21</f>
        <v>8.2720588235294112</v>
      </c>
      <c r="CT80" s="21"/>
      <c r="CU80" s="81">
        <f>H80*月別販売比率!$AV$21</f>
        <v>5.0372185615408984</v>
      </c>
      <c r="CV80" s="21"/>
      <c r="CW80" s="81">
        <f>H80*月別販売比率!$BA$21</f>
        <v>4.6011772642042787</v>
      </c>
      <c r="CX80" s="21"/>
      <c r="CY80" s="81">
        <f>H80*月別販売比率!$BF$21</f>
        <v>6.617647058823529</v>
      </c>
      <c r="CZ80" s="21"/>
      <c r="DA80" s="28"/>
      <c r="DB80" s="294"/>
    </row>
    <row r="81" spans="2:106" ht="30.75" customHeight="1">
      <c r="C81" s="457"/>
      <c r="D81" s="441">
        <v>2</v>
      </c>
      <c r="E81" s="94" t="s">
        <v>47</v>
      </c>
      <c r="F81" s="57">
        <v>30</v>
      </c>
      <c r="G81" s="5">
        <f t="shared" si="95"/>
        <v>198000</v>
      </c>
      <c r="H81" s="7">
        <f>F81*($H$76/$F$76)</f>
        <v>137.86764705882354</v>
      </c>
      <c r="I81" s="5">
        <f t="shared" si="96"/>
        <v>909926.4705882353</v>
      </c>
      <c r="J81" s="9">
        <v>2</v>
      </c>
      <c r="K81" s="21">
        <f t="shared" si="86"/>
        <v>59</v>
      </c>
      <c r="L81" s="21">
        <v>10</v>
      </c>
      <c r="M81" s="21">
        <v>3</v>
      </c>
      <c r="N81" s="42">
        <v>46</v>
      </c>
      <c r="O81" s="288"/>
      <c r="P81" s="288"/>
      <c r="Q81" s="328"/>
      <c r="R81" s="328"/>
      <c r="S81" s="331">
        <v>45716</v>
      </c>
      <c r="T81" s="328"/>
      <c r="U81" s="328"/>
      <c r="V81" s="331">
        <v>45786</v>
      </c>
      <c r="W81" s="331"/>
      <c r="X81" s="328"/>
      <c r="Y81" s="331">
        <v>45879</v>
      </c>
      <c r="Z81" s="330"/>
      <c r="AA81" s="331"/>
      <c r="AB81" s="331"/>
      <c r="AC81" s="331"/>
      <c r="AD81" s="331"/>
      <c r="AE81" s="331"/>
      <c r="AG81" s="331"/>
      <c r="AH81" s="331">
        <v>46172</v>
      </c>
      <c r="AI81" s="129">
        <f t="shared" si="97"/>
        <v>69.970588235294116</v>
      </c>
      <c r="AJ81" s="129">
        <f t="shared" si="87"/>
        <v>79.469661719424494</v>
      </c>
      <c r="AK81" s="129">
        <f t="shared" si="88"/>
        <v>62.925544072365668</v>
      </c>
      <c r="AL81" s="399">
        <f t="shared" si="89"/>
        <v>69.138779366483305</v>
      </c>
      <c r="AM81" s="393">
        <f t="shared" si="90"/>
        <v>56.730691131189189</v>
      </c>
      <c r="AN81" s="393">
        <f t="shared" si="91"/>
        <v>42.943926425306834</v>
      </c>
      <c r="AO81" s="393">
        <f t="shared" si="92"/>
        <v>34.548562156072002</v>
      </c>
      <c r="AP81" s="96">
        <f t="shared" si="93"/>
        <v>26.879933382398203</v>
      </c>
      <c r="AQ81" s="91">
        <f t="shared" si="94"/>
        <v>15.850521617692321</v>
      </c>
      <c r="AR81" s="198"/>
      <c r="AS81" s="81">
        <f>$H$81*月別販売比率!AG5</f>
        <v>13.786764705882355</v>
      </c>
      <c r="AT81" s="21"/>
      <c r="AU81" s="81">
        <f>$H$81*月別販売比率!AL5</f>
        <v>12.408088235294118</v>
      </c>
      <c r="AV81" s="21"/>
      <c r="AW81" s="81">
        <f>$H$81*月別販売比率!AQ5</f>
        <v>13.786764705882355</v>
      </c>
      <c r="AX81" s="21"/>
      <c r="AY81" s="81">
        <f>$H$81*月別販売比率!AV5</f>
        <v>8.3953642692348325</v>
      </c>
      <c r="AZ81" s="21"/>
      <c r="BA81" s="245">
        <f>$H$81*月別販売比率!BA5</f>
        <v>7.6686287736737988</v>
      </c>
      <c r="BB81" s="241">
        <v>25</v>
      </c>
      <c r="BC81" s="81">
        <f>$H$81*月別販売比率!BF5</f>
        <v>11.029411764705882</v>
      </c>
      <c r="BD81" s="21"/>
      <c r="BE81" s="81">
        <f>$H$81*月別販売比率!C21</f>
        <v>9.7698875619264989</v>
      </c>
      <c r="BF81" s="21"/>
      <c r="BG81" s="245">
        <f>$H$81*月別販売比率!H21</f>
        <v>9.6507352941176485</v>
      </c>
      <c r="BH81" s="241">
        <v>20</v>
      </c>
      <c r="BI81" s="81">
        <f>$H$81*月別販売比率!M21</f>
        <v>13.933413022562593</v>
      </c>
      <c r="BJ81" s="21"/>
      <c r="BK81" s="81">
        <f>$H$81*月別販売比率!R21</f>
        <v>11.029411764705882</v>
      </c>
      <c r="BL81" s="21"/>
      <c r="BM81" s="245">
        <f>$H$81*月別販売比率!W21</f>
        <v>10.500926515869628</v>
      </c>
      <c r="BN81" s="241">
        <v>19</v>
      </c>
      <c r="BO81" s="81">
        <f>$H$81*月別販売比率!AB21</f>
        <v>16.544117647058822</v>
      </c>
      <c r="BP81" s="21"/>
      <c r="BQ81" s="81">
        <f>$H$81*月別販売比率!AG21</f>
        <v>13.786764705882355</v>
      </c>
      <c r="BR81" s="21"/>
      <c r="BS81" s="81">
        <f>$H$81*月別販売比率!AL21</f>
        <v>12.408088235294118</v>
      </c>
      <c r="BT81" s="21"/>
      <c r="BU81" s="245">
        <f>$H$81*月別販売比率!AQ21</f>
        <v>13.786764705882355</v>
      </c>
      <c r="BV81" s="241">
        <v>11</v>
      </c>
      <c r="BW81" s="81">
        <f>$H$81*月別販売比率!AV21</f>
        <v>8.3953642692348325</v>
      </c>
      <c r="BX81" s="21"/>
      <c r="BY81" s="245">
        <f>$H$81*月別販売比率!BA21</f>
        <v>7.6686287736737988</v>
      </c>
      <c r="BZ81" s="241">
        <v>30</v>
      </c>
      <c r="CA81" s="81">
        <f>$H$81*月別販売比率!BF21</f>
        <v>11.029411764705882</v>
      </c>
      <c r="CB81" s="21"/>
      <c r="CC81" s="81">
        <f>H81*月別販売比率!$C$21</f>
        <v>9.7698875619264989</v>
      </c>
      <c r="CD81" s="21"/>
      <c r="CE81" s="245">
        <f>H81*月別販売比率!$H$21</f>
        <v>9.6507352941176485</v>
      </c>
      <c r="CF81" s="241">
        <v>45</v>
      </c>
      <c r="CG81" s="81">
        <f>H81*月別販売比率!$M$21</f>
        <v>13.933413022562593</v>
      </c>
      <c r="CH81" s="241">
        <v>30</v>
      </c>
      <c r="CI81" s="81">
        <f>H81*月別販売比率!$R$21</f>
        <v>11.029411764705882</v>
      </c>
      <c r="CJ81" s="241">
        <v>20</v>
      </c>
      <c r="CK81" s="81">
        <f>H81*月別販売比率!$W$21</f>
        <v>10.500926515869628</v>
      </c>
      <c r="CL81" s="21">
        <v>20</v>
      </c>
      <c r="CM81" s="81">
        <f>H81*月別販売比率!$AB$21</f>
        <v>16.544117647058822</v>
      </c>
      <c r="CN81" s="21"/>
      <c r="CO81" s="81">
        <f>H81*月別販売比率!$AG$21</f>
        <v>13.786764705882355</v>
      </c>
      <c r="CP81" s="21">
        <v>20</v>
      </c>
      <c r="CQ81" s="81">
        <f>H81*月別販売比率!$AL$21</f>
        <v>12.408088235294118</v>
      </c>
      <c r="CR81" s="21"/>
      <c r="CS81" s="81">
        <f>H81*月別販売比率!$AQ$21</f>
        <v>13.786764705882355</v>
      </c>
      <c r="CT81" s="21"/>
      <c r="CU81" s="81">
        <f>H81*月別販売比率!$AV$21</f>
        <v>8.3953642692348325</v>
      </c>
      <c r="CV81" s="21"/>
      <c r="CW81" s="81">
        <f>H81*月別販売比率!$BA$21</f>
        <v>7.6686287736737988</v>
      </c>
      <c r="CX81" s="21"/>
      <c r="CY81" s="81">
        <f>H81*月別販売比率!$BF$21</f>
        <v>11.029411764705882</v>
      </c>
      <c r="CZ81" s="21"/>
      <c r="DA81" s="28"/>
      <c r="DB81" s="294"/>
    </row>
    <row r="82" spans="2:106" ht="30.75" customHeight="1">
      <c r="C82" s="457"/>
      <c r="D82" s="441"/>
      <c r="E82" s="94" t="s">
        <v>51</v>
      </c>
      <c r="F82" s="57">
        <v>23</v>
      </c>
      <c r="G82" s="5">
        <f t="shared" si="95"/>
        <v>151800</v>
      </c>
      <c r="H82" s="7">
        <f>F82*($H$76/$F$76)</f>
        <v>105.69852941176471</v>
      </c>
      <c r="I82" s="5">
        <f t="shared" si="96"/>
        <v>697610.29411764711</v>
      </c>
      <c r="J82" s="9">
        <v>3</v>
      </c>
      <c r="K82" s="21">
        <f t="shared" ref="K82:K88" si="98">SUM(L82:N82)</f>
        <v>50</v>
      </c>
      <c r="L82" s="21">
        <v>7</v>
      </c>
      <c r="M82" s="21">
        <v>5</v>
      </c>
      <c r="N82" s="42">
        <v>38</v>
      </c>
      <c r="O82" s="288"/>
      <c r="P82" s="288"/>
      <c r="Q82" s="328"/>
      <c r="R82" s="328"/>
      <c r="S82" s="331">
        <v>45716</v>
      </c>
      <c r="T82" s="328"/>
      <c r="U82" s="328"/>
      <c r="V82" s="331">
        <v>45786</v>
      </c>
      <c r="W82" s="331"/>
      <c r="X82" s="331">
        <v>45855</v>
      </c>
      <c r="Y82" s="124"/>
      <c r="Z82" s="124"/>
      <c r="AA82" s="328"/>
      <c r="AB82" s="328"/>
      <c r="AC82" s="328"/>
      <c r="AD82" s="328"/>
      <c r="AE82" s="328"/>
      <c r="AF82" s="328"/>
      <c r="AG82" s="331"/>
      <c r="AH82" s="331"/>
      <c r="AI82" s="129">
        <f t="shared" si="97"/>
        <v>54.544117647058826</v>
      </c>
      <c r="AJ82" s="129">
        <f t="shared" si="87"/>
        <v>66.493407318225451</v>
      </c>
      <c r="AK82" s="129">
        <f t="shared" si="88"/>
        <v>53.809583788813683</v>
      </c>
      <c r="AL82" s="399">
        <f t="shared" si="89"/>
        <v>63.239730847637212</v>
      </c>
      <c r="AM82" s="393">
        <f t="shared" si="90"/>
        <v>53.726863200578386</v>
      </c>
      <c r="AN82" s="393">
        <f t="shared" si="91"/>
        <v>43.157010259401915</v>
      </c>
      <c r="AO82" s="393">
        <f t="shared" si="92"/>
        <v>36.72056431965521</v>
      </c>
      <c r="AP82" s="96">
        <f t="shared" si="93"/>
        <v>30.841282259838632</v>
      </c>
      <c r="AQ82" s="91">
        <f t="shared" si="94"/>
        <v>22.385399906897455</v>
      </c>
      <c r="AR82" s="198"/>
      <c r="AS82" s="81">
        <f>$H$82*月別販売比率!AG5</f>
        <v>10.569852941176471</v>
      </c>
      <c r="AT82" s="21"/>
      <c r="AU82" s="81">
        <f>$H$82*月別販売比率!AL5</f>
        <v>9.5128676470588243</v>
      </c>
      <c r="AV82" s="21"/>
      <c r="AW82" s="81">
        <f>$H$82*月別販売比率!AQ5</f>
        <v>10.569852941176471</v>
      </c>
      <c r="AX82" s="21"/>
      <c r="AY82" s="81">
        <f>$H$82*月別販売比率!AV5</f>
        <v>6.4364459397467044</v>
      </c>
      <c r="AZ82" s="21"/>
      <c r="BA82" s="245">
        <f>$H$82*月別販売比率!BA5</f>
        <v>5.8792820598165791</v>
      </c>
      <c r="BB82" s="241">
        <v>22</v>
      </c>
      <c r="BC82" s="81">
        <f>$H$82*月別販売比率!BF5</f>
        <v>8.4558823529411775</v>
      </c>
      <c r="BD82" s="21"/>
      <c r="BE82" s="81">
        <f>$H$82*月別販売比率!C21</f>
        <v>7.4902471308103156</v>
      </c>
      <c r="BF82" s="21"/>
      <c r="BG82" s="245">
        <f>$H$82*月別販売比率!H21</f>
        <v>7.3988970588235308</v>
      </c>
      <c r="BH82" s="241">
        <v>10</v>
      </c>
      <c r="BI82" s="81">
        <f>$H$82*月別販売比率!M21</f>
        <v>10.682283317297987</v>
      </c>
      <c r="BJ82" s="21"/>
      <c r="BK82" s="81">
        <f>$H$82*月別販売比率!R21</f>
        <v>8.4558823529411775</v>
      </c>
      <c r="BL82" s="21"/>
      <c r="BM82" s="245">
        <f>$H$82*月別販売比率!W21</f>
        <v>8.0507103288333806</v>
      </c>
      <c r="BN82" s="241">
        <v>30</v>
      </c>
      <c r="BO82" s="81">
        <f>$H$82*月別販売比率!AB21</f>
        <v>12.683823529411764</v>
      </c>
      <c r="BP82" s="21"/>
      <c r="BQ82" s="81">
        <f>$H$82*月別販売比率!AG21</f>
        <v>10.569852941176471</v>
      </c>
      <c r="BR82" s="21"/>
      <c r="BS82" s="81">
        <f>$H$82*月別販売比率!AL21</f>
        <v>9.5128676470588243</v>
      </c>
      <c r="BT82" s="21"/>
      <c r="BU82" s="245">
        <f>$H$82*月別販売比率!AQ21</f>
        <v>10.569852941176471</v>
      </c>
      <c r="BV82" s="241"/>
      <c r="BW82" s="81">
        <f>$H$82*月別販売比率!AV21</f>
        <v>6.4364459397467044</v>
      </c>
      <c r="BX82" s="21"/>
      <c r="BY82" s="245">
        <f>$H$82*月別販売比率!BA21</f>
        <v>5.8792820598165791</v>
      </c>
      <c r="BZ82" s="241">
        <v>40</v>
      </c>
      <c r="CA82" s="81">
        <f>$H$82*月別販売比率!BF21</f>
        <v>8.4558823529411775</v>
      </c>
      <c r="CB82" s="21"/>
      <c r="CC82" s="81">
        <f>H82*月別販売比率!$C$21</f>
        <v>7.4902471308103156</v>
      </c>
      <c r="CD82" s="21"/>
      <c r="CE82" s="245">
        <f>H82*月別販売比率!$H$21</f>
        <v>7.3988970588235308</v>
      </c>
      <c r="CF82" s="241">
        <v>20</v>
      </c>
      <c r="CG82" s="81">
        <f>H82*月別販売比率!$M$21</f>
        <v>10.682283317297987</v>
      </c>
      <c r="CH82" s="241">
        <v>40</v>
      </c>
      <c r="CI82" s="81">
        <f>H82*月別販売比率!$R$21</f>
        <v>8.4558823529411775</v>
      </c>
      <c r="CJ82" s="241">
        <v>10</v>
      </c>
      <c r="CK82" s="81">
        <f>H82*月別販売比率!$W$21</f>
        <v>8.0507103288333806</v>
      </c>
      <c r="CL82" s="21">
        <v>20</v>
      </c>
      <c r="CM82" s="81">
        <f>H82*月別販売比率!$AB$21</f>
        <v>12.683823529411764</v>
      </c>
      <c r="CN82" s="21"/>
      <c r="CO82" s="81">
        <f>H82*月別販売比率!$AG$21</f>
        <v>10.569852941176471</v>
      </c>
      <c r="CP82" s="21">
        <v>20</v>
      </c>
      <c r="CQ82" s="81">
        <f>H82*月別販売比率!$AL$21</f>
        <v>9.5128676470588243</v>
      </c>
      <c r="CR82" s="21"/>
      <c r="CS82" s="81">
        <f>H82*月別販売比率!$AQ$21</f>
        <v>10.569852941176471</v>
      </c>
      <c r="CT82" s="21"/>
      <c r="CU82" s="81">
        <f>H82*月別販売比率!$AV$21</f>
        <v>6.4364459397467044</v>
      </c>
      <c r="CV82" s="21"/>
      <c r="CW82" s="81">
        <f>H82*月別販売比率!$BA$21</f>
        <v>5.8792820598165791</v>
      </c>
      <c r="CX82" s="21"/>
      <c r="CY82" s="81">
        <f>H82*月別販売比率!$BF$21</f>
        <v>8.4558823529411775</v>
      </c>
      <c r="CZ82" s="21"/>
      <c r="DA82" s="28"/>
      <c r="DB82" s="294"/>
    </row>
    <row r="83" spans="2:106" ht="30.75" customHeight="1">
      <c r="C83" s="457"/>
      <c r="D83" s="441"/>
      <c r="E83" s="94" t="s">
        <v>49</v>
      </c>
      <c r="F83" s="57">
        <v>29</v>
      </c>
      <c r="G83" s="5">
        <f t="shared" si="95"/>
        <v>191400</v>
      </c>
      <c r="H83" s="7">
        <f>F83*($H$76/$F$76)</f>
        <v>133.27205882352942</v>
      </c>
      <c r="I83" s="5">
        <f t="shared" si="96"/>
        <v>879595.58823529421</v>
      </c>
      <c r="J83" s="9">
        <v>18</v>
      </c>
      <c r="K83" s="21">
        <f t="shared" si="98"/>
        <v>58</v>
      </c>
      <c r="L83" s="21">
        <v>10</v>
      </c>
      <c r="M83" s="21">
        <v>10</v>
      </c>
      <c r="N83" s="42">
        <v>38</v>
      </c>
      <c r="O83" s="19"/>
      <c r="P83" s="288"/>
      <c r="Q83" s="328"/>
      <c r="R83" s="328"/>
      <c r="S83" s="331">
        <v>45716</v>
      </c>
      <c r="T83" s="124"/>
      <c r="U83" s="328"/>
      <c r="V83" s="331">
        <v>45786</v>
      </c>
      <c r="W83" s="331"/>
      <c r="X83" s="331">
        <v>45855</v>
      </c>
      <c r="Y83" s="124"/>
      <c r="Z83" s="124"/>
      <c r="AA83" s="328"/>
      <c r="AB83" s="328"/>
      <c r="AC83" s="331">
        <v>46011</v>
      </c>
      <c r="AD83" s="331"/>
      <c r="AE83" s="331"/>
      <c r="AG83" s="331"/>
      <c r="AH83" s="331">
        <v>46172</v>
      </c>
      <c r="AI83" s="129">
        <f t="shared" si="97"/>
        <v>75.338235294117652</v>
      </c>
      <c r="AJ83" s="129">
        <f t="shared" si="87"/>
        <v>85.187339662110347</v>
      </c>
      <c r="AK83" s="129">
        <f t="shared" si="88"/>
        <v>69.194692603286825</v>
      </c>
      <c r="AL83" s="399">
        <f t="shared" si="89"/>
        <v>75.867486720933883</v>
      </c>
      <c r="AM83" s="393">
        <f t="shared" si="90"/>
        <v>63.873001426816238</v>
      </c>
      <c r="AN83" s="393">
        <f t="shared" si="91"/>
        <v>50.545795544463296</v>
      </c>
      <c r="AO83" s="393">
        <f t="shared" si="92"/>
        <v>42.430276750869623</v>
      </c>
      <c r="AP83" s="96">
        <f t="shared" si="93"/>
        <v>35.017268936318288</v>
      </c>
      <c r="AQ83" s="91">
        <f t="shared" si="94"/>
        <v>24.355504230435933</v>
      </c>
      <c r="AR83" s="198"/>
      <c r="AS83" s="81">
        <f>$H$83*月別販売比率!AG5</f>
        <v>13.327205882352942</v>
      </c>
      <c r="AT83" s="21"/>
      <c r="AU83" s="81">
        <f>$H$83*月別販売比率!AL5</f>
        <v>11.994485294117647</v>
      </c>
      <c r="AV83" s="21"/>
      <c r="AW83" s="81">
        <f>$H$83*月別販売比率!AQ5</f>
        <v>13.327205882352942</v>
      </c>
      <c r="AX83" s="21"/>
      <c r="AY83" s="81">
        <f>$H$83*月別販売比率!AV5</f>
        <v>8.1155187935936706</v>
      </c>
      <c r="AZ83" s="21"/>
      <c r="BA83" s="245">
        <f>$H$83*月別販売比率!BA5</f>
        <v>7.4130078145513387</v>
      </c>
      <c r="BB83" s="241">
        <v>25</v>
      </c>
      <c r="BC83" s="81">
        <f>$H$83*月別販売比率!BF5</f>
        <v>10.661764705882353</v>
      </c>
      <c r="BD83" s="21"/>
      <c r="BE83" s="81">
        <f>$H$83*月別販売比率!C21</f>
        <v>9.4442246431956161</v>
      </c>
      <c r="BF83" s="21"/>
      <c r="BG83" s="245">
        <f>$H$83*月別販売比率!H21</f>
        <v>9.3290441176470598</v>
      </c>
      <c r="BH83" s="241">
        <v>20</v>
      </c>
      <c r="BI83" s="81">
        <f>$H$83*月別販売比率!M21</f>
        <v>13.468965921810506</v>
      </c>
      <c r="BJ83" s="21"/>
      <c r="BK83" s="81">
        <f>$H$83*月別販売比率!R21</f>
        <v>10.661764705882353</v>
      </c>
      <c r="BL83" s="21"/>
      <c r="BM83" s="245">
        <f>$H$83*月別販売比率!W21</f>
        <v>10.150895632007307</v>
      </c>
      <c r="BN83" s="241">
        <v>27</v>
      </c>
      <c r="BO83" s="81">
        <f>$H$83*月別販売比率!AB21</f>
        <v>15.992647058823529</v>
      </c>
      <c r="BP83" s="21"/>
      <c r="BQ83" s="81">
        <f>$H$83*月別販売比率!AG21</f>
        <v>13.327205882352942</v>
      </c>
      <c r="BR83" s="21"/>
      <c r="BS83" s="81">
        <f>$H$83*月別販売比率!AL21</f>
        <v>11.994485294117647</v>
      </c>
      <c r="BT83" s="21"/>
      <c r="BU83" s="245">
        <f>$H$83*月別販売比率!AQ21</f>
        <v>13.327205882352942</v>
      </c>
      <c r="BV83" s="241">
        <v>13</v>
      </c>
      <c r="BW83" s="81">
        <f>$H$83*月別販売比率!AV21</f>
        <v>8.1155187935936706</v>
      </c>
      <c r="BX83" s="21"/>
      <c r="BY83" s="245">
        <f>$H$83*月別販売比率!BA21</f>
        <v>7.4130078145513387</v>
      </c>
      <c r="BZ83" s="241">
        <v>30</v>
      </c>
      <c r="CA83" s="81">
        <f>$H$83*月別販売比率!BF21</f>
        <v>10.661764705882353</v>
      </c>
      <c r="CB83" s="21"/>
      <c r="CC83" s="81">
        <f>H83*月別販売比率!$C$21</f>
        <v>9.4442246431956161</v>
      </c>
      <c r="CD83" s="21"/>
      <c r="CE83" s="245">
        <f>H83*月別販売比率!$H$21</f>
        <v>9.3290441176470598</v>
      </c>
      <c r="CF83" s="241">
        <v>40</v>
      </c>
      <c r="CG83" s="81">
        <f>H83*月別販売比率!$M$21</f>
        <v>13.468965921810506</v>
      </c>
      <c r="CH83" s="241">
        <v>30</v>
      </c>
      <c r="CI83" s="81">
        <f>H83*月別販売比率!$R$21</f>
        <v>10.661764705882353</v>
      </c>
      <c r="CJ83" s="241">
        <v>10</v>
      </c>
      <c r="CK83" s="81">
        <f>H83*月別販売比率!$W$21</f>
        <v>10.150895632007307</v>
      </c>
      <c r="CL83" s="21">
        <v>20</v>
      </c>
      <c r="CM83" s="81">
        <f>H83*月別販売比率!$AB$21</f>
        <v>15.992647058823529</v>
      </c>
      <c r="CN83" s="21"/>
      <c r="CO83" s="81">
        <f>H83*月別販売比率!$AG$21</f>
        <v>13.327205882352942</v>
      </c>
      <c r="CP83" s="21">
        <v>20</v>
      </c>
      <c r="CQ83" s="81">
        <f>H83*月別販売比率!$AL$21</f>
        <v>11.994485294117647</v>
      </c>
      <c r="CR83" s="21"/>
      <c r="CS83" s="81">
        <f>H83*月別販売比率!$AQ$21</f>
        <v>13.327205882352942</v>
      </c>
      <c r="CT83" s="21"/>
      <c r="CU83" s="81">
        <f>H83*月別販売比率!$AV$21</f>
        <v>8.1155187935936706</v>
      </c>
      <c r="CV83" s="21"/>
      <c r="CW83" s="81">
        <f>H83*月別販売比率!$BA$21</f>
        <v>7.4130078145513387</v>
      </c>
      <c r="CX83" s="21"/>
      <c r="CY83" s="81">
        <f>H83*月別販売比率!$BF$21</f>
        <v>10.661764705882353</v>
      </c>
      <c r="CZ83" s="21"/>
      <c r="DA83" s="28"/>
      <c r="DB83" s="294"/>
    </row>
    <row r="84" spans="2:106" ht="30.75" customHeight="1">
      <c r="C84" s="457"/>
      <c r="D84" s="441"/>
      <c r="E84" s="99" t="s">
        <v>50</v>
      </c>
      <c r="F84" s="56">
        <v>9</v>
      </c>
      <c r="G84" s="5">
        <f t="shared" si="95"/>
        <v>59400</v>
      </c>
      <c r="H84" s="7">
        <f>F84*($H$76/$F$76)</f>
        <v>41.360294117647058</v>
      </c>
      <c r="I84" s="5">
        <f t="shared" si="96"/>
        <v>272977.9411764706</v>
      </c>
      <c r="J84" s="49">
        <v>0</v>
      </c>
      <c r="K84" s="21">
        <f t="shared" si="98"/>
        <v>20</v>
      </c>
      <c r="L84" s="39">
        <v>10</v>
      </c>
      <c r="M84" s="39">
        <v>2</v>
      </c>
      <c r="N84" s="42">
        <v>8</v>
      </c>
      <c r="O84" s="289">
        <v>45587</v>
      </c>
      <c r="P84" s="19"/>
      <c r="Q84" s="124"/>
      <c r="R84" s="328"/>
      <c r="S84" s="331">
        <v>45716</v>
      </c>
      <c r="T84" s="124"/>
      <c r="U84" s="124"/>
      <c r="V84" s="124"/>
      <c r="W84" s="124"/>
      <c r="X84" s="328"/>
      <c r="Y84" s="331">
        <v>45879</v>
      </c>
      <c r="Z84" s="330"/>
      <c r="AA84" s="330"/>
      <c r="AB84" s="331"/>
      <c r="AC84" s="331">
        <v>46011</v>
      </c>
      <c r="AD84" s="331"/>
      <c r="AE84" s="331"/>
      <c r="AF84" s="331"/>
      <c r="AG84" s="331"/>
      <c r="AH84" s="331">
        <v>46172</v>
      </c>
      <c r="AI84" s="129">
        <f t="shared" si="97"/>
        <v>16.691176470588236</v>
      </c>
      <c r="AJ84" s="129">
        <f t="shared" si="87"/>
        <v>28.540898515827347</v>
      </c>
      <c r="AK84" s="129">
        <f t="shared" si="88"/>
        <v>23.577663221709699</v>
      </c>
      <c r="AL84" s="399">
        <f t="shared" si="89"/>
        <v>19.441633809944992</v>
      </c>
      <c r="AM84" s="393">
        <f t="shared" si="90"/>
        <v>15.719207339356757</v>
      </c>
      <c r="AN84" s="393">
        <f t="shared" si="91"/>
        <v>11.58317792759205</v>
      </c>
      <c r="AO84" s="393">
        <f t="shared" si="92"/>
        <v>9.064568646821602</v>
      </c>
      <c r="AP84" s="96">
        <f t="shared" si="93"/>
        <v>6.7639800147194631</v>
      </c>
      <c r="AQ84" s="91">
        <f t="shared" si="94"/>
        <v>3.4551564853076986</v>
      </c>
      <c r="AR84" s="198"/>
      <c r="AS84" s="81">
        <f>$H$84*月別販売比率!AG5</f>
        <v>4.1360294117647056</v>
      </c>
      <c r="AT84" s="39"/>
      <c r="AU84" s="81">
        <f>$H$84*月別販売比率!AL5</f>
        <v>3.7224264705882351</v>
      </c>
      <c r="AV84" s="39"/>
      <c r="AW84" s="81">
        <f>$H$84*月別販売比率!AQ5</f>
        <v>4.1360294117647056</v>
      </c>
      <c r="AX84" s="39"/>
      <c r="AY84" s="81">
        <f>$H$84*月別販売比率!AV5</f>
        <v>2.5186092807704492</v>
      </c>
      <c r="AZ84" s="39"/>
      <c r="BA84" s="245">
        <f>$H$84*月別販売比率!BA5</f>
        <v>2.3005886321021394</v>
      </c>
      <c r="BB84" s="280">
        <v>10</v>
      </c>
      <c r="BC84" s="81">
        <f>$H$84*月別販売比率!BF5</f>
        <v>3.3088235294117645</v>
      </c>
      <c r="BD84" s="39"/>
      <c r="BE84" s="81">
        <f>$H$84*月別販売比率!C21</f>
        <v>2.9309662685779494</v>
      </c>
      <c r="BF84" s="39"/>
      <c r="BG84" s="245">
        <f>$H$84*月別販売比率!H21</f>
        <v>2.8952205882352944</v>
      </c>
      <c r="BH84" s="280">
        <v>5</v>
      </c>
      <c r="BI84" s="81">
        <f>$H$84*月別販売比率!M21</f>
        <v>4.1800239067687777</v>
      </c>
      <c r="BJ84" s="39"/>
      <c r="BK84" s="81">
        <f>$H$84*月別販売比率!R21</f>
        <v>3.3088235294117645</v>
      </c>
      <c r="BL84" s="39"/>
      <c r="BM84" s="245">
        <f>$H$84*月別販売比率!W21</f>
        <v>3.1502779547608881</v>
      </c>
      <c r="BN84" s="280">
        <v>5</v>
      </c>
      <c r="BO84" s="81">
        <f>$H$84*月別販売比率!AB21</f>
        <v>4.9632352941176467</v>
      </c>
      <c r="BP84" s="39"/>
      <c r="BQ84" s="81">
        <f>$H$84*月別販売比率!AG21</f>
        <v>4.1360294117647056</v>
      </c>
      <c r="BR84" s="39"/>
      <c r="BS84" s="81">
        <f>$H$84*月別販売比率!AL21</f>
        <v>3.7224264705882351</v>
      </c>
      <c r="BT84" s="39"/>
      <c r="BU84" s="245">
        <f>$H$84*月別販売比率!AQ21</f>
        <v>4.1360294117647056</v>
      </c>
      <c r="BV84" s="280">
        <v>10</v>
      </c>
      <c r="BW84" s="81">
        <f>$H$84*月別販売比率!AV21</f>
        <v>2.5186092807704492</v>
      </c>
      <c r="BX84" s="39"/>
      <c r="BY84" s="245">
        <f>$H$84*月別販売比率!BA21</f>
        <v>2.3005886321021394</v>
      </c>
      <c r="BZ84" s="280">
        <v>5</v>
      </c>
      <c r="CA84" s="81">
        <f>$H$84*月別販売比率!BF21</f>
        <v>3.3088235294117645</v>
      </c>
      <c r="CB84" s="39"/>
      <c r="CC84" s="81">
        <f>H84*月別販売比率!$C$21</f>
        <v>2.9309662685779494</v>
      </c>
      <c r="CD84" s="39"/>
      <c r="CE84" s="245">
        <f>H84*月別販売比率!$H$21</f>
        <v>2.8952205882352944</v>
      </c>
      <c r="CF84" s="280">
        <v>10</v>
      </c>
      <c r="CG84" s="81">
        <f>H84*月別販売比率!$M$21</f>
        <v>4.1800239067687777</v>
      </c>
      <c r="CH84" s="280">
        <v>15</v>
      </c>
      <c r="CI84" s="81">
        <f>H84*月別販売比率!$R$21</f>
        <v>3.3088235294117645</v>
      </c>
      <c r="CJ84" s="280"/>
      <c r="CK84" s="81">
        <f>H84*月別販売比率!$W$21</f>
        <v>3.1502779547608881</v>
      </c>
      <c r="CL84" s="39">
        <v>15</v>
      </c>
      <c r="CM84" s="81">
        <f>H84*月別販売比率!$AB$21</f>
        <v>4.9632352941176467</v>
      </c>
      <c r="CN84" s="39"/>
      <c r="CO84" s="81">
        <f>H84*月別販売比率!$AG$21</f>
        <v>4.1360294117647056</v>
      </c>
      <c r="CP84" s="39"/>
      <c r="CQ84" s="81">
        <f>H84*月別販売比率!$AL$21</f>
        <v>3.7224264705882351</v>
      </c>
      <c r="CR84" s="39"/>
      <c r="CS84" s="81">
        <f>H84*月別販売比率!$AQ$21</f>
        <v>4.1360294117647056</v>
      </c>
      <c r="CT84" s="39"/>
      <c r="CU84" s="81">
        <f>H84*月別販売比率!$AV$21</f>
        <v>2.5186092807704492</v>
      </c>
      <c r="CV84" s="39"/>
      <c r="CW84" s="81">
        <f>H84*月別販売比率!$BA$21</f>
        <v>2.3005886321021394</v>
      </c>
      <c r="CX84" s="39"/>
      <c r="CY84" s="81">
        <f>H84*月別販売比率!$BF$21</f>
        <v>3.3088235294117645</v>
      </c>
      <c r="CZ84" s="39"/>
      <c r="DA84" s="28"/>
      <c r="DB84" s="294"/>
    </row>
    <row r="85" spans="2:106" ht="30.75" customHeight="1">
      <c r="C85" s="457"/>
      <c r="D85" s="441">
        <v>3</v>
      </c>
      <c r="E85" s="94" t="s">
        <v>47</v>
      </c>
      <c r="F85" s="57">
        <v>22</v>
      </c>
      <c r="G85" s="5">
        <f t="shared" si="95"/>
        <v>145200</v>
      </c>
      <c r="H85" s="7">
        <f>F85*($H$76/$F$76)</f>
        <v>101.10294117647059</v>
      </c>
      <c r="I85" s="5">
        <f t="shared" si="96"/>
        <v>667279.4117647059</v>
      </c>
      <c r="J85" s="9">
        <v>0</v>
      </c>
      <c r="K85" s="21">
        <f t="shared" si="98"/>
        <v>36</v>
      </c>
      <c r="L85" s="21">
        <v>9</v>
      </c>
      <c r="M85" s="21">
        <v>5</v>
      </c>
      <c r="N85" s="42">
        <v>22</v>
      </c>
      <c r="O85" s="288"/>
      <c r="P85" s="288"/>
      <c r="Q85" s="328"/>
      <c r="R85" s="328"/>
      <c r="S85" s="331">
        <v>45716</v>
      </c>
      <c r="T85" s="124"/>
      <c r="U85" s="328"/>
      <c r="V85" s="331">
        <v>45786</v>
      </c>
      <c r="W85" s="331"/>
      <c r="X85" s="328"/>
      <c r="Y85" s="331">
        <v>45879</v>
      </c>
      <c r="Z85" s="330"/>
      <c r="AA85" s="331"/>
      <c r="AB85" s="331"/>
      <c r="AC85" s="331">
        <v>46011</v>
      </c>
      <c r="AD85" s="331"/>
      <c r="AE85" s="331"/>
      <c r="AF85" s="331"/>
      <c r="AG85" s="331"/>
      <c r="AH85" s="331">
        <v>46172</v>
      </c>
      <c r="AI85" s="129">
        <f t="shared" si="97"/>
        <v>27.911764705882351</v>
      </c>
      <c r="AJ85" s="129">
        <f t="shared" si="87"/>
        <v>40.21108526091129</v>
      </c>
      <c r="AK85" s="129">
        <f t="shared" si="88"/>
        <v>28.078732319734819</v>
      </c>
      <c r="AL85" s="399">
        <f t="shared" si="89"/>
        <v>32.968438202087761</v>
      </c>
      <c r="AM85" s="393">
        <f t="shared" si="90"/>
        <v>23.869173496205406</v>
      </c>
      <c r="AN85" s="393">
        <f t="shared" si="91"/>
        <v>13.758879378558346</v>
      </c>
      <c r="AO85" s="393">
        <f t="shared" si="92"/>
        <v>7.6022789144528025</v>
      </c>
      <c r="AP85" s="96">
        <f t="shared" si="93"/>
        <v>1.9786178137586834</v>
      </c>
      <c r="AQ85" s="91">
        <f t="shared" si="94"/>
        <v>-6.1096174803589651</v>
      </c>
      <c r="AR85" s="198"/>
      <c r="AS85" s="81">
        <f>$H$85*月別販売比率!AG5</f>
        <v>10.11029411764706</v>
      </c>
      <c r="AT85" s="21"/>
      <c r="AU85" s="81">
        <f>$H$85*月別販売比率!AL5</f>
        <v>9.0992647058823533</v>
      </c>
      <c r="AV85" s="21"/>
      <c r="AW85" s="81">
        <f>$H$85*月別販売比率!AQ5</f>
        <v>10.11029411764706</v>
      </c>
      <c r="AX85" s="21"/>
      <c r="AY85" s="81">
        <f>$H$85*月別販売比率!AV5</f>
        <v>6.1566004641055434</v>
      </c>
      <c r="AZ85" s="21"/>
      <c r="BA85" s="245">
        <f>$H$85*月別販売比率!BA5</f>
        <v>5.6236611006941191</v>
      </c>
      <c r="BB85" s="241">
        <v>20</v>
      </c>
      <c r="BC85" s="81">
        <f>$H$85*月別販売比率!BF5</f>
        <v>8.0882352941176485</v>
      </c>
      <c r="BD85" s="21"/>
      <c r="BE85" s="81">
        <f>$H$85*月別販売比率!C21</f>
        <v>7.1645842120794327</v>
      </c>
      <c r="BF85" s="21"/>
      <c r="BG85" s="245">
        <f>$H$85*月別販売比率!H21</f>
        <v>7.077205882352942</v>
      </c>
      <c r="BH85" s="241">
        <v>15</v>
      </c>
      <c r="BI85" s="81">
        <f>$H$85*月別販売比率!M21</f>
        <v>10.217836216545901</v>
      </c>
      <c r="BJ85" s="21"/>
      <c r="BK85" s="81">
        <f>$H$85*月別販売比率!R21</f>
        <v>8.0882352941176485</v>
      </c>
      <c r="BL85" s="21"/>
      <c r="BM85" s="245">
        <f>$H$85*月別販売比率!W21</f>
        <v>7.7006794449710609</v>
      </c>
      <c r="BN85" s="241">
        <v>23</v>
      </c>
      <c r="BO85" s="81">
        <f>$H$85*月別販売比率!AB21</f>
        <v>12.132352941176471</v>
      </c>
      <c r="BP85" s="21"/>
      <c r="BQ85" s="81">
        <f>$H$85*月別販売比率!AG21</f>
        <v>10.11029411764706</v>
      </c>
      <c r="BR85" s="21"/>
      <c r="BS85" s="81">
        <f>$H$85*月別販売比率!AL21</f>
        <v>9.0992647058823533</v>
      </c>
      <c r="BT85" s="21"/>
      <c r="BU85" s="245">
        <f>$H$85*月別販売比率!AQ21</f>
        <v>10.11029411764706</v>
      </c>
      <c r="BV85" s="241">
        <v>10</v>
      </c>
      <c r="BW85" s="81">
        <f>$H$85*月別販売比率!AV21</f>
        <v>6.1566004641055434</v>
      </c>
      <c r="BX85" s="21"/>
      <c r="BY85" s="245">
        <f>$H$85*月別販売比率!BA21</f>
        <v>5.6236611006941191</v>
      </c>
      <c r="BZ85" s="241">
        <v>30</v>
      </c>
      <c r="CA85" s="81">
        <f>$H$85*月別販売比率!BF21</f>
        <v>8.0882352941176485</v>
      </c>
      <c r="CB85" s="21"/>
      <c r="CC85" s="81">
        <f>H85*月別販売比率!$C$21</f>
        <v>7.1645842120794327</v>
      </c>
      <c r="CD85" s="21"/>
      <c r="CE85" s="245">
        <f>H85*月別販売比率!$H$21</f>
        <v>7.077205882352942</v>
      </c>
      <c r="CF85" s="241">
        <v>30</v>
      </c>
      <c r="CG85" s="81">
        <f>H85*月別販売比率!$M$21</f>
        <v>10.217836216545901</v>
      </c>
      <c r="CH85" s="241">
        <v>25</v>
      </c>
      <c r="CI85" s="81">
        <f>H85*月別販売比率!$R$21</f>
        <v>8.0882352941176485</v>
      </c>
      <c r="CJ85" s="241"/>
      <c r="CK85" s="81">
        <f>H85*月別販売比率!$W$21</f>
        <v>7.7006794449710609</v>
      </c>
      <c r="CL85" s="21">
        <v>20</v>
      </c>
      <c r="CM85" s="81">
        <f>H85*月別販売比率!$AB$21</f>
        <v>12.132352941176471</v>
      </c>
      <c r="CN85" s="21"/>
      <c r="CO85" s="81">
        <f>H85*月別販売比率!$AG$21</f>
        <v>10.11029411764706</v>
      </c>
      <c r="CP85" s="21">
        <v>15</v>
      </c>
      <c r="CQ85" s="81">
        <f>H85*月別販売比率!$AL$21</f>
        <v>9.0992647058823533</v>
      </c>
      <c r="CR85" s="21"/>
      <c r="CS85" s="81">
        <f>H85*月別販売比率!$AQ$21</f>
        <v>10.11029411764706</v>
      </c>
      <c r="CT85" s="21"/>
      <c r="CU85" s="81">
        <f>H85*月別販売比率!$AV$21</f>
        <v>6.1566004641055434</v>
      </c>
      <c r="CV85" s="21"/>
      <c r="CW85" s="81">
        <f>H85*月別販売比率!$BA$21</f>
        <v>5.6236611006941191</v>
      </c>
      <c r="CX85" s="21"/>
      <c r="CY85" s="81">
        <f>H85*月別販売比率!$BF$21</f>
        <v>8.0882352941176485</v>
      </c>
      <c r="CZ85" s="21"/>
      <c r="DA85" s="28"/>
      <c r="DB85" s="294"/>
    </row>
    <row r="86" spans="2:106" ht="30.75" customHeight="1">
      <c r="C86" s="457"/>
      <c r="D86" s="441"/>
      <c r="E86" s="94" t="s">
        <v>51</v>
      </c>
      <c r="F86" s="57">
        <v>25</v>
      </c>
      <c r="G86" s="5">
        <f t="shared" si="95"/>
        <v>165000</v>
      </c>
      <c r="H86" s="7">
        <f>F86*($H$76/$F$76)</f>
        <v>114.88970588235294</v>
      </c>
      <c r="I86" s="5">
        <f t="shared" si="96"/>
        <v>758272.0588235294</v>
      </c>
      <c r="J86" s="9">
        <v>61</v>
      </c>
      <c r="K86" s="21">
        <f t="shared" si="98"/>
        <v>22</v>
      </c>
      <c r="L86" s="21">
        <v>10</v>
      </c>
      <c r="M86" s="21">
        <v>11</v>
      </c>
      <c r="N86" s="42">
        <v>1</v>
      </c>
      <c r="O86" s="288"/>
      <c r="P86" s="288"/>
      <c r="Q86" s="328"/>
      <c r="R86" s="328"/>
      <c r="S86" s="331">
        <v>45716</v>
      </c>
      <c r="T86" s="124"/>
      <c r="U86" s="328"/>
      <c r="V86" s="331">
        <v>45786</v>
      </c>
      <c r="W86" s="331"/>
      <c r="X86" s="328"/>
      <c r="Y86" s="331">
        <v>45879</v>
      </c>
      <c r="Z86" s="330"/>
      <c r="AA86" s="331"/>
      <c r="AB86" s="331"/>
      <c r="AC86" s="331">
        <v>46011</v>
      </c>
      <c r="AD86" s="331"/>
      <c r="AE86" s="331"/>
      <c r="AG86" s="331"/>
      <c r="AH86" s="331">
        <v>46172</v>
      </c>
      <c r="AI86" s="129">
        <f t="shared" si="97"/>
        <v>73.808823529411768</v>
      </c>
      <c r="AJ86" s="129">
        <f t="shared" si="87"/>
        <v>85.058051432853745</v>
      </c>
      <c r="AK86" s="129">
        <f t="shared" si="88"/>
        <v>71.271286726971397</v>
      </c>
      <c r="AL86" s="399">
        <f t="shared" si="89"/>
        <v>79.782316138736093</v>
      </c>
      <c r="AM86" s="393">
        <f t="shared" si="90"/>
        <v>69.442242609324325</v>
      </c>
      <c r="AN86" s="393">
        <f t="shared" si="91"/>
        <v>57.953272021089028</v>
      </c>
      <c r="AO86" s="393">
        <f t="shared" si="92"/>
        <v>50.957135130060003</v>
      </c>
      <c r="AP86" s="96">
        <f t="shared" si="93"/>
        <v>44.566611151998501</v>
      </c>
      <c r="AQ86" s="91">
        <f t="shared" si="94"/>
        <v>35.375434681410269</v>
      </c>
      <c r="AR86" s="198"/>
      <c r="AS86" s="81">
        <f>$H$86*月別販売比率!AG5</f>
        <v>11.488970588235295</v>
      </c>
      <c r="AT86" s="21"/>
      <c r="AU86" s="81">
        <f>$H$86*月別販売比率!AL5</f>
        <v>10.340073529411764</v>
      </c>
      <c r="AV86" s="21"/>
      <c r="AW86" s="81">
        <f>$H$86*月別販売比率!AQ5</f>
        <v>11.488970588235295</v>
      </c>
      <c r="AX86" s="21"/>
      <c r="AY86" s="81">
        <f>$H$86*月別販売比率!AV5</f>
        <v>6.9961368910290265</v>
      </c>
      <c r="AZ86" s="21"/>
      <c r="BA86" s="245">
        <f>$H$86*月別販売比率!BA5</f>
        <v>6.3905239780614984</v>
      </c>
      <c r="BB86" s="241">
        <v>17</v>
      </c>
      <c r="BC86" s="81">
        <f>$H$86*月別販売比率!BF5</f>
        <v>9.1911764705882355</v>
      </c>
      <c r="BD86" s="21"/>
      <c r="BE86" s="81">
        <f>$H$86*月別販売比率!C21</f>
        <v>8.1415729682720812</v>
      </c>
      <c r="BF86" s="21"/>
      <c r="BG86" s="245">
        <f>$H$86*月別販売比率!H21</f>
        <v>8.0422794117647065</v>
      </c>
      <c r="BH86" s="241">
        <v>25</v>
      </c>
      <c r="BI86" s="81">
        <f>$H$86*月別販売比率!M21</f>
        <v>11.61117751880216</v>
      </c>
      <c r="BJ86" s="21"/>
      <c r="BK86" s="81">
        <f>$H$86*月別販売比率!R21</f>
        <v>9.1911764705882355</v>
      </c>
      <c r="BL86" s="21"/>
      <c r="BM86" s="245">
        <f>$H$86*月別販売比率!W21</f>
        <v>8.7507720965580233</v>
      </c>
      <c r="BN86" s="241">
        <v>20</v>
      </c>
      <c r="BO86" s="81">
        <f>$H$86*月別販売比率!AB21</f>
        <v>13.786764705882353</v>
      </c>
      <c r="BP86" s="21"/>
      <c r="BQ86" s="81">
        <f>$H$86*月別販売比率!AG21</f>
        <v>11.488970588235295</v>
      </c>
      <c r="BR86" s="21"/>
      <c r="BS86" s="81">
        <f>$H$86*月別販売比率!AL21</f>
        <v>10.340073529411764</v>
      </c>
      <c r="BT86" s="21"/>
      <c r="BU86" s="245">
        <f>$H$86*月別販売比率!AQ21</f>
        <v>11.488970588235295</v>
      </c>
      <c r="BV86" s="241">
        <v>19</v>
      </c>
      <c r="BW86" s="81">
        <f>$H$86*月別販売比率!AV21</f>
        <v>6.9961368910290265</v>
      </c>
      <c r="BX86" s="21"/>
      <c r="BY86" s="245">
        <f>$H$86*月別販売比率!BA21</f>
        <v>6.3905239780614984</v>
      </c>
      <c r="BZ86" s="241">
        <v>25</v>
      </c>
      <c r="CA86" s="81">
        <f>$H$86*月別販売比率!BF21</f>
        <v>9.1911764705882355</v>
      </c>
      <c r="CB86" s="21"/>
      <c r="CC86" s="81">
        <f>H86*月別販売比率!$C$21</f>
        <v>8.1415729682720812</v>
      </c>
      <c r="CD86" s="21"/>
      <c r="CE86" s="245">
        <f>H86*月別販売比率!$H$21</f>
        <v>8.0422794117647065</v>
      </c>
      <c r="CF86" s="241">
        <v>40</v>
      </c>
      <c r="CG86" s="81">
        <f>H86*月別販売比率!$M$21</f>
        <v>11.61117751880216</v>
      </c>
      <c r="CH86" s="241">
        <v>25</v>
      </c>
      <c r="CI86" s="81">
        <f>H86*月別販売比率!$R$21</f>
        <v>9.1911764705882355</v>
      </c>
      <c r="CJ86" s="241"/>
      <c r="CK86" s="81">
        <f>H86*月別販売比率!$W$21</f>
        <v>8.7507720965580233</v>
      </c>
      <c r="CL86" s="21">
        <v>20</v>
      </c>
      <c r="CM86" s="81">
        <f>H86*月別販売比率!$AB$21</f>
        <v>13.786764705882353</v>
      </c>
      <c r="CN86" s="21"/>
      <c r="CO86" s="81">
        <f>H86*月別販売比率!$AG$21</f>
        <v>11.488970588235295</v>
      </c>
      <c r="CP86" s="21">
        <v>20</v>
      </c>
      <c r="CQ86" s="81">
        <f>H86*月別販売比率!$AL$21</f>
        <v>10.340073529411764</v>
      </c>
      <c r="CR86" s="21"/>
      <c r="CS86" s="81">
        <f>H86*月別販売比率!$AQ$21</f>
        <v>11.488970588235295</v>
      </c>
      <c r="CT86" s="21"/>
      <c r="CU86" s="81">
        <f>H86*月別販売比率!$AV$21</f>
        <v>6.9961368910290265</v>
      </c>
      <c r="CV86" s="21"/>
      <c r="CW86" s="81">
        <f>H86*月別販売比率!$BA$21</f>
        <v>6.3905239780614984</v>
      </c>
      <c r="CX86" s="21"/>
      <c r="CY86" s="81">
        <f>H86*月別販売比率!$BF$21</f>
        <v>9.1911764705882355</v>
      </c>
      <c r="CZ86" s="21"/>
      <c r="DA86" s="28"/>
      <c r="DB86" s="294"/>
    </row>
    <row r="87" spans="2:106" ht="30.75" customHeight="1">
      <c r="C87" s="457"/>
      <c r="D87" s="441"/>
      <c r="E87" s="94" t="s">
        <v>49</v>
      </c>
      <c r="F87" s="57">
        <v>12</v>
      </c>
      <c r="G87" s="5">
        <f t="shared" si="95"/>
        <v>79200</v>
      </c>
      <c r="H87" s="7">
        <f>F87*($H$76/$F$76)</f>
        <v>55.147058823529413</v>
      </c>
      <c r="I87" s="5">
        <f t="shared" si="96"/>
        <v>363970.5882352941</v>
      </c>
      <c r="J87" s="9">
        <v>7</v>
      </c>
      <c r="K87" s="21">
        <f t="shared" si="98"/>
        <v>38</v>
      </c>
      <c r="L87" s="21">
        <v>10</v>
      </c>
      <c r="M87" s="21">
        <v>10</v>
      </c>
      <c r="N87" s="42">
        <v>18</v>
      </c>
      <c r="O87" s="19"/>
      <c r="P87" s="19"/>
      <c r="Q87" s="124"/>
      <c r="R87" s="328"/>
      <c r="S87" s="331">
        <v>45716</v>
      </c>
      <c r="T87" s="124"/>
      <c r="U87" s="328"/>
      <c r="V87" s="331">
        <v>45786</v>
      </c>
      <c r="W87" s="331"/>
      <c r="X87" s="328"/>
      <c r="Y87" s="331">
        <v>45879</v>
      </c>
      <c r="Z87" s="330"/>
      <c r="AA87" s="331"/>
      <c r="AB87" s="331"/>
      <c r="AC87" s="331">
        <v>46011</v>
      </c>
      <c r="AI87" s="129">
        <f t="shared" si="97"/>
        <v>40.588235294117645</v>
      </c>
      <c r="AJ87" s="129">
        <f t="shared" si="87"/>
        <v>56.387864687769792</v>
      </c>
      <c r="AK87" s="129">
        <f t="shared" si="88"/>
        <v>49.770217628946263</v>
      </c>
      <c r="AL87" s="399">
        <f t="shared" si="89"/>
        <v>59.255511746593321</v>
      </c>
      <c r="AM87" s="393">
        <f t="shared" si="90"/>
        <v>54.292276452475676</v>
      </c>
      <c r="AN87" s="393">
        <f t="shared" si="91"/>
        <v>48.777570570122734</v>
      </c>
      <c r="AO87" s="393">
        <f t="shared" si="92"/>
        <v>45.419424862428798</v>
      </c>
      <c r="AP87" s="96">
        <f t="shared" si="93"/>
        <v>42.351973352959277</v>
      </c>
      <c r="AQ87" s="91">
        <f t="shared" si="94"/>
        <v>37.940208647076922</v>
      </c>
      <c r="AR87" s="198"/>
      <c r="AS87" s="81">
        <f>$H$87*月別販売比率!AG5</f>
        <v>5.514705882352942</v>
      </c>
      <c r="AT87" s="21"/>
      <c r="AU87" s="81">
        <f>$H$87*月別販売比率!AL5</f>
        <v>4.9632352941176467</v>
      </c>
      <c r="AV87" s="21"/>
      <c r="AW87" s="81">
        <f>$H$87*月別販売比率!AQ5</f>
        <v>5.514705882352942</v>
      </c>
      <c r="AX87" s="21"/>
      <c r="AY87" s="81">
        <f>$H$87*月別販売比率!AV5</f>
        <v>3.3581457076939327</v>
      </c>
      <c r="AZ87" s="21"/>
      <c r="BA87" s="245">
        <f>$H$87*月別販売比率!BA5</f>
        <v>3.0674515094695192</v>
      </c>
      <c r="BB87" s="241">
        <v>4</v>
      </c>
      <c r="BC87" s="81">
        <f>$H$87*月別販売比率!BF5</f>
        <v>4.4117647058823533</v>
      </c>
      <c r="BD87" s="21"/>
      <c r="BE87" s="81">
        <f>$H$87*月別販売比率!C21</f>
        <v>3.9079550247705996</v>
      </c>
      <c r="BF87" s="21"/>
      <c r="BG87" s="245">
        <f>$H$87*月別販売比率!H21</f>
        <v>3.8602941176470593</v>
      </c>
      <c r="BH87" s="241">
        <v>10</v>
      </c>
      <c r="BI87" s="81">
        <f>$H$87*月別販売比率!M21</f>
        <v>5.5733652090250372</v>
      </c>
      <c r="BJ87" s="21"/>
      <c r="BK87" s="81">
        <f>$H$87*月別販売比率!R21</f>
        <v>4.4117647058823533</v>
      </c>
      <c r="BL87" s="21"/>
      <c r="BM87" s="245">
        <f>$H$87*月別販売比率!W21</f>
        <v>4.2003706063478514</v>
      </c>
      <c r="BN87" s="241">
        <v>13</v>
      </c>
      <c r="BO87" s="81">
        <f>$H$87*月別販売比率!AB21</f>
        <v>6.617647058823529</v>
      </c>
      <c r="BP87" s="21"/>
      <c r="BQ87" s="81">
        <f>$H$87*月別販売比率!AG21</f>
        <v>5.514705882352942</v>
      </c>
      <c r="BR87" s="21"/>
      <c r="BS87" s="81">
        <f>$H$87*月別販売比率!AL21</f>
        <v>4.9632352941176467</v>
      </c>
      <c r="BT87" s="21"/>
      <c r="BU87" s="245">
        <f>$H$87*月別販売比率!AQ21</f>
        <v>5.514705882352942</v>
      </c>
      <c r="BV87" s="241">
        <v>15</v>
      </c>
      <c r="BW87" s="81">
        <f>$H$87*月別販売比率!AV21</f>
        <v>3.3581457076939327</v>
      </c>
      <c r="BX87" s="21"/>
      <c r="BY87" s="245">
        <f>$H$87*月別販売比率!BA21</f>
        <v>3.0674515094695192</v>
      </c>
      <c r="BZ87" s="241">
        <v>25</v>
      </c>
      <c r="CA87" s="81">
        <f>$H$87*月別販売比率!BF21</f>
        <v>4.4117647058823533</v>
      </c>
      <c r="CB87" s="21"/>
      <c r="CC87" s="81">
        <f>H87*月別販売比率!$C$21</f>
        <v>3.9079550247705996</v>
      </c>
      <c r="CD87" s="21"/>
      <c r="CE87" s="245">
        <f>H87*月別販売比率!$H$21</f>
        <v>3.8602941176470593</v>
      </c>
      <c r="CF87" s="241">
        <v>25</v>
      </c>
      <c r="CG87" s="81">
        <f>H87*月別販売比率!$M$21</f>
        <v>5.5733652090250372</v>
      </c>
      <c r="CH87" s="241">
        <v>20</v>
      </c>
      <c r="CI87" s="81">
        <f>H87*月別販売比率!$R$21</f>
        <v>4.4117647058823533</v>
      </c>
      <c r="CJ87" s="241"/>
      <c r="CK87" s="81">
        <f>H87*月別販売比率!$W$21</f>
        <v>4.2003706063478514</v>
      </c>
      <c r="CL87" s="21">
        <v>20</v>
      </c>
      <c r="CM87" s="81">
        <f>H87*月別販売比率!$AB$21</f>
        <v>6.617647058823529</v>
      </c>
      <c r="CN87" s="21"/>
      <c r="CO87" s="81">
        <f>H87*月別販売比率!$AG$21</f>
        <v>5.514705882352942</v>
      </c>
      <c r="CP87" s="21">
        <v>15</v>
      </c>
      <c r="CQ87" s="81">
        <f>H87*月別販売比率!$AL$21</f>
        <v>4.9632352941176467</v>
      </c>
      <c r="CR87" s="21"/>
      <c r="CS87" s="81">
        <f>H87*月別販売比率!$AQ$21</f>
        <v>5.514705882352942</v>
      </c>
      <c r="CT87" s="21"/>
      <c r="CU87" s="81">
        <f>H87*月別販売比率!$AV$21</f>
        <v>3.3581457076939327</v>
      </c>
      <c r="CV87" s="21"/>
      <c r="CW87" s="81">
        <f>H87*月別販売比率!$BA$21</f>
        <v>3.0674515094695192</v>
      </c>
      <c r="CX87" s="21"/>
      <c r="CY87" s="81">
        <f>H87*月別販売比率!$BF$21</f>
        <v>4.4117647058823533</v>
      </c>
      <c r="CZ87" s="21"/>
      <c r="DA87" s="28"/>
      <c r="DB87" s="294"/>
    </row>
    <row r="88" spans="2:106" ht="30.75" customHeight="1">
      <c r="C88" s="458"/>
      <c r="D88" s="444"/>
      <c r="E88" s="101" t="s">
        <v>50</v>
      </c>
      <c r="F88" s="58">
        <v>18</v>
      </c>
      <c r="G88" s="35">
        <f t="shared" si="95"/>
        <v>118800</v>
      </c>
      <c r="H88" s="181">
        <f>F88*($H$76/$F$76)</f>
        <v>82.720588235294116</v>
      </c>
      <c r="I88" s="35">
        <f t="shared" si="96"/>
        <v>545955.8823529412</v>
      </c>
      <c r="J88" s="113">
        <v>20</v>
      </c>
      <c r="K88" s="103">
        <f t="shared" si="98"/>
        <v>37</v>
      </c>
      <c r="L88" s="104">
        <v>10</v>
      </c>
      <c r="M88" s="104">
        <v>9</v>
      </c>
      <c r="N88" s="117">
        <v>18</v>
      </c>
      <c r="O88" s="319">
        <v>45594</v>
      </c>
      <c r="P88" s="123"/>
      <c r="Q88" s="238"/>
      <c r="R88" s="238"/>
      <c r="S88" s="238"/>
      <c r="T88" s="238"/>
      <c r="U88" s="329"/>
      <c r="V88" s="331">
        <v>45786</v>
      </c>
      <c r="W88" s="331"/>
      <c r="X88" s="328"/>
      <c r="Y88" s="334">
        <v>45879</v>
      </c>
      <c r="Z88" s="332"/>
      <c r="AA88" s="332"/>
      <c r="AB88" s="334"/>
      <c r="AC88" s="334">
        <v>46011</v>
      </c>
      <c r="AD88" s="115"/>
      <c r="AE88" s="115"/>
      <c r="AF88" s="115"/>
      <c r="AG88" s="331"/>
      <c r="AH88" s="331">
        <v>46172</v>
      </c>
      <c r="AI88" s="238">
        <f t="shared" si="97"/>
        <v>50.382352941176471</v>
      </c>
      <c r="AJ88" s="238">
        <f t="shared" si="87"/>
        <v>59.081797031654695</v>
      </c>
      <c r="AK88" s="238">
        <f t="shared" si="88"/>
        <v>49.155326443419398</v>
      </c>
      <c r="AL88" s="401">
        <f t="shared" si="89"/>
        <v>50.883267619889985</v>
      </c>
      <c r="AM88" s="395">
        <f t="shared" si="90"/>
        <v>43.438414678713514</v>
      </c>
      <c r="AN88" s="395">
        <f t="shared" si="91"/>
        <v>35.166355855184101</v>
      </c>
      <c r="AO88" s="395">
        <f t="shared" si="92"/>
        <v>30.129137293643204</v>
      </c>
      <c r="AP88" s="403">
        <f t="shared" si="93"/>
        <v>25.527960029438926</v>
      </c>
      <c r="AQ88" s="90">
        <f t="shared" si="94"/>
        <v>18.910312970615397</v>
      </c>
      <c r="AR88" s="238"/>
      <c r="AS88" s="282">
        <f>$H$88*月別販売比率!AG5</f>
        <v>8.2720588235294112</v>
      </c>
      <c r="AT88" s="103"/>
      <c r="AU88" s="282">
        <f>$H$88*月別販売比率!AL5</f>
        <v>7.4448529411764701</v>
      </c>
      <c r="AV88" s="104"/>
      <c r="AW88" s="282">
        <f>$H$88*月別販売比率!AQ5</f>
        <v>8.2720588235294112</v>
      </c>
      <c r="AX88" s="104"/>
      <c r="AY88" s="282">
        <f>$H$88*月別販売比率!AV5</f>
        <v>5.0372185615408984</v>
      </c>
      <c r="AZ88" s="104"/>
      <c r="BA88" s="301">
        <f>$H$88*月別販売比率!BA5</f>
        <v>4.6011772642042787</v>
      </c>
      <c r="BB88" s="339"/>
      <c r="BC88" s="282">
        <f>$H$88*月別販売比率!BF5</f>
        <v>6.617647058823529</v>
      </c>
      <c r="BD88" s="104"/>
      <c r="BE88" s="282">
        <f>$H$88*月別販売比率!C21</f>
        <v>5.8619325371558988</v>
      </c>
      <c r="BF88" s="104"/>
      <c r="BG88" s="301">
        <f>$H$88*月別販売比率!H21</f>
        <v>5.7904411764705888</v>
      </c>
      <c r="BH88" s="339">
        <v>10</v>
      </c>
      <c r="BI88" s="282">
        <f>$H$88*月別販売比率!M21</f>
        <v>8.3600478135375553</v>
      </c>
      <c r="BJ88" s="104"/>
      <c r="BK88" s="282">
        <f>$H$88*月別販売比率!R21</f>
        <v>6.617647058823529</v>
      </c>
      <c r="BL88" s="104"/>
      <c r="BM88" s="301">
        <f>$H$88*月別販売比率!W21</f>
        <v>6.3005559095217762</v>
      </c>
      <c r="BN88" s="339">
        <v>5</v>
      </c>
      <c r="BO88" s="282">
        <f>$H$88*月別販売比率!AB21</f>
        <v>9.9264705882352935</v>
      </c>
      <c r="BP88" s="104"/>
      <c r="BQ88" s="282">
        <f>$H$88*月別販売比率!AG21</f>
        <v>8.2720588235294112</v>
      </c>
      <c r="BR88" s="104"/>
      <c r="BS88" s="282">
        <f>$H$88*月別販売比率!AL21</f>
        <v>7.4448529411764701</v>
      </c>
      <c r="BT88" s="104"/>
      <c r="BU88" s="301">
        <f>$H$88*月別販売比率!AQ21</f>
        <v>8.2720588235294112</v>
      </c>
      <c r="BV88" s="339">
        <v>35</v>
      </c>
      <c r="BW88" s="282">
        <f>$H$88*月別販売比率!AV21</f>
        <v>5.0372185615408984</v>
      </c>
      <c r="BX88" s="104"/>
      <c r="BY88" s="301">
        <f>$H$88*月別販売比率!BA21</f>
        <v>4.6011772642042787</v>
      </c>
      <c r="BZ88" s="339">
        <v>5</v>
      </c>
      <c r="CA88" s="282">
        <f>$H$88*月別販売比率!BF21</f>
        <v>6.617647058823529</v>
      </c>
      <c r="CB88" s="104"/>
      <c r="CC88" s="282">
        <f>H88*月別販売比率!$C$21</f>
        <v>5.8619325371558988</v>
      </c>
      <c r="CD88" s="104"/>
      <c r="CE88" s="301">
        <f>H88*月別販売比率!$H$21</f>
        <v>5.7904411764705888</v>
      </c>
      <c r="CF88" s="339">
        <v>35</v>
      </c>
      <c r="CG88" s="282">
        <f>H88*月別販売比率!$M$21</f>
        <v>8.3600478135375553</v>
      </c>
      <c r="CH88" s="339">
        <v>20</v>
      </c>
      <c r="CI88" s="282">
        <f>H88*月別販売比率!$R$21</f>
        <v>6.617647058823529</v>
      </c>
      <c r="CJ88" s="339"/>
      <c r="CK88" s="282">
        <f>H88*月別販売比率!$W$21</f>
        <v>6.3005559095217762</v>
      </c>
      <c r="CL88" s="104">
        <v>15</v>
      </c>
      <c r="CM88" s="282">
        <f>H88*月別販売比率!$AB$21</f>
        <v>9.9264705882352935</v>
      </c>
      <c r="CN88" s="104"/>
      <c r="CO88" s="282">
        <f>H88*月別販売比率!$AG$21</f>
        <v>8.2720588235294112</v>
      </c>
      <c r="CP88" s="104">
        <v>10</v>
      </c>
      <c r="CQ88" s="282">
        <f>H88*月別販売比率!$AL$21</f>
        <v>7.4448529411764701</v>
      </c>
      <c r="CR88" s="104"/>
      <c r="CS88" s="282">
        <f>H88*月別販売比率!$AQ$21</f>
        <v>8.2720588235294112</v>
      </c>
      <c r="CT88" s="104"/>
      <c r="CU88" s="282">
        <f>H88*月別販売比率!$AV$21</f>
        <v>5.0372185615408984</v>
      </c>
      <c r="CV88" s="104"/>
      <c r="CW88" s="282">
        <f>H88*月別販売比率!$BA$21</f>
        <v>4.6011772642042787</v>
      </c>
      <c r="CX88" s="104"/>
      <c r="CY88" s="282">
        <f>H88*月別販売比率!$BF$21</f>
        <v>6.617647058823529</v>
      </c>
      <c r="CZ88" s="104"/>
      <c r="DA88" s="296"/>
      <c r="DB88" s="297"/>
    </row>
    <row r="89" spans="2:106" ht="30.6" customHeight="1">
      <c r="B89" s="2">
        <v>7</v>
      </c>
      <c r="C89" s="435" t="s">
        <v>486</v>
      </c>
      <c r="D89" s="472"/>
      <c r="E89" s="437"/>
      <c r="F89" s="130">
        <f>SUM(F90:F98)</f>
        <v>293</v>
      </c>
      <c r="G89" s="131">
        <f>SUM(G90:G98)</f>
        <v>2256100</v>
      </c>
      <c r="H89" s="165">
        <v>850</v>
      </c>
      <c r="I89" s="131">
        <f t="shared" ref="I89:N89" si="99">SUM(I90:I98)</f>
        <v>6968105.8020477826</v>
      </c>
      <c r="J89" s="133">
        <f t="shared" si="99"/>
        <v>211</v>
      </c>
      <c r="K89" s="134">
        <f t="shared" si="99"/>
        <v>184</v>
      </c>
      <c r="L89" s="134">
        <f t="shared" si="99"/>
        <v>97</v>
      </c>
      <c r="M89" s="134">
        <f t="shared" si="99"/>
        <v>106</v>
      </c>
      <c r="N89" s="135">
        <f t="shared" si="99"/>
        <v>0</v>
      </c>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6">
        <f t="shared" ref="AS89:CD89" si="100">SUM(AS90:AS98)</f>
        <v>72.395904436860079</v>
      </c>
      <c r="AT89" s="134">
        <f t="shared" si="100"/>
        <v>0</v>
      </c>
      <c r="AU89" s="136">
        <f t="shared" si="100"/>
        <v>45.607016892257946</v>
      </c>
      <c r="AV89" s="134">
        <f t="shared" si="100"/>
        <v>0</v>
      </c>
      <c r="AW89" s="136">
        <f t="shared" si="100"/>
        <v>50.816470740800028</v>
      </c>
      <c r="AX89" s="134">
        <f t="shared" si="100"/>
        <v>0</v>
      </c>
      <c r="AY89" s="136">
        <f t="shared" si="100"/>
        <v>36.197952218430039</v>
      </c>
      <c r="AZ89" s="134">
        <f t="shared" si="100"/>
        <v>0</v>
      </c>
      <c r="BA89" s="136">
        <f t="shared" si="100"/>
        <v>24.624573378839589</v>
      </c>
      <c r="BB89" s="134">
        <f t="shared" si="100"/>
        <v>0</v>
      </c>
      <c r="BC89" s="136">
        <f t="shared" si="100"/>
        <v>45.159523676634819</v>
      </c>
      <c r="BD89" s="134">
        <f t="shared" si="100"/>
        <v>0</v>
      </c>
      <c r="BE89" s="136">
        <f t="shared" si="100"/>
        <v>63.346416382252571</v>
      </c>
      <c r="BF89" s="134">
        <f t="shared" si="100"/>
        <v>0</v>
      </c>
      <c r="BG89" s="136">
        <f t="shared" si="100"/>
        <v>72.395904436860079</v>
      </c>
      <c r="BH89" s="134">
        <f t="shared" si="100"/>
        <v>225</v>
      </c>
      <c r="BI89" s="136">
        <f t="shared" si="100"/>
        <v>126.69283276450514</v>
      </c>
      <c r="BJ89" s="134">
        <f t="shared" si="100"/>
        <v>0</v>
      </c>
      <c r="BK89" s="136">
        <f t="shared" si="100"/>
        <v>162.89078498293517</v>
      </c>
      <c r="BL89" s="134">
        <f t="shared" si="100"/>
        <v>0</v>
      </c>
      <c r="BM89" s="136">
        <f t="shared" si="100"/>
        <v>90.494880546075109</v>
      </c>
      <c r="BN89" s="134">
        <f t="shared" si="100"/>
        <v>200</v>
      </c>
      <c r="BO89" s="136">
        <f t="shared" si="100"/>
        <v>108.5938566552901</v>
      </c>
      <c r="BP89" s="134">
        <f t="shared" si="100"/>
        <v>0</v>
      </c>
      <c r="BQ89" s="136">
        <f t="shared" si="100"/>
        <v>72.395904436860079</v>
      </c>
      <c r="BR89" s="134">
        <f t="shared" si="100"/>
        <v>0</v>
      </c>
      <c r="BS89" s="136">
        <f t="shared" si="100"/>
        <v>45.607016892257946</v>
      </c>
      <c r="BT89" s="134">
        <f t="shared" si="100"/>
        <v>0</v>
      </c>
      <c r="BU89" s="136">
        <f t="shared" si="100"/>
        <v>50.816470740800028</v>
      </c>
      <c r="BV89" s="134">
        <f t="shared" si="100"/>
        <v>0</v>
      </c>
      <c r="BW89" s="136">
        <f t="shared" si="100"/>
        <v>36.197952218430039</v>
      </c>
      <c r="BX89" s="134">
        <f t="shared" si="100"/>
        <v>0</v>
      </c>
      <c r="BY89" s="136">
        <f t="shared" si="100"/>
        <v>27.148464163822524</v>
      </c>
      <c r="BZ89" s="134">
        <f t="shared" si="100"/>
        <v>0</v>
      </c>
      <c r="CA89" s="136">
        <f t="shared" si="100"/>
        <v>45.159523676634819</v>
      </c>
      <c r="CB89" s="134">
        <f t="shared" si="100"/>
        <v>0</v>
      </c>
      <c r="CC89" s="136">
        <f t="shared" si="100"/>
        <v>63.346416382252571</v>
      </c>
      <c r="CD89" s="134">
        <f t="shared" si="100"/>
        <v>175</v>
      </c>
      <c r="CE89" s="136">
        <f>SUM(CE90:CE98)</f>
        <v>72.395904436860079</v>
      </c>
      <c r="CF89" s="134">
        <f t="shared" ref="CF89:CH89" si="101">SUM(CF90:CF98)</f>
        <v>0</v>
      </c>
      <c r="CG89" s="136">
        <f t="shared" si="101"/>
        <v>126.69283276450514</v>
      </c>
      <c r="CH89" s="134">
        <f t="shared" si="101"/>
        <v>382</v>
      </c>
      <c r="CI89" s="136">
        <f>SUM(CI90:CI98)</f>
        <v>162.89078498293517</v>
      </c>
      <c r="CJ89" s="134">
        <f t="shared" ref="CJ89:CL89" si="102">SUM(CJ90:CJ98)</f>
        <v>0</v>
      </c>
      <c r="CK89" s="136">
        <f t="shared" si="102"/>
        <v>90.494880546075109</v>
      </c>
      <c r="CL89" s="134">
        <f t="shared" si="102"/>
        <v>300</v>
      </c>
      <c r="CM89" s="136">
        <f>SUM(CM90:CM98)</f>
        <v>108.5938566552901</v>
      </c>
      <c r="CN89" s="134">
        <f t="shared" ref="CN89:CP89" si="103">SUM(CN90:CN98)</f>
        <v>0</v>
      </c>
      <c r="CO89" s="136">
        <f t="shared" si="103"/>
        <v>72.395904436860079</v>
      </c>
      <c r="CP89" s="134">
        <f t="shared" si="103"/>
        <v>0</v>
      </c>
      <c r="CQ89" s="136">
        <f>SUM(CQ90:CQ98)</f>
        <v>45.607016892257946</v>
      </c>
      <c r="CR89" s="134">
        <f t="shared" ref="CR89:CZ89" si="104">SUM(CR90:CR98)</f>
        <v>0</v>
      </c>
      <c r="CS89" s="136">
        <f t="shared" si="104"/>
        <v>50.816470740800028</v>
      </c>
      <c r="CT89" s="134">
        <f t="shared" si="104"/>
        <v>0</v>
      </c>
      <c r="CU89" s="136">
        <v>36.197952218430039</v>
      </c>
      <c r="CV89" s="134">
        <f t="shared" si="104"/>
        <v>0</v>
      </c>
      <c r="CW89" s="136">
        <f t="shared" si="104"/>
        <v>27.148464163822524</v>
      </c>
      <c r="CX89" s="134">
        <f t="shared" si="104"/>
        <v>0</v>
      </c>
      <c r="CY89" s="136">
        <f t="shared" si="104"/>
        <v>45.159523676634819</v>
      </c>
      <c r="CZ89" s="134">
        <f t="shared" si="104"/>
        <v>0</v>
      </c>
      <c r="DA89" s="141"/>
      <c r="DB89" s="293"/>
    </row>
    <row r="90" spans="2:106" ht="30.75" customHeight="1">
      <c r="C90" s="476" t="s">
        <v>506</v>
      </c>
      <c r="D90" s="443">
        <v>1</v>
      </c>
      <c r="E90" s="99" t="s">
        <v>46</v>
      </c>
      <c r="F90">
        <v>23</v>
      </c>
      <c r="G90" s="46">
        <f>F90*7700</f>
        <v>177100</v>
      </c>
      <c r="H90" s="56">
        <f>F90*($H$89/$F$89)</f>
        <v>66.723549488054616</v>
      </c>
      <c r="I90" s="46">
        <f>H90*7700</f>
        <v>513771.33105802053</v>
      </c>
      <c r="J90" s="49">
        <v>10</v>
      </c>
      <c r="K90" s="39">
        <f t="shared" ref="K90:K92" si="105">SUM(L90:N90)</f>
        <v>23</v>
      </c>
      <c r="L90" s="39">
        <v>10</v>
      </c>
      <c r="M90" s="39">
        <v>13</v>
      </c>
      <c r="N90" s="42"/>
      <c r="O90" s="19"/>
      <c r="P90" s="19"/>
      <c r="Q90" s="124"/>
      <c r="R90" s="124"/>
      <c r="S90" s="124"/>
      <c r="T90" s="328"/>
      <c r="U90" s="328"/>
      <c r="V90" s="124"/>
      <c r="W90" s="124"/>
      <c r="X90" s="328"/>
      <c r="Y90" s="331">
        <v>45879</v>
      </c>
      <c r="Z90" s="330"/>
      <c r="AA90" s="330"/>
      <c r="AB90" s="330"/>
      <c r="AC90" s="331"/>
      <c r="AD90" s="331"/>
      <c r="AE90" s="331"/>
      <c r="AF90" s="331"/>
      <c r="AG90" s="331"/>
      <c r="AH90" s="331">
        <v>46172</v>
      </c>
      <c r="AI90" s="129">
        <f t="shared" ref="AI90:AI98" si="106">SUM(J90:K90)-CI90+CJ90</f>
        <v>20.989761092150168</v>
      </c>
      <c r="AJ90" s="129">
        <f t="shared" ref="AJ90:AJ97" si="107">AI90-CK90+CL90</f>
        <v>34.317406143344705</v>
      </c>
      <c r="AK90" s="129">
        <f t="shared" ref="AK90:AK98" si="108">AJ90-CM90+CN90</f>
        <v>26.310580204778152</v>
      </c>
      <c r="AL90" s="399">
        <f t="shared" ref="AL90:AL98" si="109">AK90-CO90+CP90</f>
        <v>20.972696245733783</v>
      </c>
      <c r="AM90" s="393">
        <f t="shared" ref="AM90:AM98" si="110">AL90-CQ90+CR90</f>
        <v>17.61000652201648</v>
      </c>
      <c r="AN90" s="393">
        <f t="shared" ref="AN90:AN98" si="111">AM90-CS90+CT90</f>
        <v>13.863214129096848</v>
      </c>
      <c r="AO90" s="393">
        <f t="shared" ref="AO90:AO98" si="112">AN90-CU90+CV90</f>
        <v>11.194272149574664</v>
      </c>
      <c r="AP90" s="96">
        <f t="shared" ref="AP90:AP98" si="113">AO90-CW90+CX90</f>
        <v>9.1925656649330243</v>
      </c>
      <c r="AQ90" s="91">
        <f t="shared" ref="AQ90:AQ98" si="114">AP90-CY90+CZ90</f>
        <v>5.8628704438196513</v>
      </c>
      <c r="AR90" s="198"/>
      <c r="AS90" s="81">
        <f>$H$90*月別販売比率!AG25</f>
        <v>5.337883959044369</v>
      </c>
      <c r="AT90" s="39"/>
      <c r="AU90" s="81">
        <f>$H$90*月別販売比率!AL25</f>
        <v>3.3626897237173035</v>
      </c>
      <c r="AV90" s="39"/>
      <c r="AW90" s="81">
        <f>$H$90*月別販売比率!AQ25</f>
        <v>3.7467923929196321</v>
      </c>
      <c r="AX90" s="39"/>
      <c r="AY90" s="81">
        <f>$H$90*月別販売比率!AV25</f>
        <v>2.6689419795221845</v>
      </c>
      <c r="AZ90" s="39"/>
      <c r="BA90" s="81">
        <f>$H$90*月別販売比率!BA25</f>
        <v>2.0017064846416384</v>
      </c>
      <c r="BB90" s="39"/>
      <c r="BC90" s="81">
        <f>$H$90*月別販売比率!BF25</f>
        <v>3.329695221113373</v>
      </c>
      <c r="BD90" s="39"/>
      <c r="BE90" s="81">
        <f>$H$90*月別販売比率!C25</f>
        <v>4.6706484641638237</v>
      </c>
      <c r="BF90" s="39"/>
      <c r="BG90" s="245">
        <f>$H$90*月別販売比率!H25</f>
        <v>5.337883959044369</v>
      </c>
      <c r="BH90" s="280">
        <v>12</v>
      </c>
      <c r="BI90" s="81">
        <f>$H$90*月別販売比率!M25</f>
        <v>9.3412969283276475</v>
      </c>
      <c r="BJ90" s="39"/>
      <c r="BK90" s="81">
        <f>$H$90*月別販売比率!R25</f>
        <v>12.01023890784983</v>
      </c>
      <c r="BL90" s="39"/>
      <c r="BM90" s="245">
        <f>$H$90*月別販売比率!W25</f>
        <v>6.6723549488054621</v>
      </c>
      <c r="BN90" s="280">
        <v>30</v>
      </c>
      <c r="BO90" s="81">
        <f>$H$90*月別販売比率!AB25</f>
        <v>8.0068259385665534</v>
      </c>
      <c r="BP90" s="39"/>
      <c r="BQ90" s="81">
        <f>$H$90*月別販売比率!AG25</f>
        <v>5.337883959044369</v>
      </c>
      <c r="BR90" s="39"/>
      <c r="BS90" s="81">
        <f>$H$90*月別販売比率!AL25</f>
        <v>3.3626897237173035</v>
      </c>
      <c r="BT90" s="39"/>
      <c r="BU90" s="81">
        <f>$H$90*月別販売比率!AQ25</f>
        <v>3.7467923929196321</v>
      </c>
      <c r="BV90" s="39"/>
      <c r="BW90" s="81">
        <f>$H$90*月別販売比率!AV25</f>
        <v>2.6689419795221845</v>
      </c>
      <c r="BX90" s="39"/>
      <c r="BY90" s="81">
        <f>$H$90*月別販売比率!BA25</f>
        <v>2.0017064846416384</v>
      </c>
      <c r="BZ90" s="39"/>
      <c r="CA90" s="81">
        <f>$H$90*月別販売比率!BF25</f>
        <v>3.329695221113373</v>
      </c>
      <c r="CB90" s="39"/>
      <c r="CC90" s="245">
        <f>H90*月別販売比率!$C$25</f>
        <v>4.6706484641638237</v>
      </c>
      <c r="CD90" s="280">
        <v>15</v>
      </c>
      <c r="CE90" s="81">
        <f>H90*月別販売比率!$H$25</f>
        <v>5.337883959044369</v>
      </c>
      <c r="CF90" s="39"/>
      <c r="CG90" s="81">
        <f>H90*月別販売比率!$M$25</f>
        <v>9.3412969283276475</v>
      </c>
      <c r="CH90" s="280">
        <v>29</v>
      </c>
      <c r="CI90" s="81">
        <f>H90*月別販売比率!$R$25</f>
        <v>12.01023890784983</v>
      </c>
      <c r="CJ90" s="39"/>
      <c r="CK90" s="81">
        <f>H90*月別販売比率!$W$25</f>
        <v>6.6723549488054621</v>
      </c>
      <c r="CL90" s="39">
        <v>20</v>
      </c>
      <c r="CM90" s="81">
        <f>H90*月別販売比率!$AB$25</f>
        <v>8.0068259385665534</v>
      </c>
      <c r="CN90" s="39"/>
      <c r="CO90" s="81">
        <f>H90*月別販売比率!$AG$25</f>
        <v>5.337883959044369</v>
      </c>
      <c r="CP90" s="39"/>
      <c r="CQ90" s="81">
        <f>H90*月別販売比率!$AL$25</f>
        <v>3.3626897237173035</v>
      </c>
      <c r="CR90" s="39"/>
      <c r="CS90" s="81">
        <f>H90*月別販売比率!$AQ$25</f>
        <v>3.7467923929196321</v>
      </c>
      <c r="CT90" s="39"/>
      <c r="CU90" s="81">
        <f>H90*月別販売比率!$AV$25</f>
        <v>2.6689419795221845</v>
      </c>
      <c r="CV90" s="39"/>
      <c r="CW90" s="81">
        <f>H90*月別販売比率!$BA$25</f>
        <v>2.0017064846416384</v>
      </c>
      <c r="CX90" s="39"/>
      <c r="CY90" s="81">
        <f>H90*月別販売比率!$BF$25</f>
        <v>3.329695221113373</v>
      </c>
      <c r="CZ90" s="39"/>
      <c r="DA90" s="28"/>
      <c r="DB90" s="294"/>
    </row>
    <row r="91" spans="2:106" ht="30.75" customHeight="1">
      <c r="C91" s="477"/>
      <c r="D91" s="441"/>
      <c r="E91" s="94" t="s">
        <v>47</v>
      </c>
      <c r="F91">
        <v>50</v>
      </c>
      <c r="G91" s="46">
        <f t="shared" ref="G91:G98" si="115">F91*7700</f>
        <v>385000</v>
      </c>
      <c r="H91" s="164">
        <v>200</v>
      </c>
      <c r="I91" s="46">
        <f t="shared" ref="I91:I98" si="116">H91*7700</f>
        <v>1540000</v>
      </c>
      <c r="J91" s="9">
        <v>61</v>
      </c>
      <c r="K91" s="21">
        <f t="shared" si="105"/>
        <v>23</v>
      </c>
      <c r="L91" s="21">
        <v>10</v>
      </c>
      <c r="M91" s="21">
        <v>13</v>
      </c>
      <c r="N91" s="42"/>
      <c r="O91" s="288"/>
      <c r="P91" s="289"/>
      <c r="Q91" s="328"/>
      <c r="R91" s="328"/>
      <c r="S91" s="328"/>
      <c r="T91" s="328"/>
      <c r="U91" s="328"/>
      <c r="V91" s="124"/>
      <c r="W91" s="124"/>
      <c r="X91" s="124"/>
      <c r="Y91" s="124"/>
      <c r="Z91" s="124"/>
      <c r="AA91" s="124"/>
      <c r="AB91" s="124"/>
      <c r="AC91" s="124"/>
      <c r="AD91" s="331"/>
      <c r="AE91" s="331"/>
      <c r="AF91" s="331"/>
      <c r="AG91" s="331"/>
      <c r="AH91" s="331">
        <v>46172</v>
      </c>
      <c r="AI91" s="129">
        <f t="shared" si="106"/>
        <v>48</v>
      </c>
      <c r="AJ91" s="129">
        <f t="shared" si="107"/>
        <v>113</v>
      </c>
      <c r="AK91" s="129">
        <f t="shared" si="108"/>
        <v>89</v>
      </c>
      <c r="AL91" s="399">
        <f t="shared" si="109"/>
        <v>73</v>
      </c>
      <c r="AM91" s="393">
        <f t="shared" si="110"/>
        <v>62.920531058320513</v>
      </c>
      <c r="AN91" s="393">
        <f t="shared" si="111"/>
        <v>51.689736468801826</v>
      </c>
      <c r="AO91" s="393">
        <f t="shared" si="112"/>
        <v>43.689736468801826</v>
      </c>
      <c r="AP91" s="96">
        <f t="shared" si="113"/>
        <v>37.689736468801826</v>
      </c>
      <c r="AQ91" s="91">
        <f t="shared" si="114"/>
        <v>27.709166650016986</v>
      </c>
      <c r="AR91" s="198"/>
      <c r="AS91" s="81">
        <f>$H$91*月別販売比率!AG25</f>
        <v>16</v>
      </c>
      <c r="AT91" s="21"/>
      <c r="AU91" s="81">
        <f>$H$91*月別販売比率!AL25</f>
        <v>10.079468941679487</v>
      </c>
      <c r="AV91" s="21"/>
      <c r="AW91" s="81">
        <f>$H$91*月別販売比率!AQ25</f>
        <v>11.230794589518691</v>
      </c>
      <c r="AX91" s="21"/>
      <c r="AY91" s="81">
        <f>$H$91*月別販売比率!AV25</f>
        <v>8</v>
      </c>
      <c r="AZ91" s="21"/>
      <c r="BA91" s="81">
        <f>$H$91*月別販売比率!BA25</f>
        <v>6</v>
      </c>
      <c r="BB91" s="21"/>
      <c r="BC91" s="81">
        <f>$H$91*月別販売比率!BF25</f>
        <v>9.98056981878484</v>
      </c>
      <c r="BD91" s="21"/>
      <c r="BE91" s="81">
        <f>$H$91*月別販売比率!C25</f>
        <v>14.000000000000002</v>
      </c>
      <c r="BF91" s="21"/>
      <c r="BG91" s="245">
        <f>$H$91*月別販売比率!H25</f>
        <v>16</v>
      </c>
      <c r="BH91" s="241">
        <v>37</v>
      </c>
      <c r="BI91" s="81">
        <f>$H$91*月別販売比率!M25</f>
        <v>28.000000000000004</v>
      </c>
      <c r="BJ91" s="21"/>
      <c r="BK91" s="81">
        <f>$H$91*月別販売比率!R25</f>
        <v>36</v>
      </c>
      <c r="BL91" s="21"/>
      <c r="BM91" s="245">
        <f>$H$91*月別販売比率!W25</f>
        <v>20</v>
      </c>
      <c r="BN91" s="241">
        <v>30</v>
      </c>
      <c r="BO91" s="81">
        <f>$H$91*月別販売比率!AB25</f>
        <v>24</v>
      </c>
      <c r="BP91" s="21"/>
      <c r="BQ91" s="81">
        <f>$H$91*月別販売比率!AG25</f>
        <v>16</v>
      </c>
      <c r="BR91" s="21"/>
      <c r="BS91" s="81">
        <f>$H$91*月別販売比率!AL25</f>
        <v>10.079468941679487</v>
      </c>
      <c r="BT91" s="21"/>
      <c r="BU91" s="81">
        <f>$H$91*月別販売比率!AQ25</f>
        <v>11.230794589518691</v>
      </c>
      <c r="BV91" s="21"/>
      <c r="BW91" s="81">
        <f>$H$91*月別販売比率!AV25</f>
        <v>8</v>
      </c>
      <c r="BX91" s="21"/>
      <c r="BY91" s="81">
        <f>$H$91*月別販売比率!BA25</f>
        <v>6</v>
      </c>
      <c r="BZ91" s="21"/>
      <c r="CA91" s="81">
        <f>$H$91*月別販売比率!BF25</f>
        <v>9.98056981878484</v>
      </c>
      <c r="CB91" s="21"/>
      <c r="CC91" s="245">
        <f>H91*月別販売比率!$C$25</f>
        <v>14.000000000000002</v>
      </c>
      <c r="CD91" s="241">
        <v>15</v>
      </c>
      <c r="CE91" s="81">
        <f>H91*月別販売比率!$H$25</f>
        <v>16</v>
      </c>
      <c r="CF91" s="21"/>
      <c r="CG91" s="81">
        <f>H91*月別販売比率!$M$25</f>
        <v>28.000000000000004</v>
      </c>
      <c r="CH91" s="241">
        <v>88</v>
      </c>
      <c r="CI91" s="81">
        <f>H91*月別販売比率!$R$25</f>
        <v>36</v>
      </c>
      <c r="CJ91" s="21"/>
      <c r="CK91" s="81">
        <f>H91*月別販売比率!$W$25</f>
        <v>20</v>
      </c>
      <c r="CL91" s="21">
        <v>85</v>
      </c>
      <c r="CM91" s="81">
        <f>H91*月別販売比率!$AB$25</f>
        <v>24</v>
      </c>
      <c r="CN91" s="21"/>
      <c r="CO91" s="81">
        <f>H91*月別販売比率!$AG$25</f>
        <v>16</v>
      </c>
      <c r="CP91" s="21"/>
      <c r="CQ91" s="81">
        <f>H91*月別販売比率!$AL$25</f>
        <v>10.079468941679487</v>
      </c>
      <c r="CR91" s="21"/>
      <c r="CS91" s="81">
        <f>H91*月別販売比率!$AQ$25</f>
        <v>11.230794589518691</v>
      </c>
      <c r="CT91" s="21"/>
      <c r="CU91" s="81">
        <f>H91*月別販売比率!$AV$25</f>
        <v>8</v>
      </c>
      <c r="CV91" s="21"/>
      <c r="CW91" s="81">
        <f>H91*月別販売比率!$BA$25</f>
        <v>6</v>
      </c>
      <c r="CX91" s="21"/>
      <c r="CY91" s="81">
        <f>H91*月別販売比率!$BF$25</f>
        <v>9.98056981878484</v>
      </c>
      <c r="CZ91" s="21"/>
      <c r="DA91" s="28"/>
      <c r="DB91" s="294"/>
    </row>
    <row r="92" spans="2:106" ht="30.75" customHeight="1">
      <c r="C92" s="477"/>
      <c r="D92" s="441"/>
      <c r="E92" s="94" t="s">
        <v>51</v>
      </c>
      <c r="F92">
        <v>38</v>
      </c>
      <c r="G92" s="46">
        <f t="shared" si="115"/>
        <v>292600</v>
      </c>
      <c r="H92" s="56">
        <f>F92*($H$89/$F$89)</f>
        <v>110.23890784982936</v>
      </c>
      <c r="I92" s="46">
        <f t="shared" si="116"/>
        <v>848839.59044368612</v>
      </c>
      <c r="J92" s="9">
        <v>25</v>
      </c>
      <c r="K92" s="21">
        <f t="shared" si="105"/>
        <v>20</v>
      </c>
      <c r="L92" s="21">
        <v>7</v>
      </c>
      <c r="M92" s="21">
        <v>13</v>
      </c>
      <c r="N92" s="42"/>
      <c r="O92" s="19"/>
      <c r="P92" s="19"/>
      <c r="Q92" s="124"/>
      <c r="R92" s="328"/>
      <c r="S92" s="328"/>
      <c r="T92" s="328"/>
      <c r="U92" s="328"/>
      <c r="V92" s="124"/>
      <c r="W92" s="124"/>
      <c r="X92" s="124"/>
      <c r="Y92" s="124"/>
      <c r="Z92" s="124"/>
      <c r="AA92" s="124"/>
      <c r="AB92" s="124"/>
      <c r="AC92" s="328"/>
      <c r="AD92" s="328"/>
      <c r="AE92" s="328"/>
      <c r="AF92" s="328"/>
      <c r="AG92" s="331"/>
      <c r="AH92" s="331"/>
      <c r="AI92" s="129">
        <f t="shared" si="106"/>
        <v>25.156996587030715</v>
      </c>
      <c r="AJ92" s="129">
        <f t="shared" si="107"/>
        <v>54.13310580204778</v>
      </c>
      <c r="AK92" s="129">
        <f t="shared" si="108"/>
        <v>40.904436860068259</v>
      </c>
      <c r="AL92" s="399">
        <f t="shared" si="109"/>
        <v>32.085324232081909</v>
      </c>
      <c r="AM92" s="393">
        <f t="shared" si="110"/>
        <v>26.529575992896799</v>
      </c>
      <c r="AN92" s="393">
        <f t="shared" si="111"/>
        <v>20.339223343725234</v>
      </c>
      <c r="AO92" s="393">
        <f t="shared" si="112"/>
        <v>15.929667029732059</v>
      </c>
      <c r="AP92" s="96">
        <f t="shared" si="113"/>
        <v>12.622499794237179</v>
      </c>
      <c r="AQ92" s="91">
        <f t="shared" si="114"/>
        <v>7.1212642115281284</v>
      </c>
      <c r="AR92" s="198"/>
      <c r="AS92" s="81">
        <f>$H$92*月別販売比率!AG25</f>
        <v>8.8191126279863497</v>
      </c>
      <c r="AT92" s="21"/>
      <c r="AU92" s="81">
        <f>$H$92*月別販売比率!AL25</f>
        <v>5.5557482391851103</v>
      </c>
      <c r="AV92" s="21"/>
      <c r="AW92" s="81">
        <f>$H$92*月別販売比率!AQ25</f>
        <v>6.1903526491715661</v>
      </c>
      <c r="AX92" s="21"/>
      <c r="AY92" s="81">
        <f>$H$92*月別販売比率!AV25</f>
        <v>4.4095563139931748</v>
      </c>
      <c r="AZ92" s="21"/>
      <c r="BA92" s="81">
        <f>$H$92*月別販売比率!BA25</f>
        <v>3.3071672354948807</v>
      </c>
      <c r="BB92" s="21"/>
      <c r="BC92" s="81">
        <f>$H$92*月別販売比率!BF25</f>
        <v>5.5012355827090502</v>
      </c>
      <c r="BD92" s="21"/>
      <c r="BE92" s="81">
        <f>$H$92*月別販売比率!C25</f>
        <v>7.7167235494880559</v>
      </c>
      <c r="BF92" s="21"/>
      <c r="BG92" s="245">
        <f>$H$92*月別販売比率!H25</f>
        <v>8.8191126279863497</v>
      </c>
      <c r="BH92" s="241">
        <v>26</v>
      </c>
      <c r="BI92" s="81">
        <f>$H$92*月別販売比率!M25</f>
        <v>15.433447098976112</v>
      </c>
      <c r="BJ92" s="21"/>
      <c r="BK92" s="81">
        <f>$H$92*月別販売比率!R25</f>
        <v>19.843003412969285</v>
      </c>
      <c r="BL92" s="21"/>
      <c r="BM92" s="245">
        <f>$H$92*月別販売比率!W25</f>
        <v>11.023890784982937</v>
      </c>
      <c r="BN92" s="241">
        <v>30</v>
      </c>
      <c r="BO92" s="81">
        <f>$H$92*月別販売比率!AB25</f>
        <v>13.228668941979523</v>
      </c>
      <c r="BP92" s="21"/>
      <c r="BQ92" s="81">
        <f>$H$92*月別販売比率!AG25</f>
        <v>8.8191126279863497</v>
      </c>
      <c r="BR92" s="21"/>
      <c r="BS92" s="81">
        <f>$H$92*月別販売比率!AL25</f>
        <v>5.5557482391851103</v>
      </c>
      <c r="BT92" s="21"/>
      <c r="BU92" s="81">
        <f>$H$92*月別販売比率!AQ25</f>
        <v>6.1903526491715661</v>
      </c>
      <c r="BV92" s="21"/>
      <c r="BW92" s="81">
        <f>$H$92*月別販売比率!AV25</f>
        <v>4.4095563139931748</v>
      </c>
      <c r="BX92" s="21"/>
      <c r="BY92" s="81">
        <f>$H$92*月別販売比率!BA25</f>
        <v>3.3071672354948807</v>
      </c>
      <c r="BZ92" s="21"/>
      <c r="CA92" s="81">
        <f>$H$92*月別販売比率!BF25</f>
        <v>5.5012355827090502</v>
      </c>
      <c r="CB92" s="21"/>
      <c r="CC92" s="245">
        <f>H92*月別販売比率!$C$25</f>
        <v>7.7167235494880559</v>
      </c>
      <c r="CD92" s="241">
        <v>15</v>
      </c>
      <c r="CE92" s="81">
        <f>H92*月別販売比率!$H$25</f>
        <v>8.8191126279863497</v>
      </c>
      <c r="CF92" s="21"/>
      <c r="CG92" s="81">
        <f>H92*月別販売比率!$M$25</f>
        <v>15.433447098976112</v>
      </c>
      <c r="CH92" s="241">
        <v>50</v>
      </c>
      <c r="CI92" s="81">
        <f>H92*月別販売比率!$R$25</f>
        <v>19.843003412969285</v>
      </c>
      <c r="CJ92" s="21"/>
      <c r="CK92" s="81">
        <f>H92*月別販売比率!$W$25</f>
        <v>11.023890784982937</v>
      </c>
      <c r="CL92" s="21">
        <v>40</v>
      </c>
      <c r="CM92" s="81">
        <f>H92*月別販売比率!$AB$25</f>
        <v>13.228668941979523</v>
      </c>
      <c r="CN92" s="21"/>
      <c r="CO92" s="81">
        <f>H92*月別販売比率!$AG$25</f>
        <v>8.8191126279863497</v>
      </c>
      <c r="CP92" s="21"/>
      <c r="CQ92" s="81">
        <f>H92*月別販売比率!$AL$25</f>
        <v>5.5557482391851103</v>
      </c>
      <c r="CR92" s="21"/>
      <c r="CS92" s="81">
        <f>H92*月別販売比率!$AQ$25</f>
        <v>6.1903526491715661</v>
      </c>
      <c r="CT92" s="21"/>
      <c r="CU92" s="81">
        <f>H92*月別販売比率!$AV$25</f>
        <v>4.4095563139931748</v>
      </c>
      <c r="CV92" s="21"/>
      <c r="CW92" s="81">
        <f>H92*月別販売比率!$BA$25</f>
        <v>3.3071672354948807</v>
      </c>
      <c r="CX92" s="21"/>
      <c r="CY92" s="81">
        <f>H92*月別販売比率!$BF$25</f>
        <v>5.5012355827090502</v>
      </c>
      <c r="CZ92" s="21"/>
      <c r="DA92" s="28"/>
      <c r="DB92" s="294"/>
    </row>
    <row r="93" spans="2:106" ht="30.75" customHeight="1">
      <c r="C93" s="477"/>
      <c r="D93" s="441">
        <v>2</v>
      </c>
      <c r="E93" s="99" t="s">
        <v>46</v>
      </c>
      <c r="F93">
        <v>21</v>
      </c>
      <c r="G93" s="46">
        <f t="shared" si="115"/>
        <v>161700</v>
      </c>
      <c r="H93" s="56">
        <f>F93*($H$89/$F$89)</f>
        <v>60.921501706484641</v>
      </c>
      <c r="I93" s="46">
        <f t="shared" si="116"/>
        <v>469095.56313993171</v>
      </c>
      <c r="J93" s="9">
        <v>11</v>
      </c>
      <c r="K93" s="21">
        <f>SUM(L93:N93)</f>
        <v>25</v>
      </c>
      <c r="L93" s="21">
        <v>11</v>
      </c>
      <c r="M93" s="21">
        <v>14</v>
      </c>
      <c r="N93" s="42"/>
      <c r="O93" s="19"/>
      <c r="P93" s="19"/>
      <c r="Q93" s="124"/>
      <c r="R93" s="124"/>
      <c r="S93" s="124"/>
      <c r="T93" s="124"/>
      <c r="U93" s="124"/>
      <c r="V93" s="124"/>
      <c r="W93" s="124"/>
      <c r="X93" s="328"/>
      <c r="Y93" s="331">
        <v>45879</v>
      </c>
      <c r="Z93" s="330"/>
      <c r="AA93" s="331"/>
      <c r="AB93" s="331"/>
      <c r="AC93" s="331"/>
      <c r="AD93" s="331"/>
      <c r="AE93" s="331"/>
      <c r="AF93" s="331"/>
      <c r="AG93" s="331"/>
      <c r="AH93" s="331">
        <v>46172</v>
      </c>
      <c r="AI93" s="129">
        <f t="shared" si="106"/>
        <v>25.034129692832764</v>
      </c>
      <c r="AJ93" s="129">
        <f t="shared" si="107"/>
        <v>28.941979522184297</v>
      </c>
      <c r="AK93" s="129">
        <f t="shared" si="108"/>
        <v>21.631399317406142</v>
      </c>
      <c r="AL93" s="399">
        <f t="shared" si="109"/>
        <v>16.757679180887372</v>
      </c>
      <c r="AM93" s="393">
        <f t="shared" si="110"/>
        <v>13.687397259232444</v>
      </c>
      <c r="AN93" s="393">
        <f t="shared" si="111"/>
        <v>10.266412900479736</v>
      </c>
      <c r="AO93" s="393">
        <f t="shared" si="112"/>
        <v>7.8295528322203509</v>
      </c>
      <c r="AP93" s="96">
        <f t="shared" si="113"/>
        <v>6.0019077810258121</v>
      </c>
      <c r="AQ93" s="91">
        <f t="shared" si="114"/>
        <v>2.9617512747918635</v>
      </c>
      <c r="AR93" s="198"/>
      <c r="AS93" s="81">
        <f>$H$93*月別販売比率!AG25</f>
        <v>4.873720136518771</v>
      </c>
      <c r="AT93" s="21"/>
      <c r="AU93" s="81">
        <f>$H$93*月別販売比率!AL25</f>
        <v>3.0702819216549289</v>
      </c>
      <c r="AV93" s="21"/>
      <c r="AW93" s="81">
        <f>$H$93*月別販売比率!AQ25</f>
        <v>3.4209843587527073</v>
      </c>
      <c r="AX93" s="21"/>
      <c r="AY93" s="81">
        <f>$H$93*月別販売比率!AV25</f>
        <v>2.4368600682593855</v>
      </c>
      <c r="AZ93" s="21"/>
      <c r="BA93" s="81">
        <f>$H$93*月別販売比率!BA25</f>
        <v>1.8276450511945392</v>
      </c>
      <c r="BB93" s="21"/>
      <c r="BC93" s="81">
        <f>$H$93*月別販売比率!BF25</f>
        <v>3.0401565062339486</v>
      </c>
      <c r="BD93" s="21"/>
      <c r="BE93" s="81">
        <f>$H$93*月別販売比率!C25</f>
        <v>4.2645051194539256</v>
      </c>
      <c r="BF93" s="21"/>
      <c r="BG93" s="245">
        <f>$H$93*月別販売比率!H25</f>
        <v>4.873720136518771</v>
      </c>
      <c r="BH93" s="241">
        <v>10</v>
      </c>
      <c r="BI93" s="81">
        <f>$H$93*月別販売比率!M25</f>
        <v>8.5290102389078513</v>
      </c>
      <c r="BJ93" s="21"/>
      <c r="BK93" s="81">
        <f>$H$93*月別販売比率!R25</f>
        <v>10.965870307167235</v>
      </c>
      <c r="BL93" s="21"/>
      <c r="BM93" s="245">
        <f>$H$93*月別販売比率!W25</f>
        <v>6.0921501706484644</v>
      </c>
      <c r="BN93" s="241">
        <v>15</v>
      </c>
      <c r="BO93" s="81">
        <f>$H$93*月別販売比率!AB25</f>
        <v>7.310580204778157</v>
      </c>
      <c r="BP93" s="21"/>
      <c r="BQ93" s="81">
        <f>$H$93*月別販売比率!AG25</f>
        <v>4.873720136518771</v>
      </c>
      <c r="BR93" s="21"/>
      <c r="BS93" s="81">
        <f>$H$93*月別販売比率!AL25</f>
        <v>3.0702819216549289</v>
      </c>
      <c r="BT93" s="21"/>
      <c r="BU93" s="81">
        <f>$H$93*月別販売比率!AQ25</f>
        <v>3.4209843587527073</v>
      </c>
      <c r="BV93" s="21"/>
      <c r="BW93" s="81">
        <f>$H$93*月別販売比率!AV25</f>
        <v>2.4368600682593855</v>
      </c>
      <c r="BX93" s="21"/>
      <c r="BY93" s="81">
        <f>$H$93*月別販売比率!BA25</f>
        <v>1.8276450511945392</v>
      </c>
      <c r="BZ93" s="21"/>
      <c r="CA93" s="81">
        <f>$H$93*月別販売比率!BF25</f>
        <v>3.0401565062339486</v>
      </c>
      <c r="CB93" s="21"/>
      <c r="CC93" s="245">
        <f>H93*月別販売比率!$C$25</f>
        <v>4.2645051194539256</v>
      </c>
      <c r="CD93" s="241">
        <v>20</v>
      </c>
      <c r="CE93" s="81">
        <f>H93*月別販売比率!$H$25</f>
        <v>4.873720136518771</v>
      </c>
      <c r="CF93" s="21"/>
      <c r="CG93" s="81">
        <f>H93*月別販売比率!$M$25</f>
        <v>8.5290102389078513</v>
      </c>
      <c r="CH93" s="241">
        <v>26</v>
      </c>
      <c r="CI93" s="81">
        <f>H93*月別販売比率!$R$25</f>
        <v>10.965870307167235</v>
      </c>
      <c r="CJ93" s="21"/>
      <c r="CK93" s="81">
        <f>H93*月別販売比率!$W$25</f>
        <v>6.0921501706484644</v>
      </c>
      <c r="CL93" s="21">
        <v>10</v>
      </c>
      <c r="CM93" s="81">
        <f>H93*月別販売比率!$AB$25</f>
        <v>7.310580204778157</v>
      </c>
      <c r="CN93" s="21"/>
      <c r="CO93" s="81">
        <f>H93*月別販売比率!$AG$25</f>
        <v>4.873720136518771</v>
      </c>
      <c r="CP93" s="21"/>
      <c r="CQ93" s="81">
        <f>H93*月別販売比率!$AL$25</f>
        <v>3.0702819216549289</v>
      </c>
      <c r="CR93" s="21"/>
      <c r="CS93" s="81">
        <f>H93*月別販売比率!$AQ$25</f>
        <v>3.4209843587527073</v>
      </c>
      <c r="CT93" s="21"/>
      <c r="CU93" s="81">
        <f>H93*月別販売比率!$AV$25</f>
        <v>2.4368600682593855</v>
      </c>
      <c r="CV93" s="21"/>
      <c r="CW93" s="81">
        <f>H93*月別販売比率!$BA$25</f>
        <v>1.8276450511945392</v>
      </c>
      <c r="CX93" s="21"/>
      <c r="CY93" s="81">
        <f>H93*月別販売比率!$BF$25</f>
        <v>3.0401565062339486</v>
      </c>
      <c r="CZ93" s="21"/>
      <c r="DA93" s="28"/>
      <c r="DB93" s="294"/>
    </row>
    <row r="94" spans="2:106" ht="30.75" customHeight="1">
      <c r="C94" s="477"/>
      <c r="D94" s="441"/>
      <c r="E94" s="94" t="s">
        <v>47</v>
      </c>
      <c r="F94">
        <v>47</v>
      </c>
      <c r="G94" s="46">
        <f t="shared" si="115"/>
        <v>361900</v>
      </c>
      <c r="H94" s="56">
        <f>F94*($H$89/$F$89)</f>
        <v>136.34812286689422</v>
      </c>
      <c r="I94" s="46">
        <f t="shared" si="116"/>
        <v>1049880.5460750854</v>
      </c>
      <c r="J94" s="9">
        <v>43</v>
      </c>
      <c r="K94" s="21">
        <f t="shared" ref="K94:K97" si="117">SUM(L94:N94)</f>
        <v>23</v>
      </c>
      <c r="L94" s="21">
        <v>10</v>
      </c>
      <c r="M94" s="21">
        <v>13</v>
      </c>
      <c r="N94" s="42"/>
      <c r="O94" s="19"/>
      <c r="P94" s="19"/>
      <c r="Q94" s="328"/>
      <c r="R94" s="328"/>
      <c r="S94" s="328"/>
      <c r="T94" s="328"/>
      <c r="U94" s="328"/>
      <c r="V94" s="124"/>
      <c r="W94" s="124"/>
      <c r="X94" s="328"/>
      <c r="Y94" s="331">
        <v>45879</v>
      </c>
      <c r="Z94" s="330"/>
      <c r="AA94" s="330"/>
      <c r="AB94" s="330"/>
      <c r="AC94" s="330"/>
      <c r="AD94" s="330"/>
      <c r="AE94" s="328"/>
      <c r="AF94" s="331"/>
      <c r="AG94" s="331"/>
      <c r="AH94" s="331"/>
      <c r="AI94" s="129">
        <f t="shared" si="106"/>
        <v>41.457337883959042</v>
      </c>
      <c r="AJ94" s="129">
        <f t="shared" si="107"/>
        <v>82.822525597269617</v>
      </c>
      <c r="AK94" s="129">
        <f t="shared" si="108"/>
        <v>66.460750853242317</v>
      </c>
      <c r="AL94" s="399">
        <f t="shared" si="109"/>
        <v>55.552901023890783</v>
      </c>
      <c r="AM94" s="393">
        <f t="shared" si="110"/>
        <v>48.681317675424992</v>
      </c>
      <c r="AN94" s="393">
        <f t="shared" si="111"/>
        <v>41.024828872502269</v>
      </c>
      <c r="AO94" s="393">
        <f t="shared" si="112"/>
        <v>35.570903957826502</v>
      </c>
      <c r="AP94" s="96">
        <f t="shared" si="113"/>
        <v>31.480460271819677</v>
      </c>
      <c r="AQ94" s="91">
        <f t="shared" si="114"/>
        <v>24.676300472153219</v>
      </c>
      <c r="AR94" s="198"/>
      <c r="AS94" s="81">
        <f>$H$94*月別販売比率!AG25</f>
        <v>10.907849829351537</v>
      </c>
      <c r="AT94" s="21"/>
      <c r="AU94" s="81">
        <f>$H$94*月別販売比率!AL25</f>
        <v>6.8715833484657942</v>
      </c>
      <c r="AV94" s="21"/>
      <c r="AW94" s="81">
        <f>$H$94*月別販売比率!AQ25</f>
        <v>7.6564888029227269</v>
      </c>
      <c r="AX94" s="21"/>
      <c r="AY94" s="81">
        <f>$H$94*月別販売比率!AV25</f>
        <v>5.4539249146757687</v>
      </c>
      <c r="AZ94" s="21"/>
      <c r="BA94" s="81">
        <f>$H$94*月別販売比率!BA25</f>
        <v>4.0904436860068261</v>
      </c>
      <c r="BB94" s="21"/>
      <c r="BC94" s="81">
        <f>$H$94*月別販売比率!BF25</f>
        <v>6.8041597996664578</v>
      </c>
      <c r="BD94" s="21"/>
      <c r="BE94" s="81">
        <f>$H$94*月別販売比率!C25</f>
        <v>9.5443686006825956</v>
      </c>
      <c r="BF94" s="21"/>
      <c r="BG94" s="245">
        <f>$H$94*月別販売比率!H25</f>
        <v>10.907849829351537</v>
      </c>
      <c r="BH94" s="241">
        <v>40</v>
      </c>
      <c r="BI94" s="81">
        <f>$H$94*月別販売比率!M25</f>
        <v>19.088737201365191</v>
      </c>
      <c r="BJ94" s="21"/>
      <c r="BK94" s="81">
        <f>$H$94*月別販売比率!R25</f>
        <v>24.542662116040958</v>
      </c>
      <c r="BL94" s="21"/>
      <c r="BM94" s="245">
        <f>$H$94*月別販売比率!W25</f>
        <v>13.634812286689423</v>
      </c>
      <c r="BN94" s="241">
        <v>30</v>
      </c>
      <c r="BO94" s="81">
        <f>$H$94*月別販売比率!AB25</f>
        <v>16.361774744027304</v>
      </c>
      <c r="BP94" s="21"/>
      <c r="BQ94" s="81">
        <f>$H$94*月別販売比率!AG25</f>
        <v>10.907849829351537</v>
      </c>
      <c r="BR94" s="21"/>
      <c r="BS94" s="81">
        <f>$H$94*月別販売比率!AL25</f>
        <v>6.8715833484657942</v>
      </c>
      <c r="BT94" s="21"/>
      <c r="BU94" s="81">
        <f>$H$94*月別販売比率!AQ25</f>
        <v>7.6564888029227269</v>
      </c>
      <c r="BV94" s="21"/>
      <c r="BW94" s="81">
        <f>$H$94*月別販売比率!AV25</f>
        <v>5.4539249146757687</v>
      </c>
      <c r="BX94" s="21"/>
      <c r="BY94" s="81">
        <f>$H$94*月別販売比率!BA25</f>
        <v>4.0904436860068261</v>
      </c>
      <c r="BZ94" s="21"/>
      <c r="CA94" s="81">
        <f>$H$94*月別販売比率!BF25</f>
        <v>6.8041597996664578</v>
      </c>
      <c r="CB94" s="21"/>
      <c r="CC94" s="245">
        <f>H94*月別販売比率!$C$25</f>
        <v>9.5443686006825956</v>
      </c>
      <c r="CD94" s="241">
        <v>15</v>
      </c>
      <c r="CE94" s="81">
        <f>H94*月別販売比率!$H$25</f>
        <v>10.907849829351537</v>
      </c>
      <c r="CF94" s="21"/>
      <c r="CG94" s="81">
        <f>H94*月別販売比率!$M$25</f>
        <v>19.088737201365191</v>
      </c>
      <c r="CH94" s="241">
        <v>65</v>
      </c>
      <c r="CI94" s="81">
        <f>H94*月別販売比率!$R$25</f>
        <v>24.542662116040958</v>
      </c>
      <c r="CJ94" s="21"/>
      <c r="CK94" s="81">
        <f>H94*月別販売比率!$W$25</f>
        <v>13.634812286689423</v>
      </c>
      <c r="CL94" s="21">
        <v>55</v>
      </c>
      <c r="CM94" s="81">
        <f>H94*月別販売比率!$AB$25</f>
        <v>16.361774744027304</v>
      </c>
      <c r="CN94" s="21"/>
      <c r="CO94" s="81">
        <f>H94*月別販売比率!$AG$25</f>
        <v>10.907849829351537</v>
      </c>
      <c r="CP94" s="21"/>
      <c r="CQ94" s="81">
        <f>H94*月別販売比率!$AL$25</f>
        <v>6.8715833484657942</v>
      </c>
      <c r="CR94" s="21"/>
      <c r="CS94" s="81">
        <f>H94*月別販売比率!$AQ$25</f>
        <v>7.6564888029227269</v>
      </c>
      <c r="CT94" s="21"/>
      <c r="CU94" s="81">
        <f>H94*月別販売比率!$AV$25</f>
        <v>5.4539249146757687</v>
      </c>
      <c r="CV94" s="21"/>
      <c r="CW94" s="81">
        <f>H94*月別販売比率!$BA$25</f>
        <v>4.0904436860068261</v>
      </c>
      <c r="CX94" s="21"/>
      <c r="CY94" s="81">
        <f>H94*月別販売比率!$BF$25</f>
        <v>6.8041597996664578</v>
      </c>
      <c r="CZ94" s="21"/>
      <c r="DA94" s="28"/>
      <c r="DB94" s="294"/>
    </row>
    <row r="95" spans="2:106" ht="30.75" customHeight="1">
      <c r="C95" s="477"/>
      <c r="D95" s="441"/>
      <c r="E95" s="94" t="s">
        <v>51</v>
      </c>
      <c r="F95">
        <v>35</v>
      </c>
      <c r="G95" s="46">
        <f t="shared" si="115"/>
        <v>269500</v>
      </c>
      <c r="H95" s="56">
        <f>F95*($H$89/$F$89)</f>
        <v>101.53583617747441</v>
      </c>
      <c r="I95" s="46">
        <f t="shared" si="116"/>
        <v>781825.93856655294</v>
      </c>
      <c r="J95" s="9">
        <v>16</v>
      </c>
      <c r="K95" s="21">
        <f t="shared" si="117"/>
        <v>24</v>
      </c>
      <c r="L95" s="21">
        <v>10</v>
      </c>
      <c r="M95" s="21">
        <v>14</v>
      </c>
      <c r="N95" s="42"/>
      <c r="O95" s="19"/>
      <c r="P95" s="19"/>
      <c r="Q95" s="328"/>
      <c r="R95" s="328"/>
      <c r="S95" s="328"/>
      <c r="T95" s="328"/>
      <c r="U95" s="328"/>
      <c r="V95" s="124"/>
      <c r="W95" s="124"/>
      <c r="X95" s="328"/>
      <c r="Y95" s="331">
        <v>45879</v>
      </c>
      <c r="Z95" s="330"/>
      <c r="AA95" s="330"/>
      <c r="AB95" s="330"/>
      <c r="AC95" s="331"/>
      <c r="AD95" s="331"/>
      <c r="AE95" s="331"/>
      <c r="AF95" s="331"/>
      <c r="AG95" s="331"/>
      <c r="AH95" s="331">
        <v>46172</v>
      </c>
      <c r="AI95" s="129">
        <f t="shared" si="106"/>
        <v>21.723549488054609</v>
      </c>
      <c r="AJ95" s="129">
        <f t="shared" si="107"/>
        <v>51.569965870307165</v>
      </c>
      <c r="AK95" s="129">
        <f t="shared" si="108"/>
        <v>39.38566552901024</v>
      </c>
      <c r="AL95" s="399">
        <f t="shared" si="109"/>
        <v>31.262798634812285</v>
      </c>
      <c r="AM95" s="393">
        <f t="shared" si="110"/>
        <v>26.145662098720734</v>
      </c>
      <c r="AN95" s="393">
        <f t="shared" si="111"/>
        <v>20.444021500799554</v>
      </c>
      <c r="AO95" s="393">
        <f t="shared" si="112"/>
        <v>16.382588053700577</v>
      </c>
      <c r="AP95" s="96">
        <f t="shared" si="113"/>
        <v>13.336512968376343</v>
      </c>
      <c r="AQ95" s="91">
        <f t="shared" si="114"/>
        <v>8.2695854579864285</v>
      </c>
      <c r="AR95" s="198"/>
      <c r="AS95" s="81">
        <f>$H$95*月別販売比率!AG25</f>
        <v>8.1228668941979532</v>
      </c>
      <c r="AT95" s="21"/>
      <c r="AU95" s="81">
        <f>$H$95*月別販売比率!AL25</f>
        <v>5.1171365360915484</v>
      </c>
      <c r="AV95" s="21"/>
      <c r="AW95" s="81">
        <f>$H$95*月別販売比率!AQ25</f>
        <v>5.7016405979211795</v>
      </c>
      <c r="AX95" s="21"/>
      <c r="AY95" s="81">
        <f>$H$95*月別販売比率!AV25</f>
        <v>4.0614334470989766</v>
      </c>
      <c r="AZ95" s="21"/>
      <c r="BA95" s="81">
        <f>$H$95*月別販売比率!BA25</f>
        <v>3.0460750853242322</v>
      </c>
      <c r="BB95" s="21"/>
      <c r="BC95" s="81">
        <f>$H$95*月別販売比率!BF25</f>
        <v>5.066927510389915</v>
      </c>
      <c r="BD95" s="21"/>
      <c r="BE95" s="81">
        <f>$H$95*月別販売比率!C25</f>
        <v>7.1075085324232097</v>
      </c>
      <c r="BF95" s="21"/>
      <c r="BG95" s="245">
        <f>$H$95*月別販売比率!H25</f>
        <v>8.1228668941979532</v>
      </c>
      <c r="BH95" s="241">
        <v>25</v>
      </c>
      <c r="BI95" s="81">
        <f>$H$95*月別販売比率!M25</f>
        <v>14.215017064846419</v>
      </c>
      <c r="BJ95" s="21"/>
      <c r="BK95" s="81">
        <f>$H$95*月別販売比率!R25</f>
        <v>18.276450511945391</v>
      </c>
      <c r="BL95" s="21"/>
      <c r="BM95" s="245">
        <f>$H$95*月別販売比率!W25</f>
        <v>10.153583617747442</v>
      </c>
      <c r="BN95" s="241">
        <v>25</v>
      </c>
      <c r="BO95" s="81">
        <f>$H$95*月別販売比率!AB25</f>
        <v>12.184300341296929</v>
      </c>
      <c r="BP95" s="21"/>
      <c r="BQ95" s="81">
        <f>$H$95*月別販売比率!AG25</f>
        <v>8.1228668941979532</v>
      </c>
      <c r="BR95" s="21"/>
      <c r="BS95" s="81">
        <f>$H$95*月別販売比率!AL25</f>
        <v>5.1171365360915484</v>
      </c>
      <c r="BT95" s="21"/>
      <c r="BU95" s="81">
        <f>$H$95*月別販売比率!AQ25</f>
        <v>5.7016405979211795</v>
      </c>
      <c r="BV95" s="21"/>
      <c r="BW95" s="81">
        <f>$H$95*月別販売比率!AV25</f>
        <v>4.0614334470989766</v>
      </c>
      <c r="BX95" s="21"/>
      <c r="BY95" s="81">
        <f>$H$95*月別販売比率!BA25</f>
        <v>3.0460750853242322</v>
      </c>
      <c r="BZ95" s="21"/>
      <c r="CA95" s="81">
        <f>$H$95*月別販売比率!BF25</f>
        <v>5.066927510389915</v>
      </c>
      <c r="CB95" s="21"/>
      <c r="CC95" s="245">
        <f>H95*月別販売比率!$C$25</f>
        <v>7.1075085324232097</v>
      </c>
      <c r="CD95" s="241">
        <v>15</v>
      </c>
      <c r="CE95" s="81">
        <f>H95*月別販売比率!$H$25</f>
        <v>8.1228668941979532</v>
      </c>
      <c r="CF95" s="21"/>
      <c r="CG95" s="81">
        <f>H95*月別販売比率!$M$25</f>
        <v>14.215017064846419</v>
      </c>
      <c r="CH95" s="241">
        <v>41</v>
      </c>
      <c r="CI95" s="81">
        <f>H95*月別販売比率!$R$25</f>
        <v>18.276450511945391</v>
      </c>
      <c r="CJ95" s="21"/>
      <c r="CK95" s="81">
        <f>H95*月別販売比率!$W$25</f>
        <v>10.153583617747442</v>
      </c>
      <c r="CL95" s="21">
        <v>40</v>
      </c>
      <c r="CM95" s="81">
        <f>H95*月別販売比率!$AB$25</f>
        <v>12.184300341296929</v>
      </c>
      <c r="CN95" s="21"/>
      <c r="CO95" s="81">
        <f>H95*月別販売比率!$AG$25</f>
        <v>8.1228668941979532</v>
      </c>
      <c r="CP95" s="21"/>
      <c r="CQ95" s="81">
        <f>H95*月別販売比率!$AL$25</f>
        <v>5.1171365360915484</v>
      </c>
      <c r="CR95" s="21"/>
      <c r="CS95" s="81">
        <f>H95*月別販売比率!$AQ$25</f>
        <v>5.7016405979211795</v>
      </c>
      <c r="CT95" s="21"/>
      <c r="CU95" s="81">
        <f>H95*月別販売比率!$AV$25</f>
        <v>4.0614334470989766</v>
      </c>
      <c r="CV95" s="21"/>
      <c r="CW95" s="81">
        <f>H95*月別販売比率!$BA$25</f>
        <v>3.0460750853242322</v>
      </c>
      <c r="CX95" s="21"/>
      <c r="CY95" s="81">
        <f>H95*月別販売比率!$BF$25</f>
        <v>5.066927510389915</v>
      </c>
      <c r="CZ95" s="21"/>
      <c r="DA95" s="28"/>
      <c r="DB95" s="294"/>
    </row>
    <row r="96" spans="2:106" ht="30.75" customHeight="1">
      <c r="C96" s="477"/>
      <c r="D96" s="441">
        <v>3</v>
      </c>
      <c r="E96" s="99" t="s">
        <v>46</v>
      </c>
      <c r="F96">
        <v>18</v>
      </c>
      <c r="G96" s="46">
        <f t="shared" si="115"/>
        <v>138600</v>
      </c>
      <c r="H96" s="56">
        <f>F96*($H$89/$F$89)</f>
        <v>52.218430034129696</v>
      </c>
      <c r="I96" s="46">
        <f t="shared" si="116"/>
        <v>402081.91126279865</v>
      </c>
      <c r="J96" s="9">
        <v>0</v>
      </c>
      <c r="K96" s="21">
        <f t="shared" si="117"/>
        <v>19</v>
      </c>
      <c r="L96" s="21">
        <v>16</v>
      </c>
      <c r="M96" s="21">
        <v>3</v>
      </c>
      <c r="N96" s="42"/>
      <c r="O96" s="19"/>
      <c r="P96" s="19"/>
      <c r="Q96" s="124"/>
      <c r="R96" s="124"/>
      <c r="S96" s="124"/>
      <c r="T96" s="124"/>
      <c r="U96" s="124"/>
      <c r="V96" s="124"/>
      <c r="W96" s="124"/>
      <c r="X96" s="124"/>
      <c r="Y96" s="331">
        <v>45879</v>
      </c>
      <c r="Z96" s="330"/>
      <c r="AA96" s="331"/>
      <c r="AB96" s="331"/>
      <c r="AC96" s="331"/>
      <c r="AD96" s="331"/>
      <c r="AE96" s="331"/>
      <c r="AF96" s="331"/>
      <c r="AG96" s="331"/>
      <c r="AH96" s="331">
        <v>46172</v>
      </c>
      <c r="AI96" s="129">
        <f t="shared" si="106"/>
        <v>9.6006825938566553</v>
      </c>
      <c r="AJ96" s="129">
        <f t="shared" si="107"/>
        <v>19.378839590443686</v>
      </c>
      <c r="AK96" s="129">
        <f t="shared" si="108"/>
        <v>13.112627986348123</v>
      </c>
      <c r="AL96" s="399">
        <f t="shared" si="109"/>
        <v>8.9351535836177476</v>
      </c>
      <c r="AM96" s="393">
        <f t="shared" si="110"/>
        <v>6.3034833650563797</v>
      </c>
      <c r="AN96" s="393">
        <f t="shared" si="111"/>
        <v>3.371211057554059</v>
      </c>
      <c r="AO96" s="393">
        <f t="shared" si="112"/>
        <v>1.2824738561888713</v>
      </c>
      <c r="AP96" s="96">
        <f t="shared" si="113"/>
        <v>-0.28407904483501945</v>
      </c>
      <c r="AQ96" s="91">
        <f t="shared" si="114"/>
        <v>-2.8899274787498328</v>
      </c>
      <c r="AR96" s="198"/>
      <c r="AS96" s="81">
        <f>$H$96*月別販売比率!AG25</f>
        <v>4.1774744027303754</v>
      </c>
      <c r="AT96" s="21"/>
      <c r="AU96" s="81">
        <f>$H$96*月別販売比率!AL25</f>
        <v>2.6316702185613678</v>
      </c>
      <c r="AV96" s="21"/>
      <c r="AW96" s="81">
        <f>$H$96*月別販売比率!AQ25</f>
        <v>2.9322723075023207</v>
      </c>
      <c r="AX96" s="21"/>
      <c r="AY96" s="81">
        <f>$H$96*月別販売比率!AV25</f>
        <v>2.0887372013651877</v>
      </c>
      <c r="AZ96" s="21"/>
      <c r="BA96" s="81">
        <f>$H$96*月別販売比率!BA25</f>
        <v>1.5665529010238908</v>
      </c>
      <c r="BB96" s="21"/>
      <c r="BC96" s="81">
        <f>$H$96*月別販売比率!BF25</f>
        <v>2.6058484339148134</v>
      </c>
      <c r="BD96" s="21"/>
      <c r="BE96" s="81">
        <f>$H$96*月別販売比率!C25</f>
        <v>3.6552901023890789</v>
      </c>
      <c r="BF96" s="21"/>
      <c r="BG96" s="245">
        <f>$H$96*月別販売比率!H25</f>
        <v>4.1774744027303754</v>
      </c>
      <c r="BH96" s="241">
        <v>20</v>
      </c>
      <c r="BI96" s="81">
        <f>$H$96*月別販売比率!M25</f>
        <v>7.3105802047781578</v>
      </c>
      <c r="BJ96" s="21"/>
      <c r="BK96" s="81">
        <f>$H$96*月別販売比率!R25</f>
        <v>9.3993174061433447</v>
      </c>
      <c r="BL96" s="21"/>
      <c r="BM96" s="245">
        <f>$H$96*月別販売比率!W25</f>
        <v>5.2218430034129701</v>
      </c>
      <c r="BN96" s="241">
        <v>10</v>
      </c>
      <c r="BO96" s="81">
        <f>$H$96*月別販売比率!AB25</f>
        <v>6.2662116040955631</v>
      </c>
      <c r="BP96" s="21"/>
      <c r="BQ96" s="81">
        <f>$H$96*月別販売比率!AG25</f>
        <v>4.1774744027303754</v>
      </c>
      <c r="BR96" s="21"/>
      <c r="BS96" s="81">
        <f>$H$96*月別販売比率!AL25</f>
        <v>2.6316702185613678</v>
      </c>
      <c r="BT96" s="21"/>
      <c r="BU96" s="81">
        <f>$H$96*月別販売比率!AQ25</f>
        <v>2.9322723075023207</v>
      </c>
      <c r="BV96" s="21"/>
      <c r="BW96" s="81">
        <f>$H$96*月別販売比率!AV25</f>
        <v>2.0887372013651877</v>
      </c>
      <c r="BX96" s="21"/>
      <c r="BY96" s="81">
        <f>$H$96*月別販売比率!BA25</f>
        <v>1.5665529010238908</v>
      </c>
      <c r="BZ96" s="21"/>
      <c r="CA96" s="81">
        <f>$H$96*月別販売比率!BF25</f>
        <v>2.6058484339148134</v>
      </c>
      <c r="CB96" s="21"/>
      <c r="CC96" s="245">
        <f>H96*月別販売比率!$C$25</f>
        <v>3.6552901023890789</v>
      </c>
      <c r="CD96" s="241">
        <v>25</v>
      </c>
      <c r="CE96" s="81">
        <f>H96*月別販売比率!$H$25</f>
        <v>4.1774744027303754</v>
      </c>
      <c r="CF96" s="21"/>
      <c r="CG96" s="81">
        <f>H96*月別販売比率!$M$25</f>
        <v>7.3105802047781578</v>
      </c>
      <c r="CH96" s="241">
        <v>5</v>
      </c>
      <c r="CI96" s="81">
        <f>H96*月別販売比率!$R$25</f>
        <v>9.3993174061433447</v>
      </c>
      <c r="CJ96" s="21"/>
      <c r="CK96" s="81">
        <f>H96*月別販売比率!$W$25</f>
        <v>5.2218430034129701</v>
      </c>
      <c r="CL96" s="21">
        <v>15</v>
      </c>
      <c r="CM96" s="81">
        <f>H96*月別販売比率!$AB$25</f>
        <v>6.2662116040955631</v>
      </c>
      <c r="CN96" s="21"/>
      <c r="CO96" s="81">
        <f>H96*月別販売比率!$AG$25</f>
        <v>4.1774744027303754</v>
      </c>
      <c r="CP96" s="21"/>
      <c r="CQ96" s="81">
        <f>H96*月別販売比率!$AL$25</f>
        <v>2.6316702185613678</v>
      </c>
      <c r="CR96" s="21"/>
      <c r="CS96" s="81">
        <f>H96*月別販売比率!$AQ$25</f>
        <v>2.9322723075023207</v>
      </c>
      <c r="CT96" s="21"/>
      <c r="CU96" s="81">
        <f>H96*月別販売比率!$AV$25</f>
        <v>2.0887372013651877</v>
      </c>
      <c r="CV96" s="21"/>
      <c r="CW96" s="81">
        <f>H96*月別販売比率!$BA$25</f>
        <v>1.5665529010238908</v>
      </c>
      <c r="CX96" s="21"/>
      <c r="CY96" s="81">
        <f>H96*月別販売比率!$BF$25</f>
        <v>2.6058484339148134</v>
      </c>
      <c r="CZ96" s="21"/>
      <c r="DA96" s="28"/>
      <c r="DB96" s="294"/>
    </row>
    <row r="97" spans="2:106" ht="30.75" customHeight="1">
      <c r="C97" s="477"/>
      <c r="D97" s="441"/>
      <c r="E97" s="94" t="s">
        <v>47</v>
      </c>
      <c r="F97">
        <v>32</v>
      </c>
      <c r="G97" s="46">
        <f t="shared" si="115"/>
        <v>246400</v>
      </c>
      <c r="H97" s="56">
        <f>F97*($H$89/$F$89)</f>
        <v>92.832764505119457</v>
      </c>
      <c r="I97" s="46">
        <f t="shared" si="116"/>
        <v>714812.28668941977</v>
      </c>
      <c r="J97" s="9">
        <v>30</v>
      </c>
      <c r="K97" s="21">
        <f t="shared" si="117"/>
        <v>27</v>
      </c>
      <c r="L97" s="21">
        <v>14</v>
      </c>
      <c r="M97" s="21">
        <v>13</v>
      </c>
      <c r="N97" s="42"/>
      <c r="O97" s="19"/>
      <c r="P97" s="19"/>
      <c r="Q97" s="124"/>
      <c r="R97" s="124"/>
      <c r="S97" s="124"/>
      <c r="T97" s="124"/>
      <c r="U97" s="328"/>
      <c r="V97" s="124"/>
      <c r="W97" s="124"/>
      <c r="X97" s="328"/>
      <c r="Y97" s="331">
        <v>45879</v>
      </c>
      <c r="Z97" s="330"/>
      <c r="AA97" s="331"/>
      <c r="AB97" s="331"/>
      <c r="AC97" s="331"/>
      <c r="AD97" s="331"/>
      <c r="AE97" s="331"/>
      <c r="AF97" s="331"/>
      <c r="AG97" s="331"/>
      <c r="AH97" s="331">
        <v>46172</v>
      </c>
      <c r="AI97" s="129">
        <f t="shared" si="106"/>
        <v>40.290102389078498</v>
      </c>
      <c r="AJ97" s="129">
        <f t="shared" si="107"/>
        <v>51.00682593856655</v>
      </c>
      <c r="AK97" s="129">
        <f t="shared" si="108"/>
        <v>39.866894197952213</v>
      </c>
      <c r="AL97" s="399">
        <f t="shared" si="109"/>
        <v>32.440273037542653</v>
      </c>
      <c r="AM97" s="393">
        <f t="shared" si="110"/>
        <v>27.761748204544666</v>
      </c>
      <c r="AN97" s="393">
        <f t="shared" si="111"/>
        <v>22.548819657873874</v>
      </c>
      <c r="AO97" s="393">
        <f t="shared" si="112"/>
        <v>18.835509077669094</v>
      </c>
      <c r="AP97" s="96">
        <f t="shared" si="113"/>
        <v>16.050526142515512</v>
      </c>
      <c r="AQ97" s="91">
        <f t="shared" si="114"/>
        <v>11.417906704444732</v>
      </c>
      <c r="AR97" s="198"/>
      <c r="AS97" s="81">
        <f>$H$97*月別販売比率!AG25</f>
        <v>7.4266211604095567</v>
      </c>
      <c r="AT97" s="21"/>
      <c r="AU97" s="81">
        <f>$H$97*月別販売比率!AL25</f>
        <v>4.6785248329979874</v>
      </c>
      <c r="AV97" s="21"/>
      <c r="AW97" s="81">
        <f>$H$97*月別販売比率!AQ25</f>
        <v>5.212928546670792</v>
      </c>
      <c r="AX97" s="21"/>
      <c r="AY97" s="81">
        <f>$H$97*月別販売比率!AV25</f>
        <v>3.7133105802047783</v>
      </c>
      <c r="AZ97" s="21"/>
      <c r="BA97" s="81">
        <f>$H$97*月別販売比率!BA25</f>
        <v>2.7849829351535837</v>
      </c>
      <c r="BB97" s="21"/>
      <c r="BC97" s="81">
        <f>$H$97*月別販売比率!BF25</f>
        <v>4.6326194380707788</v>
      </c>
      <c r="BD97" s="21"/>
      <c r="BE97" s="81">
        <f>$H$97*月別販売比率!C25</f>
        <v>6.4982935153583625</v>
      </c>
      <c r="BF97" s="21"/>
      <c r="BG97" s="245">
        <f>$H$97*月別販売比率!H25</f>
        <v>7.4266211604095567</v>
      </c>
      <c r="BH97" s="241">
        <v>20</v>
      </c>
      <c r="BI97" s="81">
        <f>$H$97*月別販売比率!M25</f>
        <v>12.996587030716725</v>
      </c>
      <c r="BJ97" s="21"/>
      <c r="BK97" s="81">
        <f>$H$97*月別販売比率!R25</f>
        <v>16.709897610921502</v>
      </c>
      <c r="BL97" s="21"/>
      <c r="BM97" s="245">
        <f>$H$97*月別販売比率!W25</f>
        <v>9.2832764505119467</v>
      </c>
      <c r="BN97" s="241">
        <v>20</v>
      </c>
      <c r="BO97" s="81">
        <f>$H$97*月別販売比率!AB25</f>
        <v>11.139931740614335</v>
      </c>
      <c r="BP97" s="21"/>
      <c r="BQ97" s="81">
        <f>$H$97*月別販売比率!AG25</f>
        <v>7.4266211604095567</v>
      </c>
      <c r="BR97" s="21"/>
      <c r="BS97" s="81">
        <f>$H$97*月別販売比率!AL25</f>
        <v>4.6785248329979874</v>
      </c>
      <c r="BT97" s="21"/>
      <c r="BU97" s="81">
        <f>$H$97*月別販売比率!AQ25</f>
        <v>5.212928546670792</v>
      </c>
      <c r="BV97" s="21"/>
      <c r="BW97" s="81">
        <f>$H$97*月別販売比率!AV25</f>
        <v>3.7133105802047783</v>
      </c>
      <c r="BX97" s="21"/>
      <c r="BY97" s="81">
        <f>$H$97*月別販売比率!BA25</f>
        <v>2.7849829351535837</v>
      </c>
      <c r="BZ97" s="21"/>
      <c r="CA97" s="81">
        <f>$H$97*月別販売比率!BF25</f>
        <v>4.6326194380707788</v>
      </c>
      <c r="CB97" s="21"/>
      <c r="CC97" s="245">
        <f>H97*月別販売比率!$C$25</f>
        <v>6.4982935153583625</v>
      </c>
      <c r="CD97" s="241">
        <v>25</v>
      </c>
      <c r="CE97" s="81">
        <f>H97*月別販売比率!$H$25</f>
        <v>7.4266211604095567</v>
      </c>
      <c r="CF97" s="21"/>
      <c r="CG97" s="81">
        <f>H97*月別販売比率!$M$25</f>
        <v>12.996587030716725</v>
      </c>
      <c r="CH97" s="241">
        <v>44</v>
      </c>
      <c r="CI97" s="81">
        <f>H97*月別販売比率!$R$25</f>
        <v>16.709897610921502</v>
      </c>
      <c r="CJ97" s="21"/>
      <c r="CK97" s="81">
        <f>H97*月別販売比率!$W$25</f>
        <v>9.2832764505119467</v>
      </c>
      <c r="CL97" s="21">
        <v>20</v>
      </c>
      <c r="CM97" s="81">
        <f>H97*月別販売比率!$AB$25</f>
        <v>11.139931740614335</v>
      </c>
      <c r="CN97" s="21"/>
      <c r="CO97" s="81">
        <f>H97*月別販売比率!$AG$25</f>
        <v>7.4266211604095567</v>
      </c>
      <c r="CP97" s="21"/>
      <c r="CQ97" s="81">
        <f>H97*月別販売比率!$AL$25</f>
        <v>4.6785248329979874</v>
      </c>
      <c r="CR97" s="21"/>
      <c r="CS97" s="81">
        <f>H97*月別販売比率!$AQ$25</f>
        <v>5.212928546670792</v>
      </c>
      <c r="CT97" s="21"/>
      <c r="CU97" s="81">
        <f>H97*月別販売比率!$AV$25</f>
        <v>3.7133105802047783</v>
      </c>
      <c r="CV97" s="21"/>
      <c r="CW97" s="81">
        <f>H97*月別販売比率!$BA$25</f>
        <v>2.7849829351535837</v>
      </c>
      <c r="CX97" s="21"/>
      <c r="CY97" s="81">
        <f>H97*月別販売比率!$BF$25</f>
        <v>4.6326194380707788</v>
      </c>
      <c r="CZ97" s="21"/>
      <c r="DA97" s="28"/>
      <c r="DB97" s="294"/>
    </row>
    <row r="98" spans="2:106" ht="30.75" customHeight="1">
      <c r="C98" s="478"/>
      <c r="D98" s="444"/>
      <c r="E98" s="94" t="s">
        <v>51</v>
      </c>
      <c r="F98" s="314">
        <v>29</v>
      </c>
      <c r="G98" s="53">
        <f t="shared" si="115"/>
        <v>223300</v>
      </c>
      <c r="H98" s="126">
        <f>F98*($H$89/$F$89)</f>
        <v>84.129692832764505</v>
      </c>
      <c r="I98" s="53">
        <f t="shared" si="116"/>
        <v>647798.63481228671</v>
      </c>
      <c r="J98" s="113">
        <v>15</v>
      </c>
      <c r="K98" s="103">
        <v>0</v>
      </c>
      <c r="L98" s="104">
        <v>9</v>
      </c>
      <c r="M98" s="104">
        <v>10</v>
      </c>
      <c r="N98" s="117"/>
      <c r="O98" s="313"/>
      <c r="P98" s="123"/>
      <c r="Q98" s="238"/>
      <c r="R98" s="238"/>
      <c r="S98" s="329"/>
      <c r="T98" s="329"/>
      <c r="U98" s="329"/>
      <c r="V98" s="238"/>
      <c r="W98" s="238"/>
      <c r="X98" s="238"/>
      <c r="Y98" s="238"/>
      <c r="Z98" s="238"/>
      <c r="AA98" s="238"/>
      <c r="AB98" s="238"/>
      <c r="AC98" s="329"/>
      <c r="AD98" s="329"/>
      <c r="AE98" s="329"/>
      <c r="AF98" s="329"/>
      <c r="AG98" s="331"/>
      <c r="AH98" s="331">
        <v>46172</v>
      </c>
      <c r="AI98" s="238">
        <f t="shared" si="106"/>
        <v>-0.14334470989760995</v>
      </c>
      <c r="AJ98" s="238">
        <f>0-CK98+CL98</f>
        <v>6.5870307167235485</v>
      </c>
      <c r="AK98" s="238">
        <f t="shared" si="108"/>
        <v>-3.5085324232081909</v>
      </c>
      <c r="AL98" s="401">
        <f t="shared" si="109"/>
        <v>-10.238907849829351</v>
      </c>
      <c r="AM98" s="395">
        <f t="shared" si="110"/>
        <v>-14.478820979733776</v>
      </c>
      <c r="AN98" s="395">
        <f t="shared" si="111"/>
        <v>-19.203037475154183</v>
      </c>
      <c r="AO98" s="395">
        <f t="shared" si="112"/>
        <v>-22.568225188464762</v>
      </c>
      <c r="AP98" s="403">
        <f t="shared" si="113"/>
        <v>-25.092115973447697</v>
      </c>
      <c r="AQ98" s="90">
        <f t="shared" si="114"/>
        <v>-29.29042733919934</v>
      </c>
      <c r="AR98" s="238"/>
      <c r="AS98" s="282">
        <f>$H$98*月別販売比率!AG25</f>
        <v>6.7303754266211602</v>
      </c>
      <c r="AT98" s="103"/>
      <c r="AU98" s="282">
        <f>$H$98*月別販売比率!AL25</f>
        <v>4.2399131299044255</v>
      </c>
      <c r="AV98" s="103"/>
      <c r="AW98" s="282">
        <f>$H$98*月別販売比率!AQ25</f>
        <v>4.7242164954204053</v>
      </c>
      <c r="AX98" s="103"/>
      <c r="AY98" s="282">
        <f>$H$98*月別販売比率!AV25</f>
        <v>3.3651877133105801</v>
      </c>
      <c r="AZ98" s="103"/>
      <c r="BA98" s="282">
        <f>$H$98*月別販売比率!BA425</f>
        <v>0</v>
      </c>
      <c r="BB98" s="103"/>
      <c r="BC98" s="282">
        <f>$H$98*月別販売比率!BF25</f>
        <v>4.1983113657516435</v>
      </c>
      <c r="BD98" s="103"/>
      <c r="BE98" s="282">
        <f>$H$98*月別販売比率!C25</f>
        <v>5.8890784982935163</v>
      </c>
      <c r="BF98" s="103"/>
      <c r="BG98" s="301">
        <f>$H$98*月別販売比率!H25</f>
        <v>6.7303754266211602</v>
      </c>
      <c r="BH98" s="302">
        <v>35</v>
      </c>
      <c r="BI98" s="282">
        <f>$H$98*月別販売比率!M25</f>
        <v>11.778156996587033</v>
      </c>
      <c r="BJ98" s="103"/>
      <c r="BK98" s="282">
        <f>$H$98*月別販売比率!R25</f>
        <v>15.14334470989761</v>
      </c>
      <c r="BL98" s="103"/>
      <c r="BM98" s="301">
        <f>$H$98*月別販売比率!W25</f>
        <v>8.4129692832764515</v>
      </c>
      <c r="BN98" s="302">
        <v>10</v>
      </c>
      <c r="BO98" s="282">
        <f>$H$98*月別販売比率!AB25</f>
        <v>10.095563139931739</v>
      </c>
      <c r="BP98" s="103"/>
      <c r="BQ98" s="282">
        <f>$H$98*月別販売比率!AG25</f>
        <v>6.7303754266211602</v>
      </c>
      <c r="BR98" s="103"/>
      <c r="BS98" s="282">
        <f>$H$98*月別販売比率!AL25</f>
        <v>4.2399131299044255</v>
      </c>
      <c r="BT98" s="103"/>
      <c r="BU98" s="282">
        <f>$H$98*月別販売比率!AQ25</f>
        <v>4.7242164954204053</v>
      </c>
      <c r="BV98" s="103"/>
      <c r="BW98" s="282">
        <f>$H$98*月別販売比率!AV25</f>
        <v>3.3651877133105801</v>
      </c>
      <c r="BX98" s="103"/>
      <c r="BY98" s="282">
        <f>$H$98*月別販売比率!BA25</f>
        <v>2.5238907849829348</v>
      </c>
      <c r="BZ98" s="103"/>
      <c r="CA98" s="282">
        <f>$H$98*月別販売比率!BF25</f>
        <v>4.1983113657516435</v>
      </c>
      <c r="CB98" s="103"/>
      <c r="CC98" s="301">
        <f>H98*月別販売比率!$C$25</f>
        <v>5.8890784982935163</v>
      </c>
      <c r="CD98" s="302">
        <v>30</v>
      </c>
      <c r="CE98" s="282">
        <f>H98*月別販売比率!$H$25</f>
        <v>6.7303754266211602</v>
      </c>
      <c r="CF98" s="103"/>
      <c r="CG98" s="282">
        <f>H98*月別販売比率!$M$25</f>
        <v>11.778156996587033</v>
      </c>
      <c r="CH98" s="302">
        <v>34</v>
      </c>
      <c r="CI98" s="282">
        <f>H98*月別販売比率!$R$25</f>
        <v>15.14334470989761</v>
      </c>
      <c r="CJ98" s="103"/>
      <c r="CK98" s="282">
        <f>H98*月別販売比率!$W$25</f>
        <v>8.4129692832764515</v>
      </c>
      <c r="CL98" s="103">
        <v>15</v>
      </c>
      <c r="CM98" s="282">
        <f>H98*月別販売比率!$AB$25</f>
        <v>10.095563139931739</v>
      </c>
      <c r="CN98" s="103"/>
      <c r="CO98" s="282">
        <f>H98*月別販売比率!$AG$25</f>
        <v>6.7303754266211602</v>
      </c>
      <c r="CP98" s="103"/>
      <c r="CQ98" s="282">
        <f>H98*月別販売比率!$AL$25</f>
        <v>4.2399131299044255</v>
      </c>
      <c r="CR98" s="103"/>
      <c r="CS98" s="282">
        <f>H98*月別販売比率!$AQ$25</f>
        <v>4.7242164954204053</v>
      </c>
      <c r="CT98" s="103"/>
      <c r="CU98" s="282">
        <f>H98*月別販売比率!$AV$25</f>
        <v>3.3651877133105801</v>
      </c>
      <c r="CV98" s="103"/>
      <c r="CW98" s="282">
        <f>H98*月別販売比率!$BA$25</f>
        <v>2.5238907849829348</v>
      </c>
      <c r="CX98" s="103"/>
      <c r="CY98" s="282">
        <f>H98*月別販売比率!$BF$25</f>
        <v>4.1983113657516435</v>
      </c>
      <c r="CZ98" s="103"/>
      <c r="DA98" s="303"/>
      <c r="DB98" s="300"/>
    </row>
    <row r="99" spans="2:106" ht="30.75" customHeight="1">
      <c r="B99" s="2">
        <v>8</v>
      </c>
      <c r="C99" s="435" t="s">
        <v>487</v>
      </c>
      <c r="D99" s="436"/>
      <c r="E99" s="445"/>
      <c r="F99" s="130">
        <f>SUM(F100:F111)</f>
        <v>1200.0000000000002</v>
      </c>
      <c r="G99" s="131">
        <f>SUM(G100:G111)</f>
        <v>5279999.9999999991</v>
      </c>
      <c r="H99" s="130">
        <v>1200</v>
      </c>
      <c r="I99" s="131">
        <f t="shared" ref="I99:N99" si="118">SUM(I100:I111)</f>
        <v>5279999.9999999981</v>
      </c>
      <c r="J99" s="133">
        <f>SUM(J100:J111)</f>
        <v>442</v>
      </c>
      <c r="K99" s="134">
        <f t="shared" si="118"/>
        <v>312</v>
      </c>
      <c r="L99" s="134">
        <f t="shared" si="118"/>
        <v>95</v>
      </c>
      <c r="M99" s="134">
        <f t="shared" si="118"/>
        <v>217</v>
      </c>
      <c r="N99" s="135">
        <f t="shared" si="118"/>
        <v>0</v>
      </c>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6">
        <f t="shared" ref="AS99:CJ99" si="119">SUM(AS100:AS111)</f>
        <v>119.99999999999997</v>
      </c>
      <c r="AT99" s="134">
        <f t="shared" si="119"/>
        <v>0</v>
      </c>
      <c r="AU99" s="136">
        <f t="shared" si="119"/>
        <v>107.99999999999996</v>
      </c>
      <c r="AV99" s="134">
        <f t="shared" si="119"/>
        <v>0</v>
      </c>
      <c r="AW99" s="136">
        <f t="shared" si="119"/>
        <v>119.99999999999997</v>
      </c>
      <c r="AX99" s="134">
        <f t="shared" si="119"/>
        <v>600</v>
      </c>
      <c r="AY99" s="136">
        <f t="shared" si="119"/>
        <v>73.07325059941995</v>
      </c>
      <c r="AZ99" s="134">
        <f t="shared" si="119"/>
        <v>0</v>
      </c>
      <c r="BA99" s="136">
        <f t="shared" si="119"/>
        <v>66.747744846056719</v>
      </c>
      <c r="BB99" s="134">
        <f t="shared" si="119"/>
        <v>0</v>
      </c>
      <c r="BC99" s="136">
        <f t="shared" si="119"/>
        <v>95.999999999999986</v>
      </c>
      <c r="BD99" s="134">
        <f t="shared" si="119"/>
        <v>0</v>
      </c>
      <c r="BE99" s="136">
        <f t="shared" si="119"/>
        <v>85.037101339008217</v>
      </c>
      <c r="BF99" s="134">
        <f t="shared" si="119"/>
        <v>0</v>
      </c>
      <c r="BG99" s="136">
        <f t="shared" si="119"/>
        <v>83.999999999999986</v>
      </c>
      <c r="BH99" s="134">
        <f t="shared" si="119"/>
        <v>0</v>
      </c>
      <c r="BI99" s="136">
        <f t="shared" si="119"/>
        <v>121.2764269483848</v>
      </c>
      <c r="BJ99" s="134">
        <f t="shared" si="119"/>
        <v>0</v>
      </c>
      <c r="BK99" s="136">
        <f t="shared" si="119"/>
        <v>95.999999999999986</v>
      </c>
      <c r="BL99" s="134">
        <f t="shared" si="119"/>
        <v>600</v>
      </c>
      <c r="BM99" s="136">
        <f t="shared" si="119"/>
        <v>91.400064394129217</v>
      </c>
      <c r="BN99" s="134">
        <f t="shared" si="119"/>
        <v>0</v>
      </c>
      <c r="BO99" s="136">
        <f t="shared" si="119"/>
        <v>143.99999999999997</v>
      </c>
      <c r="BP99" s="134">
        <f t="shared" si="119"/>
        <v>0</v>
      </c>
      <c r="BQ99" s="136">
        <f t="shared" si="119"/>
        <v>119.99999999999997</v>
      </c>
      <c r="BR99" s="134">
        <f t="shared" si="119"/>
        <v>600</v>
      </c>
      <c r="BS99" s="136">
        <f t="shared" si="119"/>
        <v>107.99999999999996</v>
      </c>
      <c r="BT99" s="134">
        <f t="shared" si="119"/>
        <v>0</v>
      </c>
      <c r="BU99" s="136">
        <f t="shared" si="119"/>
        <v>119.99999999999997</v>
      </c>
      <c r="BV99" s="134">
        <f t="shared" si="119"/>
        <v>0</v>
      </c>
      <c r="BW99" s="136">
        <f t="shared" si="119"/>
        <v>73.07325059941995</v>
      </c>
      <c r="BX99" s="134">
        <f t="shared" si="119"/>
        <v>0</v>
      </c>
      <c r="BY99" s="136">
        <f t="shared" si="119"/>
        <v>66.747744846056719</v>
      </c>
      <c r="BZ99" s="134">
        <f t="shared" si="119"/>
        <v>0</v>
      </c>
      <c r="CA99" s="136">
        <f t="shared" si="119"/>
        <v>95.999999999999986</v>
      </c>
      <c r="CB99" s="134">
        <f t="shared" si="119"/>
        <v>0</v>
      </c>
      <c r="CC99" s="136">
        <f t="shared" si="119"/>
        <v>85.037101339008217</v>
      </c>
      <c r="CD99" s="134">
        <f t="shared" si="119"/>
        <v>0</v>
      </c>
      <c r="CE99" s="136">
        <f t="shared" si="119"/>
        <v>83.999999999999986</v>
      </c>
      <c r="CF99" s="134">
        <f t="shared" si="119"/>
        <v>600</v>
      </c>
      <c r="CG99" s="136">
        <f t="shared" si="119"/>
        <v>121.2764269483848</v>
      </c>
      <c r="CH99" s="134">
        <f t="shared" si="119"/>
        <v>300</v>
      </c>
      <c r="CI99" s="136">
        <f>H99*月別販売比率!$R$21</f>
        <v>96</v>
      </c>
      <c r="CJ99" s="134">
        <f t="shared" si="119"/>
        <v>0</v>
      </c>
      <c r="CK99" s="136">
        <f t="shared" ref="CK99:CL99" si="120">SUM(CK100:CK111)</f>
        <v>91.400064394129217</v>
      </c>
      <c r="CL99" s="134">
        <f t="shared" si="120"/>
        <v>0</v>
      </c>
      <c r="CM99" s="136">
        <f>L99*月別販売比率!$R$21</f>
        <v>7.6000000000000005</v>
      </c>
      <c r="CN99" s="134">
        <f t="shared" ref="CN99:CP99" si="121">SUM(CN100:CN111)</f>
        <v>0</v>
      </c>
      <c r="CO99" s="136">
        <f t="shared" si="121"/>
        <v>119.99999999999997</v>
      </c>
      <c r="CP99" s="134">
        <f t="shared" si="121"/>
        <v>300</v>
      </c>
      <c r="CQ99" s="136">
        <f>P99*月別販売比率!$R$21</f>
        <v>0</v>
      </c>
      <c r="CR99" s="134">
        <f t="shared" ref="CR99:CT99" si="122">SUM(CR100:CR111)</f>
        <v>0</v>
      </c>
      <c r="CS99" s="136">
        <f t="shared" si="122"/>
        <v>119.99999999999997</v>
      </c>
      <c r="CT99" s="134">
        <f t="shared" si="122"/>
        <v>0</v>
      </c>
      <c r="CU99" s="136">
        <v>73.07325059941995</v>
      </c>
      <c r="CV99" s="134">
        <f t="shared" ref="CV99:CZ99" si="123">SUM(CV100:CV111)</f>
        <v>0</v>
      </c>
      <c r="CW99" s="136">
        <f t="shared" si="123"/>
        <v>66.747744846056719</v>
      </c>
      <c r="CX99" s="134">
        <f t="shared" si="123"/>
        <v>0</v>
      </c>
      <c r="CY99" s="136">
        <f t="shared" si="123"/>
        <v>95.999999999999986</v>
      </c>
      <c r="CZ99" s="134">
        <f t="shared" si="123"/>
        <v>0</v>
      </c>
      <c r="DA99" s="141"/>
      <c r="DB99" s="293"/>
    </row>
    <row r="100" spans="2:106" ht="30.75" customHeight="1">
      <c r="C100" s="446" t="s">
        <v>479</v>
      </c>
      <c r="D100" s="443">
        <v>1</v>
      </c>
      <c r="E100" s="99" t="s">
        <v>47</v>
      </c>
      <c r="F100" s="56">
        <v>214.42006269592474</v>
      </c>
      <c r="G100" s="46">
        <f>F100*4400</f>
        <v>943448.27586206887</v>
      </c>
      <c r="H100" s="45">
        <f>F100*($H$99/$F$99)</f>
        <v>214.42006269592468</v>
      </c>
      <c r="I100" s="46">
        <f>H100*4400</f>
        <v>943448.27586206864</v>
      </c>
      <c r="J100" s="49">
        <v>133</v>
      </c>
      <c r="K100" s="40">
        <f t="shared" ref="K100:K111" si="124">SUM(L100:N100)</f>
        <v>23</v>
      </c>
      <c r="L100" s="39">
        <v>9</v>
      </c>
      <c r="M100" s="39">
        <v>14</v>
      </c>
      <c r="N100" s="42"/>
      <c r="O100" s="288"/>
      <c r="P100" s="288"/>
      <c r="Q100" s="331">
        <v>45654</v>
      </c>
      <c r="R100" s="124"/>
      <c r="S100" s="124"/>
      <c r="T100" s="124"/>
      <c r="U100" s="124"/>
      <c r="V100" s="124"/>
      <c r="W100" s="124"/>
      <c r="X100" s="331">
        <v>45860</v>
      </c>
      <c r="Y100" s="124"/>
      <c r="Z100" s="124"/>
      <c r="AA100" s="124"/>
      <c r="AB100" s="124"/>
      <c r="AC100" s="124"/>
      <c r="AD100" s="328"/>
      <c r="AE100" s="328"/>
      <c r="AF100" s="328"/>
      <c r="AG100" s="331"/>
      <c r="AH100" s="331"/>
      <c r="AI100" s="129">
        <f t="shared" ref="AI100:AI111" si="125">SUM(J100:K100)-CI100+CJ100</f>
        <v>138.84639498432603</v>
      </c>
      <c r="AJ100" s="129">
        <f t="shared" ref="AJ100:AJ111" si="126">AI100-CK100+CL100</f>
        <v>122.51472203615873</v>
      </c>
      <c r="AK100" s="129">
        <f t="shared" ref="AK100:AK111" si="127">AJ100-CM100+CN100</f>
        <v>96.784314512647768</v>
      </c>
      <c r="AL100" s="399">
        <f t="shared" ref="AL100:AL111" si="128">AK100-CO100+CP100</f>
        <v>145.3423082430553</v>
      </c>
      <c r="AM100" s="393">
        <f t="shared" ref="AM100:AM111" si="129">AL100-CQ100+CR100</f>
        <v>126.04450260042208</v>
      </c>
      <c r="AN100" s="393">
        <f t="shared" ref="AN100:AN111" si="130">AM100-CS100+CT100</f>
        <v>104.60249633082961</v>
      </c>
      <c r="AO100" s="393">
        <f t="shared" ref="AO100:AO111" si="131">AN100-CU100+CV100</f>
        <v>91.545520518394071</v>
      </c>
      <c r="AP100" s="96">
        <f t="shared" ref="AP100:AP111" si="132">AO100-CW100+CX100</f>
        <v>79.618807489474847</v>
      </c>
      <c r="AQ100" s="91">
        <f t="shared" ref="AQ100:AQ111" si="133">AP100-CY100+CZ100</f>
        <v>62.465202473800872</v>
      </c>
      <c r="AR100" s="198"/>
      <c r="AS100" s="81">
        <f>$H$100*月別販売比率!AG5</f>
        <v>21.442006269592468</v>
      </c>
      <c r="AT100" s="39"/>
      <c r="AU100" s="81">
        <f>$H$100*月別販売比率!AL5</f>
        <v>19.297805642633222</v>
      </c>
      <c r="AV100" s="39"/>
      <c r="AW100" s="245">
        <f>$H$100*月別販売比率!AQ5</f>
        <v>21.442006269592468</v>
      </c>
      <c r="AX100" s="280">
        <v>100</v>
      </c>
      <c r="AY100" s="81">
        <f>$H$100*月別販売比率!AV5</f>
        <v>13.056975812435539</v>
      </c>
      <c r="AZ100" s="39"/>
      <c r="BA100" s="81">
        <f>$H$100*月別販売比率!BA5</f>
        <v>11.926713028919226</v>
      </c>
      <c r="BB100" s="39"/>
      <c r="BC100" s="81">
        <f>$H$100*月別販売比率!BF5</f>
        <v>17.153605015673975</v>
      </c>
      <c r="BD100" s="39"/>
      <c r="BE100" s="81">
        <f>$H$100*月別販売比率!C5</f>
        <v>15.194717167158206</v>
      </c>
      <c r="BF100" s="39"/>
      <c r="BG100" s="81">
        <f>$H$100*月別販売比率!H5</f>
        <v>15.00940438871473</v>
      </c>
      <c r="BH100" s="39"/>
      <c r="BI100" s="81">
        <f>$H$100*月別販売比率!M5</f>
        <v>21.670082558175334</v>
      </c>
      <c r="BJ100" s="39"/>
      <c r="BK100" s="245">
        <f>$H$100*月別販売比率!R5</f>
        <v>17.153605015673975</v>
      </c>
      <c r="BL100" s="280">
        <v>115</v>
      </c>
      <c r="BM100" s="81">
        <f>$H$100*月別販売比率!W5</f>
        <v>16.331672948167288</v>
      </c>
      <c r="BN100" s="39"/>
      <c r="BO100" s="81">
        <f>$H$100*月別販売比率!AB5</f>
        <v>25.730407523510962</v>
      </c>
      <c r="BP100" s="39"/>
      <c r="BQ100" s="245">
        <f>$H$100*月別販売比率!AG5</f>
        <v>21.442006269592468</v>
      </c>
      <c r="BR100" s="280">
        <v>75</v>
      </c>
      <c r="BS100" s="81">
        <f>$H$100*月別販売比率!AL5</f>
        <v>19.297805642633222</v>
      </c>
      <c r="BT100" s="39"/>
      <c r="BU100" s="81">
        <f>$H$100*月別販売比率!AQ5</f>
        <v>21.442006269592468</v>
      </c>
      <c r="BV100" s="39"/>
      <c r="BW100" s="81">
        <f>$H$100*月別販売比率!AV5</f>
        <v>13.056975812435539</v>
      </c>
      <c r="BX100" s="39"/>
      <c r="BY100" s="81">
        <f>$H$100*月別販売比率!BA5</f>
        <v>11.926713028919226</v>
      </c>
      <c r="BZ100" s="39"/>
      <c r="CA100" s="81">
        <f>$H$100*月別販売比率!BF5</f>
        <v>17.153605015673975</v>
      </c>
      <c r="CB100" s="39"/>
      <c r="CC100" s="81">
        <f>H100*月別販売比率!$C$21</f>
        <v>15.194717167158206</v>
      </c>
      <c r="CD100" s="39"/>
      <c r="CE100" s="81">
        <f>H100*月別販売比率!$H$21</f>
        <v>15.00940438871473</v>
      </c>
      <c r="CF100" s="280">
        <v>120</v>
      </c>
      <c r="CG100" s="81">
        <f>H100*月別販売比率!$M$21</f>
        <v>21.670082558175334</v>
      </c>
      <c r="CH100" s="280">
        <v>70</v>
      </c>
      <c r="CI100" s="81">
        <f>H100*月別販売比率!$R$21</f>
        <v>17.153605015673975</v>
      </c>
      <c r="CJ100" s="39"/>
      <c r="CK100" s="81">
        <f>H100*月別販売比率!$W$21</f>
        <v>16.331672948167288</v>
      </c>
      <c r="CL100" s="39"/>
      <c r="CM100" s="81">
        <f>H100*月別販売比率!$AB$21</f>
        <v>25.730407523510962</v>
      </c>
      <c r="CN100" s="39"/>
      <c r="CO100" s="81">
        <f>H100*月別販売比率!$AG$21</f>
        <v>21.442006269592468</v>
      </c>
      <c r="CP100" s="39">
        <v>70</v>
      </c>
      <c r="CQ100" s="81">
        <f>H100*月別販売比率!$AL$21</f>
        <v>19.297805642633222</v>
      </c>
      <c r="CR100" s="39"/>
      <c r="CS100" s="81">
        <f>H100*月別販売比率!$AQ$21</f>
        <v>21.442006269592468</v>
      </c>
      <c r="CT100" s="39"/>
      <c r="CU100" s="81">
        <f>H100*月別販売比率!$AV$21</f>
        <v>13.056975812435539</v>
      </c>
      <c r="CV100" s="39"/>
      <c r="CW100" s="81">
        <f>H100*月別販売比率!$BA$21</f>
        <v>11.926713028919226</v>
      </c>
      <c r="CX100" s="39"/>
      <c r="CY100" s="81">
        <f>H100*月別販売比率!$BF$21</f>
        <v>17.153605015673975</v>
      </c>
      <c r="CZ100" s="39"/>
      <c r="DA100" s="28"/>
      <c r="DB100" s="294"/>
    </row>
    <row r="101" spans="2:106" ht="30.75" customHeight="1">
      <c r="C101" s="498"/>
      <c r="D101" s="441"/>
      <c r="E101" s="94" t="s">
        <v>51</v>
      </c>
      <c r="F101" s="57">
        <v>203.13479623824452</v>
      </c>
      <c r="G101" s="46">
        <f t="shared" ref="G101:G111" si="134">F101*4400</f>
        <v>893793.10344827583</v>
      </c>
      <c r="H101" s="45">
        <f>F101*($H$99/$F$99)</f>
        <v>203.13479623824446</v>
      </c>
      <c r="I101" s="46">
        <f t="shared" ref="I101:I111" si="135">H101*4400</f>
        <v>893793.10344827559</v>
      </c>
      <c r="J101" s="9">
        <v>126</v>
      </c>
      <c r="K101" s="10">
        <f t="shared" si="124"/>
        <v>36</v>
      </c>
      <c r="L101" s="21">
        <v>10</v>
      </c>
      <c r="M101" s="21">
        <v>26</v>
      </c>
      <c r="N101" s="42"/>
      <c r="O101" s="288"/>
      <c r="P101" s="288"/>
      <c r="Q101" s="331">
        <v>45654</v>
      </c>
      <c r="R101" s="124"/>
      <c r="S101" s="124"/>
      <c r="T101" s="124"/>
      <c r="U101" s="124"/>
      <c r="V101" s="124"/>
      <c r="W101" s="124"/>
      <c r="X101" s="124"/>
      <c r="Y101" s="124"/>
      <c r="Z101" s="124"/>
      <c r="AA101" s="124"/>
      <c r="AB101" s="124"/>
      <c r="AC101" s="124"/>
      <c r="AD101" s="124"/>
      <c r="AE101" s="328"/>
      <c r="AF101" s="328"/>
      <c r="AG101" s="331"/>
      <c r="AH101" s="331"/>
      <c r="AI101" s="129">
        <f t="shared" si="125"/>
        <v>145.74921630094045</v>
      </c>
      <c r="AJ101" s="129">
        <f t="shared" si="126"/>
        <v>130.27710508688722</v>
      </c>
      <c r="AK101" s="129">
        <f t="shared" si="127"/>
        <v>105.90092953829789</v>
      </c>
      <c r="AL101" s="399">
        <f t="shared" si="128"/>
        <v>145.58744991447344</v>
      </c>
      <c r="AM101" s="393">
        <f t="shared" si="129"/>
        <v>127.30531825303143</v>
      </c>
      <c r="AN101" s="393">
        <f t="shared" si="130"/>
        <v>106.99183862920698</v>
      </c>
      <c r="AO101" s="393">
        <f t="shared" si="131"/>
        <v>94.622072070057527</v>
      </c>
      <c r="AP101" s="96">
        <f t="shared" si="132"/>
        <v>83.323080779502476</v>
      </c>
      <c r="AQ101" s="91">
        <f t="shared" si="133"/>
        <v>67.072297080442922</v>
      </c>
      <c r="AR101" s="198"/>
      <c r="AS101" s="81">
        <f>$H$101*月別販売比率!AG5</f>
        <v>20.313479623824449</v>
      </c>
      <c r="AT101" s="21"/>
      <c r="AU101" s="81">
        <f>$H$101*月別販売比率!AL5</f>
        <v>18.282131661442001</v>
      </c>
      <c r="AV101" s="21"/>
      <c r="AW101" s="245">
        <f>$H$101*月別販売比率!AQ5</f>
        <v>20.313479623824449</v>
      </c>
      <c r="AX101" s="241">
        <v>100</v>
      </c>
      <c r="AY101" s="81">
        <f>$H$101*月別販売比率!AV5</f>
        <v>12.369766559149459</v>
      </c>
      <c r="AZ101" s="21"/>
      <c r="BA101" s="81">
        <f>$H$101*月別販売比率!BA5</f>
        <v>11.298991290555056</v>
      </c>
      <c r="BB101" s="21"/>
      <c r="BC101" s="81">
        <f>$H$101*月別販売比率!BF5</f>
        <v>16.250783699059557</v>
      </c>
      <c r="BD101" s="21"/>
      <c r="BE101" s="81">
        <f>$H$101*月別販売比率!C5</f>
        <v>14.394995210991986</v>
      </c>
      <c r="BF101" s="21"/>
      <c r="BG101" s="81">
        <f>$H$101*月別販売比率!H5</f>
        <v>14.219435736677113</v>
      </c>
      <c r="BH101" s="21"/>
      <c r="BI101" s="81">
        <f>$H$101*月別販売比率!M5</f>
        <v>20.529551897218738</v>
      </c>
      <c r="BJ101" s="21"/>
      <c r="BK101" s="245">
        <f>$H$101*月別販売比率!R5</f>
        <v>16.250783699059557</v>
      </c>
      <c r="BL101" s="241">
        <v>85</v>
      </c>
      <c r="BM101" s="81">
        <f>$H$101*月別販売比率!W5</f>
        <v>15.472111214053221</v>
      </c>
      <c r="BN101" s="21"/>
      <c r="BO101" s="81">
        <f>$H$101*月別販売比率!AB5</f>
        <v>24.376175548589334</v>
      </c>
      <c r="BP101" s="21"/>
      <c r="BQ101" s="245">
        <f>$H$101*月別販売比率!AG5</f>
        <v>20.313479623824449</v>
      </c>
      <c r="BR101" s="241">
        <v>85</v>
      </c>
      <c r="BS101" s="81">
        <f>$H$101*月別販売比率!AL5</f>
        <v>18.282131661442001</v>
      </c>
      <c r="BT101" s="21"/>
      <c r="BU101" s="81">
        <f>$H$101*月別販売比率!AQ5</f>
        <v>20.313479623824449</v>
      </c>
      <c r="BV101" s="21"/>
      <c r="BW101" s="81">
        <f>$H$101*月別販売比率!AV5</f>
        <v>12.369766559149459</v>
      </c>
      <c r="BX101" s="21"/>
      <c r="BY101" s="81">
        <f>$H$101*月別販売比率!BA5</f>
        <v>11.298991290555056</v>
      </c>
      <c r="BZ101" s="21"/>
      <c r="CA101" s="81">
        <f>$H$101*月別販売比率!BF5</f>
        <v>16.250783699059557</v>
      </c>
      <c r="CB101" s="21"/>
      <c r="CC101" s="81">
        <f>H101*月別販売比率!$C$21</f>
        <v>14.394995210991986</v>
      </c>
      <c r="CD101" s="21"/>
      <c r="CE101" s="81">
        <f>H101*月別販売比率!$H$21</f>
        <v>14.219435736677113</v>
      </c>
      <c r="CF101" s="241">
        <v>115</v>
      </c>
      <c r="CG101" s="81">
        <f>H101*月別販売比率!$M$21</f>
        <v>20.529551897218738</v>
      </c>
      <c r="CH101" s="241">
        <v>70</v>
      </c>
      <c r="CI101" s="81">
        <f>H101*月別販売比率!$R$21</f>
        <v>16.250783699059557</v>
      </c>
      <c r="CJ101" s="21"/>
      <c r="CK101" s="81">
        <f>H101*月別販売比率!$W$21</f>
        <v>15.472111214053221</v>
      </c>
      <c r="CL101" s="21"/>
      <c r="CM101" s="81">
        <f>H101*月別販売比率!$AB$21</f>
        <v>24.376175548589334</v>
      </c>
      <c r="CN101" s="21"/>
      <c r="CO101" s="81">
        <f>H101*月別販売比率!$AG$21</f>
        <v>20.313479623824449</v>
      </c>
      <c r="CP101" s="21">
        <v>60</v>
      </c>
      <c r="CQ101" s="81">
        <f>H101*月別販売比率!$AL$21</f>
        <v>18.282131661442001</v>
      </c>
      <c r="CR101" s="21"/>
      <c r="CS101" s="81">
        <f>H101*月別販売比率!$AQ$21</f>
        <v>20.313479623824449</v>
      </c>
      <c r="CT101" s="21"/>
      <c r="CU101" s="81">
        <f>H101*月別販売比率!$AV$21</f>
        <v>12.369766559149459</v>
      </c>
      <c r="CV101" s="21"/>
      <c r="CW101" s="81">
        <f>H101*月別販売比率!$BA$21</f>
        <v>11.298991290555056</v>
      </c>
      <c r="CX101" s="21"/>
      <c r="CY101" s="81">
        <f>H101*月別販売比率!$BF$21</f>
        <v>16.250783699059557</v>
      </c>
      <c r="CZ101" s="21"/>
      <c r="DA101" s="28"/>
      <c r="DB101" s="294"/>
    </row>
    <row r="102" spans="2:106" ht="30.75" customHeight="1">
      <c r="C102" s="498"/>
      <c r="D102" s="441"/>
      <c r="E102" s="94" t="s">
        <v>49</v>
      </c>
      <c r="F102" s="57">
        <v>45.141065830721004</v>
      </c>
      <c r="G102" s="46">
        <f t="shared" si="134"/>
        <v>198620.68965517241</v>
      </c>
      <c r="H102" s="45">
        <f>F102*($H$99/$F$99)</f>
        <v>45.141065830720997</v>
      </c>
      <c r="I102" s="46">
        <f t="shared" si="135"/>
        <v>198620.68965517238</v>
      </c>
      <c r="J102" s="9">
        <v>10</v>
      </c>
      <c r="K102" s="10">
        <f t="shared" si="124"/>
        <v>24</v>
      </c>
      <c r="L102" s="21">
        <v>9</v>
      </c>
      <c r="M102" s="21">
        <v>15</v>
      </c>
      <c r="N102" s="42"/>
      <c r="O102" s="288"/>
      <c r="P102" s="288"/>
      <c r="Q102" s="331">
        <v>45654</v>
      </c>
      <c r="R102" s="124"/>
      <c r="S102" s="124"/>
      <c r="T102" s="124"/>
      <c r="U102" s="124"/>
      <c r="V102" s="124"/>
      <c r="W102" s="124"/>
      <c r="X102" s="124"/>
      <c r="Y102" s="328"/>
      <c r="Z102" s="124"/>
      <c r="AA102" s="331">
        <v>45940</v>
      </c>
      <c r="AB102" s="124"/>
      <c r="AC102" s="124"/>
      <c r="AD102" s="328"/>
      <c r="AE102" s="328"/>
      <c r="AF102" s="328"/>
      <c r="AG102" s="331"/>
      <c r="AH102" s="331"/>
      <c r="AI102" s="129">
        <f t="shared" si="125"/>
        <v>30.388714733542319</v>
      </c>
      <c r="AJ102" s="129">
        <f t="shared" si="126"/>
        <v>26.950467797086048</v>
      </c>
      <c r="AK102" s="129">
        <f t="shared" si="127"/>
        <v>21.533539897399528</v>
      </c>
      <c r="AL102" s="399">
        <f t="shared" si="128"/>
        <v>32.019433314327429</v>
      </c>
      <c r="AM102" s="393">
        <f t="shared" si="129"/>
        <v>27.956737389562541</v>
      </c>
      <c r="AN102" s="393">
        <f t="shared" si="130"/>
        <v>23.442630806490442</v>
      </c>
      <c r="AO102" s="393">
        <f t="shared" si="131"/>
        <v>20.693793793346117</v>
      </c>
      <c r="AP102" s="96">
        <f t="shared" si="132"/>
        <v>18.182906839889437</v>
      </c>
      <c r="AQ102" s="91">
        <f t="shared" si="133"/>
        <v>14.571621573431758</v>
      </c>
      <c r="AR102" s="198"/>
      <c r="AS102" s="81">
        <f>$H$102*月別販売比率!AG5</f>
        <v>4.5141065830720999</v>
      </c>
      <c r="AT102" s="21"/>
      <c r="AU102" s="81">
        <f>$H$102*月別販売比率!AL5</f>
        <v>4.0626959247648893</v>
      </c>
      <c r="AV102" s="21"/>
      <c r="AW102" s="245">
        <f>$H$102*月別販売比率!AQ5</f>
        <v>4.5141065830720999</v>
      </c>
      <c r="AX102" s="241">
        <v>50</v>
      </c>
      <c r="AY102" s="81">
        <f>$H$102*月別販売比率!AV5</f>
        <v>2.7488370131443247</v>
      </c>
      <c r="AZ102" s="21"/>
      <c r="BA102" s="81">
        <f>$H$102*月別販売比率!BA5</f>
        <v>2.5108869534566796</v>
      </c>
      <c r="BB102" s="21"/>
      <c r="BC102" s="81">
        <f>$H$102*月別販売比率!BF5</f>
        <v>3.61128526645768</v>
      </c>
      <c r="BD102" s="21"/>
      <c r="BE102" s="81">
        <f>$H$102*月別販売比率!C5</f>
        <v>3.1988878246648866</v>
      </c>
      <c r="BF102" s="21"/>
      <c r="BG102" s="81">
        <f>$H$102*月別販売比率!H5</f>
        <v>3.1598746081504703</v>
      </c>
      <c r="BH102" s="21"/>
      <c r="BI102" s="81">
        <f>$H$102*月別販売比率!M5</f>
        <v>4.5621226438263873</v>
      </c>
      <c r="BJ102" s="21"/>
      <c r="BK102" s="245">
        <f>$H$102*月別販売比率!R5</f>
        <v>3.61128526645768</v>
      </c>
      <c r="BL102" s="241"/>
      <c r="BM102" s="81">
        <f>$H$102*月別販売比率!W5</f>
        <v>3.438246936456272</v>
      </c>
      <c r="BN102" s="21"/>
      <c r="BO102" s="81">
        <f>$H$102*月別販売比率!AB5</f>
        <v>5.4169278996865193</v>
      </c>
      <c r="BP102" s="21"/>
      <c r="BQ102" s="245">
        <f>$H$102*月別販売比率!AG5</f>
        <v>4.5141065830720999</v>
      </c>
      <c r="BR102" s="241">
        <v>40</v>
      </c>
      <c r="BS102" s="81">
        <f>$H$102*月別販売比率!AL5</f>
        <v>4.0626959247648893</v>
      </c>
      <c r="BT102" s="21"/>
      <c r="BU102" s="81">
        <f>$H$102*月別販売比率!AQ5</f>
        <v>4.5141065830720999</v>
      </c>
      <c r="BV102" s="21"/>
      <c r="BW102" s="81">
        <f>$H$102*月別販売比率!AV5</f>
        <v>2.7488370131443247</v>
      </c>
      <c r="BX102" s="21"/>
      <c r="BY102" s="81">
        <f>$H$102*月別販売比率!BA5</f>
        <v>2.5108869534566796</v>
      </c>
      <c r="BZ102" s="21"/>
      <c r="CA102" s="81">
        <f>$H$102*月別販売比率!BF5</f>
        <v>3.61128526645768</v>
      </c>
      <c r="CB102" s="21"/>
      <c r="CC102" s="81">
        <f>H102*月別販売比率!$C$21</f>
        <v>3.1988878246648866</v>
      </c>
      <c r="CD102" s="21"/>
      <c r="CE102" s="81">
        <f>H102*月別販売比率!$H$21</f>
        <v>3.1598746081504703</v>
      </c>
      <c r="CF102" s="241">
        <v>20</v>
      </c>
      <c r="CG102" s="81">
        <f>H102*月別販売比率!$M$21</f>
        <v>4.5621226438263873</v>
      </c>
      <c r="CH102" s="241">
        <v>20</v>
      </c>
      <c r="CI102" s="81">
        <f>H102*月別販売比率!$R$21</f>
        <v>3.61128526645768</v>
      </c>
      <c r="CJ102" s="21"/>
      <c r="CK102" s="81">
        <f>H102*月別販売比率!$W$21</f>
        <v>3.438246936456272</v>
      </c>
      <c r="CL102" s="21"/>
      <c r="CM102" s="81">
        <f>H102*月別販売比率!$AB$21</f>
        <v>5.4169278996865193</v>
      </c>
      <c r="CN102" s="21"/>
      <c r="CO102" s="81">
        <f>H102*月別販売比率!$AG$21</f>
        <v>4.5141065830720999</v>
      </c>
      <c r="CP102" s="21">
        <v>15</v>
      </c>
      <c r="CQ102" s="81">
        <f>H102*月別販売比率!$AL$21</f>
        <v>4.0626959247648893</v>
      </c>
      <c r="CR102" s="21"/>
      <c r="CS102" s="81">
        <f>H102*月別販売比率!$AQ$21</f>
        <v>4.5141065830720999</v>
      </c>
      <c r="CT102" s="21"/>
      <c r="CU102" s="81">
        <f>H102*月別販売比率!$AV$21</f>
        <v>2.7488370131443247</v>
      </c>
      <c r="CV102" s="21"/>
      <c r="CW102" s="81">
        <f>H102*月別販売比率!$BA$21</f>
        <v>2.5108869534566796</v>
      </c>
      <c r="CX102" s="21"/>
      <c r="CY102" s="81">
        <f>H102*月別販売比率!$BF$21</f>
        <v>3.61128526645768</v>
      </c>
      <c r="CZ102" s="21"/>
      <c r="DA102" s="28"/>
      <c r="DB102" s="294"/>
    </row>
    <row r="103" spans="2:106" ht="30.75" customHeight="1">
      <c r="C103" s="498"/>
      <c r="D103" s="442"/>
      <c r="E103" s="94" t="s">
        <v>50</v>
      </c>
      <c r="F103" s="57">
        <v>20.689655172413794</v>
      </c>
      <c r="G103" s="46">
        <f t="shared" si="134"/>
        <v>91034.482758620696</v>
      </c>
      <c r="H103" s="45">
        <f>F103*($H$99/$F$99)</f>
        <v>20.68965517241379</v>
      </c>
      <c r="I103" s="46">
        <f t="shared" si="135"/>
        <v>91034.482758620681</v>
      </c>
      <c r="J103" s="9">
        <v>0</v>
      </c>
      <c r="K103" s="10">
        <f t="shared" si="124"/>
        <v>25</v>
      </c>
      <c r="L103" s="21">
        <v>10</v>
      </c>
      <c r="M103" s="21">
        <v>15</v>
      </c>
      <c r="N103" s="42"/>
      <c r="O103" s="19"/>
      <c r="P103" s="19"/>
      <c r="Q103" s="330"/>
      <c r="R103" s="124"/>
      <c r="S103" s="124"/>
      <c r="T103" s="124"/>
      <c r="U103" s="124"/>
      <c r="V103" s="124"/>
      <c r="W103" s="124"/>
      <c r="X103" s="124"/>
      <c r="Y103" s="124"/>
      <c r="Z103" s="124"/>
      <c r="AA103" s="124"/>
      <c r="AB103" s="124"/>
      <c r="AC103" s="328"/>
      <c r="AD103" s="328"/>
      <c r="AE103" s="328"/>
      <c r="AF103" s="328"/>
      <c r="AG103" s="331"/>
      <c r="AH103" s="331"/>
      <c r="AI103" s="129">
        <f t="shared" si="125"/>
        <v>23.344827586206897</v>
      </c>
      <c r="AJ103" s="129">
        <f t="shared" si="126"/>
        <v>21.768964406997771</v>
      </c>
      <c r="AK103" s="129">
        <f t="shared" si="127"/>
        <v>19.286205786308116</v>
      </c>
      <c r="AL103" s="399">
        <f t="shared" si="128"/>
        <v>17.217240269066735</v>
      </c>
      <c r="AM103" s="393">
        <f t="shared" si="129"/>
        <v>15.355171303549493</v>
      </c>
      <c r="AN103" s="393">
        <f t="shared" si="130"/>
        <v>13.286205786308114</v>
      </c>
      <c r="AO103" s="393">
        <f t="shared" si="131"/>
        <v>12.026322155283632</v>
      </c>
      <c r="AP103" s="96">
        <f t="shared" si="132"/>
        <v>10.875498968282653</v>
      </c>
      <c r="AQ103" s="91">
        <f t="shared" si="133"/>
        <v>9.2203265544895494</v>
      </c>
      <c r="AR103" s="198"/>
      <c r="AS103" s="81">
        <f>$H$103*月別販売比率!AG5</f>
        <v>2.068965517241379</v>
      </c>
      <c r="AT103" s="21"/>
      <c r="AU103" s="81">
        <f>$H$103*月別販売比率!AL5</f>
        <v>1.8620689655172411</v>
      </c>
      <c r="AV103" s="21"/>
      <c r="AW103" s="245">
        <f>$H$103*月別販売比率!AQ5</f>
        <v>2.068965517241379</v>
      </c>
      <c r="AX103" s="241">
        <v>50</v>
      </c>
      <c r="AY103" s="81">
        <f>$H$103*月別販売比率!AV5</f>
        <v>1.2598836310244821</v>
      </c>
      <c r="AZ103" s="21"/>
      <c r="BA103" s="81">
        <f>$H$103*月別販売比率!BA5</f>
        <v>1.1508231870009782</v>
      </c>
      <c r="BB103" s="21"/>
      <c r="BC103" s="81">
        <f>$H$103*月別販売比率!BF5</f>
        <v>1.6551724137931032</v>
      </c>
      <c r="BD103" s="21"/>
      <c r="BE103" s="81">
        <f>$H$103*月別販売比率!C5</f>
        <v>1.4661569196380728</v>
      </c>
      <c r="BF103" s="21"/>
      <c r="BG103" s="81">
        <f>$H$103*月別販売比率!H5</f>
        <v>1.4482758620689655</v>
      </c>
      <c r="BH103" s="21"/>
      <c r="BI103" s="81">
        <f>$H$103*月別販売比率!M5</f>
        <v>2.0909728784204273</v>
      </c>
      <c r="BJ103" s="21"/>
      <c r="BK103" s="245">
        <f>$H$103*月別販売比率!R5</f>
        <v>1.6551724137931032</v>
      </c>
      <c r="BL103" s="241"/>
      <c r="BM103" s="81">
        <f>$H$103*月別販売比率!W5</f>
        <v>1.5758631792091247</v>
      </c>
      <c r="BN103" s="21"/>
      <c r="BO103" s="81">
        <f>$H$103*月別販売比率!AB5</f>
        <v>2.4827586206896548</v>
      </c>
      <c r="BP103" s="21"/>
      <c r="BQ103" s="245">
        <f>$H$103*月別販売比率!AG5</f>
        <v>2.068965517241379</v>
      </c>
      <c r="BR103" s="241"/>
      <c r="BS103" s="81">
        <f>$H$103*月別販売比率!AL5</f>
        <v>1.8620689655172411</v>
      </c>
      <c r="BT103" s="21"/>
      <c r="BU103" s="81">
        <f>$H$103*月別販売比率!AQ5</f>
        <v>2.068965517241379</v>
      </c>
      <c r="BV103" s="21"/>
      <c r="BW103" s="81">
        <f>$H$103*月別販売比率!AV5</f>
        <v>1.2598836310244821</v>
      </c>
      <c r="BX103" s="21"/>
      <c r="BY103" s="81">
        <f>$H$103*月別販売比率!BA5</f>
        <v>1.1508231870009782</v>
      </c>
      <c r="BZ103" s="21"/>
      <c r="CA103" s="81">
        <f>$H$103*月別販売比率!BF5</f>
        <v>1.6551724137931032</v>
      </c>
      <c r="CB103" s="21"/>
      <c r="CC103" s="81">
        <f>H103*月別販売比率!$C$21</f>
        <v>1.4661569196380728</v>
      </c>
      <c r="CD103" s="21"/>
      <c r="CE103" s="81">
        <f>H103*月別販売比率!$H$21</f>
        <v>1.4482758620689655</v>
      </c>
      <c r="CF103" s="241">
        <v>20</v>
      </c>
      <c r="CG103" s="81">
        <f>H103*月別販売比率!$M$21</f>
        <v>2.0909728784204273</v>
      </c>
      <c r="CH103" s="241">
        <v>10</v>
      </c>
      <c r="CI103" s="81">
        <f>H103*月別販売比率!$R$21</f>
        <v>1.6551724137931032</v>
      </c>
      <c r="CJ103" s="21"/>
      <c r="CK103" s="81">
        <f>H103*月別販売比率!$W$21</f>
        <v>1.5758631792091247</v>
      </c>
      <c r="CL103" s="21"/>
      <c r="CM103" s="81">
        <f>H103*月別販売比率!$AB$21</f>
        <v>2.4827586206896548</v>
      </c>
      <c r="CN103" s="21"/>
      <c r="CO103" s="81">
        <f>H103*月別販売比率!$AG$21</f>
        <v>2.068965517241379</v>
      </c>
      <c r="CP103" s="21"/>
      <c r="CQ103" s="81">
        <f>H103*月別販売比率!$AL$21</f>
        <v>1.8620689655172411</v>
      </c>
      <c r="CR103" s="21"/>
      <c r="CS103" s="81">
        <f>H103*月別販売比率!$AQ$21</f>
        <v>2.068965517241379</v>
      </c>
      <c r="CT103" s="21"/>
      <c r="CU103" s="81">
        <f>H103*月別販売比率!$AV$21</f>
        <v>1.2598836310244821</v>
      </c>
      <c r="CV103" s="21"/>
      <c r="CW103" s="81">
        <f>H103*月別販売比率!$BA$21</f>
        <v>1.1508231870009782</v>
      </c>
      <c r="CX103" s="21"/>
      <c r="CY103" s="81">
        <f>H103*月別販売比率!$BF$21</f>
        <v>1.6551724137931032</v>
      </c>
      <c r="CZ103" s="21"/>
      <c r="DA103" s="28"/>
      <c r="DB103" s="294"/>
    </row>
    <row r="104" spans="2:106" ht="30.75" customHeight="1">
      <c r="C104" s="498"/>
      <c r="D104" s="441">
        <v>2</v>
      </c>
      <c r="E104" s="94" t="s">
        <v>47</v>
      </c>
      <c r="F104" s="57">
        <v>90.282131661442008</v>
      </c>
      <c r="G104" s="46">
        <f t="shared" si="134"/>
        <v>397241.37931034481</v>
      </c>
      <c r="H104" s="45">
        <f>F104*($H$99/$F$99)</f>
        <v>90.282131661441994</v>
      </c>
      <c r="I104" s="46">
        <f t="shared" si="135"/>
        <v>397241.37931034475</v>
      </c>
      <c r="J104" s="9">
        <v>55</v>
      </c>
      <c r="K104" s="10">
        <f t="shared" si="124"/>
        <v>20</v>
      </c>
      <c r="L104" s="21">
        <v>10</v>
      </c>
      <c r="M104" s="21">
        <v>10</v>
      </c>
      <c r="N104" s="42"/>
      <c r="O104" s="288"/>
      <c r="P104" s="288"/>
      <c r="Q104" s="331">
        <v>45654</v>
      </c>
      <c r="R104" s="124"/>
      <c r="S104" s="124"/>
      <c r="T104" s="124"/>
      <c r="U104" s="124"/>
      <c r="V104" s="328"/>
      <c r="W104" s="328"/>
      <c r="X104" s="331">
        <v>45860</v>
      </c>
      <c r="Y104" s="124"/>
      <c r="Z104" s="124"/>
      <c r="AA104" s="331">
        <v>45940</v>
      </c>
      <c r="AB104" s="124"/>
      <c r="AC104" s="328"/>
      <c r="AD104" s="328"/>
      <c r="AE104" s="328"/>
      <c r="AF104" s="328"/>
      <c r="AG104" s="331"/>
      <c r="AH104" s="331"/>
      <c r="AI104" s="129">
        <f t="shared" si="125"/>
        <v>67.777429467084644</v>
      </c>
      <c r="AJ104" s="129">
        <f t="shared" si="126"/>
        <v>60.900935594172097</v>
      </c>
      <c r="AK104" s="129">
        <f t="shared" si="127"/>
        <v>50.067079794799056</v>
      </c>
      <c r="AL104" s="399">
        <f t="shared" si="128"/>
        <v>61.038866628654858</v>
      </c>
      <c r="AM104" s="393">
        <f t="shared" si="129"/>
        <v>52.913474779125082</v>
      </c>
      <c r="AN104" s="393">
        <f t="shared" si="130"/>
        <v>43.885261612980884</v>
      </c>
      <c r="AO104" s="393">
        <f t="shared" si="131"/>
        <v>38.387587586692234</v>
      </c>
      <c r="AP104" s="96">
        <f t="shared" si="132"/>
        <v>33.365813679778874</v>
      </c>
      <c r="AQ104" s="91">
        <f t="shared" si="133"/>
        <v>26.143243146863515</v>
      </c>
      <c r="AR104" s="198"/>
      <c r="AS104" s="81">
        <f>$H$104*月別販売比率!AG5</f>
        <v>9.0282131661441998</v>
      </c>
      <c r="AT104" s="21"/>
      <c r="AU104" s="81">
        <f>$H$104*月別販売比率!AL5</f>
        <v>8.1253918495297786</v>
      </c>
      <c r="AV104" s="21"/>
      <c r="AW104" s="245">
        <f>$H$104*月別販売比率!AQ5</f>
        <v>9.0282131661441998</v>
      </c>
      <c r="AX104" s="241">
        <v>100</v>
      </c>
      <c r="AY104" s="81">
        <f>$H$104*月別販売比率!AV5</f>
        <v>5.4976740262886494</v>
      </c>
      <c r="AZ104" s="21"/>
      <c r="BA104" s="81">
        <f>$H$104*月別販売比率!BA5</f>
        <v>5.0217739069133591</v>
      </c>
      <c r="BB104" s="21"/>
      <c r="BC104" s="81">
        <f>$H$104*月別販売比率!BF5</f>
        <v>7.22257053291536</v>
      </c>
      <c r="BD104" s="21"/>
      <c r="BE104" s="81">
        <f>$H$104*月別販売比率!C5</f>
        <v>6.3977756493297733</v>
      </c>
      <c r="BF104" s="21"/>
      <c r="BG104" s="81">
        <f>$H$104*月別販売比率!H5</f>
        <v>6.3197492163009406</v>
      </c>
      <c r="BH104" s="21"/>
      <c r="BI104" s="81">
        <f>$H$104*月別販売比率!M5</f>
        <v>9.1242452876527746</v>
      </c>
      <c r="BJ104" s="21"/>
      <c r="BK104" s="245">
        <f>$H$104*月別販売比率!R5</f>
        <v>7.22257053291536</v>
      </c>
      <c r="BL104" s="241">
        <v>70</v>
      </c>
      <c r="BM104" s="81">
        <f>$H$104*月別販売比率!W5</f>
        <v>6.876493872912544</v>
      </c>
      <c r="BN104" s="21"/>
      <c r="BO104" s="81">
        <f>$H$104*月別販売比率!AB5</f>
        <v>10.833855799373039</v>
      </c>
      <c r="BP104" s="21"/>
      <c r="BQ104" s="245">
        <f>$H$104*月別販売比率!AG5</f>
        <v>9.0282131661441998</v>
      </c>
      <c r="BR104" s="241">
        <v>60</v>
      </c>
      <c r="BS104" s="81">
        <f>$H$104*月別販売比率!AL5</f>
        <v>8.1253918495297786</v>
      </c>
      <c r="BT104" s="21"/>
      <c r="BU104" s="81">
        <f>$H$104*月別販売比率!AQ5</f>
        <v>9.0282131661441998</v>
      </c>
      <c r="BV104" s="21"/>
      <c r="BW104" s="81">
        <f>$H$104*月別販売比率!AV5</f>
        <v>5.4976740262886494</v>
      </c>
      <c r="BX104" s="21"/>
      <c r="BY104" s="81">
        <f>$H$104*月別販売比率!BA5</f>
        <v>5.0217739069133591</v>
      </c>
      <c r="BZ104" s="21"/>
      <c r="CA104" s="81">
        <f>$H$104*月別販売比率!BF5</f>
        <v>7.22257053291536</v>
      </c>
      <c r="CB104" s="21"/>
      <c r="CC104" s="81">
        <f>H104*月別販売比率!$C$21</f>
        <v>6.3977756493297733</v>
      </c>
      <c r="CD104" s="21"/>
      <c r="CE104" s="81">
        <f>H104*月別販売比率!$H$21</f>
        <v>6.3197492163009406</v>
      </c>
      <c r="CF104" s="241">
        <v>55</v>
      </c>
      <c r="CG104" s="81">
        <f>H104*月別販売比率!$M$21</f>
        <v>9.1242452876527746</v>
      </c>
      <c r="CH104" s="241">
        <v>40</v>
      </c>
      <c r="CI104" s="81">
        <f>H104*月別販売比率!$R$21</f>
        <v>7.22257053291536</v>
      </c>
      <c r="CJ104" s="21"/>
      <c r="CK104" s="81">
        <f>H104*月別販売比率!$W$21</f>
        <v>6.876493872912544</v>
      </c>
      <c r="CL104" s="21"/>
      <c r="CM104" s="81">
        <f>H104*月別販売比率!$AB$21</f>
        <v>10.833855799373039</v>
      </c>
      <c r="CN104" s="21"/>
      <c r="CO104" s="81">
        <f>H104*月別販売比率!$AG$21</f>
        <v>9.0282131661441998</v>
      </c>
      <c r="CP104" s="21">
        <v>20</v>
      </c>
      <c r="CQ104" s="81">
        <f>H104*月別販売比率!$AL$21</f>
        <v>8.1253918495297786</v>
      </c>
      <c r="CR104" s="21"/>
      <c r="CS104" s="81">
        <f>H104*月別販売比率!$AQ$21</f>
        <v>9.0282131661441998</v>
      </c>
      <c r="CT104" s="21"/>
      <c r="CU104" s="81">
        <f>H104*月別販売比率!$AV$21</f>
        <v>5.4976740262886494</v>
      </c>
      <c r="CV104" s="21"/>
      <c r="CW104" s="81">
        <f>H104*月別販売比率!$BA$21</f>
        <v>5.0217739069133591</v>
      </c>
      <c r="CX104" s="21"/>
      <c r="CY104" s="81">
        <f>H104*月別販売比率!$BF$21</f>
        <v>7.22257053291536</v>
      </c>
      <c r="CZ104" s="21"/>
      <c r="DA104" s="28"/>
      <c r="DB104" s="294"/>
    </row>
    <row r="105" spans="2:106" ht="30.75" customHeight="1">
      <c r="C105" s="498"/>
      <c r="D105" s="441"/>
      <c r="E105" s="94" t="s">
        <v>51</v>
      </c>
      <c r="F105" s="57">
        <v>90.282131661442008</v>
      </c>
      <c r="G105" s="46">
        <f t="shared" si="134"/>
        <v>397241.37931034481</v>
      </c>
      <c r="H105" s="45">
        <f>F105*($H$99/$F$99)</f>
        <v>90.282131661441994</v>
      </c>
      <c r="I105" s="46">
        <f t="shared" si="135"/>
        <v>397241.37931034475</v>
      </c>
      <c r="J105" s="9">
        <v>47</v>
      </c>
      <c r="K105" s="10">
        <f t="shared" si="124"/>
        <v>27</v>
      </c>
      <c r="L105" s="21">
        <v>10</v>
      </c>
      <c r="M105" s="21">
        <v>17</v>
      </c>
      <c r="N105" s="42"/>
      <c r="O105" s="288"/>
      <c r="P105" s="288"/>
      <c r="Q105" s="331">
        <v>45654</v>
      </c>
      <c r="R105" s="124"/>
      <c r="S105" s="124"/>
      <c r="T105" s="124"/>
      <c r="U105" s="124"/>
      <c r="V105" s="124"/>
      <c r="W105" s="124"/>
      <c r="X105" s="331">
        <v>45860</v>
      </c>
      <c r="Y105" s="124"/>
      <c r="Z105" s="124"/>
      <c r="AA105" s="331">
        <v>45940</v>
      </c>
      <c r="AB105" s="124"/>
      <c r="AC105" s="328"/>
      <c r="AD105" s="328"/>
      <c r="AE105" s="328"/>
      <c r="AF105" s="328"/>
      <c r="AG105" s="331"/>
      <c r="AH105" s="331"/>
      <c r="AI105" s="129">
        <f t="shared" si="125"/>
        <v>66.777429467084644</v>
      </c>
      <c r="AJ105" s="129">
        <f t="shared" si="126"/>
        <v>59.900935594172097</v>
      </c>
      <c r="AK105" s="129">
        <f t="shared" si="127"/>
        <v>49.067079794799056</v>
      </c>
      <c r="AL105" s="399">
        <f t="shared" si="128"/>
        <v>60.038866628654858</v>
      </c>
      <c r="AM105" s="393">
        <f t="shared" si="129"/>
        <v>51.913474779125082</v>
      </c>
      <c r="AN105" s="393">
        <f t="shared" si="130"/>
        <v>42.885261612980884</v>
      </c>
      <c r="AO105" s="393">
        <f t="shared" si="131"/>
        <v>37.387587586692234</v>
      </c>
      <c r="AP105" s="96">
        <f t="shared" si="132"/>
        <v>32.365813679778874</v>
      </c>
      <c r="AQ105" s="91">
        <f t="shared" si="133"/>
        <v>25.143243146863515</v>
      </c>
      <c r="AR105" s="198"/>
      <c r="AS105" s="81">
        <f>$H$105*月別販売比率!AG5</f>
        <v>9.0282131661441998</v>
      </c>
      <c r="AT105" s="21"/>
      <c r="AU105" s="81">
        <f>$H$105*月別販売比率!AL5</f>
        <v>8.1253918495297786</v>
      </c>
      <c r="AV105" s="21"/>
      <c r="AW105" s="245">
        <f>$H$105*月別販売比率!AQ5</f>
        <v>9.0282131661441998</v>
      </c>
      <c r="AX105" s="241">
        <v>100</v>
      </c>
      <c r="AY105" s="81">
        <f>$H$105*月別販売比率!AV5</f>
        <v>5.4976740262886494</v>
      </c>
      <c r="AZ105" s="21"/>
      <c r="BA105" s="81">
        <f>$H$105*月別販売比率!BA5</f>
        <v>5.0217739069133591</v>
      </c>
      <c r="BB105" s="21"/>
      <c r="BC105" s="81">
        <f>$H$105*月別販売比率!BF5</f>
        <v>7.22257053291536</v>
      </c>
      <c r="BD105" s="21"/>
      <c r="BE105" s="81">
        <f>$H$105*月別販売比率!C5</f>
        <v>6.3977756493297733</v>
      </c>
      <c r="BF105" s="21"/>
      <c r="BG105" s="81">
        <f>$H$105*月別販売比率!H5</f>
        <v>6.3197492163009406</v>
      </c>
      <c r="BH105" s="21"/>
      <c r="BI105" s="81">
        <f>$H$105*月別販売比率!M5</f>
        <v>9.1242452876527746</v>
      </c>
      <c r="BJ105" s="21"/>
      <c r="BK105" s="245">
        <f>$H$105*月別販売比率!R5</f>
        <v>7.22257053291536</v>
      </c>
      <c r="BL105" s="241">
        <v>55</v>
      </c>
      <c r="BM105" s="81">
        <f>$H$105*月別販売比率!W5</f>
        <v>6.876493872912544</v>
      </c>
      <c r="BN105" s="21"/>
      <c r="BO105" s="81">
        <f>$H$105*月別販売比率!AB5</f>
        <v>10.833855799373039</v>
      </c>
      <c r="BP105" s="21"/>
      <c r="BQ105" s="245">
        <f>$H$105*月別販売比率!AG5</f>
        <v>9.0282131661441998</v>
      </c>
      <c r="BR105" s="241">
        <v>50</v>
      </c>
      <c r="BS105" s="81">
        <f>$H$105*月別販売比率!AL5</f>
        <v>8.1253918495297786</v>
      </c>
      <c r="BT105" s="21"/>
      <c r="BU105" s="81">
        <f>$H$105*月別販売比率!AQ5</f>
        <v>9.0282131661441998</v>
      </c>
      <c r="BV105" s="21"/>
      <c r="BW105" s="81">
        <f>$H$105*月別販売比率!AV5</f>
        <v>5.4976740262886494</v>
      </c>
      <c r="BX105" s="21"/>
      <c r="BY105" s="81">
        <f>$H$105*月別販売比率!BA5</f>
        <v>5.0217739069133591</v>
      </c>
      <c r="BZ105" s="21"/>
      <c r="CA105" s="81">
        <f>$H$105*月別販売比率!BF5</f>
        <v>7.22257053291536</v>
      </c>
      <c r="CB105" s="21"/>
      <c r="CC105" s="81">
        <f>H105*月別販売比率!$C$21</f>
        <v>6.3977756493297733</v>
      </c>
      <c r="CD105" s="21"/>
      <c r="CE105" s="81">
        <f>H105*月別販売比率!$H$21</f>
        <v>6.3197492163009406</v>
      </c>
      <c r="CF105" s="241">
        <v>55</v>
      </c>
      <c r="CG105" s="81">
        <f>H105*月別販売比率!$M$21</f>
        <v>9.1242452876527746</v>
      </c>
      <c r="CH105" s="241">
        <v>40</v>
      </c>
      <c r="CI105" s="81">
        <f>H105*月別販売比率!$R$21</f>
        <v>7.22257053291536</v>
      </c>
      <c r="CJ105" s="21"/>
      <c r="CK105" s="81">
        <f>H105*月別販売比率!$W$21</f>
        <v>6.876493872912544</v>
      </c>
      <c r="CL105" s="21"/>
      <c r="CM105" s="81">
        <f>H105*月別販売比率!$AB$21</f>
        <v>10.833855799373039</v>
      </c>
      <c r="CN105" s="21"/>
      <c r="CO105" s="81">
        <f>H105*月別販売比率!$AG$21</f>
        <v>9.0282131661441998</v>
      </c>
      <c r="CP105" s="21">
        <v>20</v>
      </c>
      <c r="CQ105" s="81">
        <f>H105*月別販売比率!$AL$21</f>
        <v>8.1253918495297786</v>
      </c>
      <c r="CR105" s="21"/>
      <c r="CS105" s="81">
        <f>H105*月別販売比率!$AQ$21</f>
        <v>9.0282131661441998</v>
      </c>
      <c r="CT105" s="21"/>
      <c r="CU105" s="81">
        <f>H105*月別販売比率!$AV$21</f>
        <v>5.4976740262886494</v>
      </c>
      <c r="CV105" s="21"/>
      <c r="CW105" s="81">
        <f>H105*月別販売比率!$BA$21</f>
        <v>5.0217739069133591</v>
      </c>
      <c r="CX105" s="21"/>
      <c r="CY105" s="81">
        <f>H105*月別販売比率!$BF$21</f>
        <v>7.22257053291536</v>
      </c>
      <c r="CZ105" s="21"/>
      <c r="DA105" s="28"/>
      <c r="DB105" s="294"/>
    </row>
    <row r="106" spans="2:106" ht="30.75" customHeight="1">
      <c r="C106" s="498"/>
      <c r="D106" s="441"/>
      <c r="E106" s="94" t="s">
        <v>49</v>
      </c>
      <c r="F106" s="57">
        <v>105.32915360501568</v>
      </c>
      <c r="G106" s="46">
        <f t="shared" si="134"/>
        <v>463448.27586206899</v>
      </c>
      <c r="H106" s="45">
        <f>F106*($H$99/$F$99)</f>
        <v>105.32915360501565</v>
      </c>
      <c r="I106" s="46">
        <f t="shared" si="135"/>
        <v>463448.27586206887</v>
      </c>
      <c r="J106" s="9">
        <v>0</v>
      </c>
      <c r="K106" s="10">
        <f t="shared" si="124"/>
        <v>16</v>
      </c>
      <c r="L106" s="21">
        <v>0</v>
      </c>
      <c r="M106" s="21">
        <v>16</v>
      </c>
      <c r="N106" s="42"/>
      <c r="O106" s="19"/>
      <c r="P106" s="19"/>
      <c r="Q106" s="330"/>
      <c r="R106" s="124"/>
      <c r="S106" s="124"/>
      <c r="T106" s="124"/>
      <c r="U106" s="124"/>
      <c r="V106" s="124"/>
      <c r="W106" s="124"/>
      <c r="X106" s="124"/>
      <c r="Y106" s="124"/>
      <c r="Z106" s="124"/>
      <c r="AA106" s="124"/>
      <c r="AB106" s="124"/>
      <c r="AC106" s="124"/>
      <c r="AD106" s="124"/>
      <c r="AE106" s="124"/>
      <c r="AF106" s="124"/>
      <c r="AG106" s="124"/>
      <c r="AH106" s="331"/>
      <c r="AI106" s="129">
        <f t="shared" si="125"/>
        <v>7.5736677115987483</v>
      </c>
      <c r="AJ106" s="129">
        <f t="shared" si="126"/>
        <v>-0.44890847346588458</v>
      </c>
      <c r="AK106" s="129">
        <f t="shared" si="127"/>
        <v>-13.088406906067762</v>
      </c>
      <c r="AL106" s="399">
        <f t="shared" si="128"/>
        <v>-3.6213222665693294</v>
      </c>
      <c r="AM106" s="393">
        <f t="shared" si="129"/>
        <v>-13.100946091020738</v>
      </c>
      <c r="AN106" s="393">
        <f t="shared" si="130"/>
        <v>-23.633861451522304</v>
      </c>
      <c r="AO106" s="393">
        <f t="shared" si="131"/>
        <v>-30.047814482192393</v>
      </c>
      <c r="AP106" s="96">
        <f t="shared" si="132"/>
        <v>-35.906550706924648</v>
      </c>
      <c r="AQ106" s="91">
        <f t="shared" si="133"/>
        <v>-44.332882995325903</v>
      </c>
      <c r="AR106" s="198"/>
      <c r="AS106" s="81">
        <f>$H$106*月別販売比率!AG5</f>
        <v>10.532915360501566</v>
      </c>
      <c r="AT106" s="21"/>
      <c r="AU106" s="81">
        <f>$H$106*月別販売比率!AL5</f>
        <v>9.4796238244514086</v>
      </c>
      <c r="AV106" s="21"/>
      <c r="AW106" s="245">
        <f>$H$106*月別販売比率!AQ5</f>
        <v>10.532915360501566</v>
      </c>
      <c r="AX106" s="241">
        <v>50</v>
      </c>
      <c r="AY106" s="81">
        <f>$H$106*月別販売比率!AV5</f>
        <v>6.4139530306700898</v>
      </c>
      <c r="AZ106" s="21"/>
      <c r="BA106" s="81">
        <f>$H$106*月別販売比率!BA5</f>
        <v>5.8587362247322519</v>
      </c>
      <c r="BB106" s="21"/>
      <c r="BC106" s="81">
        <f>$H$106*月別販売比率!BF5</f>
        <v>8.4263322884012517</v>
      </c>
      <c r="BD106" s="21"/>
      <c r="BE106" s="81">
        <f>$H$106*月別販売比率!C5</f>
        <v>7.4640715908847337</v>
      </c>
      <c r="BF106" s="21"/>
      <c r="BG106" s="81">
        <f>$H$106*月別販売比率!H5</f>
        <v>7.3730407523510957</v>
      </c>
      <c r="BH106" s="21"/>
      <c r="BI106" s="81">
        <f>$H$106*月別販売比率!M5</f>
        <v>10.644952835594902</v>
      </c>
      <c r="BJ106" s="21"/>
      <c r="BK106" s="245">
        <f>$H$106*月別販売比率!R5</f>
        <v>8.4263322884012517</v>
      </c>
      <c r="BL106" s="241">
        <v>55</v>
      </c>
      <c r="BM106" s="81">
        <f>$H$106*月別販売比率!W5</f>
        <v>8.0225761850646329</v>
      </c>
      <c r="BN106" s="21"/>
      <c r="BO106" s="81">
        <f>$H$106*月別販売比率!AB5</f>
        <v>12.639498432601878</v>
      </c>
      <c r="BP106" s="21"/>
      <c r="BQ106" s="245">
        <f>$H$106*月別販売比率!AG5</f>
        <v>10.532915360501566</v>
      </c>
      <c r="BR106" s="241">
        <v>60</v>
      </c>
      <c r="BS106" s="81">
        <f>$H$106*月別販売比率!AL5</f>
        <v>9.4796238244514086</v>
      </c>
      <c r="BT106" s="21"/>
      <c r="BU106" s="81">
        <f>$H$106*月別販売比率!AQ5</f>
        <v>10.532915360501566</v>
      </c>
      <c r="BV106" s="21"/>
      <c r="BW106" s="81">
        <f>$H$106*月別販売比率!AV5</f>
        <v>6.4139530306700898</v>
      </c>
      <c r="BX106" s="21"/>
      <c r="BY106" s="81">
        <f>$H$106*月別販売比率!BA5</f>
        <v>5.8587362247322519</v>
      </c>
      <c r="BZ106" s="21"/>
      <c r="CA106" s="81">
        <f>$H$106*月別販売比率!BF5</f>
        <v>8.4263322884012517</v>
      </c>
      <c r="CB106" s="21"/>
      <c r="CC106" s="81">
        <f>H106*月別販売比率!$C$21</f>
        <v>7.4640715908847337</v>
      </c>
      <c r="CD106" s="21"/>
      <c r="CE106" s="81">
        <f>H106*月別販売比率!$H$21</f>
        <v>7.3730407523510957</v>
      </c>
      <c r="CF106" s="241">
        <v>20</v>
      </c>
      <c r="CG106" s="81">
        <f>H106*月別販売比率!$M$21</f>
        <v>10.644952835594902</v>
      </c>
      <c r="CH106" s="241"/>
      <c r="CI106" s="81">
        <f>H106*月別販売比率!$R$21</f>
        <v>8.4263322884012517</v>
      </c>
      <c r="CJ106" s="21"/>
      <c r="CK106" s="81">
        <f>H106*月別販売比率!$W$21</f>
        <v>8.0225761850646329</v>
      </c>
      <c r="CL106" s="21"/>
      <c r="CM106" s="81">
        <f>H106*月別販売比率!$AB$21</f>
        <v>12.639498432601878</v>
      </c>
      <c r="CN106" s="21"/>
      <c r="CO106" s="81">
        <f>H106*月別販売比率!$AG$21</f>
        <v>10.532915360501566</v>
      </c>
      <c r="CP106" s="21">
        <v>20</v>
      </c>
      <c r="CQ106" s="81">
        <f>H106*月別販売比率!$AL$21</f>
        <v>9.4796238244514086</v>
      </c>
      <c r="CR106" s="21"/>
      <c r="CS106" s="81">
        <f>H106*月別販売比率!$AQ$21</f>
        <v>10.532915360501566</v>
      </c>
      <c r="CT106" s="21"/>
      <c r="CU106" s="81">
        <f>H106*月別販売比率!$AV$21</f>
        <v>6.4139530306700898</v>
      </c>
      <c r="CV106" s="21"/>
      <c r="CW106" s="81">
        <f>H106*月別販売比率!$BA$21</f>
        <v>5.8587362247322519</v>
      </c>
      <c r="CX106" s="21"/>
      <c r="CY106" s="81">
        <f>H106*月別販売比率!$BF$21</f>
        <v>8.4263322884012517</v>
      </c>
      <c r="CZ106" s="21"/>
      <c r="DA106" s="28"/>
      <c r="DB106" s="294"/>
    </row>
    <row r="107" spans="2:106" ht="30.75" customHeight="1">
      <c r="C107" s="498"/>
      <c r="D107" s="442"/>
      <c r="E107" s="94" t="s">
        <v>50</v>
      </c>
      <c r="F107" s="57">
        <v>47.021943573667706</v>
      </c>
      <c r="G107" s="46">
        <f t="shared" si="134"/>
        <v>206896.55172413791</v>
      </c>
      <c r="H107" s="45">
        <f>F107*($H$99/$F$99)</f>
        <v>47.021943573667699</v>
      </c>
      <c r="I107" s="46">
        <f t="shared" si="135"/>
        <v>206896.55172413788</v>
      </c>
      <c r="J107" s="9">
        <v>0</v>
      </c>
      <c r="K107" s="10">
        <f t="shared" si="124"/>
        <v>12</v>
      </c>
      <c r="L107" s="21">
        <v>5</v>
      </c>
      <c r="M107" s="21">
        <v>7</v>
      </c>
      <c r="N107" s="42"/>
      <c r="O107" s="19"/>
      <c r="P107" s="19"/>
      <c r="Q107" s="330"/>
      <c r="R107" s="124"/>
      <c r="S107" s="124"/>
      <c r="T107" s="124"/>
      <c r="U107" s="124"/>
      <c r="V107" s="124"/>
      <c r="W107" s="124"/>
      <c r="X107" s="124"/>
      <c r="Y107" s="124"/>
      <c r="Z107" s="124"/>
      <c r="AA107" s="124"/>
      <c r="AB107" s="124"/>
      <c r="AC107" s="124"/>
      <c r="AD107" s="124"/>
      <c r="AE107" s="124"/>
      <c r="AF107" s="124"/>
      <c r="AG107" s="124"/>
      <c r="AH107" s="331"/>
      <c r="AI107" s="129">
        <f t="shared" si="125"/>
        <v>8.238244514106583</v>
      </c>
      <c r="AJ107" s="129">
        <f t="shared" si="126"/>
        <v>4.6567372886312999</v>
      </c>
      <c r="AK107" s="129">
        <f t="shared" si="127"/>
        <v>-0.98589594020882387</v>
      </c>
      <c r="AL107" s="399">
        <f t="shared" si="128"/>
        <v>-5.6880902975755943</v>
      </c>
      <c r="AM107" s="393">
        <f t="shared" si="129"/>
        <v>-9.9200652192056857</v>
      </c>
      <c r="AN107" s="393">
        <f t="shared" si="130"/>
        <v>-14.622259576572457</v>
      </c>
      <c r="AO107" s="393">
        <f t="shared" si="131"/>
        <v>-17.485631465264461</v>
      </c>
      <c r="AP107" s="96">
        <f t="shared" si="132"/>
        <v>-20.101138708448502</v>
      </c>
      <c r="AQ107" s="91">
        <f t="shared" si="133"/>
        <v>-23.862894194341919</v>
      </c>
      <c r="AR107" s="198"/>
      <c r="AS107" s="81">
        <f>$H$107*月別販売比率!AG5</f>
        <v>4.7021943573667704</v>
      </c>
      <c r="AT107" s="21"/>
      <c r="AU107" s="81">
        <f>$H$107*月別販売比率!AL5</f>
        <v>4.2319749216300924</v>
      </c>
      <c r="AV107" s="21"/>
      <c r="AW107" s="245">
        <f>$H$107*月別販売比率!AQ5</f>
        <v>4.7021943573667704</v>
      </c>
      <c r="AX107" s="241">
        <v>50</v>
      </c>
      <c r="AY107" s="81">
        <f>$H$107*月別販売比率!AV5</f>
        <v>2.8633718886920043</v>
      </c>
      <c r="AZ107" s="21"/>
      <c r="BA107" s="81">
        <f>$H$107*月別販売比率!BA5</f>
        <v>2.6155072431840409</v>
      </c>
      <c r="BB107" s="21"/>
      <c r="BC107" s="81">
        <f>$H$107*月別販売比率!BF5</f>
        <v>3.7617554858934161</v>
      </c>
      <c r="BD107" s="21"/>
      <c r="BE107" s="81">
        <f>$H$107*月別販売比率!C5</f>
        <v>3.332174817359256</v>
      </c>
      <c r="BF107" s="21"/>
      <c r="BG107" s="81">
        <f>$H$107*月別販売比率!H5</f>
        <v>3.291536050156739</v>
      </c>
      <c r="BH107" s="21"/>
      <c r="BI107" s="81">
        <f>$H$107*月別販売比率!M5</f>
        <v>4.7522110873191528</v>
      </c>
      <c r="BJ107" s="21"/>
      <c r="BK107" s="245">
        <f>$H$107*月別販売比率!R5</f>
        <v>3.7617554858934161</v>
      </c>
      <c r="BL107" s="241">
        <v>20</v>
      </c>
      <c r="BM107" s="81">
        <f>$H$107*月別販売比率!W5</f>
        <v>3.5815072254752827</v>
      </c>
      <c r="BN107" s="21"/>
      <c r="BO107" s="81">
        <f>$H$107*月別販売比率!AB5</f>
        <v>5.6426332288401237</v>
      </c>
      <c r="BP107" s="21"/>
      <c r="BQ107" s="245">
        <f>$H$107*月別販売比率!AG5</f>
        <v>4.7021943573667704</v>
      </c>
      <c r="BR107" s="241">
        <v>30</v>
      </c>
      <c r="BS107" s="81">
        <f>$H$107*月別販売比率!AL5</f>
        <v>4.2319749216300924</v>
      </c>
      <c r="BT107" s="21"/>
      <c r="BU107" s="81">
        <f>$H$107*月別販売比率!AQ5</f>
        <v>4.7021943573667704</v>
      </c>
      <c r="BV107" s="21"/>
      <c r="BW107" s="81">
        <f>$H$107*月別販売比率!AV5</f>
        <v>2.8633718886920043</v>
      </c>
      <c r="BX107" s="21"/>
      <c r="BY107" s="81">
        <f>$H$107*月別販売比率!BA5</f>
        <v>2.6155072431840409</v>
      </c>
      <c r="BZ107" s="21"/>
      <c r="CA107" s="81">
        <f>$H$107*月別販売比率!BF5</f>
        <v>3.7617554858934161</v>
      </c>
      <c r="CB107" s="21"/>
      <c r="CC107" s="81">
        <f>H107*月別販売比率!$C$21</f>
        <v>3.332174817359256</v>
      </c>
      <c r="CD107" s="21"/>
      <c r="CE107" s="81">
        <f>H107*月別販売比率!$H$21</f>
        <v>3.291536050156739</v>
      </c>
      <c r="CF107" s="241">
        <v>15</v>
      </c>
      <c r="CG107" s="81">
        <f>H107*月別販売比率!$M$21</f>
        <v>4.7522110873191528</v>
      </c>
      <c r="CH107" s="241"/>
      <c r="CI107" s="81">
        <f>H107*月別販売比率!$R$21</f>
        <v>3.7617554858934161</v>
      </c>
      <c r="CJ107" s="21"/>
      <c r="CK107" s="81">
        <f>H107*月別販売比率!$W$21</f>
        <v>3.5815072254752827</v>
      </c>
      <c r="CL107" s="21"/>
      <c r="CM107" s="81">
        <f>H107*月別販売比率!$AB$21</f>
        <v>5.6426332288401237</v>
      </c>
      <c r="CN107" s="21"/>
      <c r="CO107" s="81">
        <f>H107*月別販売比率!$AG$21</f>
        <v>4.7021943573667704</v>
      </c>
      <c r="CP107" s="21"/>
      <c r="CQ107" s="81">
        <f>H107*月別販売比率!$AL$21</f>
        <v>4.2319749216300924</v>
      </c>
      <c r="CR107" s="21"/>
      <c r="CS107" s="81">
        <f>H107*月別販売比率!$AQ$21</f>
        <v>4.7021943573667704</v>
      </c>
      <c r="CT107" s="21"/>
      <c r="CU107" s="81">
        <f>H107*月別販売比率!$AV$21</f>
        <v>2.8633718886920043</v>
      </c>
      <c r="CV107" s="21"/>
      <c r="CW107" s="81">
        <f>H107*月別販売比率!$BA$21</f>
        <v>2.6155072431840409</v>
      </c>
      <c r="CX107" s="21"/>
      <c r="CY107" s="81">
        <f>H107*月別販売比率!$BF$21</f>
        <v>3.7617554858934161</v>
      </c>
      <c r="CZ107" s="21"/>
      <c r="DA107" s="28"/>
      <c r="DB107" s="294"/>
    </row>
    <row r="108" spans="2:106" ht="30.75" customHeight="1">
      <c r="C108" s="498"/>
      <c r="D108" s="441">
        <v>3</v>
      </c>
      <c r="E108" s="94" t="s">
        <v>47</v>
      </c>
      <c r="F108" s="57">
        <v>112.85266457680251</v>
      </c>
      <c r="G108" s="46">
        <f t="shared" si="134"/>
        <v>496551.72413793107</v>
      </c>
      <c r="H108" s="45">
        <f>F108*($H$99/$F$99)</f>
        <v>112.85266457680248</v>
      </c>
      <c r="I108" s="46">
        <f t="shared" si="135"/>
        <v>496551.7241379309</v>
      </c>
      <c r="J108" s="9">
        <v>63</v>
      </c>
      <c r="K108" s="10">
        <f t="shared" si="124"/>
        <v>34</v>
      </c>
      <c r="L108" s="21">
        <v>10</v>
      </c>
      <c r="M108" s="21">
        <v>24</v>
      </c>
      <c r="N108" s="42"/>
      <c r="O108" s="288"/>
      <c r="P108" s="288"/>
      <c r="Q108" s="331"/>
      <c r="R108" s="328"/>
      <c r="S108" s="328"/>
      <c r="T108" s="328"/>
      <c r="U108" s="328"/>
      <c r="V108" s="328"/>
      <c r="W108" s="328"/>
      <c r="X108" s="331">
        <v>45860</v>
      </c>
      <c r="Y108" s="124"/>
      <c r="Z108" s="124"/>
      <c r="AA108" s="331">
        <v>45940</v>
      </c>
      <c r="AB108" s="124"/>
      <c r="AC108" s="124"/>
      <c r="AD108" s="328"/>
      <c r="AE108" s="328"/>
      <c r="AF108" s="328"/>
      <c r="AG108" s="331"/>
      <c r="AH108" s="331"/>
      <c r="AI108" s="129">
        <f t="shared" si="125"/>
        <v>87.971786833855802</v>
      </c>
      <c r="AJ108" s="129">
        <f t="shared" si="126"/>
        <v>79.376169492715121</v>
      </c>
      <c r="AK108" s="129">
        <f t="shared" si="127"/>
        <v>65.833849743498831</v>
      </c>
      <c r="AL108" s="399">
        <f t="shared" si="128"/>
        <v>89.54858328581858</v>
      </c>
      <c r="AM108" s="393">
        <f t="shared" si="129"/>
        <v>79.391843473906363</v>
      </c>
      <c r="AN108" s="393">
        <f t="shared" si="130"/>
        <v>68.106577016226112</v>
      </c>
      <c r="AO108" s="393">
        <f t="shared" si="131"/>
        <v>61.2344844833653</v>
      </c>
      <c r="AP108" s="96">
        <f t="shared" si="132"/>
        <v>54.957267099723602</v>
      </c>
      <c r="AQ108" s="91">
        <f t="shared" si="133"/>
        <v>45.929053933579404</v>
      </c>
      <c r="AR108" s="198"/>
      <c r="AS108" s="81">
        <f>$H$108*月別販売比率!AG5</f>
        <v>11.285266457680249</v>
      </c>
      <c r="AT108" s="21"/>
      <c r="AU108" s="81">
        <f>$H$108*月別販売比率!AL5</f>
        <v>10.156739811912223</v>
      </c>
      <c r="AV108" s="21"/>
      <c r="AW108" s="245">
        <f>$H$108*月別販売比率!AQ5</f>
        <v>11.285266457680249</v>
      </c>
      <c r="AX108" s="241"/>
      <c r="AY108" s="81">
        <f>$H$108*月別販売比率!AV5</f>
        <v>6.8720925328608109</v>
      </c>
      <c r="AZ108" s="21"/>
      <c r="BA108" s="81">
        <f>$H$108*月別販売比率!BA5</f>
        <v>6.2772173836416982</v>
      </c>
      <c r="BB108" s="21"/>
      <c r="BC108" s="81">
        <f>$H$108*月別販売比率!BF5</f>
        <v>9.028213166144198</v>
      </c>
      <c r="BD108" s="21"/>
      <c r="BE108" s="81">
        <f>$H$108*月別販売比率!C5</f>
        <v>7.9972195616622157</v>
      </c>
      <c r="BF108" s="21"/>
      <c r="BG108" s="81">
        <f>$H$108*月別販売比率!H5</f>
        <v>7.8996865203761741</v>
      </c>
      <c r="BH108" s="21"/>
      <c r="BI108" s="81">
        <f>$H$108*月別販売比率!M5</f>
        <v>11.405306609565967</v>
      </c>
      <c r="BJ108" s="21"/>
      <c r="BK108" s="245">
        <f>$H$108*月別販売比率!R5</f>
        <v>9.028213166144198</v>
      </c>
      <c r="BL108" s="241">
        <v>60</v>
      </c>
      <c r="BM108" s="81">
        <f>$H$108*月別販売比率!W5</f>
        <v>8.5956173411406791</v>
      </c>
      <c r="BN108" s="21"/>
      <c r="BO108" s="81">
        <f>$H$108*月別販売比率!AB5</f>
        <v>13.542319749216297</v>
      </c>
      <c r="BP108" s="21"/>
      <c r="BQ108" s="245">
        <f>$H$108*月別販売比率!AG5</f>
        <v>11.285266457680249</v>
      </c>
      <c r="BR108" s="241">
        <v>55</v>
      </c>
      <c r="BS108" s="81">
        <f>$H$108*月別販売比率!AL5</f>
        <v>10.156739811912223</v>
      </c>
      <c r="BT108" s="21"/>
      <c r="BU108" s="81">
        <f>$H$108*月別販売比率!AQ5</f>
        <v>11.285266457680249</v>
      </c>
      <c r="BV108" s="21"/>
      <c r="BW108" s="81">
        <f>$H$108*月別販売比率!AV5</f>
        <v>6.8720925328608109</v>
      </c>
      <c r="BX108" s="21"/>
      <c r="BY108" s="81">
        <f>$H$108*月別販売比率!BA5</f>
        <v>6.2772173836416982</v>
      </c>
      <c r="BZ108" s="21"/>
      <c r="CA108" s="81">
        <f>$H$108*月別販売比率!BF5</f>
        <v>9.028213166144198</v>
      </c>
      <c r="CB108" s="21"/>
      <c r="CC108" s="81">
        <f>H108*月別販売比率!$C$21</f>
        <v>7.9972195616622157</v>
      </c>
      <c r="CD108" s="21"/>
      <c r="CE108" s="81">
        <f>H108*月別販売比率!$H$21</f>
        <v>7.8996865203761741</v>
      </c>
      <c r="CF108" s="241">
        <v>70</v>
      </c>
      <c r="CG108" s="81">
        <f>H108*月別販売比率!$M$21</f>
        <v>11.405306609565967</v>
      </c>
      <c r="CH108" s="241">
        <v>40</v>
      </c>
      <c r="CI108" s="81">
        <f>H108*月別販売比率!$R$21</f>
        <v>9.028213166144198</v>
      </c>
      <c r="CJ108" s="21"/>
      <c r="CK108" s="81">
        <f>H108*月別販売比率!$W$21</f>
        <v>8.5956173411406791</v>
      </c>
      <c r="CL108" s="21"/>
      <c r="CM108" s="81">
        <f>H108*月別販売比率!$AB$21</f>
        <v>13.542319749216297</v>
      </c>
      <c r="CN108" s="21"/>
      <c r="CO108" s="81">
        <f>H108*月別販売比率!$AG$21</f>
        <v>11.285266457680249</v>
      </c>
      <c r="CP108" s="21">
        <v>35</v>
      </c>
      <c r="CQ108" s="81">
        <f>H108*月別販売比率!$AL$21</f>
        <v>10.156739811912223</v>
      </c>
      <c r="CR108" s="21"/>
      <c r="CS108" s="81">
        <f>H108*月別販売比率!$AQ$21</f>
        <v>11.285266457680249</v>
      </c>
      <c r="CT108" s="21"/>
      <c r="CU108" s="81">
        <f>H108*月別販売比率!$AV$21</f>
        <v>6.8720925328608109</v>
      </c>
      <c r="CV108" s="21"/>
      <c r="CW108" s="81">
        <f>H108*月別販売比率!$BA$21</f>
        <v>6.2772173836416982</v>
      </c>
      <c r="CX108" s="21"/>
      <c r="CY108" s="81">
        <f>H108*月別販売比率!$BF$21</f>
        <v>9.028213166144198</v>
      </c>
      <c r="CZ108" s="21"/>
      <c r="DA108" s="28"/>
      <c r="DB108" s="294"/>
    </row>
    <row r="109" spans="2:106" ht="30.75" customHeight="1">
      <c r="C109" s="498"/>
      <c r="D109" s="441"/>
      <c r="E109" s="94" t="s">
        <v>51</v>
      </c>
      <c r="F109" s="57">
        <v>122.25705329153604</v>
      </c>
      <c r="G109" s="46">
        <f t="shared" si="134"/>
        <v>537931.03448275861</v>
      </c>
      <c r="H109" s="45">
        <f>F109*($H$99/$F$99)</f>
        <v>122.25705329153601</v>
      </c>
      <c r="I109" s="46">
        <f t="shared" si="135"/>
        <v>537931.03448275849</v>
      </c>
      <c r="J109" s="9">
        <v>8</v>
      </c>
      <c r="K109" s="10">
        <f t="shared" si="124"/>
        <v>33</v>
      </c>
      <c r="L109" s="21">
        <v>9</v>
      </c>
      <c r="M109" s="21">
        <v>24</v>
      </c>
      <c r="N109" s="42"/>
      <c r="O109" s="288"/>
      <c r="P109" s="288"/>
      <c r="Q109" s="331"/>
      <c r="R109" s="328"/>
      <c r="S109" s="328"/>
      <c r="T109" s="328"/>
      <c r="U109" s="328"/>
      <c r="V109" s="328"/>
      <c r="W109" s="328"/>
      <c r="X109" s="331">
        <v>45860</v>
      </c>
      <c r="Y109" s="124"/>
      <c r="Z109" s="124"/>
      <c r="AA109" s="124"/>
      <c r="AB109" s="124"/>
      <c r="AC109" s="124"/>
      <c r="AD109" s="124"/>
      <c r="AE109" s="124"/>
      <c r="AF109" s="328"/>
      <c r="AG109" s="331"/>
      <c r="AH109" s="331"/>
      <c r="AI109" s="129">
        <f t="shared" si="125"/>
        <v>31.21943573667712</v>
      </c>
      <c r="AJ109" s="129">
        <f t="shared" si="126"/>
        <v>21.907516950441384</v>
      </c>
      <c r="AK109" s="129">
        <f t="shared" si="127"/>
        <v>7.2366705554570636</v>
      </c>
      <c r="AL109" s="399">
        <f t="shared" si="128"/>
        <v>35.010965226303462</v>
      </c>
      <c r="AM109" s="393">
        <f t="shared" si="129"/>
        <v>24.007830430065219</v>
      </c>
      <c r="AN109" s="393">
        <f t="shared" si="130"/>
        <v>11.782125100911617</v>
      </c>
      <c r="AO109" s="393">
        <f t="shared" si="131"/>
        <v>4.3373581903124068</v>
      </c>
      <c r="AP109" s="96">
        <f t="shared" si="132"/>
        <v>-2.4629606419660988</v>
      </c>
      <c r="AQ109" s="91">
        <f t="shared" si="133"/>
        <v>-12.243524905288981</v>
      </c>
      <c r="AR109" s="198"/>
      <c r="AS109" s="81">
        <f>$H$109*月別販売比率!AG5</f>
        <v>12.225705329153602</v>
      </c>
      <c r="AT109" s="21"/>
      <c r="AU109" s="81">
        <f>$H$109*月別販売比率!AL5</f>
        <v>11.003134796238241</v>
      </c>
      <c r="AV109" s="21"/>
      <c r="AW109" s="245">
        <f>$H$109*月別販売比率!AQ5</f>
        <v>12.225705329153602</v>
      </c>
      <c r="AX109" s="241"/>
      <c r="AY109" s="81">
        <f>$H$109*月別販売比率!AV5</f>
        <v>7.4447669105992107</v>
      </c>
      <c r="AZ109" s="21"/>
      <c r="BA109" s="81">
        <f>$H$109*月別販売比率!BA5</f>
        <v>6.8003188322785055</v>
      </c>
      <c r="BB109" s="21"/>
      <c r="BC109" s="81">
        <f>$H$109*月別販売比率!BF5</f>
        <v>9.7805642633228818</v>
      </c>
      <c r="BD109" s="21"/>
      <c r="BE109" s="81">
        <f>$H$109*月別販売比率!C5</f>
        <v>8.6636545251340653</v>
      </c>
      <c r="BF109" s="21"/>
      <c r="BG109" s="81">
        <f>$H$109*月別販売比率!H5</f>
        <v>8.5579937304075209</v>
      </c>
      <c r="BH109" s="21"/>
      <c r="BI109" s="81">
        <f>$H$109*月別販売比率!M5</f>
        <v>12.355748827029796</v>
      </c>
      <c r="BJ109" s="21"/>
      <c r="BK109" s="245">
        <f>$H$109*月別販売比率!R5</f>
        <v>9.7805642633228818</v>
      </c>
      <c r="BL109" s="241">
        <v>60</v>
      </c>
      <c r="BM109" s="81">
        <f>$H$109*月別販売比率!W5</f>
        <v>9.3119187862357347</v>
      </c>
      <c r="BN109" s="21"/>
      <c r="BO109" s="81">
        <f>$H$109*月別販売比率!AB5</f>
        <v>14.67084639498432</v>
      </c>
      <c r="BP109" s="21"/>
      <c r="BQ109" s="245">
        <f>$H$109*月別販売比率!AG5</f>
        <v>12.225705329153602</v>
      </c>
      <c r="BR109" s="241">
        <v>80</v>
      </c>
      <c r="BS109" s="81">
        <f>$H$109*月別販売比率!AL5</f>
        <v>11.003134796238241</v>
      </c>
      <c r="BT109" s="21"/>
      <c r="BU109" s="81">
        <f>$H$109*月別販売比率!AQ5</f>
        <v>12.225705329153602</v>
      </c>
      <c r="BV109" s="21"/>
      <c r="BW109" s="81">
        <f>$H$109*月別販売比率!AV5</f>
        <v>7.4447669105992107</v>
      </c>
      <c r="BX109" s="21"/>
      <c r="BY109" s="81">
        <f>$H$109*月別販売比率!BA5</f>
        <v>6.8003188322785055</v>
      </c>
      <c r="BZ109" s="21"/>
      <c r="CA109" s="81">
        <f>$H$109*月別販売比率!BF5</f>
        <v>9.7805642633228818</v>
      </c>
      <c r="CB109" s="21"/>
      <c r="CC109" s="81">
        <f>H109*月別販売比率!$C$21</f>
        <v>8.6636545251340653</v>
      </c>
      <c r="CD109" s="21"/>
      <c r="CE109" s="81">
        <f>H109*月別販売比率!$H$21</f>
        <v>8.5579937304075209</v>
      </c>
      <c r="CF109" s="241">
        <v>40</v>
      </c>
      <c r="CG109" s="81">
        <f>H109*月別販売比率!$M$21</f>
        <v>12.355748827029796</v>
      </c>
      <c r="CH109" s="241">
        <v>10</v>
      </c>
      <c r="CI109" s="81">
        <f>H109*月別販売比率!$R$21</f>
        <v>9.7805642633228818</v>
      </c>
      <c r="CJ109" s="21"/>
      <c r="CK109" s="81">
        <f>H109*月別販売比率!$W$21</f>
        <v>9.3119187862357347</v>
      </c>
      <c r="CL109" s="21"/>
      <c r="CM109" s="81">
        <f>H109*月別販売比率!$AB$21</f>
        <v>14.67084639498432</v>
      </c>
      <c r="CN109" s="21"/>
      <c r="CO109" s="81">
        <f>H109*月別販売比率!$AG$21</f>
        <v>12.225705329153602</v>
      </c>
      <c r="CP109" s="21">
        <v>40</v>
      </c>
      <c r="CQ109" s="81">
        <f>H109*月別販売比率!$AL$21</f>
        <v>11.003134796238241</v>
      </c>
      <c r="CR109" s="21"/>
      <c r="CS109" s="81">
        <f>H109*月別販売比率!$AQ$21</f>
        <v>12.225705329153602</v>
      </c>
      <c r="CT109" s="21"/>
      <c r="CU109" s="81">
        <f>H109*月別販売比率!$AV$21</f>
        <v>7.4447669105992107</v>
      </c>
      <c r="CV109" s="21"/>
      <c r="CW109" s="81">
        <f>H109*月別販売比率!$BA$21</f>
        <v>6.8003188322785055</v>
      </c>
      <c r="CX109" s="21"/>
      <c r="CY109" s="81">
        <f>H109*月別販売比率!$BF$21</f>
        <v>9.7805642633228818</v>
      </c>
      <c r="CZ109" s="21"/>
      <c r="DA109" s="28"/>
      <c r="DB109" s="294"/>
    </row>
    <row r="110" spans="2:106" ht="30.75" customHeight="1">
      <c r="C110" s="498"/>
      <c r="D110" s="441"/>
      <c r="E110" s="94" t="s">
        <v>49</v>
      </c>
      <c r="F110" s="56">
        <v>105.32915360501568</v>
      </c>
      <c r="G110" s="46">
        <f t="shared" si="134"/>
        <v>463448.27586206899</v>
      </c>
      <c r="H110" s="45">
        <f>F110*($H$99/$F$99)</f>
        <v>105.32915360501565</v>
      </c>
      <c r="I110" s="46">
        <f t="shared" si="135"/>
        <v>463448.27586206887</v>
      </c>
      <c r="J110" s="49">
        <v>0</v>
      </c>
      <c r="K110" s="40">
        <f t="shared" si="124"/>
        <v>36</v>
      </c>
      <c r="L110" s="39">
        <v>9</v>
      </c>
      <c r="M110" s="39">
        <v>27</v>
      </c>
      <c r="N110" s="42"/>
      <c r="O110" s="43"/>
      <c r="P110" s="43"/>
      <c r="Q110" s="335"/>
      <c r="R110" s="129"/>
      <c r="S110" s="129"/>
      <c r="T110" s="345"/>
      <c r="U110" s="345"/>
      <c r="V110" s="328"/>
      <c r="W110" s="328"/>
      <c r="X110" s="331">
        <v>45860</v>
      </c>
      <c r="Y110" s="124"/>
      <c r="Z110" s="124"/>
      <c r="AA110" s="124"/>
      <c r="AB110" s="124"/>
      <c r="AC110" s="124"/>
      <c r="AD110" s="124"/>
      <c r="AE110" s="124"/>
      <c r="AF110" s="328"/>
      <c r="AG110" s="124"/>
      <c r="AH110" s="331"/>
      <c r="AI110" s="129">
        <f t="shared" si="125"/>
        <v>27.573667711598748</v>
      </c>
      <c r="AJ110" s="129">
        <f t="shared" si="126"/>
        <v>19.551091526534115</v>
      </c>
      <c r="AK110" s="129">
        <f t="shared" si="127"/>
        <v>6.9115930939322379</v>
      </c>
      <c r="AL110" s="399">
        <f t="shared" si="128"/>
        <v>16.378677733430671</v>
      </c>
      <c r="AM110" s="393">
        <f t="shared" si="129"/>
        <v>6.899053908979262</v>
      </c>
      <c r="AN110" s="393">
        <f t="shared" si="130"/>
        <v>-3.6338614515223036</v>
      </c>
      <c r="AO110" s="393">
        <f t="shared" si="131"/>
        <v>-10.047814482192393</v>
      </c>
      <c r="AP110" s="96">
        <f t="shared" si="132"/>
        <v>-15.906550706924644</v>
      </c>
      <c r="AQ110" s="91">
        <f t="shared" si="133"/>
        <v>-24.332882995325896</v>
      </c>
      <c r="AR110" s="198"/>
      <c r="AS110" s="81">
        <f>$H$110*月別販売比率!AG5</f>
        <v>10.532915360501566</v>
      </c>
      <c r="AT110" s="21"/>
      <c r="AU110" s="81">
        <f>$H$110*月別販売比率!AL5</f>
        <v>9.4796238244514086</v>
      </c>
      <c r="AV110" s="21"/>
      <c r="AW110" s="245">
        <f>$H$110*月別販売比率!AQ5</f>
        <v>10.532915360501566</v>
      </c>
      <c r="AX110" s="241"/>
      <c r="AY110" s="81">
        <f>$H$110*月別販売比率!AV5</f>
        <v>6.4139530306700898</v>
      </c>
      <c r="AZ110" s="21"/>
      <c r="BA110" s="81">
        <f>$H$110*月別販売比率!BA5</f>
        <v>5.8587362247322519</v>
      </c>
      <c r="BB110" s="21"/>
      <c r="BC110" s="81">
        <f>$H$110*月別販売比率!BF5</f>
        <v>8.4263322884012517</v>
      </c>
      <c r="BD110" s="21"/>
      <c r="BE110" s="81">
        <f>$H$110*月別販売比率!C5</f>
        <v>7.4640715908847337</v>
      </c>
      <c r="BF110" s="21"/>
      <c r="BG110" s="81">
        <f>$H$110*月別販売比率!H5</f>
        <v>7.3730407523510957</v>
      </c>
      <c r="BH110" s="21"/>
      <c r="BI110" s="81">
        <f>$H$110*月別販売比率!M5</f>
        <v>10.644952835594902</v>
      </c>
      <c r="BJ110" s="21"/>
      <c r="BK110" s="245">
        <f>$H$110*月別販売比率!R5</f>
        <v>8.4263322884012517</v>
      </c>
      <c r="BL110" s="241">
        <v>55</v>
      </c>
      <c r="BM110" s="81">
        <f>$H$110*月別販売比率!W5</f>
        <v>8.0225761850646329</v>
      </c>
      <c r="BN110" s="21"/>
      <c r="BO110" s="81">
        <f>$H$110*月別販売比率!AB5</f>
        <v>12.639498432601878</v>
      </c>
      <c r="BP110" s="21"/>
      <c r="BQ110" s="245">
        <f>$H$110*月別販売比率!AG5</f>
        <v>10.532915360501566</v>
      </c>
      <c r="BR110" s="241">
        <v>50</v>
      </c>
      <c r="BS110" s="81">
        <f>$H$110*月別販売比率!AL5</f>
        <v>9.4796238244514086</v>
      </c>
      <c r="BT110" s="21"/>
      <c r="BU110" s="81">
        <f>$H$110*月別販売比率!AQ5</f>
        <v>10.532915360501566</v>
      </c>
      <c r="BV110" s="21"/>
      <c r="BW110" s="81">
        <f>$H$110*月別販売比率!AV5</f>
        <v>6.4139530306700898</v>
      </c>
      <c r="BX110" s="21"/>
      <c r="BY110" s="81">
        <f>$H$110*月別販売比率!BA5</f>
        <v>5.8587362247322519</v>
      </c>
      <c r="BZ110" s="21"/>
      <c r="CA110" s="81">
        <f>$H$110*月別販売比率!BF5</f>
        <v>8.4263322884012517</v>
      </c>
      <c r="CB110" s="21"/>
      <c r="CC110" s="81">
        <f>H110*月別販売比率!$C$21</f>
        <v>7.4640715908847337</v>
      </c>
      <c r="CD110" s="21"/>
      <c r="CE110" s="81">
        <f>H110*月別販売比率!$H$21</f>
        <v>7.3730407523510957</v>
      </c>
      <c r="CF110" s="241">
        <v>40</v>
      </c>
      <c r="CG110" s="81">
        <f>H110*月別販売比率!$M$21</f>
        <v>10.644952835594902</v>
      </c>
      <c r="CH110" s="241"/>
      <c r="CI110" s="81">
        <f>H110*月別販売比率!$R$21</f>
        <v>8.4263322884012517</v>
      </c>
      <c r="CJ110" s="21"/>
      <c r="CK110" s="81">
        <f>H110*月別販売比率!$W$21</f>
        <v>8.0225761850646329</v>
      </c>
      <c r="CL110" s="21"/>
      <c r="CM110" s="81">
        <f>H110*月別販売比率!$AB$21</f>
        <v>12.639498432601878</v>
      </c>
      <c r="CN110" s="21"/>
      <c r="CO110" s="81">
        <f>H110*月別販売比率!$AG$21</f>
        <v>10.532915360501566</v>
      </c>
      <c r="CP110" s="21">
        <v>20</v>
      </c>
      <c r="CQ110" s="81">
        <f>H110*月別販売比率!$AL$21</f>
        <v>9.4796238244514086</v>
      </c>
      <c r="CR110" s="21"/>
      <c r="CS110" s="81">
        <f>H110*月別販売比率!$AQ$21</f>
        <v>10.532915360501566</v>
      </c>
      <c r="CT110" s="21"/>
      <c r="CU110" s="81">
        <f>H110*月別販売比率!$AV$21</f>
        <v>6.4139530306700898</v>
      </c>
      <c r="CV110" s="21"/>
      <c r="CW110" s="81">
        <f>H110*月別販売比率!$BA$21</f>
        <v>5.8587362247322519</v>
      </c>
      <c r="CX110" s="21"/>
      <c r="CY110" s="81">
        <f>H110*月別販売比率!$BF$21</f>
        <v>8.4263322884012517</v>
      </c>
      <c r="CZ110" s="21"/>
      <c r="DA110" s="28"/>
      <c r="DB110" s="294"/>
    </row>
    <row r="111" spans="2:106" ht="30.75" customHeight="1">
      <c r="C111" s="498"/>
      <c r="D111" s="441"/>
      <c r="E111" s="119" t="s">
        <v>50</v>
      </c>
      <c r="F111" s="58">
        <v>43.260188087774296</v>
      </c>
      <c r="G111" s="53">
        <f t="shared" si="134"/>
        <v>190344.8275862069</v>
      </c>
      <c r="H111" s="52">
        <f>F111*($H$99/$F$99)</f>
        <v>43.260188087774289</v>
      </c>
      <c r="I111" s="53">
        <f t="shared" si="135"/>
        <v>190344.82758620687</v>
      </c>
      <c r="J111" s="113">
        <v>0</v>
      </c>
      <c r="K111" s="110">
        <f t="shared" si="124"/>
        <v>26</v>
      </c>
      <c r="L111" s="104">
        <v>4</v>
      </c>
      <c r="M111" s="104">
        <v>22</v>
      </c>
      <c r="N111" s="117"/>
      <c r="O111" s="115"/>
      <c r="P111" s="115"/>
      <c r="Q111" s="336"/>
      <c r="R111" s="305"/>
      <c r="S111" s="305"/>
      <c r="T111" s="356"/>
      <c r="U111" s="356"/>
      <c r="V111" s="238"/>
      <c r="W111" s="238"/>
      <c r="X111" s="334">
        <v>45860</v>
      </c>
      <c r="Y111" s="238"/>
      <c r="Z111" s="238"/>
      <c r="AA111" s="238"/>
      <c r="AB111" s="238"/>
      <c r="AC111" s="238"/>
      <c r="AD111" s="238"/>
      <c r="AE111" s="238"/>
      <c r="AF111" s="328"/>
      <c r="AG111" s="331"/>
      <c r="AH111" s="331"/>
      <c r="AI111" s="238">
        <f t="shared" si="125"/>
        <v>22.539184952978058</v>
      </c>
      <c r="AJ111" s="238">
        <f t="shared" si="126"/>
        <v>19.244198305540799</v>
      </c>
      <c r="AK111" s="238">
        <f t="shared" si="127"/>
        <v>14.052975735007884</v>
      </c>
      <c r="AL111" s="401">
        <f t="shared" si="128"/>
        <v>9.7269569262304536</v>
      </c>
      <c r="AM111" s="395">
        <f t="shared" si="129"/>
        <v>5.8335399983307674</v>
      </c>
      <c r="AN111" s="395">
        <f t="shared" si="130"/>
        <v>1.507521189553338</v>
      </c>
      <c r="AO111" s="395">
        <f t="shared" si="131"/>
        <v>-1.1267809480433062</v>
      </c>
      <c r="AP111" s="403">
        <f t="shared" si="132"/>
        <v>-3.5330476117726239</v>
      </c>
      <c r="AQ111" s="90">
        <f t="shared" si="133"/>
        <v>-6.9938626587945674</v>
      </c>
      <c r="AR111" s="238"/>
      <c r="AS111" s="282">
        <f>$H$111*月別販売比率!AG5</f>
        <v>4.3260188087774294</v>
      </c>
      <c r="AT111" s="103"/>
      <c r="AU111" s="282">
        <f>$H$111*月別販売比率!AL5</f>
        <v>3.8934169278996857</v>
      </c>
      <c r="AV111" s="103"/>
      <c r="AW111" s="301">
        <f>$H$111*月別販売比率!AQ5</f>
        <v>4.3260188087774294</v>
      </c>
      <c r="AX111" s="302"/>
      <c r="AY111" s="282">
        <f>$H$111*月別販売比率!AV5</f>
        <v>2.6343021375966442</v>
      </c>
      <c r="AZ111" s="103"/>
      <c r="BA111" s="282">
        <f>$H$111*月別販売比率!BA5</f>
        <v>2.4062666637293177</v>
      </c>
      <c r="BB111" s="103"/>
      <c r="BC111" s="282">
        <f>$H$111*月別販売比率!BF5</f>
        <v>3.460815047021943</v>
      </c>
      <c r="BD111" s="103"/>
      <c r="BE111" s="282">
        <f>$H$111*月別販売比率!C5</f>
        <v>3.0656008319705159</v>
      </c>
      <c r="BF111" s="103"/>
      <c r="BG111" s="282">
        <f>$H$111*月別販売比率!H5</f>
        <v>3.0282131661442007</v>
      </c>
      <c r="BH111" s="103"/>
      <c r="BI111" s="282">
        <f>$H$111*月別販売比率!M5</f>
        <v>4.372034200333621</v>
      </c>
      <c r="BJ111" s="103"/>
      <c r="BK111" s="301">
        <f>$H$111*月別販売比率!R5</f>
        <v>3.460815047021943</v>
      </c>
      <c r="BL111" s="302">
        <v>25</v>
      </c>
      <c r="BM111" s="282">
        <f>$H$111*月別販売比率!W5</f>
        <v>3.2949866474372604</v>
      </c>
      <c r="BN111" s="103"/>
      <c r="BO111" s="282">
        <f>$H$111*月別販売比率!AB5</f>
        <v>5.191222570532914</v>
      </c>
      <c r="BP111" s="103"/>
      <c r="BQ111" s="301">
        <f>$H$111*月別販売比率!AG5</f>
        <v>4.3260188087774294</v>
      </c>
      <c r="BR111" s="302">
        <v>15</v>
      </c>
      <c r="BS111" s="282">
        <f>$H$111*月別販売比率!AL5</f>
        <v>3.8934169278996857</v>
      </c>
      <c r="BT111" s="103"/>
      <c r="BU111" s="282">
        <f>$H$111*月別販売比率!AQ5</f>
        <v>4.3260188087774294</v>
      </c>
      <c r="BV111" s="103"/>
      <c r="BW111" s="282">
        <f>$H$111*月別販売比率!AV5</f>
        <v>2.6343021375966442</v>
      </c>
      <c r="BX111" s="103"/>
      <c r="BY111" s="282">
        <f>$H$111*月別販売比率!BA5</f>
        <v>2.4062666637293177</v>
      </c>
      <c r="BZ111" s="103"/>
      <c r="CA111" s="282">
        <f>$H$111*月別販売比率!BF5</f>
        <v>3.460815047021943</v>
      </c>
      <c r="CB111" s="103"/>
      <c r="CC111" s="282">
        <f>H111*月別販売比率!$C$21</f>
        <v>3.0656008319705159</v>
      </c>
      <c r="CD111" s="103"/>
      <c r="CE111" s="282">
        <f>H111*月別販売比率!$H$21</f>
        <v>3.0282131661442007</v>
      </c>
      <c r="CF111" s="302">
        <v>30</v>
      </c>
      <c r="CG111" s="282">
        <f>H111*月別販売比率!$M$21</f>
        <v>4.372034200333621</v>
      </c>
      <c r="CH111" s="302"/>
      <c r="CI111" s="282">
        <f>H111*月別販売比率!$R$21</f>
        <v>3.460815047021943</v>
      </c>
      <c r="CJ111" s="103"/>
      <c r="CK111" s="282">
        <f>H111*月別販売比率!$W$21</f>
        <v>3.2949866474372604</v>
      </c>
      <c r="CL111" s="103"/>
      <c r="CM111" s="282">
        <f>H111*月別販売比率!$AB$21</f>
        <v>5.191222570532914</v>
      </c>
      <c r="CN111" s="103"/>
      <c r="CO111" s="282">
        <f>H111*月別販売比率!$AG$21</f>
        <v>4.3260188087774294</v>
      </c>
      <c r="CP111" s="103"/>
      <c r="CQ111" s="282">
        <f>H111*月別販売比率!$AL$21</f>
        <v>3.8934169278996857</v>
      </c>
      <c r="CR111" s="103"/>
      <c r="CS111" s="282">
        <f>H111*月別販売比率!$AQ$21</f>
        <v>4.3260188087774294</v>
      </c>
      <c r="CT111" s="103"/>
      <c r="CU111" s="282">
        <f>H111*月別販売比率!$AV$21</f>
        <v>2.6343021375966442</v>
      </c>
      <c r="CV111" s="103"/>
      <c r="CW111" s="282">
        <f>H111*月別販売比率!$BA$21</f>
        <v>2.4062666637293177</v>
      </c>
      <c r="CX111" s="103"/>
      <c r="CY111" s="282">
        <f>H111*月別販売比率!$BF$21</f>
        <v>3.460815047021943</v>
      </c>
      <c r="CZ111" s="103"/>
      <c r="DA111" s="303"/>
      <c r="DB111" s="300"/>
    </row>
    <row r="112" spans="2:106" ht="30.6" customHeight="1">
      <c r="B112" s="2">
        <v>9</v>
      </c>
      <c r="C112" s="435" t="s">
        <v>288</v>
      </c>
      <c r="D112" s="436"/>
      <c r="E112" s="445"/>
      <c r="F112" s="130">
        <f>SUM(F113:F114)</f>
        <v>670</v>
      </c>
      <c r="G112" s="131">
        <f>SUM(G113:G114)</f>
        <v>2211000</v>
      </c>
      <c r="H112" s="130">
        <v>1000</v>
      </c>
      <c r="I112" s="131">
        <f>SUM(I113:I115)</f>
        <v>3234000</v>
      </c>
      <c r="J112" s="147">
        <f t="shared" ref="J112:N112" si="136">SUM(J113:J114)</f>
        <v>1</v>
      </c>
      <c r="K112" s="148">
        <f t="shared" si="136"/>
        <v>75</v>
      </c>
      <c r="L112" s="148">
        <f t="shared" si="136"/>
        <v>0</v>
      </c>
      <c r="M112" s="148">
        <f t="shared" si="136"/>
        <v>18</v>
      </c>
      <c r="N112" s="149">
        <f t="shared" si="136"/>
        <v>57</v>
      </c>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6">
        <f t="shared" ref="AS112:CA112" si="137">SUM(AS113:AS114)</f>
        <v>50.004340113863222</v>
      </c>
      <c r="AT112" s="134">
        <f t="shared" si="137"/>
        <v>0</v>
      </c>
      <c r="AU112" s="136">
        <f t="shared" si="137"/>
        <v>36.205111210721718</v>
      </c>
      <c r="AV112" s="134">
        <f t="shared" si="137"/>
        <v>269</v>
      </c>
      <c r="AW112" s="136">
        <f t="shared" si="137"/>
        <v>25.662648386911162</v>
      </c>
      <c r="AX112" s="134">
        <f t="shared" si="137"/>
        <v>0</v>
      </c>
      <c r="AY112" s="136">
        <f t="shared" si="137"/>
        <v>23.15594098315146</v>
      </c>
      <c r="AZ112" s="134">
        <f t="shared" si="137"/>
        <v>0</v>
      </c>
      <c r="BA112" s="136">
        <f t="shared" si="137"/>
        <v>18.101141855286961</v>
      </c>
      <c r="BB112" s="134">
        <f t="shared" si="137"/>
        <v>0</v>
      </c>
      <c r="BC112" s="136">
        <f t="shared" si="137"/>
        <v>21.805809662576415</v>
      </c>
      <c r="BD112" s="134">
        <f t="shared" si="137"/>
        <v>0</v>
      </c>
      <c r="BE112" s="136">
        <f t="shared" si="137"/>
        <v>42.354666986721249</v>
      </c>
      <c r="BF112" s="134">
        <f t="shared" si="137"/>
        <v>170</v>
      </c>
      <c r="BG112" s="136">
        <f t="shared" si="137"/>
        <v>65</v>
      </c>
      <c r="BH112" s="134">
        <f t="shared" si="137"/>
        <v>229</v>
      </c>
      <c r="BI112" s="136">
        <f t="shared" si="137"/>
        <v>65</v>
      </c>
      <c r="BJ112" s="134">
        <f t="shared" si="137"/>
        <v>60</v>
      </c>
      <c r="BK112" s="136">
        <f t="shared" si="137"/>
        <v>140.44784438704642</v>
      </c>
      <c r="BL112" s="134">
        <f t="shared" si="137"/>
        <v>320</v>
      </c>
      <c r="BM112" s="136">
        <f t="shared" si="137"/>
        <v>81.85869973352294</v>
      </c>
      <c r="BN112" s="134">
        <f t="shared" si="137"/>
        <v>0</v>
      </c>
      <c r="BO112" s="136">
        <f t="shared" si="137"/>
        <v>80.821007179279931</v>
      </c>
      <c r="BP112" s="134">
        <f>SUM(BP113:BP115)</f>
        <v>270</v>
      </c>
      <c r="BQ112" s="136">
        <f t="shared" si="137"/>
        <v>50.004340113863222</v>
      </c>
      <c r="BR112" s="134">
        <f>SUM(BR113:BR115)</f>
        <v>40</v>
      </c>
      <c r="BS112" s="136">
        <f t="shared" si="137"/>
        <v>36.205111210721718</v>
      </c>
      <c r="BT112" s="134">
        <f>SUM(BT113:BT115)</f>
        <v>0</v>
      </c>
      <c r="BU112" s="136">
        <f t="shared" si="137"/>
        <v>25.662648386911162</v>
      </c>
      <c r="BV112" s="134">
        <f>SUM(BV113:BV115)</f>
        <v>190</v>
      </c>
      <c r="BW112" s="136">
        <f t="shared" si="137"/>
        <v>23.15594098315146</v>
      </c>
      <c r="BX112" s="134">
        <f>SUM(BX113:BX115)</f>
        <v>0</v>
      </c>
      <c r="BY112" s="136">
        <f t="shared" si="137"/>
        <v>18.101141855286961</v>
      </c>
      <c r="BZ112" s="134">
        <f>SUM(BZ113:BZ115)</f>
        <v>0</v>
      </c>
      <c r="CA112" s="136">
        <f t="shared" si="137"/>
        <v>21.805809662576415</v>
      </c>
      <c r="CB112" s="134">
        <f>SUM(CB113:CB115)</f>
        <v>0</v>
      </c>
      <c r="CC112" s="136">
        <f t="shared" ref="CC112:CE112" si="138">SUM(CC113:CC114)</f>
        <v>42.354666986721249</v>
      </c>
      <c r="CD112" s="134">
        <f>SUM(CD113:CD115)</f>
        <v>395</v>
      </c>
      <c r="CE112" s="136">
        <f t="shared" si="138"/>
        <v>65</v>
      </c>
      <c r="CF112" s="134">
        <f>SUM(CF113:CF115)</f>
        <v>250</v>
      </c>
      <c r="CG112" s="136">
        <f t="shared" ref="CG112" si="139">SUM(CG113:CG114)</f>
        <v>65</v>
      </c>
      <c r="CH112" s="134">
        <f>SUM(CH113:CH115)</f>
        <v>250</v>
      </c>
      <c r="CI112" s="136">
        <f t="shared" ref="CI112" si="140">SUM(CI113:CI114)</f>
        <v>140.44784438704642</v>
      </c>
      <c r="CJ112" s="134">
        <f>SUM(CJ113:CJ115)</f>
        <v>58</v>
      </c>
      <c r="CK112" s="136">
        <f t="shared" ref="CK112" si="141">SUM(CK113:CK114)</f>
        <v>81.85869973352294</v>
      </c>
      <c r="CL112" s="134">
        <f>SUM(CL113:CL115)</f>
        <v>650</v>
      </c>
      <c r="CM112" s="136">
        <f t="shared" ref="CM112" si="142">SUM(CM113:CM114)</f>
        <v>80.821007179279931</v>
      </c>
      <c r="CN112" s="134">
        <f>SUM(CN113:CN115)</f>
        <v>0</v>
      </c>
      <c r="CO112" s="136">
        <f t="shared" ref="CO112" si="143">SUM(CO113:CO114)</f>
        <v>50.004340113863222</v>
      </c>
      <c r="CP112" s="134">
        <f>SUM(CP113:CP115)</f>
        <v>350</v>
      </c>
      <c r="CQ112" s="136">
        <f t="shared" ref="CQ112" si="144">SUM(CQ113:CQ114)</f>
        <v>36.205111210721718</v>
      </c>
      <c r="CR112" s="134">
        <f>SUM(CR113:CR115)</f>
        <v>0</v>
      </c>
      <c r="CS112" s="136">
        <f t="shared" ref="CS112" si="145">SUM(CS113:CS114)</f>
        <v>25.662648386911162</v>
      </c>
      <c r="CT112" s="134">
        <f>SUM(CT113:CT115)</f>
        <v>0</v>
      </c>
      <c r="CU112" s="136">
        <v>23.15594098315146</v>
      </c>
      <c r="CV112" s="134">
        <f>SUM(CV113:CV115)</f>
        <v>0</v>
      </c>
      <c r="CW112" s="136">
        <f t="shared" ref="CW112:CY112" si="146">SUM(CW113:CW114)</f>
        <v>18.101141855286961</v>
      </c>
      <c r="CX112" s="134">
        <f>SUM(CX113:CX115)</f>
        <v>0</v>
      </c>
      <c r="CY112" s="136">
        <f t="shared" si="146"/>
        <v>3.3547399480886794E-2</v>
      </c>
      <c r="CZ112" s="134">
        <f>SUM(CZ113:CZ115)</f>
        <v>0</v>
      </c>
      <c r="DA112" s="141"/>
      <c r="DB112" s="293"/>
    </row>
    <row r="113" spans="2:106" ht="30.75" customHeight="1">
      <c r="B113" s="156"/>
      <c r="C113" s="490" t="s">
        <v>362</v>
      </c>
      <c r="D113" s="98">
        <v>1</v>
      </c>
      <c r="E113" s="111"/>
      <c r="F113" s="56">
        <v>335</v>
      </c>
      <c r="G113" s="46">
        <f>F113*3300</f>
        <v>1105500</v>
      </c>
      <c r="H113" s="7">
        <f>$H$112*0.4</f>
        <v>400</v>
      </c>
      <c r="I113" s="46">
        <f>H113*3300</f>
        <v>1320000</v>
      </c>
      <c r="J113" s="49">
        <v>1</v>
      </c>
      <c r="K113" s="39">
        <f>SUM(L113:N113)</f>
        <v>57</v>
      </c>
      <c r="L113" s="39">
        <v>0</v>
      </c>
      <c r="M113" s="39">
        <v>5</v>
      </c>
      <c r="N113" s="42">
        <v>52</v>
      </c>
      <c r="O113" s="288"/>
      <c r="P113" s="288"/>
      <c r="Q113" s="328"/>
      <c r="R113" s="129"/>
      <c r="S113" s="129"/>
      <c r="T113" s="129"/>
      <c r="U113" s="129"/>
      <c r="V113" s="345"/>
      <c r="W113" s="328"/>
      <c r="X113" s="331">
        <v>45849</v>
      </c>
      <c r="Y113" s="331"/>
      <c r="Z113" s="330"/>
      <c r="AA113" s="330"/>
      <c r="AB113" s="330"/>
      <c r="AC113" s="331">
        <v>46017</v>
      </c>
      <c r="AD113" s="129"/>
      <c r="AE113" s="129"/>
      <c r="AF113" s="328"/>
      <c r="AG113" s="331"/>
      <c r="AH113" s="331"/>
      <c r="AI113" s="129">
        <f t="shared" ref="AI113:AI115" si="147">SUM(J113:K113)-CI113+CJ113</f>
        <v>29.570557300279134</v>
      </c>
      <c r="AJ113" s="129">
        <f t="shared" ref="AJ113" si="148">AI113-CK113+CL113</f>
        <v>204.19597284888039</v>
      </c>
      <c r="AK113" s="129">
        <f t="shared" ref="AK113:AK115" si="149">AJ113-CM113+CN113</f>
        <v>154.45996843086198</v>
      </c>
      <c r="AL113" s="129">
        <f t="shared" ref="AL113:AL115" si="150">AK113-CO113+CP113</f>
        <v>273.68806682233077</v>
      </c>
      <c r="AM113" s="129">
        <f t="shared" ref="AM113:AM115" si="151">AL113-CQ113+CR113</f>
        <v>251.40799838496355</v>
      </c>
      <c r="AN113" s="399">
        <f t="shared" ref="AN113:AN115" si="152">AM113-CS113+CT113</f>
        <v>235.6155993776336</v>
      </c>
      <c r="AO113" s="393">
        <f t="shared" ref="AO113:AO115" si="153">AN113-CU113+CV113</f>
        <v>221.36578954184807</v>
      </c>
      <c r="AP113" s="96">
        <f t="shared" ref="AP113:AP115" si="154">AO113-CW113+CX113</f>
        <v>210.22662532320993</v>
      </c>
      <c r="AQ113" s="91">
        <f t="shared" ref="AQ113:AQ115" si="155">AP113-CY113+CZ113</f>
        <v>210.19307792372905</v>
      </c>
      <c r="AR113" s="198"/>
      <c r="AS113" s="81">
        <f>$H$113*月別販売比率!AG7</f>
        <v>30.771901608531216</v>
      </c>
      <c r="AT113" s="39"/>
      <c r="AU113" s="245">
        <f>$H$113*月別販売比率!AL7</f>
        <v>22.280068437367213</v>
      </c>
      <c r="AV113" s="280">
        <v>111</v>
      </c>
      <c r="AW113" s="81">
        <f>$H$113*月別販売比率!AQ7</f>
        <v>15.792399007329946</v>
      </c>
      <c r="AX113" s="39"/>
      <c r="AY113" s="81">
        <f>$H$113*月別販売比率!AV7</f>
        <v>14.249809835785515</v>
      </c>
      <c r="AZ113" s="39"/>
      <c r="BA113" s="81">
        <f>$H$113*月別販売比率!BA7</f>
        <v>11.139164218638129</v>
      </c>
      <c r="BB113" s="39"/>
      <c r="BC113" s="81">
        <f>$H$113*月別販売比率!BF7</f>
        <v>13.418959792354718</v>
      </c>
      <c r="BD113" s="39"/>
      <c r="BE113" s="245">
        <f>$H$113*月別販売比率!C23</f>
        <v>26.064410453366921</v>
      </c>
      <c r="BF113" s="280">
        <v>70</v>
      </c>
      <c r="BG113" s="245">
        <f>$H$113*月別販売比率!H23</f>
        <v>40</v>
      </c>
      <c r="BH113" s="280">
        <v>79</v>
      </c>
      <c r="BI113" s="245">
        <f>$H$113*月別販売比率!M23</f>
        <v>40</v>
      </c>
      <c r="BJ113" s="280">
        <v>0</v>
      </c>
      <c r="BK113" s="245">
        <f>$H$113*月別販売比率!R23</f>
        <v>86.429442699720866</v>
      </c>
      <c r="BL113" s="280">
        <v>200</v>
      </c>
      <c r="BM113" s="81">
        <f>$H$113*月別販売比率!W23</f>
        <v>50.374584451398732</v>
      </c>
      <c r="BN113" s="39"/>
      <c r="BO113" s="245">
        <f>$H$113*月別販売比率!AB23</f>
        <v>49.736004418018418</v>
      </c>
      <c r="BP113" s="280">
        <v>120</v>
      </c>
      <c r="BQ113" s="245">
        <f>$H$113*月別販売比率!AG23</f>
        <v>30.771901608531216</v>
      </c>
      <c r="BR113" s="280"/>
      <c r="BS113" s="81">
        <f>$H$113*月別販売比率!AL23</f>
        <v>22.280068437367213</v>
      </c>
      <c r="BT113" s="39"/>
      <c r="BU113" s="245">
        <f>$H$113*月別販売比率!AQ23</f>
        <v>15.792399007329946</v>
      </c>
      <c r="BV113" s="280">
        <v>100</v>
      </c>
      <c r="BW113" s="81">
        <f>$H$113*月別販売比率!AV23</f>
        <v>14.249809835785515</v>
      </c>
      <c r="BX113" s="39"/>
      <c r="BY113" s="81">
        <f>$H$113*月別販売比率!BA23</f>
        <v>11.139164218638129</v>
      </c>
      <c r="BZ113" s="39"/>
      <c r="CA113" s="81">
        <f>$H$113*月別販売比率!BF23</f>
        <v>13.418959792354718</v>
      </c>
      <c r="CB113" s="42"/>
      <c r="CC113" s="81">
        <f>H113*月別販売比率!$C$23</f>
        <v>26.064410453366921</v>
      </c>
      <c r="CD113" s="42">
        <v>220</v>
      </c>
      <c r="CE113" s="81">
        <f>H113*月別販売比率!$H$23</f>
        <v>40</v>
      </c>
      <c r="CF113" s="243">
        <v>100</v>
      </c>
      <c r="CG113" s="81">
        <f>H113*月別販売比率!$M$23</f>
        <v>40</v>
      </c>
      <c r="CH113" s="243">
        <v>100</v>
      </c>
      <c r="CI113" s="81">
        <f>H113*月別販売比率!$R$23</f>
        <v>86.429442699720866</v>
      </c>
      <c r="CJ113" s="243">
        <v>58</v>
      </c>
      <c r="CK113" s="81">
        <f>H113*月別販売比率!$W$23</f>
        <v>50.374584451398732</v>
      </c>
      <c r="CL113" s="42">
        <v>225</v>
      </c>
      <c r="CM113" s="81">
        <f>H113*月別販売比率!$AB$23</f>
        <v>49.736004418018418</v>
      </c>
      <c r="CN113" s="42"/>
      <c r="CO113" s="81">
        <f>H113*月別販売比率!$AG$23</f>
        <v>30.771901608531216</v>
      </c>
      <c r="CP113" s="42">
        <v>150</v>
      </c>
      <c r="CQ113" s="81">
        <f>H113*月別販売比率!$AL$23</f>
        <v>22.280068437367213</v>
      </c>
      <c r="CR113" s="42"/>
      <c r="CS113" s="81">
        <f>H113*月別販売比率!$AQ$23</f>
        <v>15.792399007329946</v>
      </c>
      <c r="CT113" s="42"/>
      <c r="CU113" s="81">
        <f>H113*月別販売比率!$AV$23</f>
        <v>14.249809835785515</v>
      </c>
      <c r="CV113" s="39"/>
      <c r="CW113" s="81">
        <f>H113*月別販売比率!$BA$23</f>
        <v>11.139164218638129</v>
      </c>
      <c r="CX113" s="39"/>
      <c r="CY113" s="81">
        <f>J113*月別販売比率!$BF$23</f>
        <v>3.3547399480886794E-2</v>
      </c>
      <c r="CZ113" s="39"/>
      <c r="DA113" s="28"/>
      <c r="DB113" s="294"/>
    </row>
    <row r="114" spans="2:106" ht="30.75" customHeight="1">
      <c r="C114" s="491"/>
      <c r="D114" s="93">
        <v>2</v>
      </c>
      <c r="E114" s="269"/>
      <c r="F114" s="120">
        <v>335</v>
      </c>
      <c r="G114" s="36">
        <f>F114*3300</f>
        <v>1105500</v>
      </c>
      <c r="H114" s="165">
        <v>250</v>
      </c>
      <c r="I114" s="36">
        <f>H114*3300</f>
        <v>825000</v>
      </c>
      <c r="J114" s="102">
        <v>0</v>
      </c>
      <c r="K114" s="39">
        <f>SUM(L114:N114)</f>
        <v>18</v>
      </c>
      <c r="L114" s="107">
        <v>0</v>
      </c>
      <c r="M114" s="107">
        <v>13</v>
      </c>
      <c r="N114" s="44">
        <v>5</v>
      </c>
      <c r="O114" s="357"/>
      <c r="P114" s="292"/>
      <c r="Q114" s="344"/>
      <c r="R114" s="25"/>
      <c r="S114" s="198"/>
      <c r="T114" s="198"/>
      <c r="U114" s="198"/>
      <c r="V114" s="344"/>
      <c r="W114" s="376"/>
      <c r="X114" s="331">
        <v>45849</v>
      </c>
      <c r="Y114" s="129"/>
      <c r="Z114" s="129"/>
      <c r="AA114" s="129"/>
      <c r="AB114" s="129"/>
      <c r="AC114" s="129"/>
      <c r="AD114" s="129"/>
      <c r="AE114" s="129"/>
      <c r="AF114" s="328"/>
      <c r="AG114" s="124"/>
      <c r="AH114" s="331"/>
      <c r="AI114" s="198">
        <f t="shared" si="147"/>
        <v>-36.018401687325543</v>
      </c>
      <c r="AJ114" s="198">
        <f>0-CK114+CL114</f>
        <v>178.51588471787579</v>
      </c>
      <c r="AK114" s="198">
        <f t="shared" si="149"/>
        <v>147.43088195661429</v>
      </c>
      <c r="AL114" s="198">
        <f t="shared" si="150"/>
        <v>228.19844345128229</v>
      </c>
      <c r="AM114" s="198">
        <f t="shared" si="151"/>
        <v>214.27340067792778</v>
      </c>
      <c r="AN114" s="402">
        <f t="shared" si="152"/>
        <v>204.40315129834656</v>
      </c>
      <c r="AO114" s="396">
        <f t="shared" si="153"/>
        <v>195.4970201509806</v>
      </c>
      <c r="AP114" s="199">
        <f t="shared" si="154"/>
        <v>188.53504251433176</v>
      </c>
      <c r="AQ114" s="194">
        <f t="shared" si="155"/>
        <v>188.53504251433176</v>
      </c>
      <c r="AR114" s="198"/>
      <c r="AS114" s="81">
        <f>$H$114*月別販売比率!AG7</f>
        <v>19.232438505332009</v>
      </c>
      <c r="AT114" s="79"/>
      <c r="AU114" s="245">
        <f>$H$114*月別販売比率!AL7</f>
        <v>13.925042773354507</v>
      </c>
      <c r="AV114" s="342">
        <v>158</v>
      </c>
      <c r="AW114" s="81">
        <f>$H$114*月別販売比率!AQ7</f>
        <v>9.8702493795812156</v>
      </c>
      <c r="AX114" s="79"/>
      <c r="AY114" s="81">
        <f>$H$114*月別販売比率!AV7</f>
        <v>8.9061311473659472</v>
      </c>
      <c r="AZ114" s="79"/>
      <c r="BA114" s="81">
        <f>$H$114*月別販売比率!BA7</f>
        <v>6.9619776366488315</v>
      </c>
      <c r="BB114" s="79"/>
      <c r="BC114" s="81">
        <f>$H$114*月別販売比率!BF7</f>
        <v>8.3868498702216989</v>
      </c>
      <c r="BD114" s="44"/>
      <c r="BE114" s="245">
        <f>$H$114*月別販売比率!C23</f>
        <v>16.290256533354327</v>
      </c>
      <c r="BF114" s="342">
        <v>100</v>
      </c>
      <c r="BG114" s="245">
        <f>$H$114*月別販売比率!H23</f>
        <v>25</v>
      </c>
      <c r="BH114" s="364">
        <v>150</v>
      </c>
      <c r="BI114" s="245">
        <f>$H$114*月別販売比率!M23</f>
        <v>25</v>
      </c>
      <c r="BJ114" s="342">
        <v>60</v>
      </c>
      <c r="BK114" s="245">
        <f>$H$114*月別販売比率!R23</f>
        <v>54.018401687325543</v>
      </c>
      <c r="BL114" s="342">
        <v>120</v>
      </c>
      <c r="BM114" s="81">
        <f>$H$114*月別販売比率!W23</f>
        <v>31.484115282124208</v>
      </c>
      <c r="BN114" s="79"/>
      <c r="BO114" s="245">
        <f>$H$114*月別販売比率!AB23</f>
        <v>31.08500276126151</v>
      </c>
      <c r="BP114" s="342">
        <v>70</v>
      </c>
      <c r="BQ114" s="245">
        <f>$H$114*月別販売比率!AG23</f>
        <v>19.232438505332009</v>
      </c>
      <c r="BR114" s="342"/>
      <c r="BS114" s="81">
        <f>$H$114*月別販売比率!AL23</f>
        <v>13.925042773354507</v>
      </c>
      <c r="BT114" s="79"/>
      <c r="BU114" s="245">
        <f>$H$114*月別販売比率!AQ23</f>
        <v>9.8702493795812156</v>
      </c>
      <c r="BV114" s="342">
        <v>30</v>
      </c>
      <c r="BW114" s="81">
        <f>$H$114*月別販売比率!AV23</f>
        <v>8.9061311473659472</v>
      </c>
      <c r="BX114" s="79"/>
      <c r="BY114" s="81">
        <f>$H$114*月別販売比率!BA23</f>
        <v>6.9619776366488315</v>
      </c>
      <c r="BZ114" s="79"/>
      <c r="CA114" s="81">
        <f>$H$114*月別販売比率!BF23</f>
        <v>8.3868498702216989</v>
      </c>
      <c r="CB114" s="44"/>
      <c r="CC114" s="245">
        <f>H114*月別販売比率!$C$23</f>
        <v>16.290256533354327</v>
      </c>
      <c r="CD114" s="364">
        <v>130</v>
      </c>
      <c r="CE114" s="81">
        <f>H114*月別販売比率!$H$23</f>
        <v>25</v>
      </c>
      <c r="CF114" s="364">
        <v>150</v>
      </c>
      <c r="CG114" s="81">
        <f>H114*月別販売比率!$M$23</f>
        <v>25</v>
      </c>
      <c r="CH114" s="364">
        <v>150</v>
      </c>
      <c r="CI114" s="81">
        <f>H114*月別販売比率!$R$23</f>
        <v>54.018401687325543</v>
      </c>
      <c r="CJ114" s="364"/>
      <c r="CK114" s="81">
        <f>H114*月別販売比率!$W$23</f>
        <v>31.484115282124208</v>
      </c>
      <c r="CL114" s="44">
        <v>210</v>
      </c>
      <c r="CM114" s="81">
        <f>H114*月別販売比率!$AB$23</f>
        <v>31.08500276126151</v>
      </c>
      <c r="CN114" s="44"/>
      <c r="CO114" s="81">
        <f>H114*月別販売比率!$AG$23</f>
        <v>19.232438505332009</v>
      </c>
      <c r="CP114" s="44">
        <v>100</v>
      </c>
      <c r="CQ114" s="81">
        <f>H114*月別販売比率!$AL$23</f>
        <v>13.925042773354507</v>
      </c>
      <c r="CR114" s="44"/>
      <c r="CS114" s="81">
        <f>H114*月別販売比率!$AQ$23</f>
        <v>9.8702493795812156</v>
      </c>
      <c r="CT114" s="44"/>
      <c r="CU114" s="81">
        <f>H114*月別販売比率!$AV$23</f>
        <v>8.9061311473659472</v>
      </c>
      <c r="CV114" s="79"/>
      <c r="CW114" s="81">
        <f>H114*月別販売比率!$BA$23</f>
        <v>6.9619776366488315</v>
      </c>
      <c r="CX114" s="79"/>
      <c r="CY114" s="81">
        <f>J114*月別販売比率!$BF$23</f>
        <v>0</v>
      </c>
      <c r="CZ114" s="79"/>
      <c r="DA114" s="77"/>
      <c r="DB114" s="358"/>
    </row>
    <row r="115" spans="2:106" ht="30.75" customHeight="1">
      <c r="C115" s="492"/>
      <c r="D115" s="123">
        <v>12</v>
      </c>
      <c r="E115" s="112"/>
      <c r="F115" s="126"/>
      <c r="G115" s="53"/>
      <c r="H115" s="166">
        <v>330</v>
      </c>
      <c r="I115" s="35">
        <f>H115*3300</f>
        <v>1089000</v>
      </c>
      <c r="J115" s="127">
        <v>52</v>
      </c>
      <c r="K115" s="104">
        <f>SUM(L115:N115)</f>
        <v>10</v>
      </c>
      <c r="L115" s="103">
        <v>0</v>
      </c>
      <c r="M115" s="103">
        <v>10</v>
      </c>
      <c r="N115" s="117"/>
      <c r="O115" s="359"/>
      <c r="P115" s="360"/>
      <c r="Q115" s="361"/>
      <c r="R115" s="361"/>
      <c r="S115" s="361"/>
      <c r="T115" s="361"/>
      <c r="U115" s="361"/>
      <c r="V115" s="238"/>
      <c r="W115" s="305"/>
      <c r="X115" s="356"/>
      <c r="Y115" s="356"/>
      <c r="Z115" s="305"/>
      <c r="AA115" s="305"/>
      <c r="AB115" s="305"/>
      <c r="AC115" s="305"/>
      <c r="AD115" s="328"/>
      <c r="AE115" s="328"/>
      <c r="AF115" s="328"/>
      <c r="AG115" s="331"/>
      <c r="AH115" s="331"/>
      <c r="AI115" s="238">
        <f t="shared" si="147"/>
        <v>-9.3042902272697177</v>
      </c>
      <c r="AJ115" s="238">
        <f>0-CK115+CL115</f>
        <v>173.44096782759604</v>
      </c>
      <c r="AK115" s="238">
        <f t="shared" si="149"/>
        <v>132.40876418273086</v>
      </c>
      <c r="AL115" s="238">
        <f t="shared" si="150"/>
        <v>207.02194535569259</v>
      </c>
      <c r="AM115" s="238">
        <f t="shared" si="151"/>
        <v>188.64088889486464</v>
      </c>
      <c r="AN115" s="401">
        <f t="shared" si="152"/>
        <v>175.61215971381745</v>
      </c>
      <c r="AO115" s="395">
        <f t="shared" si="153"/>
        <v>163.85606659929439</v>
      </c>
      <c r="AP115" s="403">
        <f t="shared" si="154"/>
        <v>154.66625611891794</v>
      </c>
      <c r="AQ115" s="90">
        <f t="shared" si="155"/>
        <v>152.92179134591183</v>
      </c>
      <c r="AR115" s="238"/>
      <c r="AS115" s="282"/>
      <c r="AT115" s="103"/>
      <c r="AU115" s="301"/>
      <c r="AV115" s="302"/>
      <c r="AW115" s="282"/>
      <c r="AX115" s="103"/>
      <c r="AY115" s="282"/>
      <c r="AZ115" s="103"/>
      <c r="BA115" s="282"/>
      <c r="BB115" s="103"/>
      <c r="BC115" s="282"/>
      <c r="BD115" s="108"/>
      <c r="BE115" s="301">
        <f>$H$115*月別販売比率!C23</f>
        <v>21.503138624027709</v>
      </c>
      <c r="BF115" s="302"/>
      <c r="BG115" s="301">
        <f>$H$115*月別販売比率!H23</f>
        <v>33</v>
      </c>
      <c r="BH115" s="363">
        <v>75</v>
      </c>
      <c r="BI115" s="301">
        <f>$H$115*月別販売比率!M23</f>
        <v>33</v>
      </c>
      <c r="BJ115" s="302"/>
      <c r="BK115" s="301">
        <f>$H$115*月別販売比率!R23</f>
        <v>71.304290227269718</v>
      </c>
      <c r="BL115" s="302">
        <v>20</v>
      </c>
      <c r="BM115" s="282">
        <f>$H$115*月別販売比率!W23</f>
        <v>41.559032172403953</v>
      </c>
      <c r="BN115" s="103"/>
      <c r="BO115" s="301">
        <f>$H$115*月別販売比率!AB23</f>
        <v>41.032203644865191</v>
      </c>
      <c r="BP115" s="302">
        <v>80</v>
      </c>
      <c r="BQ115" s="301">
        <f>$H$115*月別販売比率!AG23</f>
        <v>25.386818827038255</v>
      </c>
      <c r="BR115" s="302">
        <v>40</v>
      </c>
      <c r="BS115" s="282">
        <f>$H$115*月別販売比率!AL23</f>
        <v>18.381056460827949</v>
      </c>
      <c r="BT115" s="103"/>
      <c r="BU115" s="301">
        <f>$H$115*月別販売比率!AQ23</f>
        <v>13.028729181047206</v>
      </c>
      <c r="BV115" s="302">
        <v>60</v>
      </c>
      <c r="BW115" s="282">
        <f>$H$115*月別販売比率!AV23</f>
        <v>11.756093114523051</v>
      </c>
      <c r="BX115" s="103"/>
      <c r="BY115" s="282">
        <f>$H$115*月別販売比率!BA23</f>
        <v>9.1898104803764564</v>
      </c>
      <c r="BZ115" s="103"/>
      <c r="CA115" s="282">
        <f>$H$115*月別販売比率!BF23</f>
        <v>11.070641828692642</v>
      </c>
      <c r="CB115" s="108"/>
      <c r="CC115" s="301">
        <f>H115*月別販売比率!$C$23</f>
        <v>21.503138624027709</v>
      </c>
      <c r="CD115" s="363">
        <v>45</v>
      </c>
      <c r="CE115" s="282">
        <f>H115*月別販売比率!$H$23</f>
        <v>33</v>
      </c>
      <c r="CF115" s="363"/>
      <c r="CG115" s="282">
        <f>H115*月別販売比率!$M$23</f>
        <v>33</v>
      </c>
      <c r="CH115" s="363"/>
      <c r="CI115" s="282">
        <f>H115*月別販売比率!$R$23</f>
        <v>71.304290227269718</v>
      </c>
      <c r="CJ115" s="363"/>
      <c r="CK115" s="282">
        <f>H115*月別販売比率!$W$23</f>
        <v>41.559032172403953</v>
      </c>
      <c r="CL115" s="108">
        <v>215</v>
      </c>
      <c r="CM115" s="282">
        <f>H115*月別販売比率!$AB$23</f>
        <v>41.032203644865191</v>
      </c>
      <c r="CN115" s="108"/>
      <c r="CO115" s="282">
        <f>H115*月別販売比率!$AG$23</f>
        <v>25.386818827038255</v>
      </c>
      <c r="CP115" s="108">
        <v>100</v>
      </c>
      <c r="CQ115" s="282">
        <f>H115*月別販売比率!$AL$23</f>
        <v>18.381056460827949</v>
      </c>
      <c r="CR115" s="108"/>
      <c r="CS115" s="282">
        <f>H115*月別販売比率!$AQ$23</f>
        <v>13.028729181047206</v>
      </c>
      <c r="CT115" s="108"/>
      <c r="CU115" s="282">
        <f>H115*月別販売比率!$AV$23</f>
        <v>11.756093114523051</v>
      </c>
      <c r="CV115" s="103"/>
      <c r="CW115" s="282">
        <f>H115*月別販売比率!$BA$23</f>
        <v>9.1898104803764564</v>
      </c>
      <c r="CX115" s="103"/>
      <c r="CY115" s="282">
        <f>J115*月別販売比率!$BF$23</f>
        <v>1.7444647730061134</v>
      </c>
      <c r="CZ115" s="103"/>
      <c r="DA115" s="303"/>
      <c r="DB115" s="300"/>
    </row>
    <row r="116" spans="2:106" ht="30.75" customHeight="1">
      <c r="B116" s="2">
        <v>10</v>
      </c>
      <c r="C116" s="435" t="s">
        <v>2</v>
      </c>
      <c r="D116" s="436"/>
      <c r="E116" s="437"/>
      <c r="F116" s="130">
        <f>SUM(F117:F126)</f>
        <v>954</v>
      </c>
      <c r="G116" s="131">
        <f>SUM(G117:G126)</f>
        <v>3987720</v>
      </c>
      <c r="H116" s="130">
        <v>1221</v>
      </c>
      <c r="I116" s="131">
        <f t="shared" ref="I116:N116" si="156">SUM(I117:I126)</f>
        <v>6070148.679245282</v>
      </c>
      <c r="J116" s="133">
        <f t="shared" si="156"/>
        <v>179</v>
      </c>
      <c r="K116" s="134">
        <f t="shared" si="156"/>
        <v>270</v>
      </c>
      <c r="L116" s="134">
        <f t="shared" si="156"/>
        <v>74</v>
      </c>
      <c r="M116" s="134">
        <f t="shared" si="156"/>
        <v>196</v>
      </c>
      <c r="N116" s="135">
        <f t="shared" si="156"/>
        <v>0</v>
      </c>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6">
        <f t="shared" ref="AS116:CZ116" si="157">SUM(AS117:AS126)</f>
        <v>145.2188679245283</v>
      </c>
      <c r="AT116" s="134">
        <f t="shared" si="157"/>
        <v>0</v>
      </c>
      <c r="AU116" s="136">
        <f t="shared" si="157"/>
        <v>130.69698113207548</v>
      </c>
      <c r="AV116" s="134">
        <f t="shared" si="157"/>
        <v>0</v>
      </c>
      <c r="AW116" s="136">
        <f t="shared" si="157"/>
        <v>145.2188679245283</v>
      </c>
      <c r="AX116" s="134">
        <f t="shared" si="157"/>
        <v>300</v>
      </c>
      <c r="AY116" s="136">
        <f t="shared" si="157"/>
        <v>88.430122730109389</v>
      </c>
      <c r="AZ116" s="134">
        <f t="shared" si="157"/>
        <v>0</v>
      </c>
      <c r="BA116" s="136">
        <f t="shared" si="157"/>
        <v>80.775266192163571</v>
      </c>
      <c r="BB116" s="134">
        <f t="shared" si="157"/>
        <v>0</v>
      </c>
      <c r="BC116" s="136">
        <f t="shared" si="157"/>
        <v>116.17509433962267</v>
      </c>
      <c r="BD116" s="134">
        <f t="shared" si="157"/>
        <v>0</v>
      </c>
      <c r="BE116" s="136">
        <f t="shared" si="157"/>
        <v>102.90826323361807</v>
      </c>
      <c r="BF116" s="134">
        <f t="shared" si="157"/>
        <v>600</v>
      </c>
      <c r="BG116" s="136">
        <f t="shared" si="157"/>
        <v>101.65320754716983</v>
      </c>
      <c r="BH116" s="134">
        <f t="shared" si="157"/>
        <v>0</v>
      </c>
      <c r="BI116" s="136">
        <f t="shared" si="157"/>
        <v>146.76354522813497</v>
      </c>
      <c r="BJ116" s="134">
        <f t="shared" si="157"/>
        <v>0</v>
      </c>
      <c r="BK116" s="136">
        <f t="shared" si="157"/>
        <v>116.17509433962267</v>
      </c>
      <c r="BL116" s="134">
        <f t="shared" si="157"/>
        <v>0</v>
      </c>
      <c r="BM116" s="136">
        <f t="shared" si="157"/>
        <v>110.60844899620362</v>
      </c>
      <c r="BN116" s="134">
        <f t="shared" si="157"/>
        <v>0</v>
      </c>
      <c r="BO116" s="136">
        <f t="shared" si="157"/>
        <v>174.26264150943399</v>
      </c>
      <c r="BP116" s="134">
        <f t="shared" si="157"/>
        <v>296</v>
      </c>
      <c r="BQ116" s="136">
        <f t="shared" si="157"/>
        <v>145.2188679245283</v>
      </c>
      <c r="BR116" s="134">
        <f t="shared" si="157"/>
        <v>304</v>
      </c>
      <c r="BS116" s="136">
        <f t="shared" si="157"/>
        <v>130.69698113207548</v>
      </c>
      <c r="BT116" s="134">
        <f t="shared" si="157"/>
        <v>0</v>
      </c>
      <c r="BU116" s="136">
        <f t="shared" si="157"/>
        <v>145.2188679245283</v>
      </c>
      <c r="BV116" s="134">
        <f t="shared" si="157"/>
        <v>0</v>
      </c>
      <c r="BW116" s="136">
        <f t="shared" si="157"/>
        <v>88.430122730109389</v>
      </c>
      <c r="BX116" s="134">
        <f t="shared" si="157"/>
        <v>0</v>
      </c>
      <c r="BY116" s="136">
        <f t="shared" si="157"/>
        <v>80.775266192163571</v>
      </c>
      <c r="BZ116" s="134">
        <f t="shared" si="157"/>
        <v>0</v>
      </c>
      <c r="CA116" s="136">
        <f t="shared" si="157"/>
        <v>116.17509433962267</v>
      </c>
      <c r="CB116" s="134">
        <f t="shared" si="157"/>
        <v>0</v>
      </c>
      <c r="CC116" s="136">
        <f t="shared" si="157"/>
        <v>102.90826323361807</v>
      </c>
      <c r="CD116" s="134">
        <f t="shared" si="157"/>
        <v>0</v>
      </c>
      <c r="CE116" s="136">
        <f t="shared" si="157"/>
        <v>101.65320754716983</v>
      </c>
      <c r="CF116" s="134">
        <f t="shared" si="157"/>
        <v>600</v>
      </c>
      <c r="CG116" s="136">
        <f t="shared" si="157"/>
        <v>146.76354522813497</v>
      </c>
      <c r="CH116" s="134">
        <f t="shared" si="157"/>
        <v>0</v>
      </c>
      <c r="CI116" s="136">
        <f t="shared" si="157"/>
        <v>116.17509433962267</v>
      </c>
      <c r="CJ116" s="134">
        <f t="shared" si="157"/>
        <v>305</v>
      </c>
      <c r="CK116" s="136">
        <f t="shared" si="157"/>
        <v>110.60844899620362</v>
      </c>
      <c r="CL116" s="134">
        <f t="shared" si="157"/>
        <v>0</v>
      </c>
      <c r="CM116" s="136">
        <f t="shared" si="157"/>
        <v>174.26264150943399</v>
      </c>
      <c r="CN116" s="134">
        <f t="shared" si="157"/>
        <v>0</v>
      </c>
      <c r="CO116" s="136">
        <f t="shared" si="157"/>
        <v>145.2188679245283</v>
      </c>
      <c r="CP116" s="134">
        <f t="shared" si="157"/>
        <v>305</v>
      </c>
      <c r="CQ116" s="136">
        <f t="shared" si="157"/>
        <v>130.69698113207548</v>
      </c>
      <c r="CR116" s="134">
        <f t="shared" si="157"/>
        <v>0</v>
      </c>
      <c r="CS116" s="136">
        <f t="shared" si="157"/>
        <v>145.2188679245283</v>
      </c>
      <c r="CT116" s="134">
        <f t="shared" si="157"/>
        <v>0</v>
      </c>
      <c r="CU116" s="136">
        <v>88.430122730109389</v>
      </c>
      <c r="CV116" s="134">
        <f t="shared" si="157"/>
        <v>0</v>
      </c>
      <c r="CW116" s="136">
        <f t="shared" si="157"/>
        <v>80.775266192163571</v>
      </c>
      <c r="CX116" s="134">
        <f t="shared" si="157"/>
        <v>0</v>
      </c>
      <c r="CY116" s="136">
        <f t="shared" si="157"/>
        <v>116.17509433962267</v>
      </c>
      <c r="CZ116" s="134">
        <f t="shared" si="157"/>
        <v>0</v>
      </c>
      <c r="DA116" s="141"/>
      <c r="DB116" s="293"/>
    </row>
    <row r="117" spans="2:106" ht="30.75" customHeight="1">
      <c r="C117" s="446" t="s">
        <v>361</v>
      </c>
      <c r="D117" s="443">
        <v>1</v>
      </c>
      <c r="E117" s="99" t="s">
        <v>46</v>
      </c>
      <c r="F117" s="56">
        <v>136</v>
      </c>
      <c r="G117" s="46">
        <f>F117*4180</f>
        <v>568480</v>
      </c>
      <c r="H117" s="7">
        <f>F117*($H$116/$F$116)</f>
        <v>174.06289308176102</v>
      </c>
      <c r="I117" s="46">
        <f>H117*4180</f>
        <v>727582.89308176108</v>
      </c>
      <c r="J117" s="49">
        <v>35</v>
      </c>
      <c r="K117" s="39">
        <f t="shared" ref="K117:K126" si="158">SUM(L117:N117)</f>
        <v>35</v>
      </c>
      <c r="L117" s="39">
        <v>10</v>
      </c>
      <c r="M117" s="39">
        <v>25</v>
      </c>
      <c r="N117" s="384"/>
      <c r="O117" s="19"/>
      <c r="P117" s="19"/>
      <c r="Q117" s="124"/>
      <c r="R117" s="124"/>
      <c r="S117" s="124"/>
      <c r="T117" s="124"/>
      <c r="U117" s="124"/>
      <c r="V117" s="124"/>
      <c r="W117" s="124"/>
      <c r="X117" s="328"/>
      <c r="Y117" s="328"/>
      <c r="Z117" s="124"/>
      <c r="AA117" s="124"/>
      <c r="AB117" s="124"/>
      <c r="AC117" s="124"/>
      <c r="AD117" s="124"/>
      <c r="AE117" s="124"/>
      <c r="AF117" s="124"/>
      <c r="AG117" s="331"/>
      <c r="AH117" s="331"/>
      <c r="AI117" s="129">
        <f>SUM(J117:K117)-CI117+CJ117</f>
        <v>86.074968553459115</v>
      </c>
      <c r="AJ117" s="129">
        <f t="shared" ref="AJ117:AJ126" si="159">AI117-CK117+CL117</f>
        <v>72.817168856541286</v>
      </c>
      <c r="AK117" s="129">
        <f t="shared" ref="AK117:AK126" si="160">AJ117-CM117+CN117</f>
        <v>51.929621686729966</v>
      </c>
      <c r="AL117" s="399">
        <f t="shared" ref="AL117:AL126" si="161">AK117-CO117+CP117</f>
        <v>64.52333237855386</v>
      </c>
      <c r="AM117" s="393">
        <f t="shared" ref="AM117:AM126" si="162">AL117-CQ117+CR117</f>
        <v>48.857672001195368</v>
      </c>
      <c r="AN117" s="393">
        <f t="shared" ref="AN117:AN126" si="163">AM117-CS117+CT117</f>
        <v>31.451382693019266</v>
      </c>
      <c r="AO117" s="393">
        <f t="shared" ref="AO117:AO126" si="164">AN117-CU117+CV117</f>
        <v>20.851931521166293</v>
      </c>
      <c r="AP117" s="96">
        <f t="shared" ref="AP117:AP126" si="165">AO117-CW117+CX117</f>
        <v>11.17001020900976</v>
      </c>
      <c r="AQ117" s="91">
        <f t="shared" ref="AQ117:AQ126" si="166">AP117-CY117+CZ117</f>
        <v>-2.7550212375311212</v>
      </c>
      <c r="AR117" s="198"/>
      <c r="AS117" s="192">
        <f>$H$117*月別販売比率!AG5</f>
        <v>17.406289308176103</v>
      </c>
      <c r="AT117" s="39"/>
      <c r="AU117" s="192">
        <f>$H$117*月別販売比率!AL5</f>
        <v>15.665660377358492</v>
      </c>
      <c r="AV117" s="39"/>
      <c r="AW117" s="340">
        <f>$H$117*月別販売比率!AQ5</f>
        <v>17.406289308176103</v>
      </c>
      <c r="AX117" s="280">
        <v>46</v>
      </c>
      <c r="AY117" s="192">
        <f>$H$117*月別販売比率!AV5</f>
        <v>10.599451171852973</v>
      </c>
      <c r="AZ117" s="39"/>
      <c r="BA117" s="192">
        <f>$H$117*月別販売比率!BA5</f>
        <v>9.6819213121565326</v>
      </c>
      <c r="BB117" s="39"/>
      <c r="BC117" s="192">
        <f>$H$117*月別販売比率!BF5</f>
        <v>13.925031446540881</v>
      </c>
      <c r="BD117" s="39"/>
      <c r="BE117" s="340">
        <f>$H$117*月別販売比率!C21</f>
        <v>12.334836565295557</v>
      </c>
      <c r="BF117" s="280">
        <v>80</v>
      </c>
      <c r="BG117" s="192">
        <f>$H$117*月別販売比率!H21</f>
        <v>12.184402515723272</v>
      </c>
      <c r="BH117" s="39"/>
      <c r="BI117" s="192">
        <f>$H$117*月別販売比率!M21</f>
        <v>17.591438114378921</v>
      </c>
      <c r="BJ117" s="39"/>
      <c r="BK117" s="192">
        <f>$H$117*月別販売比率!R21</f>
        <v>13.925031446540881</v>
      </c>
      <c r="BL117" s="39"/>
      <c r="BM117" s="192">
        <f>$H$117*月別販売比率!W21</f>
        <v>13.257799696917825</v>
      </c>
      <c r="BN117" s="39"/>
      <c r="BO117" s="340">
        <f>$H$117*月別販売比率!AB21</f>
        <v>20.88754716981132</v>
      </c>
      <c r="BP117" s="280">
        <v>40</v>
      </c>
      <c r="BQ117" s="340">
        <f>$H$117*月別販売比率!AG21</f>
        <v>17.406289308176103</v>
      </c>
      <c r="BR117" s="280">
        <v>40</v>
      </c>
      <c r="BS117" s="192">
        <f>$H$117*月別販売比率!AL21</f>
        <v>15.665660377358492</v>
      </c>
      <c r="BT117" s="39"/>
      <c r="BU117" s="192">
        <f>$H$117*月別販売比率!AQ21</f>
        <v>17.406289308176103</v>
      </c>
      <c r="BV117" s="39"/>
      <c r="BW117" s="192">
        <f>$H$117*月別販売比率!AV21</f>
        <v>10.599451171852973</v>
      </c>
      <c r="BX117" s="39"/>
      <c r="BY117" s="192">
        <f>$H$117*月別販売比率!BA21</f>
        <v>9.6819213121565326</v>
      </c>
      <c r="BZ117" s="39"/>
      <c r="CA117" s="192">
        <f>$H$117*月別販売比率!BF21</f>
        <v>13.925031446540881</v>
      </c>
      <c r="CB117" s="39"/>
      <c r="CC117" s="192">
        <f>H117*月別販売比率!$C$21</f>
        <v>12.334836565295557</v>
      </c>
      <c r="CD117" s="39"/>
      <c r="CE117" s="192">
        <f>H117*月別販売比率!$H$21</f>
        <v>12.184402515723272</v>
      </c>
      <c r="CF117" s="280">
        <v>80</v>
      </c>
      <c r="CG117" s="192">
        <f>H117*月別販売比率!$M$21</f>
        <v>17.591438114378921</v>
      </c>
      <c r="CH117" s="39"/>
      <c r="CI117" s="192">
        <f>H117*月別販売比率!$R$21</f>
        <v>13.925031446540881</v>
      </c>
      <c r="CJ117" s="39">
        <v>30</v>
      </c>
      <c r="CK117" s="192">
        <f>H117*月別販売比率!$W$21</f>
        <v>13.257799696917825</v>
      </c>
      <c r="CL117" s="39"/>
      <c r="CM117" s="192">
        <f>H117*月別販売比率!$AB$21</f>
        <v>20.88754716981132</v>
      </c>
      <c r="CN117" s="39"/>
      <c r="CO117" s="192">
        <f>H117*月別販売比率!$AG$21</f>
        <v>17.406289308176103</v>
      </c>
      <c r="CP117" s="39">
        <v>30</v>
      </c>
      <c r="CQ117" s="192">
        <f>H117*月別販売比率!$AL$21</f>
        <v>15.665660377358492</v>
      </c>
      <c r="CR117" s="39"/>
      <c r="CS117" s="192">
        <f>H117*月別販売比率!$AQ$21</f>
        <v>17.406289308176103</v>
      </c>
      <c r="CT117" s="39"/>
      <c r="CU117" s="192">
        <f>H117*月別販売比率!$AV$21</f>
        <v>10.599451171852973</v>
      </c>
      <c r="CV117" s="39"/>
      <c r="CW117" s="192">
        <f>H117*月別販売比率!$BA$21</f>
        <v>9.6819213121565326</v>
      </c>
      <c r="CX117" s="39"/>
      <c r="CY117" s="192">
        <f>H117*月別販売比率!$BF$21</f>
        <v>13.925031446540881</v>
      </c>
      <c r="CZ117" s="39"/>
      <c r="DA117" s="28"/>
      <c r="DB117" s="294"/>
    </row>
    <row r="118" spans="2:106" ht="30.75" customHeight="1">
      <c r="C118" s="457"/>
      <c r="D118" s="441"/>
      <c r="E118" s="94" t="s">
        <v>47</v>
      </c>
      <c r="F118" s="57">
        <v>130</v>
      </c>
      <c r="G118" s="46">
        <f t="shared" ref="G118:G126" si="167">F118*4180</f>
        <v>543400</v>
      </c>
      <c r="H118" s="165">
        <v>230</v>
      </c>
      <c r="I118" s="46">
        <f t="shared" ref="I118:I126" si="168">H118*4180</f>
        <v>961400</v>
      </c>
      <c r="J118" s="9">
        <v>29</v>
      </c>
      <c r="K118" s="21">
        <f t="shared" si="158"/>
        <v>27</v>
      </c>
      <c r="L118" s="21">
        <v>10</v>
      </c>
      <c r="M118" s="21">
        <v>17</v>
      </c>
      <c r="N118" s="384"/>
      <c r="O118" s="19"/>
      <c r="P118" s="19"/>
      <c r="Q118" s="124"/>
      <c r="R118" s="124"/>
      <c r="S118" s="328"/>
      <c r="T118" s="328"/>
      <c r="U118" s="328"/>
      <c r="V118" s="331">
        <v>45786</v>
      </c>
      <c r="W118" s="331"/>
      <c r="X118" s="328"/>
      <c r="Y118" s="328"/>
      <c r="Z118" s="124"/>
      <c r="AA118" s="124"/>
      <c r="AB118" s="124"/>
      <c r="AC118" s="124"/>
      <c r="AD118" s="124"/>
      <c r="AE118" s="328"/>
      <c r="AF118" s="328"/>
      <c r="AG118" s="331"/>
      <c r="AH118" s="331"/>
      <c r="AI118" s="129">
        <f>SUM(J118:K118)-CI118+CJ118</f>
        <v>92.6</v>
      </c>
      <c r="AJ118" s="129">
        <f t="shared" si="159"/>
        <v>75.081654324458555</v>
      </c>
      <c r="AK118" s="129">
        <f t="shared" si="160"/>
        <v>47.48165432445856</v>
      </c>
      <c r="AL118" s="399">
        <f t="shared" si="161"/>
        <v>79.48165432445856</v>
      </c>
      <c r="AM118" s="393">
        <f t="shared" si="162"/>
        <v>58.781654324458557</v>
      </c>
      <c r="AN118" s="393">
        <f t="shared" si="163"/>
        <v>35.781654324458557</v>
      </c>
      <c r="AO118" s="393">
        <f t="shared" si="164"/>
        <v>21.775947959569727</v>
      </c>
      <c r="AP118" s="96">
        <f t="shared" si="165"/>
        <v>8.9826301974088523</v>
      </c>
      <c r="AQ118" s="91">
        <f t="shared" si="166"/>
        <v>-9.4173698025911499</v>
      </c>
      <c r="AR118" s="198"/>
      <c r="AS118" s="81">
        <f>$H$118*月別販売比率!AG5</f>
        <v>23</v>
      </c>
      <c r="AT118" s="21"/>
      <c r="AU118" s="81">
        <f>$H$118*月別販売比率!AL5</f>
        <v>20.7</v>
      </c>
      <c r="AV118" s="21"/>
      <c r="AW118" s="245">
        <f>$H$118*月別販売比率!AQ5</f>
        <v>23</v>
      </c>
      <c r="AX118" s="241">
        <v>46</v>
      </c>
      <c r="AY118" s="81">
        <f>$H$118*月別販売比率!AV5</f>
        <v>14.005706364888828</v>
      </c>
      <c r="AZ118" s="21"/>
      <c r="BA118" s="81">
        <f>$H$118*月別販売比率!BA5</f>
        <v>12.793317762160875</v>
      </c>
      <c r="BB118" s="21"/>
      <c r="BC118" s="81">
        <f>$H$118*月別販売比率!BF5</f>
        <v>18.400000000000002</v>
      </c>
      <c r="BD118" s="21"/>
      <c r="BE118" s="245">
        <f>$H$118*月別販売比率!C21</f>
        <v>16.298777756643247</v>
      </c>
      <c r="BF118" s="241">
        <v>80</v>
      </c>
      <c r="BG118" s="81">
        <f>$H$118*月別販売比率!H21</f>
        <v>16.100000000000001</v>
      </c>
      <c r="BH118" s="21"/>
      <c r="BI118" s="81">
        <f>$H$118*月別販売比率!M21</f>
        <v>23.244648498440419</v>
      </c>
      <c r="BJ118" s="21"/>
      <c r="BK118" s="81">
        <f>$H$118*月別販売比率!R21</f>
        <v>18.400000000000002</v>
      </c>
      <c r="BL118" s="21"/>
      <c r="BM118" s="81">
        <f>$H$118*月別販売比率!W21</f>
        <v>17.518345675541436</v>
      </c>
      <c r="BN118" s="21"/>
      <c r="BO118" s="245">
        <f>$H$118*月別販売比率!AB21</f>
        <v>27.599999999999998</v>
      </c>
      <c r="BP118" s="241">
        <v>55</v>
      </c>
      <c r="BQ118" s="245">
        <f>$H$118*月別販売比率!AG21</f>
        <v>23</v>
      </c>
      <c r="BR118" s="241">
        <v>55</v>
      </c>
      <c r="BS118" s="81">
        <f>$H$118*月別販売比率!AL21</f>
        <v>20.7</v>
      </c>
      <c r="BT118" s="21"/>
      <c r="BU118" s="81">
        <f>$H$118*月別販売比率!AQ21</f>
        <v>23</v>
      </c>
      <c r="BV118" s="21"/>
      <c r="BW118" s="81">
        <f>$H$118*月別販売比率!AV21</f>
        <v>14.005706364888828</v>
      </c>
      <c r="BX118" s="21"/>
      <c r="BY118" s="81">
        <f>$H$118*月別販売比率!BA21</f>
        <v>12.793317762160875</v>
      </c>
      <c r="BZ118" s="21"/>
      <c r="CA118" s="81">
        <f>$H$118*月別販売比率!BF21</f>
        <v>18.400000000000002</v>
      </c>
      <c r="CB118" s="21"/>
      <c r="CC118" s="81">
        <f>H118*月別販売比率!$C$21</f>
        <v>16.298777756643247</v>
      </c>
      <c r="CD118" s="21"/>
      <c r="CE118" s="81">
        <f>H118*月別販売比率!$H$21</f>
        <v>16.100000000000001</v>
      </c>
      <c r="CF118" s="241">
        <v>85</v>
      </c>
      <c r="CG118" s="81">
        <f>H118*月別販売比率!$M$21</f>
        <v>23.244648498440419</v>
      </c>
      <c r="CH118" s="21"/>
      <c r="CI118" s="81">
        <f>H118*月別販売比率!$R$21</f>
        <v>18.400000000000002</v>
      </c>
      <c r="CJ118" s="21">
        <v>55</v>
      </c>
      <c r="CK118" s="81">
        <f>H118*月別販売比率!$W$21</f>
        <v>17.518345675541436</v>
      </c>
      <c r="CL118" s="21"/>
      <c r="CM118" s="81">
        <f>H118*月別販売比率!$AB$21</f>
        <v>27.599999999999998</v>
      </c>
      <c r="CN118" s="21"/>
      <c r="CO118" s="81">
        <f>H118*月別販売比率!$AG$21</f>
        <v>23</v>
      </c>
      <c r="CP118" s="21">
        <v>55</v>
      </c>
      <c r="CQ118" s="81">
        <f>H118*月別販売比率!$AL$21</f>
        <v>20.7</v>
      </c>
      <c r="CR118" s="21"/>
      <c r="CS118" s="81">
        <f>H118*月別販売比率!$AQ$21</f>
        <v>23</v>
      </c>
      <c r="CT118" s="21"/>
      <c r="CU118" s="81">
        <f>H118*月別販売比率!$AV$21</f>
        <v>14.005706364888828</v>
      </c>
      <c r="CV118" s="21"/>
      <c r="CW118" s="81">
        <f>H118*月別販売比率!$BA$21</f>
        <v>12.793317762160875</v>
      </c>
      <c r="CX118" s="21"/>
      <c r="CY118" s="81">
        <f>H118*月別販売比率!$BF$21</f>
        <v>18.400000000000002</v>
      </c>
      <c r="CZ118" s="21"/>
      <c r="DA118" s="28"/>
      <c r="DB118" s="294"/>
    </row>
    <row r="119" spans="2:106" ht="30.75" customHeight="1">
      <c r="C119" s="457"/>
      <c r="D119" s="441"/>
      <c r="E119" s="94" t="s">
        <v>51</v>
      </c>
      <c r="F119" s="57">
        <v>133</v>
      </c>
      <c r="G119" s="46">
        <f t="shared" si="167"/>
        <v>555940</v>
      </c>
      <c r="H119" s="165">
        <v>230</v>
      </c>
      <c r="I119" s="46">
        <f t="shared" si="168"/>
        <v>961400</v>
      </c>
      <c r="J119" s="9">
        <v>44</v>
      </c>
      <c r="K119" s="21">
        <f t="shared" si="158"/>
        <v>26</v>
      </c>
      <c r="L119" s="21">
        <v>7</v>
      </c>
      <c r="M119" s="21">
        <v>19</v>
      </c>
      <c r="N119" s="384"/>
      <c r="O119" s="19"/>
      <c r="P119" s="19"/>
      <c r="Q119" s="124"/>
      <c r="R119" s="124"/>
      <c r="S119" s="124"/>
      <c r="T119" s="124"/>
      <c r="U119" s="328"/>
      <c r="V119" s="331">
        <v>45786</v>
      </c>
      <c r="W119" s="331"/>
      <c r="X119" s="328"/>
      <c r="Y119" s="328"/>
      <c r="Z119" s="124"/>
      <c r="AA119" s="124"/>
      <c r="AB119" s="124"/>
      <c r="AC119" s="124"/>
      <c r="AD119" s="124"/>
      <c r="AE119" s="328"/>
      <c r="AF119" s="328"/>
      <c r="AG119" s="331"/>
      <c r="AH119" s="331"/>
      <c r="AI119" s="129">
        <f>SUM(J119:K119)-CI119+CJ119</f>
        <v>101.6</v>
      </c>
      <c r="AJ119" s="129">
        <f t="shared" si="159"/>
        <v>84.081654324458555</v>
      </c>
      <c r="AK119" s="129">
        <f t="shared" si="160"/>
        <v>56.48165432445856</v>
      </c>
      <c r="AL119" s="399">
        <f t="shared" si="161"/>
        <v>83.48165432445856</v>
      </c>
      <c r="AM119" s="393">
        <f t="shared" si="162"/>
        <v>62.781654324458557</v>
      </c>
      <c r="AN119" s="393">
        <f t="shared" si="163"/>
        <v>39.781654324458557</v>
      </c>
      <c r="AO119" s="393">
        <f t="shared" si="164"/>
        <v>25.775947959569727</v>
      </c>
      <c r="AP119" s="96">
        <f t="shared" si="165"/>
        <v>12.982630197408852</v>
      </c>
      <c r="AQ119" s="91">
        <f t="shared" si="166"/>
        <v>-5.4173698025911499</v>
      </c>
      <c r="AR119" s="198"/>
      <c r="AS119" s="81">
        <f>$H$119*月別販売比率!AG5</f>
        <v>23</v>
      </c>
      <c r="AT119" s="21"/>
      <c r="AU119" s="81">
        <f>$H$119*月別販売比率!AL5</f>
        <v>20.7</v>
      </c>
      <c r="AV119" s="21"/>
      <c r="AW119" s="245">
        <f>$H$119*月別販売比率!AQ5</f>
        <v>23</v>
      </c>
      <c r="AX119" s="241">
        <v>52</v>
      </c>
      <c r="AY119" s="81">
        <f>$H$119*月別販売比率!AV5</f>
        <v>14.005706364888828</v>
      </c>
      <c r="AZ119" s="21"/>
      <c r="BA119" s="81">
        <f>$H$119*月別販売比率!BA5</f>
        <v>12.793317762160875</v>
      </c>
      <c r="BB119" s="21"/>
      <c r="BC119" s="81">
        <f>$H$119*月別販売比率!BF5</f>
        <v>18.400000000000002</v>
      </c>
      <c r="BD119" s="21"/>
      <c r="BE119" s="245">
        <f>$H$119*月別販売比率!C21</f>
        <v>16.298777756643247</v>
      </c>
      <c r="BF119" s="241">
        <v>80</v>
      </c>
      <c r="BG119" s="81">
        <f>$H$119*月別販売比率!H21</f>
        <v>16.100000000000001</v>
      </c>
      <c r="BH119" s="21"/>
      <c r="BI119" s="81">
        <f>$H$119*月別販売比率!M21</f>
        <v>23.244648498440419</v>
      </c>
      <c r="BJ119" s="21"/>
      <c r="BK119" s="81">
        <f>$H$119*月別販売比率!R21</f>
        <v>18.400000000000002</v>
      </c>
      <c r="BL119" s="21"/>
      <c r="BM119" s="81">
        <f>$H$119*月別販売比率!W21</f>
        <v>17.518345675541436</v>
      </c>
      <c r="BN119" s="21"/>
      <c r="BO119" s="245">
        <f>$H$119*月別販売比率!AB21</f>
        <v>27.599999999999998</v>
      </c>
      <c r="BP119" s="241">
        <v>50</v>
      </c>
      <c r="BQ119" s="245">
        <f>$H$119*月別販売比率!AG21</f>
        <v>23</v>
      </c>
      <c r="BR119" s="241">
        <v>50</v>
      </c>
      <c r="BS119" s="81">
        <f>$H$119*月別販売比率!AL21</f>
        <v>20.7</v>
      </c>
      <c r="BT119" s="21"/>
      <c r="BU119" s="81">
        <f>$H$119*月別販売比率!AQ21</f>
        <v>23</v>
      </c>
      <c r="BV119" s="21"/>
      <c r="BW119" s="81">
        <f>$H$119*月別販売比率!AV21</f>
        <v>14.005706364888828</v>
      </c>
      <c r="BX119" s="21"/>
      <c r="BY119" s="81">
        <f>$H$119*月別販売比率!BA21</f>
        <v>12.793317762160875</v>
      </c>
      <c r="BZ119" s="21"/>
      <c r="CA119" s="81">
        <f>$H$119*月別販売比率!BF21</f>
        <v>18.400000000000002</v>
      </c>
      <c r="CB119" s="21"/>
      <c r="CC119" s="81">
        <f>H119*月別販売比率!$C$21</f>
        <v>16.298777756643247</v>
      </c>
      <c r="CD119" s="21"/>
      <c r="CE119" s="81">
        <f>H119*月別販売比率!$H$21</f>
        <v>16.100000000000001</v>
      </c>
      <c r="CF119" s="241">
        <v>95</v>
      </c>
      <c r="CG119" s="81">
        <f>H119*月別販売比率!$M$21</f>
        <v>23.244648498440419</v>
      </c>
      <c r="CH119" s="21"/>
      <c r="CI119" s="81">
        <f>H119*月別販売比率!$R$21</f>
        <v>18.400000000000002</v>
      </c>
      <c r="CJ119" s="21">
        <v>50</v>
      </c>
      <c r="CK119" s="81">
        <f>H119*月別販売比率!$W$21</f>
        <v>17.518345675541436</v>
      </c>
      <c r="CL119" s="21"/>
      <c r="CM119" s="81">
        <f>H119*月別販売比率!$AB$21</f>
        <v>27.599999999999998</v>
      </c>
      <c r="CN119" s="21"/>
      <c r="CO119" s="81">
        <f>H119*月別販売比率!$AG$21</f>
        <v>23</v>
      </c>
      <c r="CP119" s="21">
        <v>50</v>
      </c>
      <c r="CQ119" s="81">
        <f>H119*月別販売比率!$AL$21</f>
        <v>20.7</v>
      </c>
      <c r="CR119" s="21"/>
      <c r="CS119" s="81">
        <f>H119*月別販売比率!$AQ$21</f>
        <v>23</v>
      </c>
      <c r="CT119" s="21"/>
      <c r="CU119" s="81">
        <f>H119*月別販売比率!$AV$21</f>
        <v>14.005706364888828</v>
      </c>
      <c r="CV119" s="21"/>
      <c r="CW119" s="81">
        <f>H119*月別販売比率!$BA$21</f>
        <v>12.793317762160875</v>
      </c>
      <c r="CX119" s="21"/>
      <c r="CY119" s="81">
        <f>H119*月別販売比率!$BF$21</f>
        <v>18.400000000000002</v>
      </c>
      <c r="CZ119" s="21"/>
      <c r="DA119" s="28"/>
      <c r="DB119" s="294"/>
    </row>
    <row r="120" spans="2:106" ht="30.75" customHeight="1">
      <c r="C120" s="457"/>
      <c r="D120" s="441"/>
      <c r="E120" s="94" t="s">
        <v>49</v>
      </c>
      <c r="F120" s="57">
        <v>58</v>
      </c>
      <c r="G120" s="46">
        <f t="shared" si="167"/>
        <v>242440</v>
      </c>
      <c r="H120" s="7">
        <f>F120*($H$116/$F$116)</f>
        <v>74.232704402515722</v>
      </c>
      <c r="I120" s="46">
        <f t="shared" si="168"/>
        <v>310292.70440251572</v>
      </c>
      <c r="J120" s="9">
        <v>0</v>
      </c>
      <c r="K120" s="21">
        <f t="shared" si="158"/>
        <v>27</v>
      </c>
      <c r="L120" s="21">
        <v>6</v>
      </c>
      <c r="M120" s="21">
        <v>21</v>
      </c>
      <c r="N120" s="384"/>
      <c r="O120" s="288"/>
      <c r="P120" s="288"/>
      <c r="Q120" s="331">
        <v>46001</v>
      </c>
      <c r="R120" s="124"/>
      <c r="S120" s="124"/>
      <c r="T120" s="328"/>
      <c r="U120" s="328"/>
      <c r="V120" s="331">
        <v>45786</v>
      </c>
      <c r="W120" s="331"/>
      <c r="X120" s="328"/>
      <c r="Y120" s="328"/>
      <c r="Z120" s="124"/>
      <c r="AA120" s="124"/>
      <c r="AB120" s="124"/>
      <c r="AC120" s="124"/>
      <c r="AD120" s="328"/>
      <c r="AE120" s="328"/>
      <c r="AF120" s="328"/>
      <c r="AG120" s="331"/>
      <c r="AH120" s="331"/>
      <c r="AI120" s="129">
        <f>SUM(J120:K120)-CI120+CJ120</f>
        <v>36.061383647798742</v>
      </c>
      <c r="AJ120" s="129">
        <f t="shared" si="159"/>
        <v>30.407322012348494</v>
      </c>
      <c r="AK120" s="129">
        <f t="shared" si="160"/>
        <v>21.499397484046607</v>
      </c>
      <c r="AL120" s="399">
        <f t="shared" si="161"/>
        <v>29.076127043795033</v>
      </c>
      <c r="AM120" s="393">
        <f t="shared" si="162"/>
        <v>22.395183647568619</v>
      </c>
      <c r="AN120" s="393">
        <f t="shared" si="163"/>
        <v>14.971913207317046</v>
      </c>
      <c r="AO120" s="393">
        <f t="shared" si="164"/>
        <v>10.451559031085631</v>
      </c>
      <c r="AP120" s="96">
        <f t="shared" si="165"/>
        <v>6.3225043538424046</v>
      </c>
      <c r="AQ120" s="91">
        <f t="shared" si="166"/>
        <v>0.38388800164114656</v>
      </c>
      <c r="AR120" s="198"/>
      <c r="AS120" s="81">
        <f>$H$120*月別販売比率!AG5</f>
        <v>7.4232704402515726</v>
      </c>
      <c r="AT120" s="21"/>
      <c r="AU120" s="81">
        <f>$H$120*月別販売比率!AL5</f>
        <v>6.6809433962264144</v>
      </c>
      <c r="AV120" s="21"/>
      <c r="AW120" s="245">
        <f>$H$120*月別販売比率!AQ5</f>
        <v>7.4232704402515726</v>
      </c>
      <c r="AX120" s="241">
        <v>18</v>
      </c>
      <c r="AY120" s="81">
        <f>$H$120*月別販売比率!AV5</f>
        <v>4.5203541762314146</v>
      </c>
      <c r="AZ120" s="21"/>
      <c r="BA120" s="81">
        <f>$H$120*月別販売比率!BA5</f>
        <v>4.1290546772432268</v>
      </c>
      <c r="BB120" s="21"/>
      <c r="BC120" s="81">
        <f>$H$120*月別販売比率!BF5</f>
        <v>5.9386163522012581</v>
      </c>
      <c r="BD120" s="21"/>
      <c r="BE120" s="245">
        <f>$H$120*月別販売比率!C21</f>
        <v>5.2604450057878109</v>
      </c>
      <c r="BF120" s="241">
        <v>40</v>
      </c>
      <c r="BG120" s="81">
        <f>$H$120*月別販売比率!H21</f>
        <v>5.1962893081761008</v>
      </c>
      <c r="BH120" s="21"/>
      <c r="BI120" s="81">
        <f>$H$120*月別販売比率!M21</f>
        <v>7.502230960543951</v>
      </c>
      <c r="BJ120" s="21"/>
      <c r="BK120" s="81">
        <f>$H$120*月別販売比率!R21</f>
        <v>5.9386163522012581</v>
      </c>
      <c r="BL120" s="21"/>
      <c r="BM120" s="81">
        <f>$H$120*月別販売比率!W21</f>
        <v>5.6540616354502484</v>
      </c>
      <c r="BN120" s="21"/>
      <c r="BO120" s="245">
        <f>$H$120*月別販売比率!AB21</f>
        <v>8.9079245283018871</v>
      </c>
      <c r="BP120" s="241">
        <v>23</v>
      </c>
      <c r="BQ120" s="245">
        <f>$H$120*月別販売比率!AG21</f>
        <v>7.4232704402515726</v>
      </c>
      <c r="BR120" s="241">
        <v>22</v>
      </c>
      <c r="BS120" s="81">
        <f>$H$120*月別販売比率!AL21</f>
        <v>6.6809433962264144</v>
      </c>
      <c r="BT120" s="21"/>
      <c r="BU120" s="81">
        <f>$H$120*月別販売比率!AQ21</f>
        <v>7.4232704402515726</v>
      </c>
      <c r="BV120" s="21"/>
      <c r="BW120" s="81">
        <f>$H$120*月別販売比率!AV21</f>
        <v>4.5203541762314146</v>
      </c>
      <c r="BX120" s="21"/>
      <c r="BY120" s="81">
        <f>$H$120*月別販売比率!BA21</f>
        <v>4.1290546772432268</v>
      </c>
      <c r="BZ120" s="21"/>
      <c r="CA120" s="81">
        <f>$H$120*月別販売比率!BF21</f>
        <v>5.9386163522012581</v>
      </c>
      <c r="CB120" s="21"/>
      <c r="CC120" s="81">
        <f>H120*月別販売比率!$C$21</f>
        <v>5.2604450057878109</v>
      </c>
      <c r="CD120" s="21"/>
      <c r="CE120" s="81">
        <f>H120*月別販売比率!$H$21</f>
        <v>5.1962893081761008</v>
      </c>
      <c r="CF120" s="241">
        <v>45</v>
      </c>
      <c r="CG120" s="81">
        <f>H120*月別販売比率!$M$21</f>
        <v>7.502230960543951</v>
      </c>
      <c r="CH120" s="21"/>
      <c r="CI120" s="81">
        <f>H120*月別販売比率!$R$21</f>
        <v>5.9386163522012581</v>
      </c>
      <c r="CJ120" s="21">
        <v>15</v>
      </c>
      <c r="CK120" s="81">
        <f>H120*月別販売比率!$W$21</f>
        <v>5.6540616354502484</v>
      </c>
      <c r="CL120" s="21"/>
      <c r="CM120" s="81">
        <f>H120*月別販売比率!$AB$21</f>
        <v>8.9079245283018871</v>
      </c>
      <c r="CN120" s="21"/>
      <c r="CO120" s="81">
        <f>H120*月別販売比率!$AG$21</f>
        <v>7.4232704402515726</v>
      </c>
      <c r="CP120" s="21">
        <v>15</v>
      </c>
      <c r="CQ120" s="81">
        <f>H120*月別販売比率!$AL$21</f>
        <v>6.6809433962264144</v>
      </c>
      <c r="CR120" s="21"/>
      <c r="CS120" s="81">
        <f>H120*月別販売比率!$AQ$21</f>
        <v>7.4232704402515726</v>
      </c>
      <c r="CT120" s="21"/>
      <c r="CU120" s="81">
        <f>H120*月別販売比率!$AV$21</f>
        <v>4.5203541762314146</v>
      </c>
      <c r="CV120" s="21"/>
      <c r="CW120" s="81">
        <f>H120*月別販売比率!$BA$21</f>
        <v>4.1290546772432268</v>
      </c>
      <c r="CX120" s="21"/>
      <c r="CY120" s="81">
        <f>H120*月別販売比率!$BF$21</f>
        <v>5.9386163522012581</v>
      </c>
      <c r="CZ120" s="21"/>
      <c r="DA120" s="28"/>
      <c r="DB120" s="294"/>
    </row>
    <row r="121" spans="2:106" ht="30.75" customHeight="1">
      <c r="C121" s="457"/>
      <c r="D121" s="442"/>
      <c r="E121" s="94" t="s">
        <v>50</v>
      </c>
      <c r="F121" s="57">
        <v>44</v>
      </c>
      <c r="G121" s="46">
        <f t="shared" si="167"/>
        <v>183920</v>
      </c>
      <c r="H121" s="7">
        <f>F121*($H$116/$F$116)</f>
        <v>56.314465408805034</v>
      </c>
      <c r="I121" s="46">
        <f t="shared" si="168"/>
        <v>235394.46540880503</v>
      </c>
      <c r="J121" s="9">
        <v>18</v>
      </c>
      <c r="K121" s="21">
        <f t="shared" si="158"/>
        <v>18</v>
      </c>
      <c r="L121" s="21">
        <v>6</v>
      </c>
      <c r="M121" s="21">
        <v>12</v>
      </c>
      <c r="N121" s="384"/>
      <c r="O121" s="19"/>
      <c r="P121" s="19"/>
      <c r="Q121" s="124"/>
      <c r="R121" s="124"/>
      <c r="S121" s="124"/>
      <c r="T121" s="124"/>
      <c r="U121" s="124"/>
      <c r="V121" s="124"/>
      <c r="W121" s="124"/>
      <c r="X121" s="328"/>
      <c r="Y121" s="328"/>
      <c r="Z121" s="124"/>
      <c r="AA121" s="331">
        <v>45935</v>
      </c>
      <c r="AB121" s="124"/>
      <c r="AC121" s="328"/>
      <c r="AD121" s="328"/>
      <c r="AE121" s="328"/>
      <c r="AF121" s="328"/>
      <c r="AG121" s="331"/>
      <c r="AH121" s="331"/>
      <c r="AI121" s="129">
        <f>SUM(J121:K121)-CI121+CJ121</f>
        <v>36.494842767295594</v>
      </c>
      <c r="AJ121" s="129">
        <f t="shared" si="159"/>
        <v>32.205554630057478</v>
      </c>
      <c r="AK121" s="129">
        <f t="shared" si="160"/>
        <v>25.447818781000873</v>
      </c>
      <c r="AL121" s="399">
        <f t="shared" si="161"/>
        <v>24.816372240120369</v>
      </c>
      <c r="AM121" s="393">
        <f t="shared" si="162"/>
        <v>19.748070353327918</v>
      </c>
      <c r="AN121" s="393">
        <f t="shared" si="163"/>
        <v>14.116623812447415</v>
      </c>
      <c r="AO121" s="393">
        <f t="shared" si="164"/>
        <v>10.687389609789101</v>
      </c>
      <c r="AP121" s="96">
        <f t="shared" si="165"/>
        <v>7.5550033029149279</v>
      </c>
      <c r="AQ121" s="91">
        <f t="shared" si="166"/>
        <v>3.049846070210525</v>
      </c>
      <c r="AR121" s="198"/>
      <c r="AS121" s="81">
        <f>$H$121*月別販売比率!AG5</f>
        <v>5.6314465408805034</v>
      </c>
      <c r="AT121" s="21"/>
      <c r="AU121" s="81">
        <f>$H$121*月別販売比率!AL5</f>
        <v>5.0683018867924527</v>
      </c>
      <c r="AV121" s="21"/>
      <c r="AW121" s="245">
        <f>$H$121*月別販売比率!AQ5</f>
        <v>5.6314465408805034</v>
      </c>
      <c r="AX121" s="241">
        <v>18</v>
      </c>
      <c r="AY121" s="81">
        <f>$H$121*月別販売比率!AV5</f>
        <v>3.4292342026583147</v>
      </c>
      <c r="AZ121" s="21"/>
      <c r="BA121" s="81">
        <f>$H$121*月別販売比率!BA5</f>
        <v>3.1323863068741722</v>
      </c>
      <c r="BB121" s="21"/>
      <c r="BC121" s="81">
        <f>$H$121*月別販売比率!BF5</f>
        <v>4.5051572327044029</v>
      </c>
      <c r="BD121" s="21"/>
      <c r="BE121" s="245">
        <f>$H$121*月別販売比率!C21</f>
        <v>3.9906824181838565</v>
      </c>
      <c r="BF121" s="241">
        <v>20</v>
      </c>
      <c r="BG121" s="81">
        <f>$H$121*月別販売比率!H21</f>
        <v>3.9420125786163527</v>
      </c>
      <c r="BH121" s="21"/>
      <c r="BI121" s="81">
        <f>$H$121*月別販売比率!M21</f>
        <v>5.6913476252402386</v>
      </c>
      <c r="BJ121" s="21"/>
      <c r="BK121" s="81">
        <f>$H$121*月別販売比率!R21</f>
        <v>4.5051572327044029</v>
      </c>
      <c r="BL121" s="21"/>
      <c r="BM121" s="81">
        <f>$H$121*月別販売比率!W21</f>
        <v>4.2892881372381195</v>
      </c>
      <c r="BN121" s="21"/>
      <c r="BO121" s="245">
        <f>$H$121*月別販売比率!AB21</f>
        <v>6.757735849056604</v>
      </c>
      <c r="BP121" s="241">
        <v>15</v>
      </c>
      <c r="BQ121" s="245">
        <f>$H$121*月別販売比率!AG21</f>
        <v>5.6314465408805034</v>
      </c>
      <c r="BR121" s="241">
        <v>15</v>
      </c>
      <c r="BS121" s="81">
        <f>$H$121*月別販売比率!AL21</f>
        <v>5.0683018867924527</v>
      </c>
      <c r="BT121" s="21"/>
      <c r="BU121" s="81">
        <f>$H$121*月別販売比率!AQ21</f>
        <v>5.6314465408805034</v>
      </c>
      <c r="BV121" s="21"/>
      <c r="BW121" s="81">
        <f>$H$121*月別販売比率!AV21</f>
        <v>3.4292342026583147</v>
      </c>
      <c r="BX121" s="21"/>
      <c r="BY121" s="81">
        <f>$H$121*月別販売比率!BA21</f>
        <v>3.1323863068741722</v>
      </c>
      <c r="BZ121" s="21"/>
      <c r="CA121" s="81">
        <f>$H$121*月別販売比率!BF21</f>
        <v>4.5051572327044029</v>
      </c>
      <c r="CB121" s="21"/>
      <c r="CC121" s="81">
        <f>H121*月別販売比率!$C$21</f>
        <v>3.9906824181838565</v>
      </c>
      <c r="CD121" s="21"/>
      <c r="CE121" s="81">
        <f>H121*月別販売比率!$H$21</f>
        <v>3.9420125786163527</v>
      </c>
      <c r="CF121" s="241">
        <v>45</v>
      </c>
      <c r="CG121" s="81">
        <f>H121*月別販売比率!$M$21</f>
        <v>5.6913476252402386</v>
      </c>
      <c r="CH121" s="21"/>
      <c r="CI121" s="81">
        <f>H121*月別販売比率!$R$21</f>
        <v>4.5051572327044029</v>
      </c>
      <c r="CJ121" s="21">
        <v>5</v>
      </c>
      <c r="CK121" s="81">
        <f>H121*月別販売比率!$W$21</f>
        <v>4.2892881372381195</v>
      </c>
      <c r="CL121" s="21"/>
      <c r="CM121" s="81">
        <f>H121*月別販売比率!$AB$21</f>
        <v>6.757735849056604</v>
      </c>
      <c r="CN121" s="21"/>
      <c r="CO121" s="81">
        <f>H121*月別販売比率!$AG$21</f>
        <v>5.6314465408805034</v>
      </c>
      <c r="CP121" s="21">
        <v>5</v>
      </c>
      <c r="CQ121" s="81">
        <f>H121*月別販売比率!$AL$21</f>
        <v>5.0683018867924527</v>
      </c>
      <c r="CR121" s="21"/>
      <c r="CS121" s="81">
        <f>H121*月別販売比率!$AQ$21</f>
        <v>5.6314465408805034</v>
      </c>
      <c r="CT121" s="21"/>
      <c r="CU121" s="81">
        <f>H121*月別販売比率!$AV$21</f>
        <v>3.4292342026583147</v>
      </c>
      <c r="CV121" s="21"/>
      <c r="CW121" s="81">
        <f>H121*月別販売比率!$BA$21</f>
        <v>3.1323863068741722</v>
      </c>
      <c r="CX121" s="21"/>
      <c r="CY121" s="81">
        <f>H121*月別販売比率!$BF$21</f>
        <v>4.5051572327044029</v>
      </c>
      <c r="CZ121" s="21"/>
      <c r="DA121" s="28"/>
      <c r="DB121" s="294"/>
    </row>
    <row r="122" spans="2:106" ht="30.75" customHeight="1">
      <c r="C122" s="457"/>
      <c r="D122" s="443">
        <v>2</v>
      </c>
      <c r="E122" s="94" t="s">
        <v>46</v>
      </c>
      <c r="F122" s="57">
        <v>85</v>
      </c>
      <c r="G122" s="46">
        <f t="shared" si="167"/>
        <v>355300</v>
      </c>
      <c r="H122" s="7">
        <f>F122*($H$116/$F$116)</f>
        <v>108.78930817610063</v>
      </c>
      <c r="I122" s="46">
        <f t="shared" si="168"/>
        <v>454739.30817610066</v>
      </c>
      <c r="J122" s="9">
        <v>5</v>
      </c>
      <c r="K122" s="21">
        <f t="shared" si="158"/>
        <v>38</v>
      </c>
      <c r="L122" s="21">
        <v>12</v>
      </c>
      <c r="M122" s="21">
        <v>26</v>
      </c>
      <c r="N122" s="384"/>
      <c r="O122" s="19"/>
      <c r="P122" s="19"/>
      <c r="Q122" s="124"/>
      <c r="R122" s="124"/>
      <c r="S122" s="124"/>
      <c r="T122" s="124"/>
      <c r="U122" s="124"/>
      <c r="V122" s="124"/>
      <c r="W122" s="124"/>
      <c r="X122" s="328"/>
      <c r="Y122" s="328"/>
      <c r="Z122" s="124"/>
      <c r="AA122" s="331">
        <v>45935</v>
      </c>
      <c r="AB122" s="124"/>
      <c r="AC122" s="124"/>
      <c r="AD122" s="124"/>
      <c r="AE122" s="124"/>
      <c r="AF122" s="124"/>
      <c r="AG122" s="124"/>
      <c r="AH122" s="331"/>
      <c r="AI122" s="129">
        <f>SUM(J122:K122)-CI122+CJ122</f>
        <v>49.296855345911951</v>
      </c>
      <c r="AJ122" s="129">
        <f t="shared" si="159"/>
        <v>41.010730535338311</v>
      </c>
      <c r="AK122" s="129">
        <f t="shared" si="160"/>
        <v>27.956013554206237</v>
      </c>
      <c r="AL122" s="399">
        <f t="shared" si="161"/>
        <v>32.077082736596175</v>
      </c>
      <c r="AM122" s="393">
        <f t="shared" si="162"/>
        <v>22.286045000747116</v>
      </c>
      <c r="AN122" s="393">
        <f t="shared" si="163"/>
        <v>11.407114183137052</v>
      </c>
      <c r="AO122" s="393">
        <f t="shared" si="164"/>
        <v>4.7824572007289436</v>
      </c>
      <c r="AP122" s="96">
        <f t="shared" si="165"/>
        <v>-1.2687436193688892</v>
      </c>
      <c r="AQ122" s="91">
        <f t="shared" si="166"/>
        <v>-9.9718882734569405</v>
      </c>
      <c r="AR122" s="198"/>
      <c r="AS122" s="81">
        <f>$H$122*月別販売比率!AG5</f>
        <v>10.878930817610064</v>
      </c>
      <c r="AT122" s="21"/>
      <c r="AU122" s="81">
        <f>$H$122*月別販売比率!AL5</f>
        <v>9.7910377358490575</v>
      </c>
      <c r="AV122" s="21"/>
      <c r="AW122" s="245">
        <f>$H$122*月別販売比率!AQ5</f>
        <v>10.878930817610064</v>
      </c>
      <c r="AX122" s="241">
        <v>30</v>
      </c>
      <c r="AY122" s="81">
        <f>$H$122*月別販売比率!AV5</f>
        <v>6.6246569824081085</v>
      </c>
      <c r="AZ122" s="21"/>
      <c r="BA122" s="81">
        <f>$H$122*月別販売比率!BA5</f>
        <v>6.0512008200978329</v>
      </c>
      <c r="BB122" s="21"/>
      <c r="BC122" s="81">
        <f>$H$122*月別販売比率!BF5</f>
        <v>8.7031446540880513</v>
      </c>
      <c r="BD122" s="21"/>
      <c r="BE122" s="245">
        <f>$H$122*月別販売比率!C21</f>
        <v>7.7092728533097228</v>
      </c>
      <c r="BF122" s="241">
        <v>30</v>
      </c>
      <c r="BG122" s="81">
        <f>$H$122*月別販売比率!H21</f>
        <v>7.6152515723270451</v>
      </c>
      <c r="BH122" s="21"/>
      <c r="BI122" s="81">
        <f>$H$122*月別販売比率!M21</f>
        <v>10.994648821486825</v>
      </c>
      <c r="BJ122" s="21"/>
      <c r="BK122" s="81">
        <f>$H$122*月別販売比率!R21</f>
        <v>8.7031446540880513</v>
      </c>
      <c r="BL122" s="21"/>
      <c r="BM122" s="81">
        <f>$H$122*月別販売比率!W21</f>
        <v>8.2861248105736394</v>
      </c>
      <c r="BN122" s="21"/>
      <c r="BO122" s="245">
        <f>$H$122*月別販売比率!AB21</f>
        <v>13.054716981132076</v>
      </c>
      <c r="BP122" s="241">
        <v>25</v>
      </c>
      <c r="BQ122" s="245">
        <f>$H$122*月別販売比率!AG21</f>
        <v>10.878930817610064</v>
      </c>
      <c r="BR122" s="241">
        <v>25</v>
      </c>
      <c r="BS122" s="81">
        <f>$H$122*月別販売比率!AL21</f>
        <v>9.7910377358490575</v>
      </c>
      <c r="BT122" s="21"/>
      <c r="BU122" s="81">
        <f>$H$122*月別販売比率!AQ21</f>
        <v>10.878930817610064</v>
      </c>
      <c r="BV122" s="21"/>
      <c r="BW122" s="81">
        <f>$H$122*月別販売比率!AV21</f>
        <v>6.6246569824081085</v>
      </c>
      <c r="BX122" s="21"/>
      <c r="BY122" s="81">
        <f>$H$122*月別販売比率!BA21</f>
        <v>6.0512008200978329</v>
      </c>
      <c r="BZ122" s="21"/>
      <c r="CA122" s="81">
        <f>$H$122*月別販売比率!BF21</f>
        <v>8.7031446540880513</v>
      </c>
      <c r="CB122" s="21"/>
      <c r="CC122" s="81">
        <f>H122*月別販売比率!$C$21</f>
        <v>7.7092728533097228</v>
      </c>
      <c r="CD122" s="21"/>
      <c r="CE122" s="81">
        <f>H122*月別販売比率!$H$21</f>
        <v>7.6152515723270451</v>
      </c>
      <c r="CF122" s="241">
        <v>50</v>
      </c>
      <c r="CG122" s="81">
        <f>H122*月別販売比率!$M$21</f>
        <v>10.994648821486825</v>
      </c>
      <c r="CH122" s="21"/>
      <c r="CI122" s="81">
        <f>H122*月別販売比率!$R$21</f>
        <v>8.7031446540880513</v>
      </c>
      <c r="CJ122" s="21">
        <v>15</v>
      </c>
      <c r="CK122" s="81">
        <f>H122*月別販売比率!$W$21</f>
        <v>8.2861248105736394</v>
      </c>
      <c r="CL122" s="21"/>
      <c r="CM122" s="81">
        <f>H122*月別販売比率!$AB$21</f>
        <v>13.054716981132076</v>
      </c>
      <c r="CN122" s="21"/>
      <c r="CO122" s="81">
        <f>H122*月別販売比率!$AG$21</f>
        <v>10.878930817610064</v>
      </c>
      <c r="CP122" s="21">
        <v>15</v>
      </c>
      <c r="CQ122" s="81">
        <f>H122*月別販売比率!$AL$21</f>
        <v>9.7910377358490575</v>
      </c>
      <c r="CR122" s="21"/>
      <c r="CS122" s="81">
        <f>H122*月別販売比率!$AQ$21</f>
        <v>10.878930817610064</v>
      </c>
      <c r="CT122" s="21"/>
      <c r="CU122" s="81">
        <f>H122*月別販売比率!$AV$21</f>
        <v>6.6246569824081085</v>
      </c>
      <c r="CV122" s="21"/>
      <c r="CW122" s="81">
        <f>H122*月別販売比率!$BA$21</f>
        <v>6.0512008200978329</v>
      </c>
      <c r="CX122" s="21"/>
      <c r="CY122" s="81">
        <f>H122*月別販売比率!$BF$21</f>
        <v>8.7031446540880513</v>
      </c>
      <c r="CZ122" s="21"/>
      <c r="DA122" s="28"/>
      <c r="DB122" s="294"/>
    </row>
    <row r="123" spans="2:106" ht="30.75" customHeight="1">
      <c r="C123" s="457"/>
      <c r="D123" s="441"/>
      <c r="E123" s="94" t="s">
        <v>47</v>
      </c>
      <c r="F123" s="57">
        <v>151</v>
      </c>
      <c r="G123" s="46">
        <f t="shared" si="167"/>
        <v>631180</v>
      </c>
      <c r="H123" s="165">
        <v>250</v>
      </c>
      <c r="I123" s="46">
        <f t="shared" si="168"/>
        <v>1045000</v>
      </c>
      <c r="J123" s="9">
        <v>20</v>
      </c>
      <c r="K123" s="21">
        <f t="shared" si="158"/>
        <v>31</v>
      </c>
      <c r="L123" s="21">
        <v>11</v>
      </c>
      <c r="M123" s="21">
        <v>20</v>
      </c>
      <c r="N123" s="384"/>
      <c r="O123" s="19"/>
      <c r="P123" s="19"/>
      <c r="Q123" s="124"/>
      <c r="R123" s="124"/>
      <c r="S123" s="124"/>
      <c r="T123" s="124"/>
      <c r="U123" s="124"/>
      <c r="V123" s="124"/>
      <c r="W123" s="124"/>
      <c r="X123" s="328"/>
      <c r="Y123" s="328"/>
      <c r="Z123" s="124"/>
      <c r="AA123" s="124"/>
      <c r="AB123" s="124"/>
      <c r="AC123" s="124"/>
      <c r="AD123" s="124"/>
      <c r="AE123" s="328"/>
      <c r="AF123" s="124"/>
      <c r="AG123" s="124"/>
      <c r="AH123" s="331"/>
      <c r="AI123" s="129">
        <f>SUM(J123:K123)-CI123+CJ123</f>
        <v>96</v>
      </c>
      <c r="AJ123" s="129">
        <f t="shared" si="159"/>
        <v>76.958319917889739</v>
      </c>
      <c r="AK123" s="129">
        <f t="shared" si="160"/>
        <v>46.958319917889739</v>
      </c>
      <c r="AL123" s="399">
        <f t="shared" si="161"/>
        <v>86.958319917889739</v>
      </c>
      <c r="AM123" s="393">
        <f t="shared" si="162"/>
        <v>64.458319917889739</v>
      </c>
      <c r="AN123" s="393">
        <f t="shared" si="163"/>
        <v>39.458319917889739</v>
      </c>
      <c r="AO123" s="393">
        <f t="shared" si="164"/>
        <v>24.234726043010578</v>
      </c>
      <c r="AP123" s="96">
        <f t="shared" si="165"/>
        <v>10.328945866748757</v>
      </c>
      <c r="AQ123" s="91">
        <f t="shared" si="166"/>
        <v>-9.6710541332512427</v>
      </c>
      <c r="AR123" s="198"/>
      <c r="AS123" s="81">
        <f>$H$123*月別販売比率!AG5</f>
        <v>25</v>
      </c>
      <c r="AT123" s="21"/>
      <c r="AU123" s="81">
        <f>$H$123*月別販売比率!AL5</f>
        <v>22.5</v>
      </c>
      <c r="AV123" s="21"/>
      <c r="AW123" s="245">
        <f>$H$123*月別販売比率!AQ5</f>
        <v>25</v>
      </c>
      <c r="AX123" s="241">
        <v>30</v>
      </c>
      <c r="AY123" s="81">
        <f>$H$123*月別販売比率!AV5</f>
        <v>15.22359387487916</v>
      </c>
      <c r="AZ123" s="21"/>
      <c r="BA123" s="81">
        <f>$H$123*月別販売比率!BA5</f>
        <v>13.905780176261821</v>
      </c>
      <c r="BB123" s="21"/>
      <c r="BC123" s="81">
        <f>$H$123*月別販売比率!BF5</f>
        <v>20</v>
      </c>
      <c r="BD123" s="21"/>
      <c r="BE123" s="245">
        <f>$H$123*月別販売比率!C21</f>
        <v>17.716062778960051</v>
      </c>
      <c r="BF123" s="241">
        <v>120</v>
      </c>
      <c r="BG123" s="81">
        <f>$H$123*月別販売比率!H21</f>
        <v>17.5</v>
      </c>
      <c r="BH123" s="21"/>
      <c r="BI123" s="81">
        <f>$H$123*月別販売比率!M21</f>
        <v>25.2659222809135</v>
      </c>
      <c r="BJ123" s="21"/>
      <c r="BK123" s="81">
        <f>$H$123*月別販売比率!R21</f>
        <v>20</v>
      </c>
      <c r="BL123" s="21"/>
      <c r="BM123" s="81">
        <f>$H$123*月別販売比率!W21</f>
        <v>19.041680082110258</v>
      </c>
      <c r="BN123" s="21"/>
      <c r="BO123" s="245">
        <f>$H$123*月別販売比率!AB21</f>
        <v>30</v>
      </c>
      <c r="BP123" s="241">
        <v>35</v>
      </c>
      <c r="BQ123" s="245">
        <f>$H$123*月別販売比率!AG21</f>
        <v>25</v>
      </c>
      <c r="BR123" s="241">
        <v>35</v>
      </c>
      <c r="BS123" s="81">
        <f>$H$123*月別販売比率!AL21</f>
        <v>22.5</v>
      </c>
      <c r="BT123" s="21"/>
      <c r="BU123" s="81">
        <f>$H$123*月別販売比率!AQ21</f>
        <v>25</v>
      </c>
      <c r="BV123" s="21"/>
      <c r="BW123" s="81">
        <f>$H$123*月別販売比率!AV21</f>
        <v>15.22359387487916</v>
      </c>
      <c r="BX123" s="21"/>
      <c r="BY123" s="81">
        <f>$H$123*月別販売比率!BA21</f>
        <v>13.905780176261821</v>
      </c>
      <c r="BZ123" s="21"/>
      <c r="CA123" s="81">
        <f>$H$123*月別販売比率!BF21</f>
        <v>20</v>
      </c>
      <c r="CB123" s="21"/>
      <c r="CC123" s="81">
        <f>H123*月別販売比率!$C$21</f>
        <v>17.716062778960051</v>
      </c>
      <c r="CD123" s="21"/>
      <c r="CE123" s="81">
        <f>H123*月別販売比率!$H$21</f>
        <v>17.5</v>
      </c>
      <c r="CF123" s="241">
        <v>65</v>
      </c>
      <c r="CG123" s="81">
        <f>H123*月別販売比率!$M$21</f>
        <v>25.2659222809135</v>
      </c>
      <c r="CH123" s="21"/>
      <c r="CI123" s="81">
        <f>H123*月別販売比率!$R$21</f>
        <v>20</v>
      </c>
      <c r="CJ123" s="21">
        <v>65</v>
      </c>
      <c r="CK123" s="81">
        <f>H123*月別販売比率!$W$21</f>
        <v>19.041680082110258</v>
      </c>
      <c r="CL123" s="21"/>
      <c r="CM123" s="81">
        <f>H123*月別販売比率!$AB$21</f>
        <v>30</v>
      </c>
      <c r="CN123" s="21"/>
      <c r="CO123" s="81">
        <f>H123*月別販売比率!$AG$21</f>
        <v>25</v>
      </c>
      <c r="CP123" s="21">
        <v>65</v>
      </c>
      <c r="CQ123" s="81">
        <f>H123*月別販売比率!$AL$21</f>
        <v>22.5</v>
      </c>
      <c r="CR123" s="21"/>
      <c r="CS123" s="81">
        <f>H123*月別販売比率!$AQ$21</f>
        <v>25</v>
      </c>
      <c r="CT123" s="21"/>
      <c r="CU123" s="81">
        <f>H123*月別販売比率!$AV$21</f>
        <v>15.22359387487916</v>
      </c>
      <c r="CV123" s="21"/>
      <c r="CW123" s="81">
        <f>H123*月別販売比率!$BA$21</f>
        <v>13.905780176261821</v>
      </c>
      <c r="CX123" s="21"/>
      <c r="CY123" s="81">
        <f>H123*月別販売比率!$BF$21</f>
        <v>20</v>
      </c>
      <c r="CZ123" s="21"/>
      <c r="DA123" s="28"/>
      <c r="DB123" s="294"/>
    </row>
    <row r="124" spans="2:106" ht="30.75" customHeight="1">
      <c r="C124" s="457"/>
      <c r="D124" s="441"/>
      <c r="E124" s="94" t="s">
        <v>51</v>
      </c>
      <c r="F124" s="57">
        <v>132</v>
      </c>
      <c r="G124" s="46">
        <f t="shared" si="167"/>
        <v>551760</v>
      </c>
      <c r="H124" s="165">
        <v>220</v>
      </c>
      <c r="I124" s="46">
        <f t="shared" si="168"/>
        <v>919600</v>
      </c>
      <c r="J124" s="9">
        <v>28</v>
      </c>
      <c r="K124" s="21">
        <f t="shared" si="158"/>
        <v>27</v>
      </c>
      <c r="L124" s="21">
        <v>7</v>
      </c>
      <c r="M124" s="21">
        <v>20</v>
      </c>
      <c r="N124" s="384"/>
      <c r="O124" s="19"/>
      <c r="P124" s="19"/>
      <c r="Q124" s="124"/>
      <c r="R124" s="124"/>
      <c r="S124" s="124"/>
      <c r="T124" s="124"/>
      <c r="U124" s="124"/>
      <c r="V124" s="124"/>
      <c r="W124" s="124"/>
      <c r="X124" s="328"/>
      <c r="Y124" s="328"/>
      <c r="Z124" s="124"/>
      <c r="AA124" s="124"/>
      <c r="AB124" s="124"/>
      <c r="AC124" s="124"/>
      <c r="AD124" s="124"/>
      <c r="AE124" s="124"/>
      <c r="AF124" s="124"/>
      <c r="AG124" s="124"/>
      <c r="AH124" s="331"/>
      <c r="AI124" s="129">
        <f>SUM(J124:K124)-CI124+CJ124</f>
        <v>92.4</v>
      </c>
      <c r="AJ124" s="129">
        <f t="shared" si="159"/>
        <v>75.643321527742984</v>
      </c>
      <c r="AK124" s="129">
        <f t="shared" si="160"/>
        <v>49.243321527742985</v>
      </c>
      <c r="AL124" s="399">
        <f t="shared" si="161"/>
        <v>82.243321527742978</v>
      </c>
      <c r="AM124" s="393">
        <f t="shared" si="162"/>
        <v>62.443321527742981</v>
      </c>
      <c r="AN124" s="393">
        <f t="shared" si="163"/>
        <v>40.443321527742981</v>
      </c>
      <c r="AO124" s="393">
        <f t="shared" si="164"/>
        <v>27.046558917849318</v>
      </c>
      <c r="AP124" s="96">
        <f t="shared" si="165"/>
        <v>14.809472362738916</v>
      </c>
      <c r="AQ124" s="91">
        <f t="shared" si="166"/>
        <v>-2.7905276372610857</v>
      </c>
      <c r="AR124" s="198"/>
      <c r="AS124" s="81">
        <f>$H$124*月別販売比率!AG5</f>
        <v>22</v>
      </c>
      <c r="AT124" s="21"/>
      <c r="AU124" s="81">
        <f>$H$124*月別販売比率!AL5</f>
        <v>19.8</v>
      </c>
      <c r="AV124" s="21"/>
      <c r="AW124" s="245">
        <f>$H$124*月別販売比率!AQ5</f>
        <v>22</v>
      </c>
      <c r="AX124" s="241">
        <v>30</v>
      </c>
      <c r="AY124" s="81">
        <f>$H$124*月別販売比率!AV5</f>
        <v>13.396762609893662</v>
      </c>
      <c r="AZ124" s="21"/>
      <c r="BA124" s="81">
        <f>$H$124*月別販売比率!BA5</f>
        <v>12.237086555110402</v>
      </c>
      <c r="BB124" s="21"/>
      <c r="BC124" s="81">
        <f>$H$124*月別販売比率!BF5</f>
        <v>17.600000000000001</v>
      </c>
      <c r="BD124" s="21"/>
      <c r="BE124" s="245">
        <f>$H$124*月別販売比率!C21</f>
        <v>15.590135245484845</v>
      </c>
      <c r="BF124" s="241">
        <v>80</v>
      </c>
      <c r="BG124" s="81">
        <f>$H$124*月別販売比率!H21</f>
        <v>15.400000000000002</v>
      </c>
      <c r="BH124" s="21"/>
      <c r="BI124" s="81">
        <f>$H$124*月別販売比率!M21</f>
        <v>22.234011607203879</v>
      </c>
      <c r="BJ124" s="21"/>
      <c r="BK124" s="81">
        <f>$H$124*月別販売比率!R21</f>
        <v>17.600000000000001</v>
      </c>
      <c r="BL124" s="21"/>
      <c r="BM124" s="81">
        <f>$H$124*月別販売比率!W21</f>
        <v>16.756678472257025</v>
      </c>
      <c r="BN124" s="21"/>
      <c r="BO124" s="245">
        <f>$H$124*月別販売比率!AB21</f>
        <v>26.4</v>
      </c>
      <c r="BP124" s="241">
        <v>40</v>
      </c>
      <c r="BQ124" s="245">
        <f>$H$124*月別販売比率!AG21</f>
        <v>22</v>
      </c>
      <c r="BR124" s="241">
        <v>40</v>
      </c>
      <c r="BS124" s="81">
        <f>$H$124*月別販売比率!AL21</f>
        <v>19.8</v>
      </c>
      <c r="BT124" s="21"/>
      <c r="BU124" s="81">
        <f>$H$124*月別販売比率!AQ21</f>
        <v>22</v>
      </c>
      <c r="BV124" s="21"/>
      <c r="BW124" s="81">
        <f>$H$124*月別販売比率!AV21</f>
        <v>13.396762609893662</v>
      </c>
      <c r="BX124" s="21"/>
      <c r="BY124" s="81">
        <f>$H$124*月別販売比率!BA21</f>
        <v>12.237086555110402</v>
      </c>
      <c r="BZ124" s="21"/>
      <c r="CA124" s="81">
        <f>$H$124*月別販売比率!BF21</f>
        <v>17.600000000000001</v>
      </c>
      <c r="CB124" s="21"/>
      <c r="CC124" s="81">
        <f>H124*月別販売比率!$C$21</f>
        <v>15.590135245484845</v>
      </c>
      <c r="CD124" s="21"/>
      <c r="CE124" s="81">
        <f>H124*月別販売比率!$H$21</f>
        <v>15.400000000000002</v>
      </c>
      <c r="CF124" s="241">
        <v>70</v>
      </c>
      <c r="CG124" s="81">
        <f>H124*月別販売比率!$M$21</f>
        <v>22.234011607203879</v>
      </c>
      <c r="CH124" s="21"/>
      <c r="CI124" s="81">
        <f>H124*月別販売比率!$R$21</f>
        <v>17.600000000000001</v>
      </c>
      <c r="CJ124" s="21">
        <v>55</v>
      </c>
      <c r="CK124" s="81">
        <f>H124*月別販売比率!$W$21</f>
        <v>16.756678472257025</v>
      </c>
      <c r="CL124" s="21"/>
      <c r="CM124" s="81">
        <f>H124*月別販売比率!$AB$21</f>
        <v>26.4</v>
      </c>
      <c r="CN124" s="21"/>
      <c r="CO124" s="81">
        <f>H124*月別販売比率!$AG$21</f>
        <v>22</v>
      </c>
      <c r="CP124" s="21">
        <v>55</v>
      </c>
      <c r="CQ124" s="81">
        <f>H124*月別販売比率!$AL$21</f>
        <v>19.8</v>
      </c>
      <c r="CR124" s="21"/>
      <c r="CS124" s="81">
        <f>H124*月別販売比率!$AQ$21</f>
        <v>22</v>
      </c>
      <c r="CT124" s="21"/>
      <c r="CU124" s="81">
        <f>H124*月別販売比率!$AV$21</f>
        <v>13.396762609893662</v>
      </c>
      <c r="CV124" s="21"/>
      <c r="CW124" s="81">
        <f>H124*月別販売比率!$BA$21</f>
        <v>12.237086555110402</v>
      </c>
      <c r="CX124" s="21"/>
      <c r="CY124" s="81">
        <f>H124*月別販売比率!$BF$21</f>
        <v>17.600000000000001</v>
      </c>
      <c r="CZ124" s="21"/>
      <c r="DA124" s="28"/>
      <c r="DB124" s="294"/>
    </row>
    <row r="125" spans="2:106" ht="30.75" customHeight="1">
      <c r="C125" s="457"/>
      <c r="D125" s="441"/>
      <c r="E125" s="94" t="s">
        <v>49</v>
      </c>
      <c r="F125" s="57">
        <v>52</v>
      </c>
      <c r="G125" s="46">
        <f t="shared" si="167"/>
        <v>217360</v>
      </c>
      <c r="H125" s="7">
        <f>F125*($H$116/$F$116)</f>
        <v>66.553459119496864</v>
      </c>
      <c r="I125" s="46">
        <f t="shared" si="168"/>
        <v>278193.45911949687</v>
      </c>
      <c r="J125" s="9">
        <v>0</v>
      </c>
      <c r="K125" s="21">
        <f t="shared" si="158"/>
        <v>28</v>
      </c>
      <c r="L125" s="21">
        <v>4</v>
      </c>
      <c r="M125" s="21">
        <v>24</v>
      </c>
      <c r="N125" s="384"/>
      <c r="O125" s="19"/>
      <c r="P125" s="19"/>
      <c r="Q125" s="124"/>
      <c r="R125" s="124"/>
      <c r="S125" s="328"/>
      <c r="T125" s="328"/>
      <c r="U125" s="328"/>
      <c r="V125" s="331">
        <v>45786</v>
      </c>
      <c r="W125" s="331"/>
      <c r="X125" s="328"/>
      <c r="Y125" s="328"/>
      <c r="Z125" s="124"/>
      <c r="AA125" s="124"/>
      <c r="AB125" s="124"/>
      <c r="AC125" s="124"/>
      <c r="AD125" s="328"/>
      <c r="AE125" s="328"/>
      <c r="AF125" s="328"/>
      <c r="AG125" s="331"/>
      <c r="AH125" s="331"/>
      <c r="AI125" s="129">
        <f>SUM(J125:K125)-CI125+CJ125</f>
        <v>32.675723270440251</v>
      </c>
      <c r="AJ125" s="129">
        <f t="shared" si="159"/>
        <v>27.606564562795199</v>
      </c>
      <c r="AK125" s="129">
        <f t="shared" si="160"/>
        <v>19.620149468455576</v>
      </c>
      <c r="AL125" s="399">
        <f t="shared" si="161"/>
        <v>22.964803556505888</v>
      </c>
      <c r="AM125" s="393">
        <f t="shared" si="162"/>
        <v>16.97499223575117</v>
      </c>
      <c r="AN125" s="393">
        <f t="shared" si="163"/>
        <v>10.319646323801482</v>
      </c>
      <c r="AO125" s="393">
        <f t="shared" si="164"/>
        <v>6.2669149933871093</v>
      </c>
      <c r="AP125" s="96">
        <f t="shared" si="165"/>
        <v>2.5650039034449055</v>
      </c>
      <c r="AQ125" s="91">
        <f t="shared" si="166"/>
        <v>-2.7592728261148434</v>
      </c>
      <c r="AR125" s="198"/>
      <c r="AS125" s="81">
        <f>$H$125*月別販売比率!AG5</f>
        <v>6.6553459119496869</v>
      </c>
      <c r="AT125" s="21"/>
      <c r="AU125" s="81">
        <f>$H$125*月別販売比率!AL5</f>
        <v>5.9898113207547174</v>
      </c>
      <c r="AV125" s="21"/>
      <c r="AW125" s="245">
        <f>$H$125*月別販売比率!AQ5</f>
        <v>6.6553459119496869</v>
      </c>
      <c r="AX125" s="241">
        <v>15</v>
      </c>
      <c r="AY125" s="81">
        <f>$H$125*月別販売比率!AV5</f>
        <v>4.0527313304143728</v>
      </c>
      <c r="AZ125" s="21"/>
      <c r="BA125" s="81">
        <f>$H$125*月別販売比率!BA5</f>
        <v>3.7019110899422039</v>
      </c>
      <c r="BB125" s="21"/>
      <c r="BC125" s="81">
        <f>$H$125*月別販売比率!BF5</f>
        <v>5.3242767295597488</v>
      </c>
      <c r="BD125" s="21"/>
      <c r="BE125" s="245">
        <f>$H$125*月別販売比率!C21</f>
        <v>4.7162610396718305</v>
      </c>
      <c r="BF125" s="241">
        <v>55</v>
      </c>
      <c r="BG125" s="81">
        <f>$H$125*月別販売比率!H21</f>
        <v>4.6587421383647811</v>
      </c>
      <c r="BH125" s="21"/>
      <c r="BI125" s="81">
        <f>$H$125*月別販売比率!M21</f>
        <v>6.7261381025566465</v>
      </c>
      <c r="BJ125" s="21"/>
      <c r="BK125" s="81">
        <f>$H$125*月別販売比率!R21</f>
        <v>5.3242767295597488</v>
      </c>
      <c r="BL125" s="21"/>
      <c r="BM125" s="81">
        <f>$H$125*月別販売比率!W21</f>
        <v>5.0691587076450508</v>
      </c>
      <c r="BN125" s="21"/>
      <c r="BO125" s="245">
        <f>$H$125*月別販売比率!AB21</f>
        <v>7.9864150943396233</v>
      </c>
      <c r="BP125" s="241">
        <v>10</v>
      </c>
      <c r="BQ125" s="245">
        <f>$H$125*月別販売比率!AG21</f>
        <v>6.6553459119496869</v>
      </c>
      <c r="BR125" s="241">
        <v>10</v>
      </c>
      <c r="BS125" s="81">
        <f>$H$125*月別販売比率!AL21</f>
        <v>5.9898113207547174</v>
      </c>
      <c r="BT125" s="21"/>
      <c r="BU125" s="81">
        <f>$H$125*月別販売比率!AQ21</f>
        <v>6.6553459119496869</v>
      </c>
      <c r="BV125" s="21"/>
      <c r="BW125" s="81">
        <f>$H$125*月別販売比率!AV21</f>
        <v>4.0527313304143728</v>
      </c>
      <c r="BX125" s="21"/>
      <c r="BY125" s="81">
        <f>$H$125*月別販売比率!BA21</f>
        <v>3.7019110899422039</v>
      </c>
      <c r="BZ125" s="21"/>
      <c r="CA125" s="81">
        <f>$H$125*月別販売比率!BF21</f>
        <v>5.3242767295597488</v>
      </c>
      <c r="CB125" s="21"/>
      <c r="CC125" s="81">
        <f>H125*月別販売比率!$C$21</f>
        <v>4.7162610396718305</v>
      </c>
      <c r="CD125" s="21"/>
      <c r="CE125" s="81">
        <f>H125*月別販売比率!$H$21</f>
        <v>4.6587421383647811</v>
      </c>
      <c r="CF125" s="241">
        <v>40</v>
      </c>
      <c r="CG125" s="81">
        <f>H125*月別販売比率!$M$21</f>
        <v>6.7261381025566465</v>
      </c>
      <c r="CH125" s="21"/>
      <c r="CI125" s="81">
        <f>H125*月別販売比率!$R$21</f>
        <v>5.3242767295597488</v>
      </c>
      <c r="CJ125" s="21">
        <v>10</v>
      </c>
      <c r="CK125" s="81">
        <f>H125*月別販売比率!$W$21</f>
        <v>5.0691587076450508</v>
      </c>
      <c r="CL125" s="21"/>
      <c r="CM125" s="81">
        <f>H125*月別販売比率!$AB$21</f>
        <v>7.9864150943396233</v>
      </c>
      <c r="CN125" s="21"/>
      <c r="CO125" s="81">
        <f>H125*月別販売比率!$AG$21</f>
        <v>6.6553459119496869</v>
      </c>
      <c r="CP125" s="21">
        <v>10</v>
      </c>
      <c r="CQ125" s="81">
        <f>H125*月別販売比率!$AL$21</f>
        <v>5.9898113207547174</v>
      </c>
      <c r="CR125" s="21"/>
      <c r="CS125" s="81">
        <f>H125*月別販売比率!$AQ$21</f>
        <v>6.6553459119496869</v>
      </c>
      <c r="CT125" s="21"/>
      <c r="CU125" s="81">
        <f>H125*月別販売比率!$AV$21</f>
        <v>4.0527313304143728</v>
      </c>
      <c r="CV125" s="21"/>
      <c r="CW125" s="81">
        <f>H125*月別販売比率!$BA$21</f>
        <v>3.7019110899422039</v>
      </c>
      <c r="CX125" s="21"/>
      <c r="CY125" s="81">
        <f>H125*月別販売比率!$BF$21</f>
        <v>5.3242767295597488</v>
      </c>
      <c r="CZ125" s="21"/>
      <c r="DA125" s="28"/>
      <c r="DB125" s="294"/>
    </row>
    <row r="126" spans="2:106" ht="30.75" customHeight="1">
      <c r="C126" s="458"/>
      <c r="D126" s="444"/>
      <c r="E126" s="122" t="s">
        <v>50</v>
      </c>
      <c r="F126" s="126">
        <v>33</v>
      </c>
      <c r="G126" s="53">
        <f t="shared" si="167"/>
        <v>137940</v>
      </c>
      <c r="H126" s="52">
        <f>F126*($H$116/$F$116)</f>
        <v>42.235849056603776</v>
      </c>
      <c r="I126" s="53">
        <f t="shared" si="168"/>
        <v>176545.84905660379</v>
      </c>
      <c r="J126" s="127">
        <v>0</v>
      </c>
      <c r="K126" s="103">
        <f t="shared" si="158"/>
        <v>13</v>
      </c>
      <c r="L126" s="103">
        <v>1</v>
      </c>
      <c r="M126" s="103">
        <v>12</v>
      </c>
      <c r="N126" s="385"/>
      <c r="O126" s="123"/>
      <c r="P126" s="123"/>
      <c r="Q126" s="238"/>
      <c r="R126" s="238"/>
      <c r="S126" s="238"/>
      <c r="T126" s="238"/>
      <c r="U126" s="238"/>
      <c r="V126" s="238"/>
      <c r="W126" s="238"/>
      <c r="X126" s="329"/>
      <c r="Y126" s="329"/>
      <c r="Z126" s="238"/>
      <c r="AA126" s="238"/>
      <c r="AB126" s="238"/>
      <c r="AC126" s="329"/>
      <c r="AD126" s="329"/>
      <c r="AE126" s="329"/>
      <c r="AF126" s="329"/>
      <c r="AG126" s="331"/>
      <c r="AH126" s="331"/>
      <c r="AI126" s="238">
        <f>SUM(J126:K126)-CI126+CJ126</f>
        <v>14.621132075471698</v>
      </c>
      <c r="AJ126" s="238">
        <f t="shared" si="159"/>
        <v>11.404165972543108</v>
      </c>
      <c r="AK126" s="238">
        <f t="shared" si="160"/>
        <v>6.3358640857506554</v>
      </c>
      <c r="AL126" s="401">
        <f t="shared" si="161"/>
        <v>7.1122791800902778</v>
      </c>
      <c r="AM126" s="395">
        <f t="shared" si="162"/>
        <v>3.3110527649959383</v>
      </c>
      <c r="AN126" s="395">
        <f t="shared" si="163"/>
        <v>-0.91253214066443933</v>
      </c>
      <c r="AO126" s="395">
        <f t="shared" si="164"/>
        <v>-3.4844577926581755</v>
      </c>
      <c r="AP126" s="403">
        <f t="shared" si="165"/>
        <v>-5.8337475228138045</v>
      </c>
      <c r="AQ126" s="90">
        <f t="shared" si="166"/>
        <v>-9.212615447342106</v>
      </c>
      <c r="AR126" s="238"/>
      <c r="AS126" s="282">
        <f>$H$126*月別販売比率!AG5</f>
        <v>4.2235849056603776</v>
      </c>
      <c r="AT126" s="103"/>
      <c r="AU126" s="282">
        <f>$H$126*月別販売比率!AL5</f>
        <v>3.8012264150943396</v>
      </c>
      <c r="AV126" s="103"/>
      <c r="AW126" s="301">
        <f>$H$126*月別販売比率!AQ5</f>
        <v>4.2235849056603776</v>
      </c>
      <c r="AX126" s="302">
        <v>15</v>
      </c>
      <c r="AY126" s="282">
        <f>$H$126*月別販売比率!AV5</f>
        <v>2.5719256519937361</v>
      </c>
      <c r="AZ126" s="103"/>
      <c r="BA126" s="282">
        <f>$H$126*月別販売比率!BA5</f>
        <v>2.349289730155629</v>
      </c>
      <c r="BB126" s="103"/>
      <c r="BC126" s="282">
        <f>$H$126*月別販売比率!BF5</f>
        <v>3.378867924528302</v>
      </c>
      <c r="BD126" s="103"/>
      <c r="BE126" s="301">
        <f>$H$126*月別販売比率!C21</f>
        <v>2.9930118136378923</v>
      </c>
      <c r="BF126" s="302">
        <v>15</v>
      </c>
      <c r="BG126" s="282">
        <f>$H$126*月別販売比率!H21</f>
        <v>2.9565094339622644</v>
      </c>
      <c r="BH126" s="117"/>
      <c r="BI126" s="282">
        <f>$H$126*月別販売比率!M21</f>
        <v>4.2685107189301794</v>
      </c>
      <c r="BJ126" s="103"/>
      <c r="BK126" s="282">
        <f>$H$126*月別販売比率!R21</f>
        <v>3.378867924528302</v>
      </c>
      <c r="BL126" s="103"/>
      <c r="BM126" s="282">
        <f>$H$126*月別販売比率!W21</f>
        <v>3.2169661029285899</v>
      </c>
      <c r="BN126" s="103"/>
      <c r="BO126" s="301">
        <f>$H$126*月別販売比率!AB21</f>
        <v>5.0683018867924527</v>
      </c>
      <c r="BP126" s="302">
        <v>3</v>
      </c>
      <c r="BQ126" s="301">
        <f>$H$126*月別販売比率!AG21</f>
        <v>4.2235849056603776</v>
      </c>
      <c r="BR126" s="302">
        <v>12</v>
      </c>
      <c r="BS126" s="282">
        <f>$H$126*月別販売比率!AL21</f>
        <v>3.8012264150943396</v>
      </c>
      <c r="BT126" s="103"/>
      <c r="BU126" s="282">
        <f>$H$126*月別販売比率!AQ21</f>
        <v>4.2235849056603776</v>
      </c>
      <c r="BV126" s="103"/>
      <c r="BW126" s="282">
        <f>$H$126*月別販売比率!AV21</f>
        <v>2.5719256519937361</v>
      </c>
      <c r="BX126" s="103"/>
      <c r="BY126" s="282">
        <f>$H$126*月別販売比率!BA21</f>
        <v>2.349289730155629</v>
      </c>
      <c r="BZ126" s="103"/>
      <c r="CA126" s="282">
        <f>$H$126*月別販売比率!BF21</f>
        <v>3.378867924528302</v>
      </c>
      <c r="CB126" s="117"/>
      <c r="CC126" s="282">
        <f>H126*月別販売比率!$C$21</f>
        <v>2.9930118136378923</v>
      </c>
      <c r="CD126" s="117"/>
      <c r="CE126" s="282">
        <f>H126*月別販売比率!$H$21</f>
        <v>2.9565094339622644</v>
      </c>
      <c r="CF126" s="352">
        <v>25</v>
      </c>
      <c r="CG126" s="282">
        <f>H126*月別販売比率!$M$21</f>
        <v>4.2685107189301794</v>
      </c>
      <c r="CH126" s="117"/>
      <c r="CI126" s="282">
        <f>H126*月別販売比率!$R$21</f>
        <v>3.378867924528302</v>
      </c>
      <c r="CJ126" s="117">
        <v>5</v>
      </c>
      <c r="CK126" s="282">
        <f>H126*月別販売比率!$W$21</f>
        <v>3.2169661029285899</v>
      </c>
      <c r="CL126" s="117"/>
      <c r="CM126" s="282">
        <f>H126*月別販売比率!$AB$21</f>
        <v>5.0683018867924527</v>
      </c>
      <c r="CN126" s="117"/>
      <c r="CO126" s="282">
        <f>H126*月別販売比率!$AG$21</f>
        <v>4.2235849056603776</v>
      </c>
      <c r="CP126" s="117">
        <v>5</v>
      </c>
      <c r="CQ126" s="282">
        <f>H126*月別販売比率!$AL$21</f>
        <v>3.8012264150943396</v>
      </c>
      <c r="CR126" s="117"/>
      <c r="CS126" s="282">
        <f>H126*月別販売比率!$AQ$21</f>
        <v>4.2235849056603776</v>
      </c>
      <c r="CT126" s="117"/>
      <c r="CU126" s="282">
        <f>H126*月別販売比率!$AV$21</f>
        <v>2.5719256519937361</v>
      </c>
      <c r="CV126" s="103"/>
      <c r="CW126" s="282">
        <f>H126*月別販売比率!$BA$21</f>
        <v>2.349289730155629</v>
      </c>
      <c r="CX126" s="103"/>
      <c r="CY126" s="282">
        <f>H126*月別販売比率!$BF$21</f>
        <v>3.378867924528302</v>
      </c>
      <c r="CZ126" s="103"/>
      <c r="DA126" s="303"/>
      <c r="DB126" s="300"/>
    </row>
    <row r="127" spans="2:106" ht="30.6" customHeight="1">
      <c r="B127" s="2">
        <v>11</v>
      </c>
      <c r="C127" s="435" t="s">
        <v>485</v>
      </c>
      <c r="D127" s="436"/>
      <c r="E127" s="437"/>
      <c r="F127" s="130">
        <f>SUM(F128:F137)</f>
        <v>593</v>
      </c>
      <c r="G127" s="131">
        <f>SUM(G128:G137)</f>
        <v>2478740</v>
      </c>
      <c r="H127" s="130">
        <v>1275</v>
      </c>
      <c r="I127" s="131">
        <f t="shared" ref="I127:N127" si="169">SUM(I128:I137)</f>
        <v>7401560.5396290049</v>
      </c>
      <c r="J127" s="133">
        <f t="shared" si="169"/>
        <v>288</v>
      </c>
      <c r="K127" s="134">
        <f t="shared" si="169"/>
        <v>279</v>
      </c>
      <c r="L127" s="134">
        <f t="shared" si="169"/>
        <v>65</v>
      </c>
      <c r="M127" s="134">
        <f t="shared" si="169"/>
        <v>214</v>
      </c>
      <c r="N127" s="135">
        <f t="shared" si="169"/>
        <v>0</v>
      </c>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6">
        <f t="shared" ref="AS127:CZ127" si="170">SUM(AS128:AS137)</f>
        <v>177.070826306914</v>
      </c>
      <c r="AT127" s="134">
        <f t="shared" si="170"/>
        <v>0</v>
      </c>
      <c r="AU127" s="136">
        <f t="shared" si="170"/>
        <v>159.36374367622258</v>
      </c>
      <c r="AV127" s="134">
        <f t="shared" si="170"/>
        <v>0</v>
      </c>
      <c r="AW127" s="136">
        <f t="shared" si="170"/>
        <v>177.070826306914</v>
      </c>
      <c r="AX127" s="134">
        <f t="shared" si="170"/>
        <v>330</v>
      </c>
      <c r="AY127" s="136">
        <f t="shared" si="170"/>
        <v>107.82617387142911</v>
      </c>
      <c r="AZ127" s="134">
        <f t="shared" si="170"/>
        <v>0</v>
      </c>
      <c r="BA127" s="136">
        <f t="shared" si="170"/>
        <v>98.492319450119396</v>
      </c>
      <c r="BB127" s="134">
        <f t="shared" si="170"/>
        <v>0</v>
      </c>
      <c r="BC127" s="136">
        <f t="shared" si="170"/>
        <v>141.65666104553122</v>
      </c>
      <c r="BD127" s="134">
        <f t="shared" si="170"/>
        <v>0</v>
      </c>
      <c r="BE127" s="136">
        <f t="shared" si="170"/>
        <v>125.47991500702477</v>
      </c>
      <c r="BF127" s="134">
        <f t="shared" si="170"/>
        <v>330</v>
      </c>
      <c r="BG127" s="136">
        <f t="shared" si="170"/>
        <v>123.94957841483982</v>
      </c>
      <c r="BH127" s="134">
        <f t="shared" si="170"/>
        <v>0</v>
      </c>
      <c r="BI127" s="136">
        <f t="shared" si="170"/>
        <v>178.95430942750488</v>
      </c>
      <c r="BJ127" s="134">
        <f>SUM(BJ128:BJ137)</f>
        <v>0</v>
      </c>
      <c r="BK127" s="136">
        <f t="shared" si="170"/>
        <v>141.65666104553122</v>
      </c>
      <c r="BL127" s="134">
        <f t="shared" si="170"/>
        <v>600</v>
      </c>
      <c r="BM127" s="136">
        <f t="shared" si="170"/>
        <v>134.86904105644675</v>
      </c>
      <c r="BN127" s="134">
        <f t="shared" si="170"/>
        <v>0</v>
      </c>
      <c r="BO127" s="136">
        <f t="shared" si="170"/>
        <v>212.48499156829675</v>
      </c>
      <c r="BP127" s="134">
        <f t="shared" si="170"/>
        <v>0</v>
      </c>
      <c r="BQ127" s="136">
        <f t="shared" si="170"/>
        <v>177.070826306914</v>
      </c>
      <c r="BR127" s="134">
        <f t="shared" si="170"/>
        <v>600</v>
      </c>
      <c r="BS127" s="136">
        <f t="shared" si="170"/>
        <v>159.36374367622258</v>
      </c>
      <c r="BT127" s="134">
        <f t="shared" si="170"/>
        <v>0</v>
      </c>
      <c r="BU127" s="136">
        <f t="shared" si="170"/>
        <v>177.070826306914</v>
      </c>
      <c r="BV127" s="134">
        <f t="shared" si="170"/>
        <v>0</v>
      </c>
      <c r="BW127" s="136">
        <f t="shared" si="170"/>
        <v>107.82617387142911</v>
      </c>
      <c r="BX127" s="134">
        <f t="shared" si="170"/>
        <v>0</v>
      </c>
      <c r="BY127" s="136">
        <f t="shared" si="170"/>
        <v>98.492319450119396</v>
      </c>
      <c r="BZ127" s="134">
        <f t="shared" si="170"/>
        <v>0</v>
      </c>
      <c r="CA127" s="136">
        <f t="shared" si="170"/>
        <v>141.65666104553122</v>
      </c>
      <c r="CB127" s="134">
        <f t="shared" si="170"/>
        <v>0</v>
      </c>
      <c r="CC127" s="136">
        <f t="shared" si="170"/>
        <v>125.47991500702477</v>
      </c>
      <c r="CD127" s="134">
        <f t="shared" si="170"/>
        <v>0</v>
      </c>
      <c r="CE127" s="136">
        <f t="shared" si="170"/>
        <v>123.94957841483982</v>
      </c>
      <c r="CF127" s="134">
        <f t="shared" si="170"/>
        <v>570</v>
      </c>
      <c r="CG127" s="136">
        <f t="shared" si="170"/>
        <v>178.95430942750488</v>
      </c>
      <c r="CH127" s="134">
        <f t="shared" si="170"/>
        <v>0</v>
      </c>
      <c r="CI127" s="136">
        <f t="shared" si="170"/>
        <v>141.65666104553122</v>
      </c>
      <c r="CJ127" s="134">
        <f t="shared" si="170"/>
        <v>310</v>
      </c>
      <c r="CK127" s="136">
        <f t="shared" si="170"/>
        <v>134.86904105644675</v>
      </c>
      <c r="CL127" s="134">
        <f t="shared" si="170"/>
        <v>0</v>
      </c>
      <c r="CM127" s="136">
        <f t="shared" si="170"/>
        <v>212.48499156829675</v>
      </c>
      <c r="CN127" s="134">
        <f t="shared" si="170"/>
        <v>0</v>
      </c>
      <c r="CO127" s="136">
        <f t="shared" si="170"/>
        <v>177.070826306914</v>
      </c>
      <c r="CP127" s="134">
        <f t="shared" si="170"/>
        <v>310</v>
      </c>
      <c r="CQ127" s="136">
        <f t="shared" si="170"/>
        <v>159.36374367622258</v>
      </c>
      <c r="CR127" s="134">
        <f t="shared" si="170"/>
        <v>300</v>
      </c>
      <c r="CS127" s="136">
        <f t="shared" si="170"/>
        <v>177.070826306914</v>
      </c>
      <c r="CT127" s="134">
        <f t="shared" si="170"/>
        <v>0</v>
      </c>
      <c r="CU127" s="136">
        <v>107.82617387142911</v>
      </c>
      <c r="CV127" s="134">
        <f t="shared" si="170"/>
        <v>0</v>
      </c>
      <c r="CW127" s="136">
        <f t="shared" si="170"/>
        <v>98.492319450119396</v>
      </c>
      <c r="CX127" s="134">
        <f t="shared" si="170"/>
        <v>0</v>
      </c>
      <c r="CY127" s="136">
        <f t="shared" si="170"/>
        <v>141.65666104553122</v>
      </c>
      <c r="CZ127" s="134">
        <f t="shared" si="170"/>
        <v>0</v>
      </c>
      <c r="DA127" s="141"/>
      <c r="DB127" s="293"/>
    </row>
    <row r="128" spans="2:106" ht="30.75" customHeight="1">
      <c r="C128" s="446" t="s">
        <v>503</v>
      </c>
      <c r="D128" s="443">
        <v>1</v>
      </c>
      <c r="E128" s="99" t="s">
        <v>46</v>
      </c>
      <c r="F128" s="56">
        <v>58</v>
      </c>
      <c r="G128" s="46">
        <f>F128*4180</f>
        <v>242440</v>
      </c>
      <c r="H128" s="165">
        <v>190</v>
      </c>
      <c r="I128" s="46">
        <f>H128*4180</f>
        <v>794200</v>
      </c>
      <c r="J128" s="49">
        <v>51</v>
      </c>
      <c r="K128" s="39">
        <f t="shared" ref="K128:K137" si="171">SUM(L128:N128)</f>
        <v>38</v>
      </c>
      <c r="L128" s="39">
        <v>12</v>
      </c>
      <c r="M128" s="39">
        <v>26</v>
      </c>
      <c r="N128" s="384"/>
      <c r="O128" s="19"/>
      <c r="P128" s="19"/>
      <c r="Q128" s="330"/>
      <c r="R128" s="124"/>
      <c r="S128" s="124"/>
      <c r="T128" s="124"/>
      <c r="U128" s="124"/>
      <c r="V128" s="124"/>
      <c r="W128" s="124"/>
      <c r="X128" s="124"/>
      <c r="Y128" s="124"/>
      <c r="Z128" s="124"/>
      <c r="AA128" s="124"/>
      <c r="AB128" s="124"/>
      <c r="AC128" s="124"/>
      <c r="AD128" s="124"/>
      <c r="AE128" s="124"/>
      <c r="AF128" s="328"/>
      <c r="AG128" s="331"/>
      <c r="AH128" s="331"/>
      <c r="AI128" s="129">
        <f>SUM(J128:K128)-CI128+CJ128</f>
        <v>103.8</v>
      </c>
      <c r="AJ128" s="129">
        <f t="shared" ref="AJ128:AJ137" si="172">AI128-CK128+CL128</f>
        <v>89.3283231375962</v>
      </c>
      <c r="AK128" s="129">
        <f t="shared" ref="AK128:AK137" si="173">AJ128-CM128+CN128</f>
        <v>66.528323137596203</v>
      </c>
      <c r="AL128" s="399">
        <f t="shared" ref="AL128:AL137" si="174">AK128-CO128+CP128</f>
        <v>77.528323137596203</v>
      </c>
      <c r="AM128" s="393">
        <f t="shared" ref="AM128:AM137" si="175">AL128-CQ128+CR128</f>
        <v>80.428323137596209</v>
      </c>
      <c r="AN128" s="393">
        <f t="shared" ref="AN128:AN137" si="176">AM128-CS128+CT128</f>
        <v>61.428323137596209</v>
      </c>
      <c r="AO128" s="393">
        <f t="shared" ref="AO128:AO137" si="177">AN128-CU128+CV128</f>
        <v>49.858391792688046</v>
      </c>
      <c r="AP128" s="96">
        <f t="shared" ref="AP128:AP137" si="178">AO128-CW128+CX128</f>
        <v>39.289998858729064</v>
      </c>
      <c r="AQ128" s="91">
        <f t="shared" ref="AQ128:AQ137" si="179">AP128-CY128+CZ128</f>
        <v>24.089998858729061</v>
      </c>
      <c r="AR128" s="198"/>
      <c r="AS128" s="81">
        <f>$H$128*月別販売比率!AG5</f>
        <v>19</v>
      </c>
      <c r="AT128" s="39"/>
      <c r="AU128" s="81">
        <f>$H$128*月別販売比率!AL5</f>
        <v>17.099999999999998</v>
      </c>
      <c r="AV128" s="39"/>
      <c r="AW128" s="245">
        <f>$H$128*月別販売比率!AQ5</f>
        <v>19</v>
      </c>
      <c r="AX128" s="280"/>
      <c r="AY128" s="81">
        <f>$H$128*月別販売比率!AV5</f>
        <v>11.569931344908163</v>
      </c>
      <c r="AZ128" s="39"/>
      <c r="BA128" s="81">
        <f>$H$128*月別販売比率!BA5</f>
        <v>10.568392933958984</v>
      </c>
      <c r="BB128" s="39"/>
      <c r="BC128" s="81">
        <f>$H$128*月別販売比率!BF5</f>
        <v>15.200000000000001</v>
      </c>
      <c r="BD128" s="39"/>
      <c r="BE128" s="245">
        <f>$H$128*月別販売比率!C21</f>
        <v>13.464207712009639</v>
      </c>
      <c r="BF128" s="280"/>
      <c r="BG128" s="81">
        <f>$H$128*月別販売比率!H21</f>
        <v>13.3</v>
      </c>
      <c r="BH128" s="39"/>
      <c r="BI128" s="81">
        <f>$H$128*月別販売比率!M21</f>
        <v>19.202100933494261</v>
      </c>
      <c r="BJ128" s="39"/>
      <c r="BK128" s="245">
        <f>$H$128*月別販売比率!R21</f>
        <v>15.200000000000001</v>
      </c>
      <c r="BL128" s="280">
        <v>78</v>
      </c>
      <c r="BM128" s="81">
        <f>$H$128*月別販売比率!W21</f>
        <v>14.471676862403797</v>
      </c>
      <c r="BN128" s="39"/>
      <c r="BO128" s="81">
        <f>$H$128*月別販売比率!AB21</f>
        <v>22.8</v>
      </c>
      <c r="BP128" s="39"/>
      <c r="BQ128" s="245">
        <f>$H$128*月別販売比率!AG21</f>
        <v>19</v>
      </c>
      <c r="BR128" s="280">
        <v>50</v>
      </c>
      <c r="BS128" s="81">
        <f>$H$128*月別販売比率!AL21</f>
        <v>17.099999999999998</v>
      </c>
      <c r="BT128" s="39"/>
      <c r="BU128" s="81">
        <f>$H$128*月別販売比率!AQ21</f>
        <v>19</v>
      </c>
      <c r="BV128" s="39"/>
      <c r="BW128" s="81">
        <f>$H$128*月別販売比率!AV21</f>
        <v>11.569931344908163</v>
      </c>
      <c r="BX128" s="39"/>
      <c r="BY128" s="81">
        <f>$H$128*月別販売比率!BA21</f>
        <v>10.568392933958984</v>
      </c>
      <c r="BZ128" s="39"/>
      <c r="CA128" s="81">
        <f>$H$128*月別販売比率!BF21</f>
        <v>15.200000000000001</v>
      </c>
      <c r="CB128" s="39"/>
      <c r="CC128" s="81">
        <f>H128*月別販売比率!$C$21</f>
        <v>13.464207712009639</v>
      </c>
      <c r="CD128" s="39"/>
      <c r="CE128" s="81">
        <f>H128*月別販売比率!$H$21</f>
        <v>13.3</v>
      </c>
      <c r="CF128" s="280">
        <v>82</v>
      </c>
      <c r="CG128" s="81">
        <f>H128*月別販売比率!$M$21</f>
        <v>19.202100933494261</v>
      </c>
      <c r="CH128" s="39"/>
      <c r="CI128" s="81">
        <f>H128*月別販売比率!$R$21</f>
        <v>15.200000000000001</v>
      </c>
      <c r="CJ128" s="39">
        <v>30</v>
      </c>
      <c r="CK128" s="81">
        <f>H128*月別販売比率!$W$21</f>
        <v>14.471676862403797</v>
      </c>
      <c r="CL128" s="39"/>
      <c r="CM128" s="81">
        <f>H128*月別販売比率!$AB$21</f>
        <v>22.8</v>
      </c>
      <c r="CN128" s="39"/>
      <c r="CO128" s="81">
        <f>H128*月別販売比率!$AG$21</f>
        <v>19</v>
      </c>
      <c r="CP128" s="39">
        <v>30</v>
      </c>
      <c r="CQ128" s="81">
        <f>H128*月別販売比率!$AL$21</f>
        <v>17.099999999999998</v>
      </c>
      <c r="CR128" s="39">
        <v>20</v>
      </c>
      <c r="CS128" s="81">
        <f>H128*月別販売比率!$AQ$21</f>
        <v>19</v>
      </c>
      <c r="CT128" s="39"/>
      <c r="CU128" s="81">
        <f>H128*月別販売比率!$AV$21</f>
        <v>11.569931344908163</v>
      </c>
      <c r="CV128" s="39"/>
      <c r="CW128" s="81">
        <f>H128*月別販売比率!$BA$21</f>
        <v>10.568392933958984</v>
      </c>
      <c r="CX128" s="39"/>
      <c r="CY128" s="81">
        <f>H128*月別販売比率!$BF$21</f>
        <v>15.200000000000001</v>
      </c>
      <c r="CZ128" s="39"/>
      <c r="DA128" s="28"/>
      <c r="DB128" s="294"/>
    </row>
    <row r="129" spans="2:106" ht="30.75" customHeight="1">
      <c r="C129" s="457"/>
      <c r="D129" s="441"/>
      <c r="E129" s="94" t="s">
        <v>47</v>
      </c>
      <c r="F129" s="57">
        <v>76</v>
      </c>
      <c r="G129" s="46">
        <f t="shared" ref="G129:G137" si="180">F129*4180</f>
        <v>317680</v>
      </c>
      <c r="H129" s="165">
        <v>300</v>
      </c>
      <c r="I129" s="46">
        <f t="shared" ref="I129:I137" si="181">H129*4180</f>
        <v>1254000</v>
      </c>
      <c r="J129" s="9">
        <v>70</v>
      </c>
      <c r="K129" s="21">
        <f t="shared" si="171"/>
        <v>30</v>
      </c>
      <c r="L129" s="21">
        <v>8</v>
      </c>
      <c r="M129" s="21">
        <v>22</v>
      </c>
      <c r="N129" s="384"/>
      <c r="O129" s="19"/>
      <c r="P129" s="19"/>
      <c r="Q129" s="331">
        <v>45654</v>
      </c>
      <c r="R129" s="124"/>
      <c r="S129" s="124"/>
      <c r="T129" s="124"/>
      <c r="U129" s="124"/>
      <c r="V129" s="124"/>
      <c r="W129" s="124"/>
      <c r="X129" s="331">
        <v>45869</v>
      </c>
      <c r="Y129" s="124"/>
      <c r="Z129" s="124"/>
      <c r="AA129" s="124"/>
      <c r="AB129" s="124"/>
      <c r="AC129" s="124"/>
      <c r="AD129" s="124"/>
      <c r="AE129" s="124"/>
      <c r="AF129" s="328"/>
      <c r="AG129" s="331"/>
      <c r="AH129" s="331"/>
      <c r="AI129" s="129">
        <f>SUM(J129:K129)-CI129+CJ129</f>
        <v>126</v>
      </c>
      <c r="AJ129" s="129">
        <f t="shared" si="172"/>
        <v>103.14998390146769</v>
      </c>
      <c r="AK129" s="129">
        <f t="shared" si="173"/>
        <v>67.149983901467692</v>
      </c>
      <c r="AL129" s="399">
        <f t="shared" si="174"/>
        <v>87.149983901467692</v>
      </c>
      <c r="AM129" s="393">
        <f t="shared" si="175"/>
        <v>110.14998390146769</v>
      </c>
      <c r="AN129" s="393">
        <f t="shared" si="176"/>
        <v>80.149983901467692</v>
      </c>
      <c r="AO129" s="393">
        <f t="shared" si="177"/>
        <v>61.881671251612701</v>
      </c>
      <c r="AP129" s="96">
        <f t="shared" si="178"/>
        <v>45.194735040098521</v>
      </c>
      <c r="AQ129" s="91">
        <f t="shared" si="179"/>
        <v>21.194735040098521</v>
      </c>
      <c r="AR129" s="198"/>
      <c r="AS129" s="81">
        <f>$H$129*月別販売比率!AG5</f>
        <v>30</v>
      </c>
      <c r="AT129" s="21"/>
      <c r="AU129" s="81">
        <f>$H$129*月別販売比率!AL5</f>
        <v>27</v>
      </c>
      <c r="AV129" s="21"/>
      <c r="AW129" s="245">
        <f>$H$129*月別販売比率!AQ5</f>
        <v>30</v>
      </c>
      <c r="AX129" s="241">
        <v>50</v>
      </c>
      <c r="AY129" s="81">
        <f>$H$129*月別販売比率!AV5</f>
        <v>18.268312649854995</v>
      </c>
      <c r="AZ129" s="21"/>
      <c r="BA129" s="81">
        <f>$H$129*月別販売比率!BA5</f>
        <v>16.686936211514183</v>
      </c>
      <c r="BB129" s="21"/>
      <c r="BC129" s="81">
        <f>$H$129*月別販売比率!BF5</f>
        <v>24</v>
      </c>
      <c r="BD129" s="21"/>
      <c r="BE129" s="245">
        <f>$H$129*月別販売比率!C21</f>
        <v>21.259275334752061</v>
      </c>
      <c r="BF129" s="241">
        <v>50</v>
      </c>
      <c r="BG129" s="81">
        <f>$H$129*月別販売比率!H21</f>
        <v>21.000000000000004</v>
      </c>
      <c r="BH129" s="21"/>
      <c r="BI129" s="81">
        <f>$H$129*月別販売比率!M21</f>
        <v>30.319106737096199</v>
      </c>
      <c r="BJ129" s="21"/>
      <c r="BK129" s="245">
        <f>$H$129*月別販売比率!R21</f>
        <v>24</v>
      </c>
      <c r="BL129" s="241">
        <v>83</v>
      </c>
      <c r="BM129" s="81">
        <f>$H$129*月別販売比率!W21</f>
        <v>22.850016098532308</v>
      </c>
      <c r="BN129" s="21"/>
      <c r="BO129" s="81">
        <f>$H$129*月別販売比率!AB21</f>
        <v>36</v>
      </c>
      <c r="BP129" s="21"/>
      <c r="BQ129" s="245">
        <f>$H$129*月別販売比率!AG21</f>
        <v>30</v>
      </c>
      <c r="BR129" s="241">
        <v>75</v>
      </c>
      <c r="BS129" s="81">
        <f>$H$129*月別販売比率!AL21</f>
        <v>27</v>
      </c>
      <c r="BT129" s="21"/>
      <c r="BU129" s="81">
        <f>$H$129*月別販売比率!AQ21</f>
        <v>30</v>
      </c>
      <c r="BV129" s="21"/>
      <c r="BW129" s="81">
        <f>$H$129*月別販売比率!AV21</f>
        <v>18.268312649854995</v>
      </c>
      <c r="BX129" s="21"/>
      <c r="BY129" s="81">
        <f>$H$129*月別販売比率!BA21</f>
        <v>16.686936211514183</v>
      </c>
      <c r="BZ129" s="21"/>
      <c r="CA129" s="81">
        <f>$H$129*月別販売比率!BF21</f>
        <v>24</v>
      </c>
      <c r="CB129" s="21"/>
      <c r="CC129" s="81">
        <f>H129*月別販売比率!$C$21</f>
        <v>21.259275334752061</v>
      </c>
      <c r="CD129" s="21"/>
      <c r="CE129" s="81">
        <f>H129*月別販売比率!$H$21</f>
        <v>21.000000000000004</v>
      </c>
      <c r="CF129" s="241">
        <v>112</v>
      </c>
      <c r="CG129" s="81">
        <f>H129*月別販売比率!$M$21</f>
        <v>30.319106737096199</v>
      </c>
      <c r="CH129" s="21"/>
      <c r="CI129" s="81">
        <f>H129*月別販売比率!$R$21</f>
        <v>24</v>
      </c>
      <c r="CJ129" s="21">
        <v>50</v>
      </c>
      <c r="CK129" s="81">
        <f>H129*月別販売比率!$W$21</f>
        <v>22.850016098532308</v>
      </c>
      <c r="CL129" s="21"/>
      <c r="CM129" s="81">
        <f>H129*月別販売比率!$AB$21</f>
        <v>36</v>
      </c>
      <c r="CN129" s="21"/>
      <c r="CO129" s="81">
        <f>H129*月別販売比率!$AG$21</f>
        <v>30</v>
      </c>
      <c r="CP129" s="21">
        <v>50</v>
      </c>
      <c r="CQ129" s="81">
        <f>H129*月別販売比率!$AL$21</f>
        <v>27</v>
      </c>
      <c r="CR129" s="21">
        <v>50</v>
      </c>
      <c r="CS129" s="81">
        <f>H129*月別販売比率!$AQ$21</f>
        <v>30</v>
      </c>
      <c r="CT129" s="21"/>
      <c r="CU129" s="81">
        <f>H129*月別販売比率!$AV$21</f>
        <v>18.268312649854995</v>
      </c>
      <c r="CV129" s="21"/>
      <c r="CW129" s="81">
        <f>H129*月別販売比率!$BA$21</f>
        <v>16.686936211514183</v>
      </c>
      <c r="CX129" s="21"/>
      <c r="CY129" s="81">
        <f>H129*月別販売比率!$BF$21</f>
        <v>24</v>
      </c>
      <c r="CZ129" s="21"/>
      <c r="DA129" s="28"/>
      <c r="DB129" s="294"/>
    </row>
    <row r="130" spans="2:106" ht="30.75" customHeight="1">
      <c r="C130" s="457"/>
      <c r="D130" s="441"/>
      <c r="E130" s="94" t="s">
        <v>51</v>
      </c>
      <c r="F130" s="57">
        <v>85</v>
      </c>
      <c r="G130" s="46">
        <f t="shared" si="180"/>
        <v>355300</v>
      </c>
      <c r="H130" s="165">
        <v>200</v>
      </c>
      <c r="I130" s="46">
        <f t="shared" si="181"/>
        <v>836000</v>
      </c>
      <c r="J130" s="9">
        <v>32</v>
      </c>
      <c r="K130" s="21">
        <f t="shared" si="171"/>
        <v>30</v>
      </c>
      <c r="L130" s="21">
        <v>7</v>
      </c>
      <c r="M130" s="21">
        <v>23</v>
      </c>
      <c r="N130" s="384"/>
      <c r="O130" s="19"/>
      <c r="P130" s="19"/>
      <c r="Q130" s="331">
        <v>45654</v>
      </c>
      <c r="R130" s="124"/>
      <c r="S130" s="124"/>
      <c r="T130" s="124"/>
      <c r="U130" s="124"/>
      <c r="V130" s="124"/>
      <c r="W130" s="124"/>
      <c r="X130" s="124"/>
      <c r="Y130" s="124"/>
      <c r="Z130" s="124"/>
      <c r="AA130" s="124"/>
      <c r="AB130" s="124"/>
      <c r="AC130" s="124"/>
      <c r="AD130" s="124"/>
      <c r="AE130" s="124"/>
      <c r="AF130" s="328"/>
      <c r="AG130" s="331"/>
      <c r="AH130" s="331"/>
      <c r="AI130" s="129">
        <f>SUM(J130:K130)-CI130+CJ130</f>
        <v>81</v>
      </c>
      <c r="AJ130" s="129">
        <f t="shared" si="172"/>
        <v>65.7666559343118</v>
      </c>
      <c r="AK130" s="129">
        <f t="shared" si="173"/>
        <v>41.7666559343118</v>
      </c>
      <c r="AL130" s="399">
        <f t="shared" si="174"/>
        <v>56.7666559343118</v>
      </c>
      <c r="AM130" s="393">
        <f t="shared" si="175"/>
        <v>68.7666559343118</v>
      </c>
      <c r="AN130" s="393">
        <f t="shared" si="176"/>
        <v>48.7666559343118</v>
      </c>
      <c r="AO130" s="393">
        <f t="shared" si="177"/>
        <v>36.58778083440847</v>
      </c>
      <c r="AP130" s="96">
        <f t="shared" si="178"/>
        <v>25.463156693399014</v>
      </c>
      <c r="AQ130" s="91">
        <f t="shared" si="179"/>
        <v>9.4631566933990143</v>
      </c>
      <c r="AR130" s="198"/>
      <c r="AS130" s="81">
        <f>$H$130*月別販売比率!AG5</f>
        <v>20</v>
      </c>
      <c r="AT130" s="21"/>
      <c r="AU130" s="81">
        <f>$H$130*月別販売比率!AL5</f>
        <v>18</v>
      </c>
      <c r="AV130" s="21"/>
      <c r="AW130" s="245">
        <f>$H$130*月別販売比率!AQ5</f>
        <v>20</v>
      </c>
      <c r="AX130" s="241">
        <v>50</v>
      </c>
      <c r="AY130" s="81">
        <f>$H$130*月別販売比率!AV5</f>
        <v>12.178875099903328</v>
      </c>
      <c r="AZ130" s="21"/>
      <c r="BA130" s="81">
        <f>$H$130*月別販売比率!BA5</f>
        <v>11.124624141009457</v>
      </c>
      <c r="BB130" s="21"/>
      <c r="BC130" s="81">
        <f>$H$130*月別販売比率!BF5</f>
        <v>16</v>
      </c>
      <c r="BD130" s="21"/>
      <c r="BE130" s="245">
        <f>$H$130*月別販売比率!C21</f>
        <v>14.172850223168041</v>
      </c>
      <c r="BF130" s="241">
        <v>50</v>
      </c>
      <c r="BG130" s="81">
        <f>$H$130*月別販売比率!H21</f>
        <v>14.000000000000002</v>
      </c>
      <c r="BH130" s="21"/>
      <c r="BI130" s="81">
        <f>$H$130*月別販売比率!M21</f>
        <v>20.212737824730802</v>
      </c>
      <c r="BJ130" s="21"/>
      <c r="BK130" s="245">
        <f>$H$130*月別販売比率!R21</f>
        <v>16</v>
      </c>
      <c r="BL130" s="241">
        <v>115</v>
      </c>
      <c r="BM130" s="81">
        <f>$H$130*月別販売比率!W21</f>
        <v>15.233344065688206</v>
      </c>
      <c r="BN130" s="21"/>
      <c r="BO130" s="81">
        <f>$H$130*月別販売比率!AB21</f>
        <v>24</v>
      </c>
      <c r="BP130" s="21"/>
      <c r="BQ130" s="245">
        <f>$H$130*月別販売比率!AG21</f>
        <v>20</v>
      </c>
      <c r="BR130" s="241">
        <v>30</v>
      </c>
      <c r="BS130" s="81">
        <f>$H$130*月別販売比率!AL21</f>
        <v>18</v>
      </c>
      <c r="BT130" s="21"/>
      <c r="BU130" s="81">
        <f>$H$130*月別販売比率!AQ21</f>
        <v>20</v>
      </c>
      <c r="BV130" s="21"/>
      <c r="BW130" s="81">
        <f>$H$130*月別販売比率!AV21</f>
        <v>12.178875099903328</v>
      </c>
      <c r="BX130" s="21"/>
      <c r="BY130" s="81">
        <f>$H$130*月別販売比率!BA21</f>
        <v>11.124624141009457</v>
      </c>
      <c r="BZ130" s="21"/>
      <c r="CA130" s="81">
        <f>$H$130*月別販売比率!BF21</f>
        <v>16</v>
      </c>
      <c r="CB130" s="21"/>
      <c r="CC130" s="81">
        <f>H130*月別販売比率!$C$21</f>
        <v>14.172850223168041</v>
      </c>
      <c r="CD130" s="21"/>
      <c r="CE130" s="81">
        <f>H130*月別販売比率!$H$21</f>
        <v>14.000000000000002</v>
      </c>
      <c r="CF130" s="241">
        <v>67</v>
      </c>
      <c r="CG130" s="81">
        <f>H130*月別販売比率!$M$21</f>
        <v>20.212737824730802</v>
      </c>
      <c r="CH130" s="21"/>
      <c r="CI130" s="81">
        <f>H130*月別販売比率!$R$21</f>
        <v>16</v>
      </c>
      <c r="CJ130" s="21">
        <v>35</v>
      </c>
      <c r="CK130" s="81">
        <f>H130*月別販売比率!$W$21</f>
        <v>15.233344065688206</v>
      </c>
      <c r="CL130" s="21"/>
      <c r="CM130" s="81">
        <f>H130*月別販売比率!$AB$21</f>
        <v>24</v>
      </c>
      <c r="CN130" s="21"/>
      <c r="CO130" s="81">
        <f>H130*月別販売比率!$AG$21</f>
        <v>20</v>
      </c>
      <c r="CP130" s="21">
        <v>35</v>
      </c>
      <c r="CQ130" s="81">
        <f>H130*月別販売比率!$AL$21</f>
        <v>18</v>
      </c>
      <c r="CR130" s="21">
        <v>30</v>
      </c>
      <c r="CS130" s="81">
        <f>H130*月別販売比率!$AQ$21</f>
        <v>20</v>
      </c>
      <c r="CT130" s="21"/>
      <c r="CU130" s="81">
        <f>H130*月別販売比率!$AV$21</f>
        <v>12.178875099903328</v>
      </c>
      <c r="CV130" s="21"/>
      <c r="CW130" s="81">
        <f>H130*月別販売比率!$BA$21</f>
        <v>11.124624141009457</v>
      </c>
      <c r="CX130" s="21"/>
      <c r="CY130" s="81">
        <f>H130*月別販売比率!$BF$21</f>
        <v>16</v>
      </c>
      <c r="CZ130" s="21"/>
      <c r="DA130" s="28"/>
      <c r="DB130" s="294"/>
    </row>
    <row r="131" spans="2:106" ht="30.75" customHeight="1">
      <c r="C131" s="457"/>
      <c r="D131" s="441"/>
      <c r="E131" s="94" t="s">
        <v>49</v>
      </c>
      <c r="F131" s="57">
        <v>39</v>
      </c>
      <c r="G131" s="46">
        <f t="shared" si="180"/>
        <v>163020</v>
      </c>
      <c r="H131" s="165">
        <v>130</v>
      </c>
      <c r="I131" s="46">
        <f t="shared" si="181"/>
        <v>543400</v>
      </c>
      <c r="J131" s="9">
        <v>16</v>
      </c>
      <c r="K131" s="21">
        <f t="shared" si="171"/>
        <v>28</v>
      </c>
      <c r="L131" s="21">
        <v>6</v>
      </c>
      <c r="M131" s="21">
        <v>22</v>
      </c>
      <c r="N131" s="384"/>
      <c r="O131" s="19"/>
      <c r="P131" s="288"/>
      <c r="Q131" s="331">
        <v>45654</v>
      </c>
      <c r="R131" s="124"/>
      <c r="S131" s="124"/>
      <c r="T131" s="124"/>
      <c r="U131" s="124"/>
      <c r="V131" s="124"/>
      <c r="W131" s="124"/>
      <c r="X131" s="124"/>
      <c r="Y131" s="124"/>
      <c r="Z131" s="124"/>
      <c r="AA131" s="124"/>
      <c r="AB131" s="124"/>
      <c r="AC131" s="124"/>
      <c r="AD131" s="124"/>
      <c r="AE131" s="124"/>
      <c r="AF131" s="124"/>
      <c r="AG131" s="331"/>
      <c r="AH131" s="331"/>
      <c r="AI131" s="129">
        <f>SUM(J131:K131)-CI131+CJ131</f>
        <v>53.6</v>
      </c>
      <c r="AJ131" s="129">
        <f t="shared" si="172"/>
        <v>43.698326357302669</v>
      </c>
      <c r="AK131" s="129">
        <f t="shared" si="173"/>
        <v>28.098326357302668</v>
      </c>
      <c r="AL131" s="399">
        <f t="shared" si="174"/>
        <v>35.098326357302668</v>
      </c>
      <c r="AM131" s="393">
        <f t="shared" si="175"/>
        <v>53.398326357302665</v>
      </c>
      <c r="AN131" s="393">
        <f t="shared" si="176"/>
        <v>40.398326357302665</v>
      </c>
      <c r="AO131" s="393">
        <f t="shared" si="177"/>
        <v>32.482057542365503</v>
      </c>
      <c r="AP131" s="96">
        <f t="shared" si="178"/>
        <v>25.251051850709356</v>
      </c>
      <c r="AQ131" s="91">
        <f t="shared" si="179"/>
        <v>14.851051850709355</v>
      </c>
      <c r="AR131" s="198"/>
      <c r="AS131" s="81">
        <f>$H$131*月別販売比率!AG5</f>
        <v>13</v>
      </c>
      <c r="AT131" s="21"/>
      <c r="AU131" s="81">
        <f>$H$131*月別販売比率!AL5</f>
        <v>11.7</v>
      </c>
      <c r="AV131" s="21"/>
      <c r="AW131" s="245">
        <f>$H$131*月別販売比率!AQ5</f>
        <v>13</v>
      </c>
      <c r="AX131" s="241">
        <v>50</v>
      </c>
      <c r="AY131" s="81">
        <f>$H$131*月別販売比率!AV5</f>
        <v>7.9162688149371636</v>
      </c>
      <c r="AZ131" s="21"/>
      <c r="BA131" s="81">
        <f>$H$131*月別販売比率!BA5</f>
        <v>7.2310056916561471</v>
      </c>
      <c r="BB131" s="21"/>
      <c r="BC131" s="81">
        <f>$H$131*月別販売比率!BF5</f>
        <v>10.4</v>
      </c>
      <c r="BD131" s="21"/>
      <c r="BE131" s="245">
        <f>$H$131*月別販売比率!C21</f>
        <v>9.2123526450592266</v>
      </c>
      <c r="BF131" s="241">
        <v>50</v>
      </c>
      <c r="BG131" s="81">
        <f>$H$131*月別販売比率!H21</f>
        <v>9.1000000000000014</v>
      </c>
      <c r="BH131" s="21"/>
      <c r="BI131" s="81">
        <f>$H$131*月別販売比率!M21</f>
        <v>13.13827958607502</v>
      </c>
      <c r="BJ131" s="21"/>
      <c r="BK131" s="245">
        <f>$H$131*月別販売比率!R21</f>
        <v>10.4</v>
      </c>
      <c r="BL131" s="241">
        <v>10</v>
      </c>
      <c r="BM131" s="81">
        <f>$H$131*月別販売比率!W21</f>
        <v>9.9016736426973342</v>
      </c>
      <c r="BN131" s="21"/>
      <c r="BO131" s="81">
        <f>$H$131*月別販売比率!AB21</f>
        <v>15.6</v>
      </c>
      <c r="BP131" s="21"/>
      <c r="BQ131" s="245">
        <f>$H$131*月別販売比率!AG21</f>
        <v>13</v>
      </c>
      <c r="BR131" s="241">
        <v>20</v>
      </c>
      <c r="BS131" s="81">
        <f>$H$131*月別販売比率!AL21</f>
        <v>11.7</v>
      </c>
      <c r="BT131" s="21"/>
      <c r="BU131" s="81">
        <f>$H$131*月別販売比率!AQ21</f>
        <v>13</v>
      </c>
      <c r="BV131" s="21"/>
      <c r="BW131" s="81">
        <f>$H$131*月別販売比率!AV21</f>
        <v>7.9162688149371636</v>
      </c>
      <c r="BX131" s="21"/>
      <c r="BY131" s="81">
        <f>$H$131*月別販売比率!BA21</f>
        <v>7.2310056916561471</v>
      </c>
      <c r="BZ131" s="21"/>
      <c r="CA131" s="81">
        <f>$H$131*月別販売比率!BF21</f>
        <v>10.4</v>
      </c>
      <c r="CB131" s="21"/>
      <c r="CC131" s="81">
        <f>H131*月別販売比率!$C$21</f>
        <v>9.2123526450592266</v>
      </c>
      <c r="CD131" s="21"/>
      <c r="CE131" s="81">
        <f>H131*月別販売比率!$H$21</f>
        <v>9.1000000000000014</v>
      </c>
      <c r="CF131" s="241">
        <v>57</v>
      </c>
      <c r="CG131" s="81">
        <f>H131*月別販売比率!$M$21</f>
        <v>13.13827958607502</v>
      </c>
      <c r="CH131" s="21"/>
      <c r="CI131" s="81">
        <f>H131*月別販売比率!$R$21</f>
        <v>10.4</v>
      </c>
      <c r="CJ131" s="21">
        <v>20</v>
      </c>
      <c r="CK131" s="81">
        <f>H131*月別販売比率!$W$21</f>
        <v>9.9016736426973342</v>
      </c>
      <c r="CL131" s="21"/>
      <c r="CM131" s="81">
        <f>H131*月別販売比率!$AB$21</f>
        <v>15.6</v>
      </c>
      <c r="CN131" s="21"/>
      <c r="CO131" s="81">
        <f>H131*月別販売比率!$AG$21</f>
        <v>13</v>
      </c>
      <c r="CP131" s="21">
        <v>20</v>
      </c>
      <c r="CQ131" s="81">
        <f>H131*月別販売比率!$AL$21</f>
        <v>11.7</v>
      </c>
      <c r="CR131" s="21">
        <v>30</v>
      </c>
      <c r="CS131" s="81">
        <f>H131*月別販売比率!$AQ$21</f>
        <v>13</v>
      </c>
      <c r="CT131" s="21"/>
      <c r="CU131" s="81">
        <f>H131*月別販売比率!$AV$21</f>
        <v>7.9162688149371636</v>
      </c>
      <c r="CV131" s="21"/>
      <c r="CW131" s="81">
        <f>H131*月別販売比率!$BA$21</f>
        <v>7.2310056916561471</v>
      </c>
      <c r="CX131" s="21"/>
      <c r="CY131" s="81">
        <f>H131*月別販売比率!$BF$21</f>
        <v>10.4</v>
      </c>
      <c r="CZ131" s="21"/>
      <c r="DA131" s="28"/>
      <c r="DB131" s="294"/>
    </row>
    <row r="132" spans="2:106" ht="30.75" customHeight="1">
      <c r="C132" s="457"/>
      <c r="D132" s="442"/>
      <c r="E132" s="94" t="s">
        <v>50</v>
      </c>
      <c r="F132" s="57">
        <v>18</v>
      </c>
      <c r="G132" s="46">
        <f t="shared" si="180"/>
        <v>75240</v>
      </c>
      <c r="H132" s="165">
        <v>80</v>
      </c>
      <c r="I132" s="46">
        <f t="shared" si="181"/>
        <v>334400</v>
      </c>
      <c r="J132" s="9">
        <v>0</v>
      </c>
      <c r="K132" s="21">
        <f t="shared" si="171"/>
        <v>7</v>
      </c>
      <c r="L132" s="21">
        <v>0</v>
      </c>
      <c r="M132" s="21">
        <v>7</v>
      </c>
      <c r="N132" s="384"/>
      <c r="O132" s="19"/>
      <c r="P132" s="19"/>
      <c r="Q132" s="330"/>
      <c r="R132" s="124"/>
      <c r="S132" s="124"/>
      <c r="T132" s="124"/>
      <c r="U132" s="328"/>
      <c r="V132" s="124"/>
      <c r="W132" s="124"/>
      <c r="X132" s="331">
        <v>45869</v>
      </c>
      <c r="Y132" s="124"/>
      <c r="Z132" s="124"/>
      <c r="AA132" s="328"/>
      <c r="AB132" s="331">
        <v>45971</v>
      </c>
      <c r="AC132" s="331">
        <v>45971</v>
      </c>
      <c r="AD132" s="124"/>
      <c r="AE132" s="124"/>
      <c r="AF132" s="124"/>
      <c r="AG132" s="124"/>
      <c r="AH132" s="331"/>
      <c r="AI132" s="129">
        <f>SUM(J132:K132)-CI132+CJ132</f>
        <v>15.6</v>
      </c>
      <c r="AJ132" s="129">
        <f t="shared" si="172"/>
        <v>9.5066623737247173</v>
      </c>
      <c r="AK132" s="129">
        <f t="shared" si="173"/>
        <v>-9.3337626275282304E-2</v>
      </c>
      <c r="AL132" s="129">
        <f>0-CO132+CP132</f>
        <v>7</v>
      </c>
      <c r="AM132" s="393">
        <f t="shared" si="175"/>
        <v>29.8</v>
      </c>
      <c r="AN132" s="393">
        <f t="shared" si="176"/>
        <v>21.8</v>
      </c>
      <c r="AO132" s="393">
        <f t="shared" si="177"/>
        <v>16.92844996003867</v>
      </c>
      <c r="AP132" s="96">
        <f t="shared" si="178"/>
        <v>12.478600303634888</v>
      </c>
      <c r="AQ132" s="91">
        <f t="shared" si="179"/>
        <v>6.0786003036348877</v>
      </c>
      <c r="AR132" s="198"/>
      <c r="AS132" s="81">
        <f>$H$132*月別販売比率!AG5</f>
        <v>8</v>
      </c>
      <c r="AT132" s="21"/>
      <c r="AU132" s="81">
        <f>$H$132*月別販売比率!AL5</f>
        <v>7.1999999999999993</v>
      </c>
      <c r="AV132" s="21"/>
      <c r="AW132" s="245">
        <f>$H$132*月別販売比率!AQ5</f>
        <v>8</v>
      </c>
      <c r="AX132" s="241"/>
      <c r="AY132" s="81">
        <f>$H$132*月別販売比率!AV5</f>
        <v>4.8715500399613312</v>
      </c>
      <c r="AZ132" s="21"/>
      <c r="BA132" s="81">
        <f>$H$132*月別販売比率!BA5</f>
        <v>4.4498496564037824</v>
      </c>
      <c r="BB132" s="21"/>
      <c r="BC132" s="81">
        <f>$H$132*月別販売比率!BF5</f>
        <v>6.4</v>
      </c>
      <c r="BD132" s="21"/>
      <c r="BE132" s="245">
        <f>$H$132*月別販売比率!C21</f>
        <v>5.6691400892672164</v>
      </c>
      <c r="BF132" s="241"/>
      <c r="BG132" s="81">
        <f>$H$132*月別販売比率!H21</f>
        <v>5.6000000000000005</v>
      </c>
      <c r="BH132" s="21"/>
      <c r="BI132" s="81">
        <f>$H$132*月別販売比率!M21</f>
        <v>8.0850951298923199</v>
      </c>
      <c r="BJ132" s="21"/>
      <c r="BK132" s="245">
        <f>$H$132*月別販売比率!R21</f>
        <v>6.4</v>
      </c>
      <c r="BL132" s="241">
        <v>14</v>
      </c>
      <c r="BM132" s="81">
        <f>$H$132*月別販売比率!W21</f>
        <v>6.0933376262752823</v>
      </c>
      <c r="BN132" s="21"/>
      <c r="BO132" s="81">
        <f>$H$132*月別販売比率!AB21</f>
        <v>9.6</v>
      </c>
      <c r="BP132" s="21"/>
      <c r="BQ132" s="245">
        <f>$H$132*月別販売比率!AG21</f>
        <v>8</v>
      </c>
      <c r="BR132" s="241">
        <v>50</v>
      </c>
      <c r="BS132" s="81">
        <f>$H$132*月別販売比率!AL21</f>
        <v>7.1999999999999993</v>
      </c>
      <c r="BT132" s="21"/>
      <c r="BU132" s="81">
        <f>$H$132*月別販売比率!AQ21</f>
        <v>8</v>
      </c>
      <c r="BV132" s="21"/>
      <c r="BW132" s="81">
        <f>$H$132*月別販売比率!AV21</f>
        <v>4.8715500399613312</v>
      </c>
      <c r="BX132" s="21"/>
      <c r="BY132" s="81">
        <f>$H$132*月別販売比率!BA21</f>
        <v>4.4498496564037824</v>
      </c>
      <c r="BZ132" s="21"/>
      <c r="CA132" s="81">
        <f>$H$132*月別販売比率!BF21</f>
        <v>6.4</v>
      </c>
      <c r="CB132" s="21"/>
      <c r="CC132" s="81">
        <f>H132*月別販売比率!$C$21</f>
        <v>5.6691400892672164</v>
      </c>
      <c r="CD132" s="21"/>
      <c r="CE132" s="81">
        <f>H132*月別販売比率!$H$21</f>
        <v>5.6000000000000005</v>
      </c>
      <c r="CF132" s="241">
        <v>17</v>
      </c>
      <c r="CG132" s="81">
        <f>H132*月別販売比率!$M$21</f>
        <v>8.0850951298923199</v>
      </c>
      <c r="CH132" s="21"/>
      <c r="CI132" s="81">
        <f>H132*月別販売比率!$R$21</f>
        <v>6.4</v>
      </c>
      <c r="CJ132" s="21">
        <v>15</v>
      </c>
      <c r="CK132" s="81">
        <f>H132*月別販売比率!$W$21</f>
        <v>6.0933376262752823</v>
      </c>
      <c r="CL132" s="21"/>
      <c r="CM132" s="81">
        <f>H132*月別販売比率!$AB$21</f>
        <v>9.6</v>
      </c>
      <c r="CN132" s="21"/>
      <c r="CO132" s="81">
        <f>H132*月別販売比率!$AG$21</f>
        <v>8</v>
      </c>
      <c r="CP132" s="21">
        <v>15</v>
      </c>
      <c r="CQ132" s="81">
        <f>H132*月別販売比率!$AL$21</f>
        <v>7.1999999999999993</v>
      </c>
      <c r="CR132" s="21">
        <v>30</v>
      </c>
      <c r="CS132" s="81">
        <f>H132*月別販売比率!$AQ$21</f>
        <v>8</v>
      </c>
      <c r="CT132" s="21"/>
      <c r="CU132" s="81">
        <f>H132*月別販売比率!$AV$21</f>
        <v>4.8715500399613312</v>
      </c>
      <c r="CV132" s="21"/>
      <c r="CW132" s="81">
        <f>H132*月別販売比率!$BA$21</f>
        <v>4.4498496564037824</v>
      </c>
      <c r="CX132" s="21"/>
      <c r="CY132" s="81">
        <f>H132*月別販売比率!$BF$21</f>
        <v>6.4</v>
      </c>
      <c r="CZ132" s="21"/>
      <c r="DA132" s="28"/>
      <c r="DB132" s="294"/>
    </row>
    <row r="133" spans="2:106" ht="30.75" customHeight="1">
      <c r="C133" s="457"/>
      <c r="D133" s="443">
        <v>2</v>
      </c>
      <c r="E133" s="94" t="s">
        <v>46</v>
      </c>
      <c r="F133" s="57">
        <v>66</v>
      </c>
      <c r="G133" s="46">
        <f t="shared" si="180"/>
        <v>275880</v>
      </c>
      <c r="H133" s="165">
        <v>180</v>
      </c>
      <c r="I133" s="46">
        <f t="shared" si="181"/>
        <v>752400</v>
      </c>
      <c r="J133" s="9">
        <v>37</v>
      </c>
      <c r="K133" s="21">
        <f t="shared" si="171"/>
        <v>36</v>
      </c>
      <c r="L133" s="21">
        <v>9</v>
      </c>
      <c r="M133" s="21">
        <v>27</v>
      </c>
      <c r="N133" s="384"/>
      <c r="O133" s="19"/>
      <c r="P133" s="19"/>
      <c r="Q133" s="330"/>
      <c r="R133" s="124"/>
      <c r="S133" s="124"/>
      <c r="T133" s="328"/>
      <c r="U133" s="328"/>
      <c r="V133" s="124"/>
      <c r="W133" s="124"/>
      <c r="X133" s="331">
        <v>45869</v>
      </c>
      <c r="Y133" s="124"/>
      <c r="Z133" s="124"/>
      <c r="AA133" s="124"/>
      <c r="AB133" s="124"/>
      <c r="AC133" s="124"/>
      <c r="AD133" s="124"/>
      <c r="AE133" s="124"/>
      <c r="AF133" s="124"/>
      <c r="AG133" s="124"/>
      <c r="AH133" s="124"/>
      <c r="AI133" s="129">
        <f>SUM(J133:K133)-CI133+CJ133</f>
        <v>88.6</v>
      </c>
      <c r="AJ133" s="129">
        <f t="shared" si="172"/>
        <v>74.889990340880615</v>
      </c>
      <c r="AK133" s="129">
        <f t="shared" si="173"/>
        <v>53.289990340880621</v>
      </c>
      <c r="AL133" s="399">
        <f t="shared" si="174"/>
        <v>65.289990340880621</v>
      </c>
      <c r="AM133" s="393">
        <f t="shared" si="175"/>
        <v>69.089990340880618</v>
      </c>
      <c r="AN133" s="393">
        <f t="shared" si="176"/>
        <v>51.089990340880618</v>
      </c>
      <c r="AO133" s="393">
        <f t="shared" si="177"/>
        <v>40.129002750967622</v>
      </c>
      <c r="AP133" s="96">
        <f t="shared" si="178"/>
        <v>30.116841024059113</v>
      </c>
      <c r="AQ133" s="91">
        <f t="shared" si="179"/>
        <v>15.716841024059113</v>
      </c>
      <c r="AR133" s="198"/>
      <c r="AS133" s="81">
        <f>$H$133*月別販売比率!AG5</f>
        <v>18</v>
      </c>
      <c r="AT133" s="21"/>
      <c r="AU133" s="81">
        <f>$H$133*月別販売比率!AL5</f>
        <v>16.2</v>
      </c>
      <c r="AV133" s="21"/>
      <c r="AW133" s="245">
        <f>$H$133*月別販売比率!AQ5</f>
        <v>18</v>
      </c>
      <c r="AX133" s="241"/>
      <c r="AY133" s="81">
        <f>$H$133*月別販売比率!AV5</f>
        <v>10.960987589912996</v>
      </c>
      <c r="AZ133" s="21"/>
      <c r="BA133" s="81">
        <f>$H$133*月別販売比率!BA5</f>
        <v>10.012161726908511</v>
      </c>
      <c r="BB133" s="21"/>
      <c r="BC133" s="81">
        <f>$H$133*月別販売比率!BF5</f>
        <v>14.4</v>
      </c>
      <c r="BD133" s="21"/>
      <c r="BE133" s="245">
        <f>$H$133*月別販売比率!C21</f>
        <v>12.755565200851237</v>
      </c>
      <c r="BF133" s="241"/>
      <c r="BG133" s="81">
        <f>$H$133*月別販売比率!H21</f>
        <v>12.600000000000001</v>
      </c>
      <c r="BH133" s="21"/>
      <c r="BI133" s="81">
        <f>$H$133*月別販売比率!M21</f>
        <v>18.191464042257721</v>
      </c>
      <c r="BJ133" s="21"/>
      <c r="BK133" s="245">
        <f>$H$133*月別販売比率!R21</f>
        <v>14.4</v>
      </c>
      <c r="BL133" s="241">
        <v>80</v>
      </c>
      <c r="BM133" s="81">
        <f>$H$133*月別販売比率!W21</f>
        <v>13.710009659119386</v>
      </c>
      <c r="BN133" s="21"/>
      <c r="BO133" s="81">
        <f>$H$133*月別販売比率!AB21</f>
        <v>21.599999999999998</v>
      </c>
      <c r="BP133" s="21"/>
      <c r="BQ133" s="245">
        <f>$H$133*月別販売比率!AG21</f>
        <v>18</v>
      </c>
      <c r="BR133" s="241">
        <v>75</v>
      </c>
      <c r="BS133" s="81">
        <f>$H$133*月別販売比率!AL21</f>
        <v>16.2</v>
      </c>
      <c r="BT133" s="21"/>
      <c r="BU133" s="81">
        <f>$H$133*月別販売比率!AQ21</f>
        <v>18</v>
      </c>
      <c r="BV133" s="21"/>
      <c r="BW133" s="81">
        <f>$H$133*月別販売比率!AV21</f>
        <v>10.960987589912996</v>
      </c>
      <c r="BX133" s="21"/>
      <c r="BY133" s="81">
        <f>$H$133*月別販売比率!BA21</f>
        <v>10.012161726908511</v>
      </c>
      <c r="BZ133" s="21"/>
      <c r="CA133" s="81">
        <f>$H$133*月別販売比率!BF21</f>
        <v>14.4</v>
      </c>
      <c r="CB133" s="21"/>
      <c r="CC133" s="81">
        <f>H133*月別販売比率!$C$21</f>
        <v>12.755565200851237</v>
      </c>
      <c r="CD133" s="21"/>
      <c r="CE133" s="81">
        <f>H133*月別販売比率!$H$21</f>
        <v>12.600000000000001</v>
      </c>
      <c r="CF133" s="241">
        <v>47</v>
      </c>
      <c r="CG133" s="81">
        <f>H133*月別販売比率!$M$21</f>
        <v>18.191464042257721</v>
      </c>
      <c r="CH133" s="21"/>
      <c r="CI133" s="81">
        <f>H133*月別販売比率!$R$21</f>
        <v>14.4</v>
      </c>
      <c r="CJ133" s="21">
        <v>30</v>
      </c>
      <c r="CK133" s="81">
        <f>H133*月別販売比率!$W$21</f>
        <v>13.710009659119386</v>
      </c>
      <c r="CL133" s="21"/>
      <c r="CM133" s="81">
        <f>H133*月別販売比率!$AB$21</f>
        <v>21.599999999999998</v>
      </c>
      <c r="CN133" s="21"/>
      <c r="CO133" s="81">
        <f>H133*月別販売比率!$AG$21</f>
        <v>18</v>
      </c>
      <c r="CP133" s="21">
        <v>30</v>
      </c>
      <c r="CQ133" s="81">
        <f>H133*月別販売比率!$AL$21</f>
        <v>16.2</v>
      </c>
      <c r="CR133" s="21">
        <v>20</v>
      </c>
      <c r="CS133" s="81">
        <f>H133*月別販売比率!$AQ$21</f>
        <v>18</v>
      </c>
      <c r="CT133" s="21"/>
      <c r="CU133" s="81">
        <f>H133*月別販売比率!$AV$21</f>
        <v>10.960987589912996</v>
      </c>
      <c r="CV133" s="21"/>
      <c r="CW133" s="81">
        <f>H133*月別販売比率!$BA$21</f>
        <v>10.012161726908511</v>
      </c>
      <c r="CX133" s="21"/>
      <c r="CY133" s="81">
        <f>H133*月別販売比率!$BF$21</f>
        <v>14.4</v>
      </c>
      <c r="CZ133" s="21"/>
      <c r="DA133" s="28"/>
      <c r="DB133" s="294"/>
    </row>
    <row r="134" spans="2:106" ht="30.75" customHeight="1">
      <c r="C134" s="457"/>
      <c r="D134" s="441"/>
      <c r="E134" s="94" t="s">
        <v>47</v>
      </c>
      <c r="F134" s="57">
        <v>98</v>
      </c>
      <c r="G134" s="46">
        <f t="shared" si="180"/>
        <v>409640</v>
      </c>
      <c r="H134" s="7">
        <f>F134*($H$127/$F$127)</f>
        <v>210.70826306913995</v>
      </c>
      <c r="I134" s="46">
        <f t="shared" si="181"/>
        <v>880760.53962900501</v>
      </c>
      <c r="J134" s="9">
        <v>2</v>
      </c>
      <c r="K134" s="21">
        <f t="shared" si="171"/>
        <v>36</v>
      </c>
      <c r="L134" s="21">
        <v>7</v>
      </c>
      <c r="M134" s="21">
        <v>29</v>
      </c>
      <c r="N134" s="384"/>
      <c r="O134" s="288"/>
      <c r="P134" s="288"/>
      <c r="Q134" s="331">
        <v>45654</v>
      </c>
      <c r="R134" s="124"/>
      <c r="S134" s="124"/>
      <c r="T134" s="124"/>
      <c r="U134" s="328"/>
      <c r="V134" s="124"/>
      <c r="W134" s="124"/>
      <c r="X134" s="124"/>
      <c r="Y134" s="124"/>
      <c r="Z134" s="124"/>
      <c r="AA134" s="124"/>
      <c r="AB134" s="124"/>
      <c r="AC134" s="124"/>
      <c r="AD134" s="124"/>
      <c r="AE134" s="124"/>
      <c r="AF134" s="124"/>
      <c r="AG134" s="124"/>
      <c r="AH134" s="124"/>
      <c r="AI134" s="129">
        <f>SUM(J134:K134)-CI134+CJ134</f>
        <v>71.143338954468803</v>
      </c>
      <c r="AJ134" s="129">
        <f t="shared" si="172"/>
        <v>55.094381610390045</v>
      </c>
      <c r="AK134" s="129">
        <f t="shared" si="173"/>
        <v>29.809390042093252</v>
      </c>
      <c r="AL134" s="399">
        <f t="shared" si="174"/>
        <v>58.738563735179255</v>
      </c>
      <c r="AM134" s="393">
        <f t="shared" si="175"/>
        <v>69.774820058956664</v>
      </c>
      <c r="AN134" s="393">
        <f t="shared" si="176"/>
        <v>48.703993752042663</v>
      </c>
      <c r="AO134" s="393">
        <f t="shared" si="177"/>
        <v>35.873045659859521</v>
      </c>
      <c r="AP134" s="96">
        <f t="shared" si="178"/>
        <v>24.152794509613891</v>
      </c>
      <c r="AQ134" s="91">
        <f t="shared" si="179"/>
        <v>7.2961334640826934</v>
      </c>
      <c r="AR134" s="198"/>
      <c r="AS134" s="81">
        <f>$H$134*月別販売比率!AG5</f>
        <v>21.070826306913997</v>
      </c>
      <c r="AT134" s="21"/>
      <c r="AU134" s="81">
        <f>$H$134*月別販売比率!AL5</f>
        <v>18.963743676222595</v>
      </c>
      <c r="AV134" s="21"/>
      <c r="AW134" s="245">
        <f>$H$134*月別販売比率!AQ5</f>
        <v>21.070826306913997</v>
      </c>
      <c r="AX134" s="241">
        <v>50</v>
      </c>
      <c r="AY134" s="81">
        <f>$H$134*月別販売比率!AV5</f>
        <v>12.830948092183144</v>
      </c>
      <c r="AZ134" s="21"/>
      <c r="BA134" s="81">
        <f>$H$134*月別販売比率!BA5</f>
        <v>11.720251150245629</v>
      </c>
      <c r="BB134" s="21"/>
      <c r="BC134" s="81">
        <f>$H$134*月別販売比率!BF5</f>
        <v>16.856661045531197</v>
      </c>
      <c r="BD134" s="21"/>
      <c r="BE134" s="245">
        <f>$H$134*月別販売比率!C21</f>
        <v>14.931683266314051</v>
      </c>
      <c r="BF134" s="241">
        <v>50</v>
      </c>
      <c r="BG134" s="81">
        <f>$H$134*月別販売比率!H21</f>
        <v>14.749578414839798</v>
      </c>
      <c r="BH134" s="21"/>
      <c r="BI134" s="81">
        <f>$H$134*月別販売比率!M21</f>
        <v>21.294954394604666</v>
      </c>
      <c r="BJ134" s="21"/>
      <c r="BK134" s="245">
        <f>$H$134*月別販売比率!R21</f>
        <v>16.856661045531197</v>
      </c>
      <c r="BL134" s="241">
        <v>115</v>
      </c>
      <c r="BM134" s="81">
        <f>$H$134*月別販売比率!W21</f>
        <v>16.048957344078762</v>
      </c>
      <c r="BN134" s="21"/>
      <c r="BO134" s="81">
        <f>$H$134*月別販売比率!AB21</f>
        <v>25.284991568296793</v>
      </c>
      <c r="BP134" s="21"/>
      <c r="BQ134" s="245">
        <f>$H$134*月別販売比率!AG21</f>
        <v>21.070826306913997</v>
      </c>
      <c r="BR134" s="241">
        <v>125</v>
      </c>
      <c r="BS134" s="81">
        <f>$H$134*月別販売比率!AL21</f>
        <v>18.963743676222595</v>
      </c>
      <c r="BT134" s="21"/>
      <c r="BU134" s="81">
        <f>$H$134*月別販売比率!AQ21</f>
        <v>21.070826306913997</v>
      </c>
      <c r="BV134" s="21"/>
      <c r="BW134" s="81">
        <f>$H$134*月別販売比率!AV21</f>
        <v>12.830948092183144</v>
      </c>
      <c r="BX134" s="21"/>
      <c r="BY134" s="81">
        <f>$H$134*月別販売比率!BA21</f>
        <v>11.720251150245629</v>
      </c>
      <c r="BZ134" s="21"/>
      <c r="CA134" s="81">
        <f>$H$134*月別販売比率!BF21</f>
        <v>16.856661045531197</v>
      </c>
      <c r="CB134" s="21"/>
      <c r="CC134" s="81">
        <f>H134*月別販売比率!$C$21</f>
        <v>14.931683266314051</v>
      </c>
      <c r="CD134" s="21"/>
      <c r="CE134" s="81">
        <f>H134*月別販売比率!$H$21</f>
        <v>14.749578414839798</v>
      </c>
      <c r="CF134" s="241">
        <v>7</v>
      </c>
      <c r="CG134" s="81">
        <f>H134*月別販売比率!$M$21</f>
        <v>21.294954394604666</v>
      </c>
      <c r="CH134" s="21"/>
      <c r="CI134" s="81">
        <f>H134*月別販売比率!$R$21</f>
        <v>16.856661045531197</v>
      </c>
      <c r="CJ134" s="21">
        <v>50</v>
      </c>
      <c r="CK134" s="81">
        <f>H134*月別販売比率!$W$21</f>
        <v>16.048957344078762</v>
      </c>
      <c r="CL134" s="21"/>
      <c r="CM134" s="81">
        <f>H134*月別販売比率!$AB$21</f>
        <v>25.284991568296793</v>
      </c>
      <c r="CN134" s="21"/>
      <c r="CO134" s="81">
        <f>H134*月別販売比率!$AG$21</f>
        <v>21.070826306913997</v>
      </c>
      <c r="CP134" s="21">
        <v>50</v>
      </c>
      <c r="CQ134" s="81">
        <f>H134*月別販売比率!$AL$21</f>
        <v>18.963743676222595</v>
      </c>
      <c r="CR134" s="21">
        <v>30</v>
      </c>
      <c r="CS134" s="81">
        <f>H134*月別販売比率!$AQ$21</f>
        <v>21.070826306913997</v>
      </c>
      <c r="CT134" s="21"/>
      <c r="CU134" s="81">
        <f>H134*月別販売比率!$AV$21</f>
        <v>12.830948092183144</v>
      </c>
      <c r="CV134" s="21"/>
      <c r="CW134" s="81">
        <f>H134*月別販売比率!$BA$21</f>
        <v>11.720251150245629</v>
      </c>
      <c r="CX134" s="21"/>
      <c r="CY134" s="81">
        <f>H134*月別販売比率!$BF$21</f>
        <v>16.856661045531197</v>
      </c>
      <c r="CZ134" s="21"/>
      <c r="DA134" s="28"/>
      <c r="DB134" s="294"/>
    </row>
    <row r="135" spans="2:106" ht="30.75" customHeight="1">
      <c r="C135" s="457"/>
      <c r="D135" s="441"/>
      <c r="E135" s="94" t="s">
        <v>51</v>
      </c>
      <c r="F135" s="57">
        <v>70</v>
      </c>
      <c r="G135" s="46">
        <f t="shared" si="180"/>
        <v>292600</v>
      </c>
      <c r="H135" s="165">
        <v>240</v>
      </c>
      <c r="I135" s="46">
        <f t="shared" si="181"/>
        <v>1003200</v>
      </c>
      <c r="J135" s="9">
        <v>63</v>
      </c>
      <c r="K135" s="21">
        <f t="shared" si="171"/>
        <v>37</v>
      </c>
      <c r="L135" s="21">
        <v>12</v>
      </c>
      <c r="M135" s="21">
        <v>25</v>
      </c>
      <c r="N135" s="384"/>
      <c r="O135" s="288"/>
      <c r="P135" s="288"/>
      <c r="Q135" s="331">
        <v>45654</v>
      </c>
      <c r="R135" s="124"/>
      <c r="S135" s="124"/>
      <c r="T135" s="124"/>
      <c r="U135" s="124"/>
      <c r="V135" s="124"/>
      <c r="W135" s="124"/>
      <c r="X135" s="331">
        <v>45869</v>
      </c>
      <c r="Y135" s="124"/>
      <c r="Z135" s="124"/>
      <c r="AA135" s="124"/>
      <c r="AB135" s="124"/>
      <c r="AC135" s="124"/>
      <c r="AD135" s="124"/>
      <c r="AE135" s="124"/>
      <c r="AF135" s="124"/>
      <c r="AG135" s="331"/>
      <c r="AH135" s="331"/>
      <c r="AI135" s="129">
        <f>SUM(J135:K135)-CI135+CJ135</f>
        <v>115.8</v>
      </c>
      <c r="AJ135" s="129">
        <f t="shared" si="172"/>
        <v>97.519987121174154</v>
      </c>
      <c r="AK135" s="129">
        <f t="shared" si="173"/>
        <v>68.719987121174157</v>
      </c>
      <c r="AL135" s="399">
        <f t="shared" si="174"/>
        <v>79.719987121174157</v>
      </c>
      <c r="AM135" s="393">
        <f t="shared" si="175"/>
        <v>98.119987121174162</v>
      </c>
      <c r="AN135" s="393">
        <f t="shared" si="176"/>
        <v>74.119987121174162</v>
      </c>
      <c r="AO135" s="393">
        <f t="shared" si="177"/>
        <v>59.505337001290165</v>
      </c>
      <c r="AP135" s="96">
        <f t="shared" si="178"/>
        <v>46.155788032078817</v>
      </c>
      <c r="AQ135" s="91">
        <f t="shared" si="179"/>
        <v>26.955788032078818</v>
      </c>
      <c r="AR135" s="198"/>
      <c r="AS135" s="81">
        <f>$H$135*月別販売比率!AG5</f>
        <v>24</v>
      </c>
      <c r="AT135" s="21"/>
      <c r="AU135" s="81">
        <f>$H$135*月別販売比率!AL5</f>
        <v>21.599999999999998</v>
      </c>
      <c r="AV135" s="21"/>
      <c r="AW135" s="245">
        <f>$H$135*月別販売比率!AQ5</f>
        <v>24</v>
      </c>
      <c r="AX135" s="241">
        <v>50</v>
      </c>
      <c r="AY135" s="81">
        <f>$H$135*月別販売比率!AV5</f>
        <v>14.614650119883995</v>
      </c>
      <c r="AZ135" s="21"/>
      <c r="BA135" s="81">
        <f>$H$135*月別販売比率!BA5</f>
        <v>13.349548969211348</v>
      </c>
      <c r="BB135" s="21"/>
      <c r="BC135" s="81">
        <f>$H$135*月別販売比率!BF5</f>
        <v>19.2</v>
      </c>
      <c r="BD135" s="21"/>
      <c r="BE135" s="245">
        <f>$H$135*月別販売比率!C21</f>
        <v>17.007420267801649</v>
      </c>
      <c r="BF135" s="241">
        <v>50</v>
      </c>
      <c r="BG135" s="81">
        <f>$H$135*月別販売比率!H21</f>
        <v>16.8</v>
      </c>
      <c r="BH135" s="21"/>
      <c r="BI135" s="81">
        <f>$H$135*月別販売比率!M21</f>
        <v>24.25528538967696</v>
      </c>
      <c r="BJ135" s="21"/>
      <c r="BK135" s="245">
        <f>$H$135*月別販売比率!R21</f>
        <v>19.2</v>
      </c>
      <c r="BL135" s="241">
        <v>65</v>
      </c>
      <c r="BM135" s="81">
        <f>$H$135*月別販売比率!W21</f>
        <v>18.280012878825847</v>
      </c>
      <c r="BN135" s="21"/>
      <c r="BO135" s="81">
        <f>$H$135*月別販売比率!AB21</f>
        <v>28.799999999999997</v>
      </c>
      <c r="BP135" s="21"/>
      <c r="BQ135" s="245">
        <f>$H$135*月別販売比率!AG21</f>
        <v>24</v>
      </c>
      <c r="BR135" s="241">
        <v>75</v>
      </c>
      <c r="BS135" s="81">
        <f>$H$135*月別販売比率!AL21</f>
        <v>21.599999999999998</v>
      </c>
      <c r="BT135" s="21"/>
      <c r="BU135" s="81">
        <f>$H$135*月別販売比率!AQ21</f>
        <v>24</v>
      </c>
      <c r="BV135" s="21"/>
      <c r="BW135" s="81">
        <f>$H$135*月別販売比率!AV21</f>
        <v>14.614650119883995</v>
      </c>
      <c r="BX135" s="21"/>
      <c r="BY135" s="81">
        <f>$H$135*月別販売比率!BA21</f>
        <v>13.349548969211348</v>
      </c>
      <c r="BZ135" s="21"/>
      <c r="CA135" s="81">
        <f>$H$135*月別販売比率!BF21</f>
        <v>19.2</v>
      </c>
      <c r="CB135" s="21"/>
      <c r="CC135" s="81">
        <f>H135*月別販売比率!$C$21</f>
        <v>17.007420267801649</v>
      </c>
      <c r="CD135" s="21"/>
      <c r="CE135" s="81">
        <f>H135*月別販売比率!$H$21</f>
        <v>16.8</v>
      </c>
      <c r="CF135" s="241">
        <v>107</v>
      </c>
      <c r="CG135" s="81">
        <f>H135*月別販売比率!$M$21</f>
        <v>24.25528538967696</v>
      </c>
      <c r="CH135" s="21"/>
      <c r="CI135" s="81">
        <f>H135*月別販売比率!$R$21</f>
        <v>19.2</v>
      </c>
      <c r="CJ135" s="21">
        <v>35</v>
      </c>
      <c r="CK135" s="81">
        <f>H135*月別販売比率!$W$21</f>
        <v>18.280012878825847</v>
      </c>
      <c r="CL135" s="21"/>
      <c r="CM135" s="81">
        <f>H135*月別販売比率!$AB$21</f>
        <v>28.799999999999997</v>
      </c>
      <c r="CN135" s="21"/>
      <c r="CO135" s="81">
        <f>H135*月別販売比率!$AG$21</f>
        <v>24</v>
      </c>
      <c r="CP135" s="21">
        <v>35</v>
      </c>
      <c r="CQ135" s="81">
        <f>H135*月別販売比率!$AL$21</f>
        <v>21.599999999999998</v>
      </c>
      <c r="CR135" s="21">
        <v>40</v>
      </c>
      <c r="CS135" s="81">
        <f>H135*月別販売比率!$AQ$21</f>
        <v>24</v>
      </c>
      <c r="CT135" s="21"/>
      <c r="CU135" s="81">
        <f>H135*月別販売比率!$AV$21</f>
        <v>14.614650119883995</v>
      </c>
      <c r="CV135" s="21"/>
      <c r="CW135" s="81">
        <f>H135*月別販売比率!$BA$21</f>
        <v>13.349548969211348</v>
      </c>
      <c r="CX135" s="21"/>
      <c r="CY135" s="81">
        <f>H135*月別販売比率!$BF$21</f>
        <v>19.2</v>
      </c>
      <c r="CZ135" s="21"/>
      <c r="DA135" s="28"/>
      <c r="DB135" s="294"/>
    </row>
    <row r="136" spans="2:106" ht="30.75" customHeight="1">
      <c r="C136" s="457"/>
      <c r="D136" s="441"/>
      <c r="E136" s="99" t="s">
        <v>49</v>
      </c>
      <c r="F136" s="56">
        <v>48</v>
      </c>
      <c r="G136" s="46">
        <f t="shared" si="180"/>
        <v>200640</v>
      </c>
      <c r="H136" s="164">
        <v>130</v>
      </c>
      <c r="I136" s="46">
        <f t="shared" si="181"/>
        <v>543400</v>
      </c>
      <c r="J136" s="49">
        <v>0</v>
      </c>
      <c r="K136" s="39">
        <f t="shared" si="171"/>
        <v>25</v>
      </c>
      <c r="L136" s="39">
        <v>3</v>
      </c>
      <c r="M136" s="39">
        <v>22</v>
      </c>
      <c r="N136" s="384"/>
      <c r="O136" s="304"/>
      <c r="P136" s="304"/>
      <c r="Q136" s="333">
        <v>45654</v>
      </c>
      <c r="R136" s="124"/>
      <c r="S136" s="129"/>
      <c r="T136" s="129"/>
      <c r="U136" s="129"/>
      <c r="V136" s="129"/>
      <c r="W136" s="129"/>
      <c r="X136" s="129"/>
      <c r="Y136" s="129"/>
      <c r="Z136" s="129"/>
      <c r="AA136" s="129"/>
      <c r="AB136" s="129"/>
      <c r="AC136" s="129"/>
      <c r="AD136" s="129"/>
      <c r="AE136" s="129"/>
      <c r="AF136" s="129"/>
      <c r="AG136" s="129"/>
      <c r="AH136" s="331"/>
      <c r="AI136" s="129">
        <f>SUM(J136:K136)-CI136+CJ136</f>
        <v>44.6</v>
      </c>
      <c r="AJ136" s="129">
        <f t="shared" si="172"/>
        <v>34.698326357302669</v>
      </c>
      <c r="AK136" s="129">
        <f t="shared" si="173"/>
        <v>19.098326357302668</v>
      </c>
      <c r="AL136" s="399">
        <f t="shared" si="174"/>
        <v>36.098326357302668</v>
      </c>
      <c r="AM136" s="393">
        <f t="shared" si="175"/>
        <v>54.398326357302665</v>
      </c>
      <c r="AN136" s="393">
        <f t="shared" si="176"/>
        <v>41.398326357302665</v>
      </c>
      <c r="AO136" s="393">
        <f t="shared" si="177"/>
        <v>33.482057542365503</v>
      </c>
      <c r="AP136" s="96">
        <f t="shared" si="178"/>
        <v>26.251051850709356</v>
      </c>
      <c r="AQ136" s="91">
        <f t="shared" si="179"/>
        <v>15.851051850709355</v>
      </c>
      <c r="AR136" s="198"/>
      <c r="AS136" s="81">
        <f>$H$136*月別販売比率!AG5</f>
        <v>13</v>
      </c>
      <c r="AT136" s="39"/>
      <c r="AU136" s="81">
        <f>$H$136*月別販売比率!AL5</f>
        <v>11.7</v>
      </c>
      <c r="AV136" s="39"/>
      <c r="AW136" s="245">
        <f>$H$136*月別販売比率!AQ5</f>
        <v>13</v>
      </c>
      <c r="AX136" s="280">
        <v>50</v>
      </c>
      <c r="AY136" s="81">
        <f>$H$136*月別販売比率!AV5</f>
        <v>7.9162688149371636</v>
      </c>
      <c r="AZ136" s="39"/>
      <c r="BA136" s="81">
        <f>$H$136*月別販売比率!BA5</f>
        <v>7.2310056916561471</v>
      </c>
      <c r="BB136" s="39"/>
      <c r="BC136" s="81">
        <f>$H$136*月別販売比率!BF5</f>
        <v>10.4</v>
      </c>
      <c r="BD136" s="39"/>
      <c r="BE136" s="245">
        <f>$H$136*月別販売比率!C21</f>
        <v>9.2123526450592266</v>
      </c>
      <c r="BF136" s="280">
        <v>50</v>
      </c>
      <c r="BG136" s="81">
        <f>$H$136*月別販売比率!H21</f>
        <v>9.1000000000000014</v>
      </c>
      <c r="BH136" s="39"/>
      <c r="BI136" s="81">
        <f>$H$136*月別販売比率!M21</f>
        <v>13.13827958607502</v>
      </c>
      <c r="BJ136" s="39"/>
      <c r="BK136" s="245">
        <f>$H$136*月別販売比率!R21</f>
        <v>10.4</v>
      </c>
      <c r="BL136" s="280">
        <v>20</v>
      </c>
      <c r="BM136" s="81">
        <f>$H$136*月別販売比率!W21</f>
        <v>9.9016736426973342</v>
      </c>
      <c r="BN136" s="39"/>
      <c r="BO136" s="81">
        <f>$H$136*月別販売比率!AB21</f>
        <v>15.6</v>
      </c>
      <c r="BP136" s="39"/>
      <c r="BQ136" s="245">
        <f>$H$136*月別販売比率!AG21</f>
        <v>13</v>
      </c>
      <c r="BR136" s="280">
        <v>50</v>
      </c>
      <c r="BS136" s="81">
        <f>$H$136*月別販売比率!AL21</f>
        <v>11.7</v>
      </c>
      <c r="BT136" s="39"/>
      <c r="BU136" s="81">
        <f>$H$136*月別販売比率!AQ21</f>
        <v>13</v>
      </c>
      <c r="BV136" s="39"/>
      <c r="BW136" s="81">
        <f>$H$136*月別販売比率!AV21</f>
        <v>7.9162688149371636</v>
      </c>
      <c r="BX136" s="39"/>
      <c r="BY136" s="81">
        <f>$H$136*月別販売比率!BA21</f>
        <v>7.2310056916561471</v>
      </c>
      <c r="BZ136" s="39"/>
      <c r="CA136" s="81">
        <f>$H$136*月別販売比率!BF21</f>
        <v>10.4</v>
      </c>
      <c r="CB136" s="39"/>
      <c r="CC136" s="81">
        <f>H136*月別販売比率!$C$21</f>
        <v>9.2123526450592266</v>
      </c>
      <c r="CD136" s="39"/>
      <c r="CE136" s="81">
        <f>H136*月別販売比率!$H$21</f>
        <v>9.1000000000000014</v>
      </c>
      <c r="CF136" s="280">
        <v>37</v>
      </c>
      <c r="CG136" s="81">
        <f>H136*月別販売比率!$M$21</f>
        <v>13.13827958607502</v>
      </c>
      <c r="CH136" s="39"/>
      <c r="CI136" s="81">
        <f>H136*月別販売比率!$R$21</f>
        <v>10.4</v>
      </c>
      <c r="CJ136" s="39">
        <v>30</v>
      </c>
      <c r="CK136" s="81">
        <f>H136*月別販売比率!$W$21</f>
        <v>9.9016736426973342</v>
      </c>
      <c r="CL136" s="39"/>
      <c r="CM136" s="81">
        <f>H136*月別販売比率!$AB$21</f>
        <v>15.6</v>
      </c>
      <c r="CN136" s="39"/>
      <c r="CO136" s="81">
        <f>H136*月別販売比率!$AG$21</f>
        <v>13</v>
      </c>
      <c r="CP136" s="39">
        <v>30</v>
      </c>
      <c r="CQ136" s="81">
        <f>H136*月別販売比率!$AL$21</f>
        <v>11.7</v>
      </c>
      <c r="CR136" s="39">
        <v>30</v>
      </c>
      <c r="CS136" s="81">
        <f>H136*月別販売比率!$AQ$21</f>
        <v>13</v>
      </c>
      <c r="CT136" s="39"/>
      <c r="CU136" s="81">
        <f>H136*月別販売比率!$AV$21</f>
        <v>7.9162688149371636</v>
      </c>
      <c r="CV136" s="39"/>
      <c r="CW136" s="81">
        <f>H136*月別販売比率!$BA$21</f>
        <v>7.2310056916561471</v>
      </c>
      <c r="CX136" s="39"/>
      <c r="CY136" s="81">
        <f>H136*月別販売比率!$BF$21</f>
        <v>10.4</v>
      </c>
      <c r="CZ136" s="39"/>
      <c r="DA136" s="50"/>
      <c r="DB136" s="295"/>
    </row>
    <row r="137" spans="2:106" ht="30.75" customHeight="1">
      <c r="C137" s="458"/>
      <c r="D137" s="444"/>
      <c r="E137" s="101" t="s">
        <v>50</v>
      </c>
      <c r="F137" s="58">
        <v>35</v>
      </c>
      <c r="G137" s="53">
        <f t="shared" si="180"/>
        <v>146300</v>
      </c>
      <c r="H137" s="166">
        <v>110</v>
      </c>
      <c r="I137" s="53">
        <f t="shared" si="181"/>
        <v>459800</v>
      </c>
      <c r="J137" s="113">
        <v>17</v>
      </c>
      <c r="K137" s="104">
        <f t="shared" si="171"/>
        <v>12</v>
      </c>
      <c r="L137" s="104">
        <v>1</v>
      </c>
      <c r="M137" s="104">
        <v>11</v>
      </c>
      <c r="N137" s="385"/>
      <c r="O137" s="291"/>
      <c r="P137" s="291"/>
      <c r="Q137" s="334">
        <v>45654</v>
      </c>
      <c r="R137" s="238"/>
      <c r="S137" s="238"/>
      <c r="T137" s="238"/>
      <c r="U137" s="238"/>
      <c r="V137" s="238"/>
      <c r="W137" s="238"/>
      <c r="X137" s="238"/>
      <c r="Y137" s="238"/>
      <c r="Z137" s="238"/>
      <c r="AA137" s="238"/>
      <c r="AB137" s="238"/>
      <c r="AC137" s="238"/>
      <c r="AD137" s="238"/>
      <c r="AE137" s="238"/>
      <c r="AF137" s="328"/>
      <c r="AG137" s="331"/>
      <c r="AH137" s="331"/>
      <c r="AI137" s="238">
        <f>SUM(J137:K137)-CI137+CJ137</f>
        <v>35.200000000000003</v>
      </c>
      <c r="AJ137" s="238">
        <f t="shared" si="172"/>
        <v>26.821660763871492</v>
      </c>
      <c r="AK137" s="238">
        <f t="shared" si="173"/>
        <v>13.621660763871493</v>
      </c>
      <c r="AL137" s="401">
        <f t="shared" si="174"/>
        <v>17.621660763871493</v>
      </c>
      <c r="AM137" s="395">
        <f t="shared" si="175"/>
        <v>27.72166076387149</v>
      </c>
      <c r="AN137" s="395">
        <f t="shared" si="176"/>
        <v>16.72166076387149</v>
      </c>
      <c r="AO137" s="395">
        <f t="shared" si="177"/>
        <v>10.023279458924659</v>
      </c>
      <c r="AP137" s="403">
        <f t="shared" si="178"/>
        <v>3.9047361813694579</v>
      </c>
      <c r="AQ137" s="90">
        <f t="shared" si="179"/>
        <v>-4.8952638186305428</v>
      </c>
      <c r="AR137" s="238"/>
      <c r="AS137" s="282">
        <f>$H$137*月別販売比率!AG5</f>
        <v>11</v>
      </c>
      <c r="AT137" s="104"/>
      <c r="AU137" s="282">
        <f>$H$137*月別販売比率!AL5</f>
        <v>9.9</v>
      </c>
      <c r="AV137" s="104"/>
      <c r="AW137" s="301">
        <f>$H$137*月別販売比率!AQ5</f>
        <v>11</v>
      </c>
      <c r="AX137" s="339">
        <v>30</v>
      </c>
      <c r="AY137" s="282">
        <f>$H$137*月別販売比率!AV5</f>
        <v>6.6983813049468308</v>
      </c>
      <c r="AZ137" s="104"/>
      <c r="BA137" s="282">
        <f>$H$137*月別販売比率!BA5</f>
        <v>6.1185432775552009</v>
      </c>
      <c r="BB137" s="104"/>
      <c r="BC137" s="282">
        <f>$H$137*月別販売比率!BF5</f>
        <v>8.8000000000000007</v>
      </c>
      <c r="BD137" s="104"/>
      <c r="BE137" s="301">
        <f>$H$137*月別販売比率!C21</f>
        <v>7.7950676227424225</v>
      </c>
      <c r="BF137" s="339">
        <v>30</v>
      </c>
      <c r="BG137" s="282">
        <f>$H$137*月別販売比率!H21</f>
        <v>7.7000000000000011</v>
      </c>
      <c r="BH137" s="104"/>
      <c r="BI137" s="282">
        <f>$H$137*月別販売比率!M21</f>
        <v>11.117005803601939</v>
      </c>
      <c r="BJ137" s="104"/>
      <c r="BK137" s="301">
        <f>$H$137*月別販売比率!R21</f>
        <v>8.8000000000000007</v>
      </c>
      <c r="BL137" s="339">
        <v>20</v>
      </c>
      <c r="BM137" s="282">
        <f>$H$137*月別販売比率!W21</f>
        <v>8.3783392361285127</v>
      </c>
      <c r="BN137" s="104"/>
      <c r="BO137" s="282">
        <f>$H$137*月別販売比率!AB21</f>
        <v>13.2</v>
      </c>
      <c r="BP137" s="104"/>
      <c r="BQ137" s="301">
        <f>$H$137*月別販売比率!AG21</f>
        <v>11</v>
      </c>
      <c r="BR137" s="339">
        <v>50</v>
      </c>
      <c r="BS137" s="282">
        <f>$H$137*月別販売比率!AL21</f>
        <v>9.9</v>
      </c>
      <c r="BT137" s="104"/>
      <c r="BU137" s="282">
        <f>$H$137*月別販売比率!AQ21</f>
        <v>11</v>
      </c>
      <c r="BV137" s="104"/>
      <c r="BW137" s="282">
        <f>$H$137*月別販売比率!AV21</f>
        <v>6.6983813049468308</v>
      </c>
      <c r="BX137" s="104"/>
      <c r="BY137" s="282">
        <f>$H$137*月別販売比率!BA21</f>
        <v>6.1185432775552009</v>
      </c>
      <c r="BZ137" s="104"/>
      <c r="CA137" s="282">
        <f>$H$137*月別販売比率!BF21</f>
        <v>8.8000000000000007</v>
      </c>
      <c r="CB137" s="104"/>
      <c r="CC137" s="282">
        <f>H137*月別販売比率!$C$21</f>
        <v>7.7950676227424225</v>
      </c>
      <c r="CD137" s="104"/>
      <c r="CE137" s="282">
        <f>H137*月別販売比率!$H$21</f>
        <v>7.7000000000000011</v>
      </c>
      <c r="CF137" s="339">
        <v>37</v>
      </c>
      <c r="CG137" s="282">
        <f>H137*月別販売比率!$M$21</f>
        <v>11.117005803601939</v>
      </c>
      <c r="CH137" s="104"/>
      <c r="CI137" s="282">
        <f>H137*月別販売比率!$R$21</f>
        <v>8.8000000000000007</v>
      </c>
      <c r="CJ137" s="104">
        <v>15</v>
      </c>
      <c r="CK137" s="282">
        <f>H137*月別販売比率!$W$21</f>
        <v>8.3783392361285127</v>
      </c>
      <c r="CL137" s="104"/>
      <c r="CM137" s="282">
        <f>H137*月別販売比率!$AB$21</f>
        <v>13.2</v>
      </c>
      <c r="CN137" s="104"/>
      <c r="CO137" s="282">
        <f>H137*月別販売比率!$AG$21</f>
        <v>11</v>
      </c>
      <c r="CP137" s="104">
        <v>15</v>
      </c>
      <c r="CQ137" s="282">
        <f>H137*月別販売比率!$AL$21</f>
        <v>9.9</v>
      </c>
      <c r="CR137" s="104">
        <v>20</v>
      </c>
      <c r="CS137" s="282">
        <f>H137*月別販売比率!$AQ$21</f>
        <v>11</v>
      </c>
      <c r="CT137" s="104"/>
      <c r="CU137" s="282">
        <f>H137*月別販売比率!$AV$21</f>
        <v>6.6983813049468308</v>
      </c>
      <c r="CV137" s="104"/>
      <c r="CW137" s="282">
        <f>H137*月別販売比率!$BA$21</f>
        <v>6.1185432775552009</v>
      </c>
      <c r="CX137" s="104"/>
      <c r="CY137" s="282">
        <f>H137*月別販売比率!$BF$21</f>
        <v>8.8000000000000007</v>
      </c>
      <c r="CZ137" s="104"/>
      <c r="DA137" s="296"/>
      <c r="DB137" s="297"/>
    </row>
    <row r="138" spans="2:106" ht="30.75" customHeight="1">
      <c r="B138" s="2">
        <v>12</v>
      </c>
      <c r="C138" s="435" t="s">
        <v>7</v>
      </c>
      <c r="D138" s="436"/>
      <c r="E138" s="437"/>
      <c r="F138" s="130">
        <f>SUM(F139:F154)</f>
        <v>421</v>
      </c>
      <c r="G138" s="131">
        <f>SUM(G139:G154)</f>
        <v>2083950</v>
      </c>
      <c r="H138" s="130">
        <v>1000</v>
      </c>
      <c r="I138" s="131">
        <f t="shared" ref="I138:N138" si="182">SUM(I139:I154)</f>
        <v>5565399.0498812348</v>
      </c>
      <c r="J138" s="133">
        <f t="shared" si="182"/>
        <v>7</v>
      </c>
      <c r="K138" s="134">
        <f t="shared" si="182"/>
        <v>207</v>
      </c>
      <c r="L138" s="134">
        <f t="shared" si="182"/>
        <v>70</v>
      </c>
      <c r="M138" s="134">
        <f t="shared" si="182"/>
        <v>137</v>
      </c>
      <c r="N138" s="135">
        <f t="shared" si="182"/>
        <v>0</v>
      </c>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6">
        <f t="shared" ref="AS138:CZ138" si="183">SUM(AS139:AS154)</f>
        <v>112.43230403800473</v>
      </c>
      <c r="AT138" s="134">
        <f t="shared" si="183"/>
        <v>0</v>
      </c>
      <c r="AU138" s="136">
        <f t="shared" si="183"/>
        <v>101.18907363420428</v>
      </c>
      <c r="AV138" s="134">
        <f t="shared" si="183"/>
        <v>0</v>
      </c>
      <c r="AW138" s="136">
        <f t="shared" si="183"/>
        <v>112.43230403800473</v>
      </c>
      <c r="AX138" s="134">
        <f t="shared" si="183"/>
        <v>506</v>
      </c>
      <c r="AY138" s="136">
        <f t="shared" si="183"/>
        <v>68.464949403660839</v>
      </c>
      <c r="AZ138" s="134">
        <f t="shared" si="183"/>
        <v>0</v>
      </c>
      <c r="BA138" s="136">
        <f t="shared" si="183"/>
        <v>62.538356186525135</v>
      </c>
      <c r="BB138" s="134">
        <f t="shared" si="183"/>
        <v>70</v>
      </c>
      <c r="BC138" s="136">
        <f t="shared" si="183"/>
        <v>89.945843230403781</v>
      </c>
      <c r="BD138" s="134">
        <f t="shared" si="183"/>
        <v>0</v>
      </c>
      <c r="BE138" s="136">
        <f t="shared" si="183"/>
        <v>79.674310268816612</v>
      </c>
      <c r="BF138" s="134">
        <f t="shared" si="183"/>
        <v>0</v>
      </c>
      <c r="BG138" s="136">
        <f t="shared" si="183"/>
        <v>78.702612826603314</v>
      </c>
      <c r="BH138" s="134">
        <f t="shared" si="183"/>
        <v>0</v>
      </c>
      <c r="BI138" s="136">
        <f t="shared" si="183"/>
        <v>113.6282342275306</v>
      </c>
      <c r="BJ138" s="134">
        <f t="shared" si="183"/>
        <v>0</v>
      </c>
      <c r="BK138" s="136">
        <f t="shared" si="183"/>
        <v>89.945843230403781</v>
      </c>
      <c r="BL138" s="134">
        <f t="shared" si="183"/>
        <v>0</v>
      </c>
      <c r="BM138" s="136">
        <f t="shared" si="183"/>
        <v>85.635998575449563</v>
      </c>
      <c r="BN138" s="134">
        <f>SUM(BN139:BN154)</f>
        <v>335</v>
      </c>
      <c r="BO138" s="136">
        <f t="shared" si="183"/>
        <v>134.91876484560569</v>
      </c>
      <c r="BP138" s="134">
        <f t="shared" si="183"/>
        <v>0</v>
      </c>
      <c r="BQ138" s="136">
        <f t="shared" si="183"/>
        <v>112.43230403800473</v>
      </c>
      <c r="BR138" s="134">
        <f t="shared" si="183"/>
        <v>0</v>
      </c>
      <c r="BS138" s="136">
        <f t="shared" si="183"/>
        <v>101.18907363420428</v>
      </c>
      <c r="BT138" s="134">
        <f t="shared" si="183"/>
        <v>0</v>
      </c>
      <c r="BU138" s="136">
        <f t="shared" si="183"/>
        <v>112.43230403800473</v>
      </c>
      <c r="BV138" s="134">
        <f t="shared" si="183"/>
        <v>0</v>
      </c>
      <c r="BW138" s="136">
        <f t="shared" si="183"/>
        <v>68.464949403660839</v>
      </c>
      <c r="BX138" s="134">
        <f t="shared" si="183"/>
        <v>0</v>
      </c>
      <c r="BY138" s="136">
        <f t="shared" si="183"/>
        <v>62.538356186525135</v>
      </c>
      <c r="BZ138" s="134">
        <f t="shared" si="183"/>
        <v>0</v>
      </c>
      <c r="CA138" s="136">
        <f t="shared" si="183"/>
        <v>89.945843230403781</v>
      </c>
      <c r="CB138" s="134">
        <f t="shared" si="183"/>
        <v>193</v>
      </c>
      <c r="CC138" s="136">
        <f t="shared" si="183"/>
        <v>79.674310268816612</v>
      </c>
      <c r="CD138" s="134">
        <f t="shared" si="183"/>
        <v>0</v>
      </c>
      <c r="CE138" s="136">
        <f t="shared" si="183"/>
        <v>78.702612826603314</v>
      </c>
      <c r="CF138" s="134">
        <f t="shared" si="183"/>
        <v>0</v>
      </c>
      <c r="CG138" s="136">
        <f t="shared" si="183"/>
        <v>113.6282342275306</v>
      </c>
      <c r="CH138" s="134">
        <f t="shared" si="183"/>
        <v>0</v>
      </c>
      <c r="CI138" s="136">
        <f t="shared" si="183"/>
        <v>89.945843230403781</v>
      </c>
      <c r="CJ138" s="134">
        <f t="shared" si="183"/>
        <v>490</v>
      </c>
      <c r="CK138" s="136">
        <f t="shared" si="183"/>
        <v>85.635998575449563</v>
      </c>
      <c r="CL138" s="134">
        <f t="shared" si="183"/>
        <v>0</v>
      </c>
      <c r="CM138" s="136">
        <f t="shared" si="183"/>
        <v>134.91876484560569</v>
      </c>
      <c r="CN138" s="134">
        <f t="shared" si="183"/>
        <v>0</v>
      </c>
      <c r="CO138" s="136">
        <f t="shared" si="183"/>
        <v>112.43230403800473</v>
      </c>
      <c r="CP138" s="134">
        <f t="shared" si="183"/>
        <v>0</v>
      </c>
      <c r="CQ138" s="136">
        <f t="shared" si="183"/>
        <v>101.18907363420428</v>
      </c>
      <c r="CR138" s="134">
        <f t="shared" si="183"/>
        <v>0</v>
      </c>
      <c r="CS138" s="136">
        <f t="shared" si="183"/>
        <v>112.43230403800473</v>
      </c>
      <c r="CT138" s="134">
        <f t="shared" si="183"/>
        <v>0</v>
      </c>
      <c r="CU138" s="136">
        <v>68.464949403660839</v>
      </c>
      <c r="CV138" s="134">
        <f t="shared" si="183"/>
        <v>0</v>
      </c>
      <c r="CW138" s="136">
        <f t="shared" si="183"/>
        <v>62.538356186525135</v>
      </c>
      <c r="CX138" s="134">
        <f t="shared" si="183"/>
        <v>0</v>
      </c>
      <c r="CY138" s="136">
        <f t="shared" si="183"/>
        <v>89.945843230403781</v>
      </c>
      <c r="CZ138" s="134">
        <f t="shared" si="183"/>
        <v>0</v>
      </c>
      <c r="DA138" s="141"/>
      <c r="DB138" s="293"/>
    </row>
    <row r="139" spans="2:106" ht="30.75" customHeight="1">
      <c r="C139" s="446" t="s">
        <v>478</v>
      </c>
      <c r="D139" s="443">
        <v>1</v>
      </c>
      <c r="E139" s="99" t="s">
        <v>47</v>
      </c>
      <c r="F139" s="56">
        <v>72</v>
      </c>
      <c r="G139" s="46">
        <f>F139*4950</f>
        <v>356400</v>
      </c>
      <c r="H139" s="165">
        <v>250</v>
      </c>
      <c r="I139" s="46">
        <f t="shared" ref="I139:I154" si="184">H139*4950</f>
        <v>1237500</v>
      </c>
      <c r="J139" s="49">
        <v>0</v>
      </c>
      <c r="K139" s="39">
        <f t="shared" ref="K139:K154" si="185">SUM(L139:N139)</f>
        <v>8</v>
      </c>
      <c r="L139" s="39">
        <v>0</v>
      </c>
      <c r="M139" s="39">
        <v>8</v>
      </c>
      <c r="N139" s="42"/>
      <c r="O139" s="288"/>
      <c r="P139" s="288"/>
      <c r="Q139" s="331"/>
      <c r="R139" s="331">
        <v>45667</v>
      </c>
      <c r="S139" s="124"/>
      <c r="T139" s="124"/>
      <c r="U139" s="124"/>
      <c r="V139" s="124"/>
      <c r="W139" s="124"/>
      <c r="X139" s="328"/>
      <c r="Y139" s="328"/>
      <c r="Z139" s="124"/>
      <c r="AA139" s="124"/>
      <c r="AB139" s="124"/>
      <c r="AC139" s="124"/>
      <c r="AD139" s="124"/>
      <c r="AE139" s="124"/>
      <c r="AF139" s="328"/>
      <c r="AG139" s="124"/>
      <c r="AH139" s="124"/>
      <c r="AI139" s="129">
        <f t="shared" ref="AI139:AI154" si="186">SUM(J139:K139)-CI139+CJ139</f>
        <v>108</v>
      </c>
      <c r="AJ139" s="129">
        <f t="shared" ref="AJ139:AJ154" si="187">AI139-CK139+CL139</f>
        <v>88.958319917889739</v>
      </c>
      <c r="AK139" s="129">
        <f t="shared" ref="AK139:AK154" si="188">AJ139-CM139+CN139</f>
        <v>58.958319917889739</v>
      </c>
      <c r="AL139" s="399">
        <f t="shared" ref="AL139:AL154" si="189">AK139-CO139+CP139</f>
        <v>33.958319917889739</v>
      </c>
      <c r="AM139" s="393">
        <f t="shared" ref="AM139:AM154" si="190">AL139-CQ139+CR139</f>
        <v>11.458319917889739</v>
      </c>
      <c r="AN139" s="393">
        <f t="shared" ref="AN139:AN154" si="191">AM139-CS139+CT139</f>
        <v>-13.541680082110261</v>
      </c>
      <c r="AO139" s="393">
        <f t="shared" ref="AO139:AO154" si="192">AN139-CU139+CV139</f>
        <v>-28.765273956989422</v>
      </c>
      <c r="AP139" s="96">
        <f t="shared" ref="AP139:AP154" si="193">AO139-CW139+CX139</f>
        <v>-42.671054133251246</v>
      </c>
      <c r="AQ139" s="91">
        <f t="shared" ref="AQ139:AQ154" si="194">AP139-CY139+CZ139</f>
        <v>-62.671054133251246</v>
      </c>
      <c r="AR139" s="198"/>
      <c r="AS139" s="81">
        <f>$H$139*月別販売比率!AG5</f>
        <v>25</v>
      </c>
      <c r="AT139" s="39"/>
      <c r="AU139" s="81">
        <f>$H$139*月別販売比率!AL5</f>
        <v>22.5</v>
      </c>
      <c r="AV139" s="39"/>
      <c r="AW139" s="245">
        <f>$H$139*月別販売比率!AQ5</f>
        <v>25</v>
      </c>
      <c r="AX139" s="280">
        <v>110</v>
      </c>
      <c r="AY139" s="81">
        <f>$H$139*月別販売比率!AV5</f>
        <v>15.22359387487916</v>
      </c>
      <c r="AZ139" s="39"/>
      <c r="BA139" s="245">
        <f>$H$139*月別販売比率!BA5</f>
        <v>13.905780176261821</v>
      </c>
      <c r="BB139" s="280">
        <v>5</v>
      </c>
      <c r="BC139" s="81">
        <f>$H$139*月別販売比率!BF5</f>
        <v>20</v>
      </c>
      <c r="BD139" s="39"/>
      <c r="BE139" s="81">
        <f>$H$139*月別販売比率!C21</f>
        <v>17.716062778960051</v>
      </c>
      <c r="BF139" s="39"/>
      <c r="BG139" s="81">
        <f>$H$139*月別販売比率!H21</f>
        <v>17.5</v>
      </c>
      <c r="BH139" s="39"/>
      <c r="BI139" s="81">
        <f>$H$139*月別販売比率!M21</f>
        <v>25.2659222809135</v>
      </c>
      <c r="BJ139" s="39"/>
      <c r="BK139" s="81">
        <f>$H$139*月別販売比率!R21</f>
        <v>20</v>
      </c>
      <c r="BL139" s="39"/>
      <c r="BM139" s="245">
        <f>$H$139*月別販売比率!W21</f>
        <v>19.041680082110258</v>
      </c>
      <c r="BN139" s="280">
        <v>80</v>
      </c>
      <c r="BO139" s="81">
        <f>$H$139*月別販売比率!AB21</f>
        <v>30</v>
      </c>
      <c r="BP139" s="39"/>
      <c r="BQ139" s="81">
        <f>$H$139*月別販売比率!AG21</f>
        <v>25</v>
      </c>
      <c r="BR139" s="39"/>
      <c r="BS139" s="81">
        <f>$H$139*月別販売比率!AL21</f>
        <v>22.5</v>
      </c>
      <c r="BT139" s="39"/>
      <c r="BU139" s="81">
        <f>$H$139*月別販売比率!AQ21</f>
        <v>25</v>
      </c>
      <c r="BV139" s="39"/>
      <c r="BW139" s="81">
        <f>$H$139*月別販売比率!AV21</f>
        <v>15.22359387487916</v>
      </c>
      <c r="BX139" s="39"/>
      <c r="BY139" s="81">
        <f>$H$139*月別販売比率!BA21</f>
        <v>13.905780176261821</v>
      </c>
      <c r="BZ139" s="39"/>
      <c r="CA139" s="245">
        <f>$H$139*月別販売比率!BF21</f>
        <v>20</v>
      </c>
      <c r="CB139" s="280">
        <v>38</v>
      </c>
      <c r="CC139" s="81">
        <f>H139*月別販売比率!$C$21</f>
        <v>17.716062778960051</v>
      </c>
      <c r="CD139" s="39"/>
      <c r="CE139" s="81">
        <f>H139*月別販売比率!$H$21</f>
        <v>17.5</v>
      </c>
      <c r="CF139" s="39"/>
      <c r="CG139" s="81">
        <f>H139*月別販売比率!$M$21</f>
        <v>25.2659222809135</v>
      </c>
      <c r="CH139" s="39"/>
      <c r="CI139" s="81">
        <f>H139*月別販売比率!$R$21</f>
        <v>20</v>
      </c>
      <c r="CJ139" s="39">
        <v>120</v>
      </c>
      <c r="CK139" s="81">
        <f>H139*月別販売比率!$W$21</f>
        <v>19.041680082110258</v>
      </c>
      <c r="CL139" s="39"/>
      <c r="CM139" s="81">
        <f>H139*月別販売比率!$AB$21</f>
        <v>30</v>
      </c>
      <c r="CN139" s="39"/>
      <c r="CO139" s="81">
        <f>H139*月別販売比率!$AG$21</f>
        <v>25</v>
      </c>
      <c r="CP139" s="39"/>
      <c r="CQ139" s="81">
        <f>H139*月別販売比率!$AL$21</f>
        <v>22.5</v>
      </c>
      <c r="CR139" s="39"/>
      <c r="CS139" s="81">
        <f>H139*月別販売比率!$AQ$21</f>
        <v>25</v>
      </c>
      <c r="CT139" s="39"/>
      <c r="CU139" s="81">
        <f>H139*月別販売比率!$AV$21</f>
        <v>15.22359387487916</v>
      </c>
      <c r="CV139" s="39"/>
      <c r="CW139" s="81">
        <f>H139*月別販売比率!$BA$21</f>
        <v>13.905780176261821</v>
      </c>
      <c r="CX139" s="39"/>
      <c r="CY139" s="81">
        <f>H139*月別販売比率!$BF$21</f>
        <v>20</v>
      </c>
      <c r="CZ139" s="39"/>
      <c r="DA139" s="28"/>
      <c r="DB139" s="294"/>
    </row>
    <row r="140" spans="2:106" ht="30.75" customHeight="1">
      <c r="C140" s="457"/>
      <c r="D140" s="441"/>
      <c r="E140" s="94" t="s">
        <v>51</v>
      </c>
      <c r="F140" s="57">
        <v>48</v>
      </c>
      <c r="G140" s="5">
        <f t="shared" ref="G140:G154" si="195">F140*4950</f>
        <v>237600</v>
      </c>
      <c r="H140" s="165">
        <v>140</v>
      </c>
      <c r="I140" s="5">
        <f t="shared" si="184"/>
        <v>693000</v>
      </c>
      <c r="J140" s="9">
        <v>1</v>
      </c>
      <c r="K140" s="21">
        <f t="shared" si="185"/>
        <v>6</v>
      </c>
      <c r="L140" s="21">
        <v>6</v>
      </c>
      <c r="M140" s="21">
        <v>0</v>
      </c>
      <c r="N140" s="42"/>
      <c r="O140" s="288"/>
      <c r="P140" s="288"/>
      <c r="Q140" s="331"/>
      <c r="R140" s="331">
        <v>45667</v>
      </c>
      <c r="S140" s="124"/>
      <c r="T140" s="124"/>
      <c r="U140" s="124"/>
      <c r="V140" s="124"/>
      <c r="W140" s="124"/>
      <c r="X140" s="124"/>
      <c r="Y140" s="124"/>
      <c r="Z140" s="124"/>
      <c r="AA140" s="124"/>
      <c r="AB140" s="124"/>
      <c r="AC140" s="124"/>
      <c r="AD140" s="328"/>
      <c r="AE140" s="328"/>
      <c r="AF140" s="328"/>
      <c r="AG140" s="124"/>
      <c r="AH140" s="124"/>
      <c r="AI140" s="129">
        <f t="shared" si="186"/>
        <v>65.8</v>
      </c>
      <c r="AJ140" s="129">
        <f t="shared" si="187"/>
        <v>55.136659154018254</v>
      </c>
      <c r="AK140" s="129">
        <f t="shared" si="188"/>
        <v>38.33665915401825</v>
      </c>
      <c r="AL140" s="399">
        <f t="shared" si="189"/>
        <v>24.33665915401825</v>
      </c>
      <c r="AM140" s="393">
        <f t="shared" si="190"/>
        <v>11.73665915401825</v>
      </c>
      <c r="AN140" s="393">
        <f t="shared" si="191"/>
        <v>-2.2633408459817499</v>
      </c>
      <c r="AO140" s="393">
        <f t="shared" si="192"/>
        <v>-10.78855341591408</v>
      </c>
      <c r="AP140" s="96">
        <f t="shared" si="193"/>
        <v>-18.575790314620701</v>
      </c>
      <c r="AQ140" s="91">
        <f t="shared" si="194"/>
        <v>-29.7757903146207</v>
      </c>
      <c r="AR140" s="198"/>
      <c r="AS140" s="81">
        <f>$H$140*月別販売比率!AG5</f>
        <v>14</v>
      </c>
      <c r="AT140" s="21"/>
      <c r="AU140" s="81">
        <f>$H$140*月別販売比率!AL5</f>
        <v>12.6</v>
      </c>
      <c r="AV140" s="21"/>
      <c r="AW140" s="245">
        <f>$H$140*月別販売比率!AQ5</f>
        <v>14</v>
      </c>
      <c r="AX140" s="241">
        <v>90</v>
      </c>
      <c r="AY140" s="81">
        <f>$H$140*月別販売比率!AV5</f>
        <v>8.5252125699323305</v>
      </c>
      <c r="AZ140" s="21"/>
      <c r="BA140" s="245">
        <f>$H$140*月別販売比率!BA5</f>
        <v>7.7872368987066194</v>
      </c>
      <c r="BB140" s="241">
        <v>5</v>
      </c>
      <c r="BC140" s="81">
        <f>$H$140*月別販売比率!BF5</f>
        <v>11.200000000000001</v>
      </c>
      <c r="BD140" s="21"/>
      <c r="BE140" s="81">
        <f>$H$140*月別販売比率!C21</f>
        <v>9.9209951562176286</v>
      </c>
      <c r="BF140" s="21"/>
      <c r="BG140" s="81">
        <f>$H$140*月別販売比率!H21</f>
        <v>9.8000000000000007</v>
      </c>
      <c r="BH140" s="21"/>
      <c r="BI140" s="81">
        <f>$H$140*月別販売比率!M21</f>
        <v>14.148916477311561</v>
      </c>
      <c r="BJ140" s="21"/>
      <c r="BK140" s="81">
        <f>$H$140*月別販売比率!R21</f>
        <v>11.200000000000001</v>
      </c>
      <c r="BL140" s="21"/>
      <c r="BM140" s="245">
        <f>$H$140*月別販売比率!W21</f>
        <v>10.663340845981745</v>
      </c>
      <c r="BN140" s="241">
        <v>15</v>
      </c>
      <c r="BO140" s="81">
        <f>$H$140*月別販売比率!AB21</f>
        <v>16.8</v>
      </c>
      <c r="BP140" s="21"/>
      <c r="BQ140" s="81">
        <f>$H$140*月別販売比率!AG21</f>
        <v>14</v>
      </c>
      <c r="BR140" s="21"/>
      <c r="BS140" s="81">
        <f>$H$140*月別販売比率!AL21</f>
        <v>12.6</v>
      </c>
      <c r="BT140" s="21"/>
      <c r="BU140" s="81">
        <f>$H$140*月別販売比率!AQ21</f>
        <v>14</v>
      </c>
      <c r="BV140" s="21"/>
      <c r="BW140" s="81">
        <f>$H$140*月別販売比率!AV21</f>
        <v>8.5252125699323305</v>
      </c>
      <c r="BX140" s="21"/>
      <c r="BY140" s="81">
        <f>$H$140*月別販売比率!BA21</f>
        <v>7.7872368987066194</v>
      </c>
      <c r="BZ140" s="21"/>
      <c r="CA140" s="245">
        <f>$H$140*月別販売比率!BF21</f>
        <v>11.200000000000001</v>
      </c>
      <c r="CB140" s="241">
        <v>16</v>
      </c>
      <c r="CC140" s="81">
        <f>H140*月別販売比率!$C$21</f>
        <v>9.9209951562176286</v>
      </c>
      <c r="CD140" s="21"/>
      <c r="CE140" s="81">
        <f>H140*月別販売比率!$H$21</f>
        <v>9.8000000000000007</v>
      </c>
      <c r="CF140" s="21"/>
      <c r="CG140" s="81">
        <f>H140*月別販売比率!$M$21</f>
        <v>14.148916477311561</v>
      </c>
      <c r="CH140" s="21"/>
      <c r="CI140" s="81">
        <f>H140*月別販売比率!$R$21</f>
        <v>11.200000000000001</v>
      </c>
      <c r="CJ140" s="415">
        <v>70</v>
      </c>
      <c r="CK140" s="81">
        <f>H140*月別販売比率!$W$21</f>
        <v>10.663340845981745</v>
      </c>
      <c r="CL140" s="416"/>
      <c r="CM140" s="81">
        <f>H140*月別販売比率!$AB$21</f>
        <v>16.8</v>
      </c>
      <c r="CN140" s="21"/>
      <c r="CO140" s="81">
        <f>H140*月別販売比率!$AG$21</f>
        <v>14</v>
      </c>
      <c r="CP140" s="21"/>
      <c r="CQ140" s="81">
        <f>H140*月別販売比率!$AL$21</f>
        <v>12.6</v>
      </c>
      <c r="CR140" s="21"/>
      <c r="CS140" s="81">
        <f>H140*月別販売比率!$AQ$21</f>
        <v>14</v>
      </c>
      <c r="CT140" s="21"/>
      <c r="CU140" s="81">
        <f>H140*月別販売比率!$AV$21</f>
        <v>8.5252125699323305</v>
      </c>
      <c r="CV140" s="21"/>
      <c r="CW140" s="81">
        <f>H140*月別販売比率!$BA$21</f>
        <v>7.7872368987066194</v>
      </c>
      <c r="CX140" s="21"/>
      <c r="CY140" s="81">
        <f>H140*月別販売比率!$BF$21</f>
        <v>11.200000000000001</v>
      </c>
      <c r="CZ140" s="21"/>
      <c r="DA140" s="28"/>
      <c r="DB140" s="294"/>
    </row>
    <row r="141" spans="2:106" ht="30.75" customHeight="1">
      <c r="C141" s="457"/>
      <c r="D141" s="441"/>
      <c r="E141" s="94" t="s">
        <v>49</v>
      </c>
      <c r="F141" s="57">
        <v>22</v>
      </c>
      <c r="G141" s="5">
        <f t="shared" si="195"/>
        <v>108900</v>
      </c>
      <c r="H141" s="7">
        <f t="shared" ref="H141:H154" si="196">F141*($H$138/$F$138)</f>
        <v>52.256532066508314</v>
      </c>
      <c r="I141" s="5">
        <f t="shared" si="184"/>
        <v>258669.83372921616</v>
      </c>
      <c r="J141" s="9">
        <v>0</v>
      </c>
      <c r="K141" s="21">
        <f t="shared" si="185"/>
        <v>15</v>
      </c>
      <c r="L141" s="21">
        <v>8</v>
      </c>
      <c r="M141" s="21">
        <v>7</v>
      </c>
      <c r="N141" s="42"/>
      <c r="O141" s="19"/>
      <c r="P141" s="19"/>
      <c r="Q141" s="330"/>
      <c r="R141" s="124"/>
      <c r="S141" s="124"/>
      <c r="T141" s="124"/>
      <c r="U141" s="124"/>
      <c r="V141" s="124"/>
      <c r="W141" s="124"/>
      <c r="X141" s="328"/>
      <c r="Y141" s="328"/>
      <c r="Z141" s="124"/>
      <c r="AA141" s="124"/>
      <c r="AB141" s="124"/>
      <c r="AC141" s="124"/>
      <c r="AD141" s="124"/>
      <c r="AE141" s="124"/>
      <c r="AF141" s="124"/>
      <c r="AG141" s="124"/>
      <c r="AH141" s="124"/>
      <c r="AI141" s="129">
        <f t="shared" si="186"/>
        <v>30.819477434679335</v>
      </c>
      <c r="AJ141" s="129">
        <f t="shared" si="187"/>
        <v>26.839268771435385</v>
      </c>
      <c r="AK141" s="129">
        <f t="shared" si="188"/>
        <v>20.568484923454388</v>
      </c>
      <c r="AL141" s="399">
        <f t="shared" si="189"/>
        <v>15.342831716803556</v>
      </c>
      <c r="AM141" s="393">
        <f t="shared" si="190"/>
        <v>10.639743830817807</v>
      </c>
      <c r="AN141" s="393">
        <f t="shared" si="191"/>
        <v>5.4140906241669748</v>
      </c>
      <c r="AO141" s="393">
        <f t="shared" si="192"/>
        <v>2.2319617382064854</v>
      </c>
      <c r="AP141" s="96">
        <f t="shared" si="193"/>
        <v>-0.67470965255608029</v>
      </c>
      <c r="AQ141" s="91">
        <f t="shared" si="194"/>
        <v>-4.8552322178767451</v>
      </c>
      <c r="AR141" s="198"/>
      <c r="AS141" s="81">
        <f>$H$141*月別販売比率!AG5</f>
        <v>5.2256532066508319</v>
      </c>
      <c r="AT141" s="21"/>
      <c r="AU141" s="81">
        <f>$H$141*月別販売比率!AL5</f>
        <v>4.7030878859857479</v>
      </c>
      <c r="AV141" s="21"/>
      <c r="AW141" s="245">
        <f>$H$141*月別販売比率!AQ5</f>
        <v>5.2256532066508319</v>
      </c>
      <c r="AX141" s="241"/>
      <c r="AY141" s="81">
        <f>$H$141*月別販売比率!AV5</f>
        <v>3.1821288859604895</v>
      </c>
      <c r="AZ141" s="21"/>
      <c r="BA141" s="245">
        <f>$H$141*月別販売比率!BA5</f>
        <v>2.9066713907625656</v>
      </c>
      <c r="BB141" s="241">
        <v>25</v>
      </c>
      <c r="BC141" s="81">
        <f>$H$141*月別販売比率!BF5</f>
        <v>4.1805225653206648</v>
      </c>
      <c r="BD141" s="21"/>
      <c r="BE141" s="81">
        <f>$H$141*月別販売比率!C21</f>
        <v>3.703120010804001</v>
      </c>
      <c r="BF141" s="21"/>
      <c r="BG141" s="81">
        <f>$H$141*月別販売比率!H21</f>
        <v>3.6579572446555821</v>
      </c>
      <c r="BH141" s="21"/>
      <c r="BI141" s="81">
        <f>$H$141*月別販売比率!M21</f>
        <v>5.2812379114498524</v>
      </c>
      <c r="BJ141" s="21"/>
      <c r="BK141" s="81">
        <f>$H$141*月別販売比率!R21</f>
        <v>4.1805225653206648</v>
      </c>
      <c r="BL141" s="21"/>
      <c r="BM141" s="245">
        <f>$H$141*月別販売比率!W21</f>
        <v>3.9802086632439493</v>
      </c>
      <c r="BN141" s="241">
        <v>15</v>
      </c>
      <c r="BO141" s="81">
        <f>$H$141*月別販売比率!AB21</f>
        <v>6.2707838479809972</v>
      </c>
      <c r="BP141" s="21"/>
      <c r="BQ141" s="81">
        <f>$H$141*月別販売比率!AG21</f>
        <v>5.2256532066508319</v>
      </c>
      <c r="BR141" s="21"/>
      <c r="BS141" s="81">
        <f>$H$141*月別販売比率!AL21</f>
        <v>4.7030878859857479</v>
      </c>
      <c r="BT141" s="21"/>
      <c r="BU141" s="81">
        <f>$H$141*月別販売比率!AQ21</f>
        <v>5.2256532066508319</v>
      </c>
      <c r="BV141" s="21"/>
      <c r="BW141" s="81">
        <f>$H$141*月別販売比率!AV21</f>
        <v>3.1821288859604895</v>
      </c>
      <c r="BX141" s="21"/>
      <c r="BY141" s="81">
        <f>$H$141*月別販売比率!BA21</f>
        <v>2.9066713907625656</v>
      </c>
      <c r="BZ141" s="21"/>
      <c r="CA141" s="245">
        <f>$H$141*月別販売比率!BF21</f>
        <v>4.1805225653206648</v>
      </c>
      <c r="CB141" s="241"/>
      <c r="CC141" s="81">
        <f>H141*月別販売比率!$C$21</f>
        <v>3.703120010804001</v>
      </c>
      <c r="CD141" s="21"/>
      <c r="CE141" s="81">
        <f>H141*月別販売比率!$H$21</f>
        <v>3.6579572446555821</v>
      </c>
      <c r="CF141" s="21"/>
      <c r="CG141" s="81">
        <f>H141*月別販売比率!$M$21</f>
        <v>5.2812379114498524</v>
      </c>
      <c r="CH141" s="21"/>
      <c r="CI141" s="81">
        <f>H141*月別販売比率!$R$21</f>
        <v>4.1805225653206648</v>
      </c>
      <c r="CJ141" s="21">
        <v>20</v>
      </c>
      <c r="CK141" s="81">
        <f>H141*月別販売比率!$W$21</f>
        <v>3.9802086632439493</v>
      </c>
      <c r="CL141" s="21"/>
      <c r="CM141" s="81">
        <f>H141*月別販売比率!$AB$21</f>
        <v>6.2707838479809972</v>
      </c>
      <c r="CN141" s="21"/>
      <c r="CO141" s="81">
        <f>H141*月別販売比率!$AG$21</f>
        <v>5.2256532066508319</v>
      </c>
      <c r="CP141" s="21"/>
      <c r="CQ141" s="81">
        <f>H141*月別販売比率!$AL$21</f>
        <v>4.7030878859857479</v>
      </c>
      <c r="CR141" s="21"/>
      <c r="CS141" s="81">
        <f>H141*月別販売比率!$AQ$21</f>
        <v>5.2256532066508319</v>
      </c>
      <c r="CT141" s="21"/>
      <c r="CU141" s="81">
        <f>H141*月別販売比率!$AV$21</f>
        <v>3.1821288859604895</v>
      </c>
      <c r="CV141" s="21"/>
      <c r="CW141" s="81">
        <f>H141*月別販売比率!$BA$21</f>
        <v>2.9066713907625656</v>
      </c>
      <c r="CX141" s="21"/>
      <c r="CY141" s="81">
        <f>H141*月別販売比率!$BF$21</f>
        <v>4.1805225653206648</v>
      </c>
      <c r="CZ141" s="21"/>
      <c r="DA141" s="28"/>
      <c r="DB141" s="294"/>
    </row>
    <row r="142" spans="2:106" ht="30.75" customHeight="1">
      <c r="C142" s="457"/>
      <c r="D142" s="442"/>
      <c r="E142" s="94" t="s">
        <v>50</v>
      </c>
      <c r="F142" s="57">
        <v>13</v>
      </c>
      <c r="G142" s="5">
        <f t="shared" si="195"/>
        <v>64350</v>
      </c>
      <c r="H142" s="7">
        <f t="shared" si="196"/>
        <v>30.878859857482183</v>
      </c>
      <c r="I142" s="5">
        <f t="shared" si="184"/>
        <v>152850.35629453682</v>
      </c>
      <c r="J142" s="9">
        <v>4</v>
      </c>
      <c r="K142" s="21">
        <f t="shared" si="185"/>
        <v>20</v>
      </c>
      <c r="L142" s="21">
        <v>9</v>
      </c>
      <c r="M142" s="21">
        <v>11</v>
      </c>
      <c r="N142" s="42"/>
      <c r="O142" s="288"/>
      <c r="P142" s="288"/>
      <c r="Q142" s="331"/>
      <c r="R142" s="331">
        <v>45667</v>
      </c>
      <c r="S142" s="331">
        <v>45707</v>
      </c>
      <c r="T142" s="124"/>
      <c r="U142" s="124"/>
      <c r="V142" s="124"/>
      <c r="W142" s="124"/>
      <c r="X142" s="124"/>
      <c r="Y142" s="124"/>
      <c r="Z142" s="124"/>
      <c r="AA142" s="124"/>
      <c r="AB142" s="124"/>
      <c r="AC142" s="124"/>
      <c r="AD142" s="124"/>
      <c r="AE142" s="124"/>
      <c r="AF142" s="124"/>
      <c r="AG142" s="124"/>
      <c r="AH142" s="124"/>
      <c r="AI142" s="129">
        <f t="shared" si="186"/>
        <v>31.529691211401424</v>
      </c>
      <c r="AJ142" s="129">
        <f t="shared" si="187"/>
        <v>29.177749728575453</v>
      </c>
      <c r="AK142" s="129">
        <f t="shared" si="188"/>
        <v>25.472286545677591</v>
      </c>
      <c r="AL142" s="399">
        <f t="shared" si="189"/>
        <v>22.384400559929372</v>
      </c>
      <c r="AM142" s="393">
        <f t="shared" si="190"/>
        <v>19.605303172755974</v>
      </c>
      <c r="AN142" s="393">
        <f t="shared" si="191"/>
        <v>16.517417187007755</v>
      </c>
      <c r="AO142" s="393">
        <f t="shared" si="192"/>
        <v>14.637068299849284</v>
      </c>
      <c r="AP142" s="96">
        <f t="shared" si="193"/>
        <v>12.919489750762313</v>
      </c>
      <c r="AQ142" s="91">
        <f t="shared" si="194"/>
        <v>10.449180962163739</v>
      </c>
      <c r="AR142" s="198"/>
      <c r="AS142" s="81">
        <f>$H$142*月別販売比率!AG5</f>
        <v>3.0878859857482186</v>
      </c>
      <c r="AT142" s="21"/>
      <c r="AU142" s="81">
        <f>$H$142*月別販売比率!AL5</f>
        <v>2.7790973871733966</v>
      </c>
      <c r="AV142" s="21"/>
      <c r="AW142" s="245">
        <f>$H$142*月別販売比率!AQ5</f>
        <v>3.0878859857482186</v>
      </c>
      <c r="AX142" s="241">
        <v>20</v>
      </c>
      <c r="AY142" s="81">
        <f>$H$142*月別販売比率!AV5</f>
        <v>1.880348887158471</v>
      </c>
      <c r="AZ142" s="21"/>
      <c r="BA142" s="245">
        <f>$H$142*月別販売比率!BA5</f>
        <v>1.7175785490869706</v>
      </c>
      <c r="BB142" s="241"/>
      <c r="BC142" s="81">
        <f>$H$142*月別販売比率!BF5</f>
        <v>2.4703087885985746</v>
      </c>
      <c r="BD142" s="21"/>
      <c r="BE142" s="81">
        <f>$H$142*月別販売比率!C21</f>
        <v>2.1882072791114551</v>
      </c>
      <c r="BF142" s="21"/>
      <c r="BG142" s="81">
        <f>$H$142*月別販売比率!H21</f>
        <v>2.1615201900237531</v>
      </c>
      <c r="BH142" s="21"/>
      <c r="BI142" s="81">
        <f>$H$142*月別販売比率!M21</f>
        <v>3.1207314931294583</v>
      </c>
      <c r="BJ142" s="21"/>
      <c r="BK142" s="81">
        <f>$H$142*月別販売比率!R21</f>
        <v>2.4703087885985746</v>
      </c>
      <c r="BL142" s="21"/>
      <c r="BM142" s="245">
        <f>$H$142*月別販売比率!W21</f>
        <v>2.3519414828259699</v>
      </c>
      <c r="BN142" s="241"/>
      <c r="BO142" s="81">
        <f>$H$142*月別販売比率!AB21</f>
        <v>3.7054631828978617</v>
      </c>
      <c r="BP142" s="21"/>
      <c r="BQ142" s="81">
        <f>$H$142*月別販売比率!AG21</f>
        <v>3.0878859857482186</v>
      </c>
      <c r="BR142" s="21"/>
      <c r="BS142" s="81">
        <f>$H$142*月別販売比率!AL21</f>
        <v>2.7790973871733966</v>
      </c>
      <c r="BT142" s="21"/>
      <c r="BU142" s="81">
        <f>$H$142*月別販売比率!AQ21</f>
        <v>3.0878859857482186</v>
      </c>
      <c r="BV142" s="21"/>
      <c r="BW142" s="81">
        <f>$H$142*月別販売比率!AV21</f>
        <v>1.880348887158471</v>
      </c>
      <c r="BX142" s="21"/>
      <c r="BY142" s="81">
        <f>$H$142*月別販売比率!BA21</f>
        <v>1.7175785490869706</v>
      </c>
      <c r="BZ142" s="21"/>
      <c r="CA142" s="245">
        <f>$H$142*月別販売比率!BF21</f>
        <v>2.4703087885985746</v>
      </c>
      <c r="CB142" s="241"/>
      <c r="CC142" s="81">
        <f>H142*月別販売比率!$C$21</f>
        <v>2.1882072791114551</v>
      </c>
      <c r="CD142" s="21"/>
      <c r="CE142" s="81">
        <f>H142*月別販売比率!$H$21</f>
        <v>2.1615201900237531</v>
      </c>
      <c r="CF142" s="21"/>
      <c r="CG142" s="81">
        <f>H142*月別販売比率!$M$21</f>
        <v>3.1207314931294583</v>
      </c>
      <c r="CH142" s="21"/>
      <c r="CI142" s="81">
        <f>H142*月別販売比率!$R$21</f>
        <v>2.4703087885985746</v>
      </c>
      <c r="CJ142" s="21">
        <v>10</v>
      </c>
      <c r="CK142" s="81">
        <f>H142*月別販売比率!$W$21</f>
        <v>2.3519414828259699</v>
      </c>
      <c r="CL142" s="21"/>
      <c r="CM142" s="81">
        <f>H142*月別販売比率!$AB$21</f>
        <v>3.7054631828978617</v>
      </c>
      <c r="CN142" s="21"/>
      <c r="CO142" s="81">
        <f>H142*月別販売比率!$AG$21</f>
        <v>3.0878859857482186</v>
      </c>
      <c r="CP142" s="21"/>
      <c r="CQ142" s="81">
        <f>H142*月別販売比率!$AL$21</f>
        <v>2.7790973871733966</v>
      </c>
      <c r="CR142" s="21"/>
      <c r="CS142" s="81">
        <f>H142*月別販売比率!$AQ$21</f>
        <v>3.0878859857482186</v>
      </c>
      <c r="CT142" s="21"/>
      <c r="CU142" s="81">
        <f>H142*月別販売比率!$AV$21</f>
        <v>1.880348887158471</v>
      </c>
      <c r="CV142" s="21"/>
      <c r="CW142" s="81">
        <f>H142*月別販売比率!$BA$21</f>
        <v>1.7175785490869706</v>
      </c>
      <c r="CX142" s="21"/>
      <c r="CY142" s="81">
        <f>H142*月別販売比率!$BF$21</f>
        <v>2.4703087885985746</v>
      </c>
      <c r="CZ142" s="21"/>
      <c r="DA142" s="28"/>
      <c r="DB142" s="294"/>
    </row>
    <row r="143" spans="2:106" ht="30.75" customHeight="1">
      <c r="C143" s="457"/>
      <c r="D143" s="441">
        <v>2</v>
      </c>
      <c r="E143" s="94" t="s">
        <v>47</v>
      </c>
      <c r="F143" s="57">
        <v>55</v>
      </c>
      <c r="G143" s="5">
        <f t="shared" si="195"/>
        <v>272250</v>
      </c>
      <c r="H143" s="165">
        <v>150</v>
      </c>
      <c r="I143" s="5">
        <f t="shared" si="184"/>
        <v>742500</v>
      </c>
      <c r="J143" s="9">
        <v>0</v>
      </c>
      <c r="K143" s="21">
        <f t="shared" si="185"/>
        <v>15</v>
      </c>
      <c r="L143" s="21">
        <v>6</v>
      </c>
      <c r="M143" s="21">
        <v>9</v>
      </c>
      <c r="N143" s="42"/>
      <c r="O143" s="288"/>
      <c r="P143" s="288"/>
      <c r="Q143" s="331"/>
      <c r="R143" s="331">
        <v>45667</v>
      </c>
      <c r="S143" s="124"/>
      <c r="T143" s="124"/>
      <c r="U143" s="124"/>
      <c r="V143" s="328"/>
      <c r="W143" s="328"/>
      <c r="X143" s="328"/>
      <c r="Y143" s="328"/>
      <c r="Z143" s="124"/>
      <c r="AA143" s="328"/>
      <c r="AB143" s="328"/>
      <c r="AC143" s="328"/>
      <c r="AD143" s="328"/>
      <c r="AE143" s="328"/>
      <c r="AF143" s="328"/>
      <c r="AG143" s="124"/>
      <c r="AH143" s="124"/>
      <c r="AI143" s="129">
        <f t="shared" si="186"/>
        <v>63</v>
      </c>
      <c r="AJ143" s="129">
        <f t="shared" si="187"/>
        <v>51.574991950733846</v>
      </c>
      <c r="AK143" s="129">
        <f t="shared" si="188"/>
        <v>33.574991950733846</v>
      </c>
      <c r="AL143" s="399">
        <f t="shared" si="189"/>
        <v>18.574991950733846</v>
      </c>
      <c r="AM143" s="393">
        <f t="shared" si="190"/>
        <v>5.0749919507338461</v>
      </c>
      <c r="AN143" s="393">
        <f t="shared" si="191"/>
        <v>-9.9250080492661539</v>
      </c>
      <c r="AO143" s="393">
        <f t="shared" si="192"/>
        <v>-19.059164374193649</v>
      </c>
      <c r="AP143" s="96">
        <f t="shared" si="193"/>
        <v>-27.402632479950739</v>
      </c>
      <c r="AQ143" s="91">
        <f t="shared" si="194"/>
        <v>-39.402632479950739</v>
      </c>
      <c r="AR143" s="198"/>
      <c r="AS143" s="81">
        <f>$H$143*月別販売比率!AG5</f>
        <v>15</v>
      </c>
      <c r="AT143" s="21"/>
      <c r="AU143" s="81">
        <f>$H$143*月別販売比率!AL5</f>
        <v>13.5</v>
      </c>
      <c r="AV143" s="21"/>
      <c r="AW143" s="245">
        <f>$H$143*月別販売比率!AQ5</f>
        <v>15</v>
      </c>
      <c r="AX143" s="241">
        <v>87</v>
      </c>
      <c r="AY143" s="81">
        <f>$H$143*月別販売比率!AV5</f>
        <v>9.1341563249274973</v>
      </c>
      <c r="AZ143" s="21"/>
      <c r="BA143" s="245">
        <f>$H$143*月別販売比率!BA5</f>
        <v>8.3434681057570916</v>
      </c>
      <c r="BB143" s="241"/>
      <c r="BC143" s="81">
        <f>$H$143*月別販売比率!BF5</f>
        <v>12</v>
      </c>
      <c r="BD143" s="21"/>
      <c r="BE143" s="81">
        <f>$H$143*月別販売比率!C21</f>
        <v>10.629637667376031</v>
      </c>
      <c r="BF143" s="21"/>
      <c r="BG143" s="81">
        <f>$H$143*月別販売比率!H21</f>
        <v>10.500000000000002</v>
      </c>
      <c r="BH143" s="21"/>
      <c r="BI143" s="81">
        <f>$H$143*月別販売比率!M21</f>
        <v>15.159553368548099</v>
      </c>
      <c r="BJ143" s="21"/>
      <c r="BK143" s="81">
        <f>$H$143*月別販売比率!R21</f>
        <v>12</v>
      </c>
      <c r="BL143" s="21"/>
      <c r="BM143" s="245">
        <f>$H$143*月別販売比率!W21</f>
        <v>11.425008049266154</v>
      </c>
      <c r="BN143" s="241">
        <v>75</v>
      </c>
      <c r="BO143" s="81">
        <f>$H$143*月別販売比率!AB21</f>
        <v>18</v>
      </c>
      <c r="BP143" s="21"/>
      <c r="BQ143" s="81">
        <f>$H$143*月別販売比率!AG21</f>
        <v>15</v>
      </c>
      <c r="BR143" s="21"/>
      <c r="BS143" s="81">
        <f>$H$143*月別販売比率!AL21</f>
        <v>13.5</v>
      </c>
      <c r="BT143" s="21"/>
      <c r="BU143" s="81">
        <f>$H$143*月別販売比率!AQ21</f>
        <v>15</v>
      </c>
      <c r="BV143" s="21"/>
      <c r="BW143" s="81">
        <f>$H$143*月別販売比率!AV21</f>
        <v>9.1341563249274973</v>
      </c>
      <c r="BX143" s="21"/>
      <c r="BY143" s="81">
        <f>$H$143*月別販売比率!BA21</f>
        <v>8.3434681057570916</v>
      </c>
      <c r="BZ143" s="21"/>
      <c r="CA143" s="245">
        <f>$H$143*月別販売比率!BF21</f>
        <v>12</v>
      </c>
      <c r="CB143" s="241">
        <v>30</v>
      </c>
      <c r="CC143" s="81">
        <f>H143*月別販売比率!$C$21</f>
        <v>10.629637667376031</v>
      </c>
      <c r="CD143" s="21"/>
      <c r="CE143" s="81">
        <f>H143*月別販売比率!$H$21</f>
        <v>10.500000000000002</v>
      </c>
      <c r="CF143" s="21"/>
      <c r="CG143" s="81">
        <f>H143*月別販売比率!$M$21</f>
        <v>15.159553368548099</v>
      </c>
      <c r="CH143" s="21"/>
      <c r="CI143" s="81">
        <f>H143*月別販売比率!$R$21</f>
        <v>12</v>
      </c>
      <c r="CJ143" s="21">
        <v>60</v>
      </c>
      <c r="CK143" s="81">
        <f>H143*月別販売比率!$W$21</f>
        <v>11.425008049266154</v>
      </c>
      <c r="CL143" s="21"/>
      <c r="CM143" s="81">
        <f>H143*月別販売比率!$AB$21</f>
        <v>18</v>
      </c>
      <c r="CN143" s="21"/>
      <c r="CO143" s="81">
        <f>H143*月別販売比率!$AG$21</f>
        <v>15</v>
      </c>
      <c r="CP143" s="21"/>
      <c r="CQ143" s="81">
        <f>H143*月別販売比率!$AL$21</f>
        <v>13.5</v>
      </c>
      <c r="CR143" s="21"/>
      <c r="CS143" s="81">
        <f>H143*月別販売比率!$AQ$21</f>
        <v>15</v>
      </c>
      <c r="CT143" s="21"/>
      <c r="CU143" s="81">
        <f>H143*月別販売比率!$AV$21</f>
        <v>9.1341563249274973</v>
      </c>
      <c r="CV143" s="21"/>
      <c r="CW143" s="81">
        <f>H143*月別販売比率!$BA$21</f>
        <v>8.3434681057570916</v>
      </c>
      <c r="CX143" s="21"/>
      <c r="CY143" s="81">
        <f>H143*月別販売比率!$BF$21</f>
        <v>12</v>
      </c>
      <c r="CZ143" s="21"/>
      <c r="DA143" s="28"/>
      <c r="DB143" s="294"/>
    </row>
    <row r="144" spans="2:106" ht="30.75" customHeight="1">
      <c r="C144" s="457"/>
      <c r="D144" s="441"/>
      <c r="E144" s="94" t="s">
        <v>51</v>
      </c>
      <c r="F144" s="57">
        <v>40</v>
      </c>
      <c r="G144" s="5">
        <f t="shared" si="195"/>
        <v>198000</v>
      </c>
      <c r="H144" s="7">
        <f t="shared" si="196"/>
        <v>95.01187648456056</v>
      </c>
      <c r="I144" s="5">
        <f t="shared" si="184"/>
        <v>470308.78859857476</v>
      </c>
      <c r="J144" s="9">
        <v>0</v>
      </c>
      <c r="K144" s="21">
        <f t="shared" si="185"/>
        <v>8</v>
      </c>
      <c r="L144" s="21">
        <v>0</v>
      </c>
      <c r="M144" s="21">
        <v>8</v>
      </c>
      <c r="N144" s="42"/>
      <c r="O144" s="19"/>
      <c r="P144" s="19"/>
      <c r="Q144" s="330"/>
      <c r="R144" s="124"/>
      <c r="S144" s="124"/>
      <c r="T144" s="124"/>
      <c r="U144" s="124"/>
      <c r="V144" s="328"/>
      <c r="W144" s="328"/>
      <c r="X144" s="328"/>
      <c r="Y144" s="328"/>
      <c r="Z144" s="124"/>
      <c r="AA144" s="328"/>
      <c r="AB144" s="328"/>
      <c r="AC144" s="124"/>
      <c r="AD144" s="124"/>
      <c r="AE144" s="124"/>
      <c r="AF144" s="328"/>
      <c r="AG144" s="124"/>
      <c r="AH144" s="124"/>
      <c r="AI144" s="129">
        <f t="shared" si="186"/>
        <v>50.399049881235157</v>
      </c>
      <c r="AJ144" s="129">
        <f t="shared" si="187"/>
        <v>43.162306857155251</v>
      </c>
      <c r="AK144" s="129">
        <f t="shared" si="188"/>
        <v>31.760881679007984</v>
      </c>
      <c r="AL144" s="399">
        <f t="shared" si="189"/>
        <v>22.259694030551927</v>
      </c>
      <c r="AM144" s="393">
        <f t="shared" si="190"/>
        <v>13.708625146941477</v>
      </c>
      <c r="AN144" s="393">
        <f t="shared" si="191"/>
        <v>4.2074374984854206</v>
      </c>
      <c r="AO144" s="393">
        <f t="shared" si="192"/>
        <v>-1.5782513850791053</v>
      </c>
      <c r="AP144" s="96">
        <f t="shared" si="193"/>
        <v>-6.8631084591928611</v>
      </c>
      <c r="AQ144" s="91">
        <f t="shared" si="194"/>
        <v>-14.464058577957706</v>
      </c>
      <c r="AR144" s="198"/>
      <c r="AS144" s="81">
        <f>$H$144*月別販売比率!AG5</f>
        <v>9.5011876484560567</v>
      </c>
      <c r="AT144" s="21"/>
      <c r="AU144" s="81">
        <f>$H$144*月別販売比率!AL5</f>
        <v>8.5510688836104496</v>
      </c>
      <c r="AV144" s="21"/>
      <c r="AW144" s="245">
        <f>$H$144*月別販売比率!AQ5</f>
        <v>9.5011876484560567</v>
      </c>
      <c r="AX144" s="241">
        <v>40</v>
      </c>
      <c r="AY144" s="81">
        <f>$H$144*月別販売比率!AV5</f>
        <v>5.7856888835645259</v>
      </c>
      <c r="AZ144" s="21"/>
      <c r="BA144" s="245">
        <f>$H$144*月別販売比率!BA5</f>
        <v>5.2848570741137557</v>
      </c>
      <c r="BB144" s="241"/>
      <c r="BC144" s="81">
        <f>$H$144*月別販売比率!BF5</f>
        <v>7.6009501187648452</v>
      </c>
      <c r="BD144" s="21"/>
      <c r="BE144" s="81">
        <f>$H$144*月別販売比率!C21</f>
        <v>6.7329454741890924</v>
      </c>
      <c r="BF144" s="21"/>
      <c r="BG144" s="81">
        <f>$H$144*月別販売比率!H21</f>
        <v>6.6508313539192399</v>
      </c>
      <c r="BH144" s="21"/>
      <c r="BI144" s="81">
        <f>$H$144*月別販売比率!M21</f>
        <v>9.6022507480906398</v>
      </c>
      <c r="BJ144" s="21"/>
      <c r="BK144" s="81">
        <f>$H$144*月別販売比率!R21</f>
        <v>7.6009501187648452</v>
      </c>
      <c r="BL144" s="21"/>
      <c r="BM144" s="245">
        <f>$H$144*月別販売比率!W21</f>
        <v>7.2367430240799075</v>
      </c>
      <c r="BN144" s="241">
        <v>50</v>
      </c>
      <c r="BO144" s="81">
        <f>$H$144*月別販売比率!AB21</f>
        <v>11.401425178147267</v>
      </c>
      <c r="BP144" s="21"/>
      <c r="BQ144" s="81">
        <f>$H$144*月別販売比率!AG21</f>
        <v>9.5011876484560567</v>
      </c>
      <c r="BR144" s="21"/>
      <c r="BS144" s="81">
        <f>$H$144*月別販売比率!AL21</f>
        <v>8.5510688836104496</v>
      </c>
      <c r="BT144" s="21"/>
      <c r="BU144" s="81">
        <f>$H$144*月別販売比率!AQ21</f>
        <v>9.5011876484560567</v>
      </c>
      <c r="BV144" s="21"/>
      <c r="BW144" s="81">
        <f>$H$144*月別販売比率!AV21</f>
        <v>5.7856888835645259</v>
      </c>
      <c r="BX144" s="21"/>
      <c r="BY144" s="81">
        <f>$H$144*月別販売比率!BA21</f>
        <v>5.2848570741137557</v>
      </c>
      <c r="BZ144" s="21"/>
      <c r="CA144" s="245">
        <f>$H$144*月別販売比率!BF21</f>
        <v>7.6009501187648452</v>
      </c>
      <c r="CB144" s="241">
        <v>34</v>
      </c>
      <c r="CC144" s="81">
        <f>H144*月別販売比率!$C$21</f>
        <v>6.7329454741890924</v>
      </c>
      <c r="CD144" s="21"/>
      <c r="CE144" s="81">
        <f>H144*月別販売比率!$H$21</f>
        <v>6.6508313539192399</v>
      </c>
      <c r="CF144" s="21"/>
      <c r="CG144" s="81">
        <f>H144*月別販売比率!$M$21</f>
        <v>9.6022507480906398</v>
      </c>
      <c r="CH144" s="21"/>
      <c r="CI144" s="81">
        <f>H144*月別販売比率!$R$21</f>
        <v>7.6009501187648452</v>
      </c>
      <c r="CJ144" s="21">
        <v>50</v>
      </c>
      <c r="CK144" s="81">
        <f>H144*月別販売比率!$W$21</f>
        <v>7.2367430240799075</v>
      </c>
      <c r="CL144" s="21"/>
      <c r="CM144" s="81">
        <f>H144*月別販売比率!$AB$21</f>
        <v>11.401425178147267</v>
      </c>
      <c r="CN144" s="21"/>
      <c r="CO144" s="81">
        <f>H144*月別販売比率!$AG$21</f>
        <v>9.5011876484560567</v>
      </c>
      <c r="CP144" s="21"/>
      <c r="CQ144" s="81">
        <f>H144*月別販売比率!$AL$21</f>
        <v>8.5510688836104496</v>
      </c>
      <c r="CR144" s="21"/>
      <c r="CS144" s="81">
        <f>H144*月別販売比率!$AQ$21</f>
        <v>9.5011876484560567</v>
      </c>
      <c r="CT144" s="21"/>
      <c r="CU144" s="81">
        <f>H144*月別販売比率!$AV$21</f>
        <v>5.7856888835645259</v>
      </c>
      <c r="CV144" s="21"/>
      <c r="CW144" s="81">
        <f>H144*月別販売比率!$BA$21</f>
        <v>5.2848570741137557</v>
      </c>
      <c r="CX144" s="21"/>
      <c r="CY144" s="81">
        <f>H144*月別販売比率!$BF$21</f>
        <v>7.6009501187648452</v>
      </c>
      <c r="CZ144" s="21"/>
      <c r="DA144" s="28"/>
      <c r="DB144" s="294"/>
    </row>
    <row r="145" spans="2:106" ht="30.75" customHeight="1">
      <c r="C145" s="457"/>
      <c r="D145" s="441"/>
      <c r="E145" s="94" t="s">
        <v>49</v>
      </c>
      <c r="F145" s="57">
        <v>11</v>
      </c>
      <c r="G145" s="5">
        <f t="shared" si="195"/>
        <v>54450</v>
      </c>
      <c r="H145" s="7">
        <f t="shared" si="196"/>
        <v>26.128266033254157</v>
      </c>
      <c r="I145" s="5">
        <f t="shared" si="184"/>
        <v>129334.91686460808</v>
      </c>
      <c r="J145" s="9">
        <v>0</v>
      </c>
      <c r="K145" s="21">
        <f t="shared" si="185"/>
        <v>18</v>
      </c>
      <c r="L145" s="21">
        <v>7</v>
      </c>
      <c r="M145" s="21">
        <v>11</v>
      </c>
      <c r="N145" s="42"/>
      <c r="O145" s="19"/>
      <c r="P145" s="19"/>
      <c r="Q145" s="330"/>
      <c r="R145" s="124"/>
      <c r="S145" s="124"/>
      <c r="T145" s="124"/>
      <c r="U145" s="124"/>
      <c r="V145" s="124"/>
      <c r="W145" s="124"/>
      <c r="X145" s="124"/>
      <c r="Y145" s="124"/>
      <c r="Z145" s="124"/>
      <c r="AA145" s="124"/>
      <c r="AB145" s="328"/>
      <c r="AC145" s="328"/>
      <c r="AD145" s="328"/>
      <c r="AE145" s="328"/>
      <c r="AF145" s="328"/>
      <c r="AG145" s="124"/>
      <c r="AH145" s="124"/>
      <c r="AI145" s="129">
        <f t="shared" si="186"/>
        <v>25.909738717339668</v>
      </c>
      <c r="AJ145" s="129">
        <f t="shared" si="187"/>
        <v>23.919634385717693</v>
      </c>
      <c r="AK145" s="129">
        <f t="shared" si="188"/>
        <v>20.784242461727196</v>
      </c>
      <c r="AL145" s="399">
        <f t="shared" si="189"/>
        <v>18.17141585840178</v>
      </c>
      <c r="AM145" s="393">
        <f t="shared" si="190"/>
        <v>15.819871915408905</v>
      </c>
      <c r="AN145" s="393">
        <f t="shared" si="191"/>
        <v>13.207045312083489</v>
      </c>
      <c r="AO145" s="393">
        <f t="shared" si="192"/>
        <v>11.615980869103243</v>
      </c>
      <c r="AP145" s="96">
        <f t="shared" si="193"/>
        <v>10.162645173721961</v>
      </c>
      <c r="AQ145" s="91">
        <f t="shared" si="194"/>
        <v>8.0723838910616283</v>
      </c>
      <c r="AR145" s="198"/>
      <c r="AS145" s="81">
        <f>$H$145*月別販売比率!AG5</f>
        <v>2.6128266033254159</v>
      </c>
      <c r="AT145" s="21"/>
      <c r="AU145" s="81">
        <f>$H$145*月別販売比率!AL5</f>
        <v>2.3515439429928739</v>
      </c>
      <c r="AV145" s="21"/>
      <c r="AW145" s="245">
        <f>$H$145*月別販売比率!AQ5</f>
        <v>2.6128266033254159</v>
      </c>
      <c r="AX145" s="241"/>
      <c r="AY145" s="81">
        <f>$H$145*月別販売比率!AV5</f>
        <v>1.5910644429802447</v>
      </c>
      <c r="AZ145" s="21"/>
      <c r="BA145" s="245">
        <f>$H$145*月別販売比率!BA5</f>
        <v>1.4533356953812828</v>
      </c>
      <c r="BB145" s="241"/>
      <c r="BC145" s="81">
        <f>$H$145*月別販売比率!BF5</f>
        <v>2.0902612826603324</v>
      </c>
      <c r="BD145" s="21"/>
      <c r="BE145" s="81">
        <f>$H$145*月別販売比率!C21</f>
        <v>1.8515600054020005</v>
      </c>
      <c r="BF145" s="21"/>
      <c r="BG145" s="81">
        <f>$H$145*月別販売比率!H21</f>
        <v>1.8289786223277911</v>
      </c>
      <c r="BH145" s="21"/>
      <c r="BI145" s="81">
        <f>$H$145*月別販売比率!M21</f>
        <v>2.6406189557249262</v>
      </c>
      <c r="BJ145" s="21"/>
      <c r="BK145" s="81">
        <f>$H$145*月別販売比率!R21</f>
        <v>2.0902612826603324</v>
      </c>
      <c r="BL145" s="21"/>
      <c r="BM145" s="245">
        <f>$H$145*月別販売比率!W21</f>
        <v>1.9901043316219746</v>
      </c>
      <c r="BN145" s="241"/>
      <c r="BO145" s="81">
        <f>$H$145*月別販売比率!AB21</f>
        <v>3.1353919239904986</v>
      </c>
      <c r="BP145" s="21"/>
      <c r="BQ145" s="81">
        <f>$H$145*月別販売比率!AG21</f>
        <v>2.6128266033254159</v>
      </c>
      <c r="BR145" s="21"/>
      <c r="BS145" s="81">
        <f>$H$145*月別販売比率!AL21</f>
        <v>2.3515439429928739</v>
      </c>
      <c r="BT145" s="21"/>
      <c r="BU145" s="81">
        <f>$H$145*月別販売比率!AQ21</f>
        <v>2.6128266033254159</v>
      </c>
      <c r="BV145" s="21"/>
      <c r="BW145" s="81">
        <f>$H$145*月別販売比率!AV21</f>
        <v>1.5910644429802447</v>
      </c>
      <c r="BX145" s="21"/>
      <c r="BY145" s="81">
        <f>$H$145*月別販売比率!BA21</f>
        <v>1.4533356953812828</v>
      </c>
      <c r="BZ145" s="21"/>
      <c r="CA145" s="245">
        <f>$H$145*月別販売比率!BF21</f>
        <v>2.0902612826603324</v>
      </c>
      <c r="CB145" s="241"/>
      <c r="CC145" s="81">
        <f>H145*月別販売比率!$C$21</f>
        <v>1.8515600054020005</v>
      </c>
      <c r="CD145" s="21"/>
      <c r="CE145" s="81">
        <f>H145*月別販売比率!$H$21</f>
        <v>1.8289786223277911</v>
      </c>
      <c r="CF145" s="21"/>
      <c r="CG145" s="81">
        <f>H145*月別販売比率!$M$21</f>
        <v>2.6406189557249262</v>
      </c>
      <c r="CH145" s="21"/>
      <c r="CI145" s="81">
        <f>H145*月別販売比率!$R$21</f>
        <v>2.0902612826603324</v>
      </c>
      <c r="CJ145" s="21">
        <v>10</v>
      </c>
      <c r="CK145" s="81">
        <f>H145*月別販売比率!$W$21</f>
        <v>1.9901043316219746</v>
      </c>
      <c r="CL145" s="21"/>
      <c r="CM145" s="81">
        <f>H145*月別販売比率!$AB$21</f>
        <v>3.1353919239904986</v>
      </c>
      <c r="CN145" s="21"/>
      <c r="CO145" s="81">
        <f>H145*月別販売比率!$AG$21</f>
        <v>2.6128266033254159</v>
      </c>
      <c r="CP145" s="21"/>
      <c r="CQ145" s="81">
        <f>H145*月別販売比率!$AL$21</f>
        <v>2.3515439429928739</v>
      </c>
      <c r="CR145" s="21"/>
      <c r="CS145" s="81">
        <f>H145*月別販売比率!$AQ$21</f>
        <v>2.6128266033254159</v>
      </c>
      <c r="CT145" s="21"/>
      <c r="CU145" s="81">
        <f>H145*月別販売比率!$AV$21</f>
        <v>1.5910644429802447</v>
      </c>
      <c r="CV145" s="21"/>
      <c r="CW145" s="81">
        <f>H145*月別販売比率!$BA$21</f>
        <v>1.4533356953812828</v>
      </c>
      <c r="CX145" s="21"/>
      <c r="CY145" s="81">
        <f>H145*月別販売比率!$BF$21</f>
        <v>2.0902612826603324</v>
      </c>
      <c r="CZ145" s="21"/>
      <c r="DA145" s="28"/>
      <c r="DB145" s="294"/>
    </row>
    <row r="146" spans="2:106" ht="30.75" customHeight="1">
      <c r="C146" s="457"/>
      <c r="D146" s="442"/>
      <c r="E146" s="94" t="s">
        <v>50</v>
      </c>
      <c r="F146" s="57">
        <v>5</v>
      </c>
      <c r="G146" s="5">
        <f t="shared" si="195"/>
        <v>24750</v>
      </c>
      <c r="H146" s="7">
        <f t="shared" si="196"/>
        <v>11.87648456057007</v>
      </c>
      <c r="I146" s="5">
        <f t="shared" si="184"/>
        <v>58788.598574821845</v>
      </c>
      <c r="J146" s="9">
        <v>0</v>
      </c>
      <c r="K146" s="21">
        <f t="shared" si="185"/>
        <v>17</v>
      </c>
      <c r="L146" s="21">
        <v>5</v>
      </c>
      <c r="M146" s="21">
        <v>12</v>
      </c>
      <c r="N146" s="42"/>
      <c r="O146" s="288"/>
      <c r="P146" s="288"/>
      <c r="Q146" s="331">
        <v>45641</v>
      </c>
      <c r="R146" s="124"/>
      <c r="S146" s="124"/>
      <c r="T146" s="124"/>
      <c r="U146" s="124"/>
      <c r="V146" s="124"/>
      <c r="W146" s="124"/>
      <c r="X146" s="124"/>
      <c r="Y146" s="124"/>
      <c r="Z146" s="124"/>
      <c r="AA146" s="124"/>
      <c r="AB146" s="328"/>
      <c r="AC146" s="328"/>
      <c r="AD146" s="328"/>
      <c r="AE146" s="328"/>
      <c r="AF146" s="124"/>
      <c r="AG146" s="124"/>
      <c r="AH146" s="331"/>
      <c r="AI146" s="129">
        <f t="shared" si="186"/>
        <v>16.049881235154395</v>
      </c>
      <c r="AJ146" s="129">
        <f t="shared" si="187"/>
        <v>15.145288357144405</v>
      </c>
      <c r="AK146" s="129">
        <f t="shared" si="188"/>
        <v>13.720110209875997</v>
      </c>
      <c r="AL146" s="399">
        <f t="shared" si="189"/>
        <v>12.532461753818991</v>
      </c>
      <c r="AM146" s="393">
        <f t="shared" si="190"/>
        <v>11.463578143367684</v>
      </c>
      <c r="AN146" s="393">
        <f t="shared" si="191"/>
        <v>10.275929687310677</v>
      </c>
      <c r="AO146" s="393">
        <f t="shared" si="192"/>
        <v>9.5527185768651108</v>
      </c>
      <c r="AP146" s="96">
        <f t="shared" si="193"/>
        <v>8.8921114426008909</v>
      </c>
      <c r="AQ146" s="91">
        <f t="shared" si="194"/>
        <v>7.9419926777552856</v>
      </c>
      <c r="AR146" s="198"/>
      <c r="AS146" s="81">
        <f>$H$146*月別販売比率!AG5</f>
        <v>1.1876484560570071</v>
      </c>
      <c r="AT146" s="21"/>
      <c r="AU146" s="81">
        <f>$H$146*月別販売比率!AL5</f>
        <v>1.0688836104513062</v>
      </c>
      <c r="AV146" s="21"/>
      <c r="AW146" s="245">
        <f>$H$146*月別販売比率!AQ5</f>
        <v>1.1876484560570071</v>
      </c>
      <c r="AX146" s="241">
        <v>20</v>
      </c>
      <c r="AY146" s="81">
        <f>$H$146*月別販売比率!AV5</f>
        <v>0.72321111044556574</v>
      </c>
      <c r="AZ146" s="21"/>
      <c r="BA146" s="245">
        <f>$H$146*月別販売比率!BA5</f>
        <v>0.66060713426421946</v>
      </c>
      <c r="BB146" s="241"/>
      <c r="BC146" s="81">
        <f>$H$146*月別販売比率!BF5</f>
        <v>0.95011876484560565</v>
      </c>
      <c r="BD146" s="21"/>
      <c r="BE146" s="81">
        <f>$H$146*月別販売比率!C21</f>
        <v>0.84161818427363655</v>
      </c>
      <c r="BF146" s="21"/>
      <c r="BG146" s="81">
        <f>$H$146*月別販売比率!H21</f>
        <v>0.83135391923990498</v>
      </c>
      <c r="BH146" s="21"/>
      <c r="BI146" s="81">
        <f>$H$146*月別販売比率!M21</f>
        <v>1.20028134351133</v>
      </c>
      <c r="BJ146" s="21"/>
      <c r="BK146" s="81">
        <f>$H$146*月別販売比率!R21</f>
        <v>0.95011876484560565</v>
      </c>
      <c r="BL146" s="21"/>
      <c r="BM146" s="245">
        <f>$H$146*月別販売比率!W21</f>
        <v>0.90459287800998844</v>
      </c>
      <c r="BN146" s="241"/>
      <c r="BO146" s="81">
        <f>$H$146*月別販売比率!AB21</f>
        <v>1.4251781472684084</v>
      </c>
      <c r="BP146" s="21"/>
      <c r="BQ146" s="81">
        <f>$H$146*月別販売比率!AG21</f>
        <v>1.1876484560570071</v>
      </c>
      <c r="BR146" s="21"/>
      <c r="BS146" s="81">
        <f>$H$146*月別販売比率!AL21</f>
        <v>1.0688836104513062</v>
      </c>
      <c r="BT146" s="21"/>
      <c r="BU146" s="81">
        <f>$H$146*月別販売比率!AQ21</f>
        <v>1.1876484560570071</v>
      </c>
      <c r="BV146" s="21"/>
      <c r="BW146" s="81">
        <f>$H$146*月別販売比率!AV21</f>
        <v>0.72321111044556574</v>
      </c>
      <c r="BX146" s="21"/>
      <c r="BY146" s="81">
        <f>$H$146*月別販売比率!BA21</f>
        <v>0.66060713426421946</v>
      </c>
      <c r="BZ146" s="21"/>
      <c r="CA146" s="245">
        <f>$H$146*月別販売比率!BF21</f>
        <v>0.95011876484560565</v>
      </c>
      <c r="CB146" s="241"/>
      <c r="CC146" s="81">
        <f>H146*月別販売比率!$C$21</f>
        <v>0.84161818427363655</v>
      </c>
      <c r="CD146" s="21"/>
      <c r="CE146" s="81">
        <f>H146*月別販売比率!$H$21</f>
        <v>0.83135391923990498</v>
      </c>
      <c r="CF146" s="21"/>
      <c r="CG146" s="81">
        <f>H146*月別販売比率!$M$21</f>
        <v>1.20028134351133</v>
      </c>
      <c r="CH146" s="21"/>
      <c r="CI146" s="81">
        <f>H146*月別販売比率!$R$21</f>
        <v>0.95011876484560565</v>
      </c>
      <c r="CJ146" s="21"/>
      <c r="CK146" s="81">
        <f>H146*月別販売比率!$W$21</f>
        <v>0.90459287800998844</v>
      </c>
      <c r="CL146" s="21"/>
      <c r="CM146" s="81">
        <f>H146*月別販売比率!$AB$21</f>
        <v>1.4251781472684084</v>
      </c>
      <c r="CN146" s="21"/>
      <c r="CO146" s="81">
        <f>H146*月別販売比率!$AG$21</f>
        <v>1.1876484560570071</v>
      </c>
      <c r="CP146" s="21"/>
      <c r="CQ146" s="81">
        <f>H146*月別販売比率!$AL$21</f>
        <v>1.0688836104513062</v>
      </c>
      <c r="CR146" s="21"/>
      <c r="CS146" s="81">
        <f>H146*月別販売比率!$AQ$21</f>
        <v>1.1876484560570071</v>
      </c>
      <c r="CT146" s="21"/>
      <c r="CU146" s="81">
        <f>H146*月別販売比率!$AV$21</f>
        <v>0.72321111044556574</v>
      </c>
      <c r="CV146" s="21"/>
      <c r="CW146" s="81">
        <f>H146*月別販売比率!$BA$21</f>
        <v>0.66060713426421946</v>
      </c>
      <c r="CX146" s="21"/>
      <c r="CY146" s="81">
        <f>H146*月別販売比率!$BF$21</f>
        <v>0.95011876484560565</v>
      </c>
      <c r="CZ146" s="21"/>
      <c r="DA146" s="28"/>
      <c r="DB146" s="294"/>
    </row>
    <row r="147" spans="2:106" ht="30.75" customHeight="1">
      <c r="C147" s="457"/>
      <c r="D147" s="441">
        <v>3</v>
      </c>
      <c r="E147" s="94" t="s">
        <v>47</v>
      </c>
      <c r="F147" s="57">
        <v>41</v>
      </c>
      <c r="G147" s="5">
        <f t="shared" si="195"/>
        <v>202950</v>
      </c>
      <c r="H147" s="7">
        <f t="shared" si="196"/>
        <v>97.387173396674584</v>
      </c>
      <c r="I147" s="5">
        <f t="shared" si="184"/>
        <v>482066.50831353921</v>
      </c>
      <c r="J147" s="9">
        <v>0</v>
      </c>
      <c r="K147" s="21">
        <f t="shared" si="185"/>
        <v>13</v>
      </c>
      <c r="L147" s="21">
        <v>3</v>
      </c>
      <c r="M147" s="21">
        <v>10</v>
      </c>
      <c r="N147" s="42"/>
      <c r="O147" s="19"/>
      <c r="P147" s="19"/>
      <c r="Q147" s="331"/>
      <c r="R147" s="331">
        <v>45667</v>
      </c>
      <c r="S147" s="124"/>
      <c r="T147" s="124"/>
      <c r="U147" s="124"/>
      <c r="V147" s="124"/>
      <c r="W147" s="124"/>
      <c r="X147" s="328"/>
      <c r="Y147" s="328"/>
      <c r="Z147" s="124"/>
      <c r="AA147" s="328"/>
      <c r="AB147" s="328"/>
      <c r="AC147" s="328"/>
      <c r="AD147" s="328"/>
      <c r="AE147" s="328"/>
      <c r="AF147" s="328"/>
      <c r="AG147" s="124"/>
      <c r="AH147" s="124"/>
      <c r="AI147" s="129">
        <f t="shared" si="186"/>
        <v>35.209026128266032</v>
      </c>
      <c r="AJ147" s="129">
        <f t="shared" si="187"/>
        <v>27.791364528584126</v>
      </c>
      <c r="AK147" s="129">
        <f t="shared" si="188"/>
        <v>16.104903720983174</v>
      </c>
      <c r="AL147" s="399">
        <f t="shared" si="189"/>
        <v>6.366186381315714</v>
      </c>
      <c r="AM147" s="393">
        <f t="shared" si="190"/>
        <v>-2.398659224384998</v>
      </c>
      <c r="AN147" s="393">
        <f t="shared" si="191"/>
        <v>-12.137376564052458</v>
      </c>
      <c r="AO147" s="393">
        <f t="shared" si="192"/>
        <v>-18.067707669706099</v>
      </c>
      <c r="AP147" s="96">
        <f t="shared" si="193"/>
        <v>-23.484686170672699</v>
      </c>
      <c r="AQ147" s="91">
        <f t="shared" si="194"/>
        <v>-31.275660042406667</v>
      </c>
      <c r="AR147" s="198"/>
      <c r="AS147" s="81">
        <f>$H$147*月別販売比率!AG5</f>
        <v>9.7387173396674598</v>
      </c>
      <c r="AT147" s="21"/>
      <c r="AU147" s="81">
        <f>$H$147*月別販売比率!AL5</f>
        <v>8.764845605700712</v>
      </c>
      <c r="AV147" s="21"/>
      <c r="AW147" s="245">
        <f>$H$147*月別販売比率!AQ5</f>
        <v>9.7387173396674598</v>
      </c>
      <c r="AX147" s="241">
        <v>70</v>
      </c>
      <c r="AY147" s="81">
        <f>$H$147*月別販売比率!AV5</f>
        <v>5.9303311056536403</v>
      </c>
      <c r="AZ147" s="21"/>
      <c r="BA147" s="245">
        <f>$H$147*月別販売比率!BA5</f>
        <v>5.4169785009666001</v>
      </c>
      <c r="BB147" s="241"/>
      <c r="BC147" s="81">
        <f>$H$147*月別販売比率!BF5</f>
        <v>7.7909738717339669</v>
      </c>
      <c r="BD147" s="21"/>
      <c r="BE147" s="81">
        <f>$H$147*月別販売比率!C21</f>
        <v>6.9012691110438205</v>
      </c>
      <c r="BF147" s="21"/>
      <c r="BG147" s="81">
        <f>$H$147*月別販売比率!H21</f>
        <v>6.8171021377672218</v>
      </c>
      <c r="BH147" s="21"/>
      <c r="BI147" s="81">
        <f>$H$147*月別販売比率!M21</f>
        <v>9.8423070167929083</v>
      </c>
      <c r="BJ147" s="21"/>
      <c r="BK147" s="81">
        <f>$H$147*月別販売比率!R21</f>
        <v>7.7909738717339669</v>
      </c>
      <c r="BL147" s="21"/>
      <c r="BM147" s="245">
        <f>$H$147*月別販売比率!W21</f>
        <v>7.4176615996819057</v>
      </c>
      <c r="BN147" s="241">
        <v>15</v>
      </c>
      <c r="BO147" s="81">
        <f>$H$147*月別販売比率!AB21</f>
        <v>11.68646080760095</v>
      </c>
      <c r="BP147" s="21"/>
      <c r="BQ147" s="81">
        <f>$H$147*月別販売比率!AG21</f>
        <v>9.7387173396674598</v>
      </c>
      <c r="BR147" s="21"/>
      <c r="BS147" s="81">
        <f>$H$147*月別販売比率!AL21</f>
        <v>8.764845605700712</v>
      </c>
      <c r="BT147" s="21"/>
      <c r="BU147" s="81">
        <f>$H$147*月別販売比率!AQ21</f>
        <v>9.7387173396674598</v>
      </c>
      <c r="BV147" s="21"/>
      <c r="BW147" s="81">
        <f>$H$147*月別販売比率!AV21</f>
        <v>5.9303311056536403</v>
      </c>
      <c r="BX147" s="21"/>
      <c r="BY147" s="81">
        <f>$H$147*月別販売比率!BA21</f>
        <v>5.4169785009666001</v>
      </c>
      <c r="BZ147" s="21"/>
      <c r="CA147" s="245">
        <f>$H$147*月別販売比率!BF21</f>
        <v>7.7909738717339669</v>
      </c>
      <c r="CB147" s="241">
        <v>50</v>
      </c>
      <c r="CC147" s="81">
        <f>H147*月別販売比率!$C$21</f>
        <v>6.9012691110438205</v>
      </c>
      <c r="CD147" s="21"/>
      <c r="CE147" s="81">
        <f>H147*月別販売比率!$H$21</f>
        <v>6.8171021377672218</v>
      </c>
      <c r="CF147" s="21"/>
      <c r="CG147" s="81">
        <f>H147*月別販売比率!$M$21</f>
        <v>9.8423070167929083</v>
      </c>
      <c r="CH147" s="21"/>
      <c r="CI147" s="81">
        <f>H147*月別販売比率!$R$21</f>
        <v>7.7909738717339669</v>
      </c>
      <c r="CJ147" s="21">
        <v>30</v>
      </c>
      <c r="CK147" s="81">
        <f>H147*月別販売比率!$W$21</f>
        <v>7.4176615996819057</v>
      </c>
      <c r="CL147" s="21"/>
      <c r="CM147" s="81">
        <f>H147*月別販売比率!$AB$21</f>
        <v>11.68646080760095</v>
      </c>
      <c r="CN147" s="21"/>
      <c r="CO147" s="81">
        <f>H147*月別販売比率!$AG$21</f>
        <v>9.7387173396674598</v>
      </c>
      <c r="CP147" s="21"/>
      <c r="CQ147" s="81">
        <f>H147*月別販売比率!$AL$21</f>
        <v>8.764845605700712</v>
      </c>
      <c r="CR147" s="21"/>
      <c r="CS147" s="81">
        <f>H147*月別販売比率!$AQ$21</f>
        <v>9.7387173396674598</v>
      </c>
      <c r="CT147" s="21"/>
      <c r="CU147" s="81">
        <f>H147*月別販売比率!$AV$21</f>
        <v>5.9303311056536403</v>
      </c>
      <c r="CV147" s="21"/>
      <c r="CW147" s="81">
        <f>H147*月別販売比率!$BA$21</f>
        <v>5.4169785009666001</v>
      </c>
      <c r="CX147" s="21"/>
      <c r="CY147" s="81">
        <f>H147*月別販売比率!$BF$21</f>
        <v>7.7909738717339669</v>
      </c>
      <c r="CZ147" s="21"/>
      <c r="DA147" s="28"/>
      <c r="DB147" s="294"/>
    </row>
    <row r="148" spans="2:106" ht="30.75" customHeight="1">
      <c r="C148" s="457"/>
      <c r="D148" s="441"/>
      <c r="E148" s="94" t="s">
        <v>51</v>
      </c>
      <c r="F148" s="57">
        <v>21</v>
      </c>
      <c r="G148" s="5">
        <f t="shared" si="195"/>
        <v>103950</v>
      </c>
      <c r="H148" s="7">
        <f t="shared" si="196"/>
        <v>49.881235154394297</v>
      </c>
      <c r="I148" s="5">
        <f t="shared" si="184"/>
        <v>246912.11401425177</v>
      </c>
      <c r="J148" s="9">
        <v>0</v>
      </c>
      <c r="K148" s="21">
        <f t="shared" si="185"/>
        <v>11</v>
      </c>
      <c r="L148" s="21">
        <v>0</v>
      </c>
      <c r="M148" s="21">
        <v>11</v>
      </c>
      <c r="N148" s="42"/>
      <c r="O148" s="19"/>
      <c r="P148" s="19"/>
      <c r="Q148" s="330"/>
      <c r="R148" s="129"/>
      <c r="S148" s="124"/>
      <c r="T148" s="124"/>
      <c r="U148" s="124"/>
      <c r="V148" s="124"/>
      <c r="W148" s="124"/>
      <c r="X148" s="124"/>
      <c r="Y148" s="124"/>
      <c r="Z148" s="124"/>
      <c r="AA148" s="124"/>
      <c r="AB148" s="124"/>
      <c r="AC148" s="124"/>
      <c r="AD148" s="328"/>
      <c r="AE148" s="328"/>
      <c r="AF148" s="328"/>
      <c r="AG148" s="124"/>
      <c r="AH148" s="124"/>
      <c r="AI148" s="129">
        <f t="shared" si="186"/>
        <v>27.009501187648457</v>
      </c>
      <c r="AJ148" s="129">
        <f t="shared" si="187"/>
        <v>23.210211100006504</v>
      </c>
      <c r="AK148" s="129">
        <f t="shared" si="188"/>
        <v>17.224462881479187</v>
      </c>
      <c r="AL148" s="399">
        <f t="shared" si="189"/>
        <v>12.236339366039758</v>
      </c>
      <c r="AM148" s="393">
        <f t="shared" si="190"/>
        <v>7.7470282021442713</v>
      </c>
      <c r="AN148" s="393">
        <f t="shared" si="191"/>
        <v>2.7589046867048417</v>
      </c>
      <c r="AO148" s="393">
        <f t="shared" si="192"/>
        <v>-0.27858197716653477</v>
      </c>
      <c r="AP148" s="96">
        <f t="shared" si="193"/>
        <v>-3.0531319410762565</v>
      </c>
      <c r="AQ148" s="91">
        <f t="shared" si="194"/>
        <v>-7.0436307534278004</v>
      </c>
      <c r="AR148" s="198"/>
      <c r="AS148" s="81">
        <f>$H$148*月別販売比率!AG5</f>
        <v>4.9881235154394297</v>
      </c>
      <c r="AT148" s="21"/>
      <c r="AU148" s="81">
        <f>$H$148*月別販売比率!AL5</f>
        <v>4.4893111638954863</v>
      </c>
      <c r="AV148" s="21"/>
      <c r="AW148" s="245">
        <f>$H$148*月別販売比率!AQ5</f>
        <v>4.9881235154394297</v>
      </c>
      <c r="AX148" s="241"/>
      <c r="AY148" s="81">
        <f>$H$148*月別販売比率!AV5</f>
        <v>3.0374866638713764</v>
      </c>
      <c r="AZ148" s="21"/>
      <c r="BA148" s="245">
        <f>$H$148*月別販売比率!BA5</f>
        <v>2.7745499639097218</v>
      </c>
      <c r="BB148" s="241">
        <v>25</v>
      </c>
      <c r="BC148" s="81">
        <f>$H$148*月別販売比率!BF5</f>
        <v>3.9904988123515439</v>
      </c>
      <c r="BD148" s="21"/>
      <c r="BE148" s="81">
        <f>$H$148*月別販売比率!C21</f>
        <v>3.5347963739492734</v>
      </c>
      <c r="BF148" s="21"/>
      <c r="BG148" s="81">
        <f>$H$148*月別販売比率!H21</f>
        <v>3.491686460807601</v>
      </c>
      <c r="BH148" s="21"/>
      <c r="BI148" s="81">
        <f>$H$148*月別販売比率!M21</f>
        <v>5.0411816427475866</v>
      </c>
      <c r="BJ148" s="21"/>
      <c r="BK148" s="81">
        <f>$H$148*月別販売比率!R21</f>
        <v>3.9904988123515439</v>
      </c>
      <c r="BL148" s="21"/>
      <c r="BM148" s="245">
        <f>$H$148*月別販売比率!W21</f>
        <v>3.7992900876419515</v>
      </c>
      <c r="BN148" s="241"/>
      <c r="BO148" s="81">
        <f>$H$148*月別販売比率!AB21</f>
        <v>5.9857482185273154</v>
      </c>
      <c r="BP148" s="21"/>
      <c r="BQ148" s="81">
        <f>$H$148*月別販売比率!AG21</f>
        <v>4.9881235154394297</v>
      </c>
      <c r="BR148" s="21"/>
      <c r="BS148" s="81">
        <f>$H$148*月別販売比率!AL21</f>
        <v>4.4893111638954863</v>
      </c>
      <c r="BT148" s="21"/>
      <c r="BU148" s="81">
        <f>$H$148*月別販売比率!AQ21</f>
        <v>4.9881235154394297</v>
      </c>
      <c r="BV148" s="21"/>
      <c r="BW148" s="81">
        <f>$H$148*月別販売比率!AV21</f>
        <v>3.0374866638713764</v>
      </c>
      <c r="BX148" s="21"/>
      <c r="BY148" s="81">
        <f>$H$148*月別販売比率!BA21</f>
        <v>2.7745499639097218</v>
      </c>
      <c r="BZ148" s="21"/>
      <c r="CA148" s="245">
        <f>$H$148*月別販売比率!BF21</f>
        <v>3.9904988123515439</v>
      </c>
      <c r="CB148" s="241"/>
      <c r="CC148" s="81">
        <f>H148*月別販売比率!$C$21</f>
        <v>3.5347963739492734</v>
      </c>
      <c r="CD148" s="21"/>
      <c r="CE148" s="81">
        <f>H148*月別販売比率!$H$21</f>
        <v>3.491686460807601</v>
      </c>
      <c r="CF148" s="21"/>
      <c r="CG148" s="81">
        <f>H148*月別販売比率!$M$21</f>
        <v>5.0411816427475866</v>
      </c>
      <c r="CH148" s="21"/>
      <c r="CI148" s="81">
        <f>H148*月別販売比率!$R$21</f>
        <v>3.9904988123515439</v>
      </c>
      <c r="CJ148" s="21">
        <v>20</v>
      </c>
      <c r="CK148" s="81">
        <f>H148*月別販売比率!$W$21</f>
        <v>3.7992900876419515</v>
      </c>
      <c r="CL148" s="21"/>
      <c r="CM148" s="81">
        <f>H148*月別販売比率!$AB$21</f>
        <v>5.9857482185273154</v>
      </c>
      <c r="CN148" s="21"/>
      <c r="CO148" s="81">
        <f>H148*月別販売比率!$AG$21</f>
        <v>4.9881235154394297</v>
      </c>
      <c r="CP148" s="21"/>
      <c r="CQ148" s="81">
        <f>H148*月別販売比率!$AL$21</f>
        <v>4.4893111638954863</v>
      </c>
      <c r="CR148" s="21"/>
      <c r="CS148" s="81">
        <f>H148*月別販売比率!$AQ$21</f>
        <v>4.9881235154394297</v>
      </c>
      <c r="CT148" s="21"/>
      <c r="CU148" s="81">
        <f>H148*月別販売比率!$AV$21</f>
        <v>3.0374866638713764</v>
      </c>
      <c r="CV148" s="21"/>
      <c r="CW148" s="81">
        <f>H148*月別販売比率!$BA$21</f>
        <v>2.7745499639097218</v>
      </c>
      <c r="CX148" s="21"/>
      <c r="CY148" s="81">
        <f>H148*月別販売比率!$BF$21</f>
        <v>3.9904988123515439</v>
      </c>
      <c r="CZ148" s="21"/>
      <c r="DA148" s="28"/>
      <c r="DB148" s="294"/>
    </row>
    <row r="149" spans="2:106" ht="30.75" customHeight="1">
      <c r="C149" s="457"/>
      <c r="D149" s="441"/>
      <c r="E149" s="94" t="s">
        <v>49</v>
      </c>
      <c r="F149" s="57">
        <v>7</v>
      </c>
      <c r="G149" s="5">
        <f t="shared" si="195"/>
        <v>34650</v>
      </c>
      <c r="H149" s="7">
        <f t="shared" si="196"/>
        <v>16.6270783847981</v>
      </c>
      <c r="I149" s="5">
        <f t="shared" si="184"/>
        <v>82304.03800475059</v>
      </c>
      <c r="J149" s="9">
        <v>0</v>
      </c>
      <c r="K149" s="21">
        <f t="shared" si="185"/>
        <v>12</v>
      </c>
      <c r="L149" s="21">
        <v>5</v>
      </c>
      <c r="M149" s="21">
        <v>7</v>
      </c>
      <c r="N149" s="42"/>
      <c r="O149" s="19"/>
      <c r="P149" s="19"/>
      <c r="Q149" s="330"/>
      <c r="R149" s="124"/>
      <c r="S149" s="124"/>
      <c r="T149" s="124"/>
      <c r="U149" s="124"/>
      <c r="V149" s="124"/>
      <c r="W149" s="124"/>
      <c r="X149" s="124"/>
      <c r="Y149" s="124"/>
      <c r="Z149" s="124"/>
      <c r="AA149" s="124"/>
      <c r="AB149" s="124"/>
      <c r="AC149" s="124"/>
      <c r="AD149" s="328"/>
      <c r="AE149" s="328"/>
      <c r="AF149" s="124"/>
      <c r="AG149" s="331"/>
      <c r="AH149" s="331"/>
      <c r="AI149" s="129">
        <f t="shared" si="186"/>
        <v>20.669833729216151</v>
      </c>
      <c r="AJ149" s="129">
        <f t="shared" si="187"/>
        <v>19.403403700002166</v>
      </c>
      <c r="AK149" s="129">
        <f t="shared" si="188"/>
        <v>17.408154293826392</v>
      </c>
      <c r="AL149" s="399">
        <f t="shared" si="189"/>
        <v>15.745446455346581</v>
      </c>
      <c r="AM149" s="393">
        <f t="shared" si="190"/>
        <v>14.249009400714753</v>
      </c>
      <c r="AN149" s="393">
        <f t="shared" si="191"/>
        <v>12.586301562234944</v>
      </c>
      <c r="AO149" s="393">
        <f t="shared" si="192"/>
        <v>11.573806007611152</v>
      </c>
      <c r="AP149" s="96">
        <f t="shared" si="193"/>
        <v>10.648956019641245</v>
      </c>
      <c r="AQ149" s="91">
        <f t="shared" si="194"/>
        <v>9.3187897488573981</v>
      </c>
      <c r="AR149" s="198"/>
      <c r="AS149" s="81">
        <f>$H$149*月別販売比率!AG5</f>
        <v>1.6627078384798102</v>
      </c>
      <c r="AT149" s="21"/>
      <c r="AU149" s="81">
        <f>$H$149*月別販売比率!AL5</f>
        <v>1.4964370546318289</v>
      </c>
      <c r="AV149" s="21"/>
      <c r="AW149" s="245">
        <f>$H$149*月別販売比率!AQ5</f>
        <v>1.6627078384798102</v>
      </c>
      <c r="AX149" s="241"/>
      <c r="AY149" s="81">
        <f>$H$149*月別販売比率!AV5</f>
        <v>1.0124955546237921</v>
      </c>
      <c r="AZ149" s="21"/>
      <c r="BA149" s="245">
        <f>$H$149*月別販売比率!BA5</f>
        <v>0.92484998796990736</v>
      </c>
      <c r="BB149" s="241">
        <v>10</v>
      </c>
      <c r="BC149" s="81">
        <f>$H$149*月別販売比率!BF5</f>
        <v>1.330166270783848</v>
      </c>
      <c r="BD149" s="21"/>
      <c r="BE149" s="81">
        <f>$H$149*月別販売比率!C21</f>
        <v>1.1782654579830913</v>
      </c>
      <c r="BF149" s="21"/>
      <c r="BG149" s="81">
        <f>$H$149*月別販売比率!H21</f>
        <v>1.1638954869358671</v>
      </c>
      <c r="BH149" s="21"/>
      <c r="BI149" s="81">
        <f>$H$149*月別販売比率!M21</f>
        <v>1.6803938809158623</v>
      </c>
      <c r="BJ149" s="21"/>
      <c r="BK149" s="81">
        <f>$H$149*月別販売比率!R21</f>
        <v>1.330166270783848</v>
      </c>
      <c r="BL149" s="21"/>
      <c r="BM149" s="245">
        <f>$H$149*月別販売比率!W21</f>
        <v>1.2664300292139838</v>
      </c>
      <c r="BN149" s="241"/>
      <c r="BO149" s="81">
        <f>$H$149*月別販売比率!AB21</f>
        <v>1.995249406175772</v>
      </c>
      <c r="BP149" s="21"/>
      <c r="BQ149" s="81">
        <f>$H$149*月別販売比率!AG21</f>
        <v>1.6627078384798102</v>
      </c>
      <c r="BR149" s="21"/>
      <c r="BS149" s="81">
        <f>$H$149*月別販売比率!AL21</f>
        <v>1.4964370546318289</v>
      </c>
      <c r="BT149" s="21"/>
      <c r="BU149" s="81">
        <f>$H$149*月別販売比率!AQ21</f>
        <v>1.6627078384798102</v>
      </c>
      <c r="BV149" s="21"/>
      <c r="BW149" s="81">
        <f>$H$149*月別販売比率!AV21</f>
        <v>1.0124955546237921</v>
      </c>
      <c r="BX149" s="21"/>
      <c r="BY149" s="81">
        <f>$H$149*月別販売比率!BA21</f>
        <v>0.92484998796990736</v>
      </c>
      <c r="BZ149" s="21"/>
      <c r="CA149" s="245">
        <f>$H$149*月別販売比率!BF21</f>
        <v>1.330166270783848</v>
      </c>
      <c r="CB149" s="241"/>
      <c r="CC149" s="81">
        <f>H149*月別販売比率!$C$21</f>
        <v>1.1782654579830913</v>
      </c>
      <c r="CD149" s="21"/>
      <c r="CE149" s="81">
        <f>H149*月別販売比率!$H$21</f>
        <v>1.1638954869358671</v>
      </c>
      <c r="CF149" s="21"/>
      <c r="CG149" s="81">
        <f>H149*月別販売比率!$M$21</f>
        <v>1.6803938809158623</v>
      </c>
      <c r="CH149" s="21"/>
      <c r="CI149" s="81">
        <f>H149*月別販売比率!$R$21</f>
        <v>1.330166270783848</v>
      </c>
      <c r="CJ149" s="21">
        <v>10</v>
      </c>
      <c r="CK149" s="81">
        <f>H149*月別販売比率!$W$21</f>
        <v>1.2664300292139838</v>
      </c>
      <c r="CL149" s="21"/>
      <c r="CM149" s="81">
        <f>H149*月別販売比率!$AB$21</f>
        <v>1.995249406175772</v>
      </c>
      <c r="CN149" s="21"/>
      <c r="CO149" s="81">
        <f>H149*月別販売比率!$AG$21</f>
        <v>1.6627078384798102</v>
      </c>
      <c r="CP149" s="21"/>
      <c r="CQ149" s="81">
        <f>H149*月別販売比率!$AL$21</f>
        <v>1.4964370546318289</v>
      </c>
      <c r="CR149" s="21"/>
      <c r="CS149" s="81">
        <f>H149*月別販売比率!$AQ$21</f>
        <v>1.6627078384798102</v>
      </c>
      <c r="CT149" s="21"/>
      <c r="CU149" s="81">
        <f>H149*月別販売比率!$AV$21</f>
        <v>1.0124955546237921</v>
      </c>
      <c r="CV149" s="21"/>
      <c r="CW149" s="81">
        <f>H149*月別販売比率!$BA$21</f>
        <v>0.92484998796990736</v>
      </c>
      <c r="CX149" s="21"/>
      <c r="CY149" s="81">
        <f>H149*月別販売比率!$BF$21</f>
        <v>1.330166270783848</v>
      </c>
      <c r="CZ149" s="21"/>
      <c r="DA149" s="28"/>
      <c r="DB149" s="294"/>
    </row>
    <row r="150" spans="2:106" ht="30.75" customHeight="1">
      <c r="C150" s="457"/>
      <c r="D150" s="441"/>
      <c r="E150" s="119" t="s">
        <v>50</v>
      </c>
      <c r="F150" s="120">
        <v>7</v>
      </c>
      <c r="G150" s="36">
        <f t="shared" si="195"/>
        <v>34650</v>
      </c>
      <c r="H150" s="7">
        <f t="shared" si="196"/>
        <v>16.6270783847981</v>
      </c>
      <c r="I150" s="36">
        <f t="shared" si="184"/>
        <v>82304.03800475059</v>
      </c>
      <c r="J150" s="102">
        <v>0</v>
      </c>
      <c r="K150" s="21">
        <f t="shared" si="185"/>
        <v>14</v>
      </c>
      <c r="L150" s="2">
        <v>8</v>
      </c>
      <c r="M150" s="107">
        <v>6</v>
      </c>
      <c r="N150" s="42"/>
      <c r="O150" s="288"/>
      <c r="P150" s="288"/>
      <c r="Q150" s="331">
        <v>45641</v>
      </c>
      <c r="R150" s="124"/>
      <c r="S150" s="124"/>
      <c r="T150" s="124"/>
      <c r="U150" s="124"/>
      <c r="V150" s="124"/>
      <c r="W150" s="124"/>
      <c r="X150" s="124"/>
      <c r="Y150" s="124"/>
      <c r="Z150" s="124"/>
      <c r="AA150" s="124"/>
      <c r="AB150" s="124"/>
      <c r="AC150" s="124"/>
      <c r="AD150" s="124"/>
      <c r="AE150" s="124"/>
      <c r="AF150" s="124"/>
      <c r="AG150" s="124"/>
      <c r="AH150" s="331"/>
      <c r="AI150" s="129">
        <f t="shared" si="186"/>
        <v>12.669833729216151</v>
      </c>
      <c r="AJ150" s="129">
        <f t="shared" si="187"/>
        <v>11.403403700002167</v>
      </c>
      <c r="AK150" s="129">
        <f t="shared" si="188"/>
        <v>9.4081542938263958</v>
      </c>
      <c r="AL150" s="399">
        <f t="shared" si="189"/>
        <v>7.7454464553465856</v>
      </c>
      <c r="AM150" s="393">
        <f t="shared" si="190"/>
        <v>6.2490094007147565</v>
      </c>
      <c r="AN150" s="393">
        <f t="shared" si="191"/>
        <v>4.5863015622349463</v>
      </c>
      <c r="AO150" s="393">
        <f t="shared" si="192"/>
        <v>3.5738060076111542</v>
      </c>
      <c r="AP150" s="96">
        <f t="shared" si="193"/>
        <v>2.6489560196412469</v>
      </c>
      <c r="AQ150" s="91">
        <f t="shared" si="194"/>
        <v>1.318789748857399</v>
      </c>
      <c r="AR150" s="198"/>
      <c r="AS150" s="81">
        <f>$H$150*月別販売比率!AG5</f>
        <v>1.6627078384798102</v>
      </c>
      <c r="AT150" s="107"/>
      <c r="AU150" s="81">
        <f>$H$150*月別販売比率!AL5</f>
        <v>1.4964370546318289</v>
      </c>
      <c r="AV150" s="107"/>
      <c r="AW150" s="245">
        <f>$H$150*月別販売比率!AQ5</f>
        <v>1.6627078384798102</v>
      </c>
      <c r="AX150" s="341">
        <v>20</v>
      </c>
      <c r="AY150" s="81">
        <f>$H$150*月別販売比率!AV5</f>
        <v>1.0124955546237921</v>
      </c>
      <c r="AZ150" s="107"/>
      <c r="BA150" s="245">
        <f>$H$150*月別販売比率!BA5</f>
        <v>0.92484998796990736</v>
      </c>
      <c r="BB150" s="341"/>
      <c r="BC150" s="81">
        <f>$H$150*月別販売比率!BF5</f>
        <v>1.330166270783848</v>
      </c>
      <c r="BD150" s="107"/>
      <c r="BE150" s="81">
        <f>$H$150*月別販売比率!C21</f>
        <v>1.1782654579830913</v>
      </c>
      <c r="BF150" s="107"/>
      <c r="BG150" s="81">
        <f>$H$150*月別販売比率!H21</f>
        <v>1.1638954869358671</v>
      </c>
      <c r="BH150" s="107"/>
      <c r="BI150" s="81">
        <f>$H$150*月別販売比率!M21</f>
        <v>1.6803938809158623</v>
      </c>
      <c r="BJ150" s="107"/>
      <c r="BK150" s="81">
        <f>$H$150*月別販売比率!R21</f>
        <v>1.330166270783848</v>
      </c>
      <c r="BL150" s="107"/>
      <c r="BM150" s="245">
        <f>$H$150*月別販売比率!W21</f>
        <v>1.2664300292139838</v>
      </c>
      <c r="BN150" s="341"/>
      <c r="BO150" s="81">
        <f>$H$150*月別販売比率!AB21</f>
        <v>1.995249406175772</v>
      </c>
      <c r="BP150" s="107"/>
      <c r="BQ150" s="81">
        <f>$H$150*月別販売比率!AG21</f>
        <v>1.6627078384798102</v>
      </c>
      <c r="BR150" s="107"/>
      <c r="BS150" s="81">
        <f>$H$150*月別販売比率!AL21</f>
        <v>1.4964370546318289</v>
      </c>
      <c r="BT150" s="107"/>
      <c r="BU150" s="81">
        <f>$H$150*月別販売比率!AQ21</f>
        <v>1.6627078384798102</v>
      </c>
      <c r="BV150" s="107"/>
      <c r="BW150" s="81">
        <f>$H$150*月別販売比率!AV21</f>
        <v>1.0124955546237921</v>
      </c>
      <c r="BX150" s="107"/>
      <c r="BY150" s="81">
        <f>$H$150*月別販売比率!BA21</f>
        <v>0.92484998796990736</v>
      </c>
      <c r="BZ150" s="107"/>
      <c r="CA150" s="245">
        <f>$H$150*月別販売比率!BF21</f>
        <v>1.330166270783848</v>
      </c>
      <c r="CB150" s="341"/>
      <c r="CC150" s="81">
        <f>H150*月別販売比率!$C$21</f>
        <v>1.1782654579830913</v>
      </c>
      <c r="CD150" s="107"/>
      <c r="CE150" s="81">
        <f>H150*月別販売比率!$H$21</f>
        <v>1.1638954869358671</v>
      </c>
      <c r="CF150" s="107"/>
      <c r="CG150" s="81">
        <f>H150*月別販売比率!$M$21</f>
        <v>1.6803938809158623</v>
      </c>
      <c r="CH150" s="107"/>
      <c r="CI150" s="81">
        <f>H150*月別販売比率!$R$21</f>
        <v>1.330166270783848</v>
      </c>
      <c r="CJ150" s="107"/>
      <c r="CK150" s="81">
        <f>H150*月別販売比率!$W$21</f>
        <v>1.2664300292139838</v>
      </c>
      <c r="CL150" s="107"/>
      <c r="CM150" s="81">
        <f>H150*月別販売比率!$AB$21</f>
        <v>1.995249406175772</v>
      </c>
      <c r="CN150" s="107"/>
      <c r="CO150" s="81">
        <f>H150*月別販売比率!$AG$21</f>
        <v>1.6627078384798102</v>
      </c>
      <c r="CP150" s="107"/>
      <c r="CQ150" s="81">
        <f>H150*月別販売比率!$AL$21</f>
        <v>1.4964370546318289</v>
      </c>
      <c r="CR150" s="107"/>
      <c r="CS150" s="81">
        <f>H150*月別販売比率!$AQ$21</f>
        <v>1.6627078384798102</v>
      </c>
      <c r="CT150" s="107"/>
      <c r="CU150" s="81">
        <f>H150*月別販売比率!$AV$21</f>
        <v>1.0124955546237921</v>
      </c>
      <c r="CV150" s="107"/>
      <c r="CW150" s="81">
        <f>H150*月別販売比率!$BA$21</f>
        <v>0.92484998796990736</v>
      </c>
      <c r="CX150" s="107"/>
      <c r="CY150" s="81">
        <f>H150*月別販売比率!$BF$21</f>
        <v>1.330166270783848</v>
      </c>
      <c r="CZ150" s="107"/>
      <c r="DA150" s="28"/>
      <c r="DB150" s="294"/>
    </row>
    <row r="151" spans="2:106" ht="30.75" customHeight="1">
      <c r="C151" s="457"/>
      <c r="D151" s="494">
        <v>4</v>
      </c>
      <c r="E151" s="99" t="s">
        <v>47</v>
      </c>
      <c r="F151" s="56">
        <v>38</v>
      </c>
      <c r="G151" s="46">
        <f t="shared" si="195"/>
        <v>188100</v>
      </c>
      <c r="H151" s="7">
        <f t="shared" si="196"/>
        <v>90.26128266033254</v>
      </c>
      <c r="I151" s="46">
        <f t="shared" si="184"/>
        <v>446793.34916864609</v>
      </c>
      <c r="J151" s="49">
        <v>0</v>
      </c>
      <c r="K151" s="21">
        <f t="shared" si="185"/>
        <v>7</v>
      </c>
      <c r="L151" s="107">
        <v>0</v>
      </c>
      <c r="M151" s="39">
        <v>7</v>
      </c>
      <c r="N151" s="42"/>
      <c r="O151" s="19"/>
      <c r="P151" s="19"/>
      <c r="Q151" s="331"/>
      <c r="R151" s="331">
        <v>45667</v>
      </c>
      <c r="S151" s="328"/>
      <c r="T151" s="328"/>
      <c r="U151" s="328"/>
      <c r="V151" s="328"/>
      <c r="W151" s="328"/>
      <c r="X151" s="328"/>
      <c r="Y151" s="328"/>
      <c r="Z151" s="124"/>
      <c r="AA151" s="124"/>
      <c r="AB151" s="124"/>
      <c r="AC151" s="124"/>
      <c r="AD151" s="328"/>
      <c r="AE151" s="328"/>
      <c r="AF151" s="328"/>
      <c r="AG151" s="124"/>
      <c r="AH151" s="331"/>
      <c r="AI151" s="129">
        <f t="shared" si="186"/>
        <v>54.779097387173394</v>
      </c>
      <c r="AJ151" s="129">
        <f t="shared" si="187"/>
        <v>47.90419151429748</v>
      </c>
      <c r="AK151" s="129">
        <f t="shared" si="188"/>
        <v>37.072837595057578</v>
      </c>
      <c r="AL151" s="399">
        <f t="shared" si="189"/>
        <v>28.046709329024324</v>
      </c>
      <c r="AM151" s="393">
        <f t="shared" si="190"/>
        <v>19.923193889594394</v>
      </c>
      <c r="AN151" s="393">
        <f t="shared" si="191"/>
        <v>10.89706562356114</v>
      </c>
      <c r="AO151" s="393">
        <f t="shared" si="192"/>
        <v>5.4006611841748393</v>
      </c>
      <c r="AP151" s="96">
        <f t="shared" si="193"/>
        <v>0.38004696376677138</v>
      </c>
      <c r="AQ151" s="91">
        <f t="shared" si="194"/>
        <v>-6.840855649059832</v>
      </c>
      <c r="AR151" s="198"/>
      <c r="AS151" s="81">
        <f>$H$151*月別販売比率!AG5</f>
        <v>9.026128266033254</v>
      </c>
      <c r="AT151" s="39"/>
      <c r="AU151" s="81">
        <f>$H$151*月別販売比率!AL5</f>
        <v>8.1235154394299283</v>
      </c>
      <c r="AV151" s="39"/>
      <c r="AW151" s="245">
        <f>$H$151*月別販売比率!AQ5</f>
        <v>9.026128266033254</v>
      </c>
      <c r="AX151" s="280">
        <v>49</v>
      </c>
      <c r="AY151" s="81">
        <f>$H$151*月別販売比率!AV5</f>
        <v>5.4964044393863007</v>
      </c>
      <c r="AZ151" s="39"/>
      <c r="BA151" s="245">
        <f>$H$151*月別販売比率!BA5</f>
        <v>5.0206142204080679</v>
      </c>
      <c r="BB151" s="280"/>
      <c r="BC151" s="81">
        <f>$H$151*月別販売比率!BF5</f>
        <v>7.2209026128266034</v>
      </c>
      <c r="BD151" s="39"/>
      <c r="BE151" s="81">
        <f>$H$151*月別販売比率!C21</f>
        <v>6.396298200479638</v>
      </c>
      <c r="BF151" s="39"/>
      <c r="BG151" s="81">
        <f>$H$151*月別販売比率!H21</f>
        <v>6.3182897862232785</v>
      </c>
      <c r="BH151" s="39"/>
      <c r="BI151" s="81">
        <f>$H$151*月別販売比率!M21</f>
        <v>9.12213821068611</v>
      </c>
      <c r="BJ151" s="39"/>
      <c r="BK151" s="81">
        <f>$H$151*月別販売比率!R21</f>
        <v>7.2209026128266034</v>
      </c>
      <c r="BL151" s="39"/>
      <c r="BM151" s="245">
        <f>$H$151*月別販売比率!W21</f>
        <v>6.8749058728759129</v>
      </c>
      <c r="BN151" s="280">
        <v>55</v>
      </c>
      <c r="BO151" s="81">
        <f>$H$151*月別販売比率!AB21</f>
        <v>10.831353919239904</v>
      </c>
      <c r="BP151" s="39"/>
      <c r="BQ151" s="81">
        <f>$H$151*月別販売比率!AG21</f>
        <v>9.026128266033254</v>
      </c>
      <c r="BR151" s="39"/>
      <c r="BS151" s="81">
        <f>$H$151*月別販売比率!AL21</f>
        <v>8.1235154394299283</v>
      </c>
      <c r="BT151" s="39"/>
      <c r="BU151" s="81">
        <f>$H$151*月別販売比率!AQ21</f>
        <v>9.026128266033254</v>
      </c>
      <c r="BV151" s="39"/>
      <c r="BW151" s="81">
        <f>$H$151*月別販売比率!AV21</f>
        <v>5.4964044393863007</v>
      </c>
      <c r="BX151" s="39"/>
      <c r="BY151" s="81">
        <f>$H$151*月別販売比率!BA21</f>
        <v>5.0206142204080679</v>
      </c>
      <c r="BZ151" s="39"/>
      <c r="CA151" s="245">
        <f>$H$151*月別販売比率!BF21</f>
        <v>7.2209026128266034</v>
      </c>
      <c r="CB151" s="280">
        <v>25</v>
      </c>
      <c r="CC151" s="81">
        <f>H151*月別販売比率!$C$21</f>
        <v>6.396298200479638</v>
      </c>
      <c r="CD151" s="39"/>
      <c r="CE151" s="81">
        <f>H151*月別販売比率!$H$21</f>
        <v>6.3182897862232785</v>
      </c>
      <c r="CF151" s="39"/>
      <c r="CG151" s="81">
        <f>H151*月別販売比率!$M$21</f>
        <v>9.12213821068611</v>
      </c>
      <c r="CH151" s="39"/>
      <c r="CI151" s="81">
        <f>H151*月別販売比率!$R$21</f>
        <v>7.2209026128266034</v>
      </c>
      <c r="CJ151" s="39">
        <v>55</v>
      </c>
      <c r="CK151" s="81">
        <f>H151*月別販売比率!$W$21</f>
        <v>6.8749058728759129</v>
      </c>
      <c r="CL151" s="39"/>
      <c r="CM151" s="81">
        <f>H151*月別販売比率!$AB$21</f>
        <v>10.831353919239904</v>
      </c>
      <c r="CN151" s="39"/>
      <c r="CO151" s="81">
        <f>H151*月別販売比率!$AG$21</f>
        <v>9.026128266033254</v>
      </c>
      <c r="CP151" s="39"/>
      <c r="CQ151" s="81">
        <f>H151*月別販売比率!$AL$21</f>
        <v>8.1235154394299283</v>
      </c>
      <c r="CR151" s="39"/>
      <c r="CS151" s="81">
        <f>H151*月別販売比率!$AQ$21</f>
        <v>9.026128266033254</v>
      </c>
      <c r="CT151" s="39"/>
      <c r="CU151" s="81">
        <f>H151*月別販売比率!$AV$21</f>
        <v>5.4964044393863007</v>
      </c>
      <c r="CV151" s="39"/>
      <c r="CW151" s="81">
        <f>H151*月別販売比率!$BA$21</f>
        <v>5.0206142204080679</v>
      </c>
      <c r="CX151" s="39"/>
      <c r="CY151" s="81">
        <f>H151*月別販売比率!$BF$21</f>
        <v>7.2209026128266034</v>
      </c>
      <c r="CZ151" s="39"/>
      <c r="DA151" s="28"/>
      <c r="DB151" s="294"/>
    </row>
    <row r="152" spans="2:106" ht="30.75" customHeight="1">
      <c r="C152" s="457"/>
      <c r="D152" s="494"/>
      <c r="E152" s="99" t="s">
        <v>51</v>
      </c>
      <c r="F152" s="56">
        <v>19</v>
      </c>
      <c r="G152" s="46">
        <f t="shared" si="195"/>
        <v>94050</v>
      </c>
      <c r="H152" s="7">
        <f t="shared" si="196"/>
        <v>45.13064133016627</v>
      </c>
      <c r="I152" s="46">
        <f t="shared" si="184"/>
        <v>223396.67458432305</v>
      </c>
      <c r="J152" s="49">
        <v>0</v>
      </c>
      <c r="K152" s="21">
        <f t="shared" si="185"/>
        <v>12</v>
      </c>
      <c r="L152" s="39">
        <v>4</v>
      </c>
      <c r="M152" s="39">
        <v>8</v>
      </c>
      <c r="N152" s="42"/>
      <c r="O152" s="19"/>
      <c r="P152" s="19"/>
      <c r="Q152" s="330"/>
      <c r="R152" s="124"/>
      <c r="S152" s="124"/>
      <c r="T152" s="124"/>
      <c r="U152" s="328"/>
      <c r="V152" s="328"/>
      <c r="W152" s="328"/>
      <c r="X152" s="328"/>
      <c r="Y152" s="328"/>
      <c r="Z152" s="124"/>
      <c r="AA152" s="124"/>
      <c r="AB152" s="124"/>
      <c r="AC152" s="124"/>
      <c r="AD152" s="328"/>
      <c r="AE152" s="328"/>
      <c r="AF152" s="328"/>
      <c r="AG152" s="331"/>
      <c r="AH152" s="331"/>
      <c r="AI152" s="129">
        <f t="shared" si="186"/>
        <v>28.389548693586697</v>
      </c>
      <c r="AJ152" s="129">
        <f t="shared" si="187"/>
        <v>24.95209575714874</v>
      </c>
      <c r="AK152" s="129">
        <f t="shared" si="188"/>
        <v>19.536418797528789</v>
      </c>
      <c r="AL152" s="399">
        <f t="shared" si="189"/>
        <v>15.023354664512162</v>
      </c>
      <c r="AM152" s="393">
        <f t="shared" si="190"/>
        <v>10.961596944797197</v>
      </c>
      <c r="AN152" s="393">
        <f t="shared" si="191"/>
        <v>6.44853281178057</v>
      </c>
      <c r="AO152" s="393">
        <f t="shared" si="192"/>
        <v>3.7003305920874197</v>
      </c>
      <c r="AP152" s="96">
        <f t="shared" si="193"/>
        <v>1.1900234818833857</v>
      </c>
      <c r="AQ152" s="91">
        <f t="shared" si="194"/>
        <v>-2.420427824529916</v>
      </c>
      <c r="AR152" s="198"/>
      <c r="AS152" s="81">
        <f>$H$152*月別販売比率!AG5</f>
        <v>4.513064133016627</v>
      </c>
      <c r="AT152" s="39"/>
      <c r="AU152" s="81">
        <f>$H$152*月別販売比率!AL5</f>
        <v>4.0617577197149641</v>
      </c>
      <c r="AV152" s="39"/>
      <c r="AW152" s="245">
        <f>$H$152*月別販売比率!AQ5</f>
        <v>4.513064133016627</v>
      </c>
      <c r="AX152" s="280"/>
      <c r="AY152" s="81">
        <f>$H$152*月別販売比率!AV5</f>
        <v>2.7482022196931504</v>
      </c>
      <c r="AZ152" s="39"/>
      <c r="BA152" s="245">
        <f>$H$152*月別販売比率!BA5</f>
        <v>2.510307110204034</v>
      </c>
      <c r="BB152" s="280"/>
      <c r="BC152" s="81">
        <f>$H$152*月別販売比率!BF5</f>
        <v>3.6104513064133017</v>
      </c>
      <c r="BD152" s="39"/>
      <c r="BE152" s="81">
        <f>$H$152*月別販売比率!C21</f>
        <v>3.198149100239819</v>
      </c>
      <c r="BF152" s="39"/>
      <c r="BG152" s="81">
        <f>$H$152*月別販売比率!H21</f>
        <v>3.1591448931116393</v>
      </c>
      <c r="BH152" s="39"/>
      <c r="BI152" s="81">
        <f>$H$152*月別販売比率!M21</f>
        <v>4.561069105343055</v>
      </c>
      <c r="BJ152" s="39"/>
      <c r="BK152" s="81">
        <f>$H$152*月別販売比率!R21</f>
        <v>3.6104513064133017</v>
      </c>
      <c r="BL152" s="39"/>
      <c r="BM152" s="245">
        <f>$H$152*月別販売比率!W21</f>
        <v>3.4374529364379565</v>
      </c>
      <c r="BN152" s="280">
        <v>25</v>
      </c>
      <c r="BO152" s="81">
        <f>$H$152*月別販売比率!AB21</f>
        <v>5.4156769596199519</v>
      </c>
      <c r="BP152" s="39"/>
      <c r="BQ152" s="81">
        <f>$H$152*月別販売比率!AG21</f>
        <v>4.513064133016627</v>
      </c>
      <c r="BR152" s="39"/>
      <c r="BS152" s="81">
        <f>$H$152*月別販売比率!AL21</f>
        <v>4.0617577197149641</v>
      </c>
      <c r="BT152" s="39"/>
      <c r="BU152" s="81">
        <f>$H$152*月別販売比率!AQ21</f>
        <v>4.513064133016627</v>
      </c>
      <c r="BV152" s="39"/>
      <c r="BW152" s="81">
        <f>$H$152*月別販売比率!AV21</f>
        <v>2.7482022196931504</v>
      </c>
      <c r="BX152" s="39"/>
      <c r="BY152" s="81">
        <f>$H$152*月別販売比率!BA21</f>
        <v>2.510307110204034</v>
      </c>
      <c r="BZ152" s="39"/>
      <c r="CA152" s="245">
        <f>$H$152*月別販売比率!BF21</f>
        <v>3.6104513064133017</v>
      </c>
      <c r="CB152" s="280"/>
      <c r="CC152" s="81">
        <f>H152*月別販売比率!$C$21</f>
        <v>3.198149100239819</v>
      </c>
      <c r="CD152" s="39"/>
      <c r="CE152" s="81">
        <f>H152*月別販売比率!$H$21</f>
        <v>3.1591448931116393</v>
      </c>
      <c r="CF152" s="39"/>
      <c r="CG152" s="81">
        <f>H152*月別販売比率!$M$21</f>
        <v>4.561069105343055</v>
      </c>
      <c r="CH152" s="39"/>
      <c r="CI152" s="81">
        <f>H152*月別販売比率!$R$21</f>
        <v>3.6104513064133017</v>
      </c>
      <c r="CJ152" s="39">
        <v>20</v>
      </c>
      <c r="CK152" s="81">
        <f>H152*月別販売比率!$W$21</f>
        <v>3.4374529364379565</v>
      </c>
      <c r="CL152" s="39"/>
      <c r="CM152" s="81">
        <f>H152*月別販売比率!$AB$21</f>
        <v>5.4156769596199519</v>
      </c>
      <c r="CN152" s="39"/>
      <c r="CO152" s="81">
        <f>H152*月別販売比率!$AG$21</f>
        <v>4.513064133016627</v>
      </c>
      <c r="CP152" s="39"/>
      <c r="CQ152" s="81">
        <f>H152*月別販売比率!$AL$21</f>
        <v>4.0617577197149641</v>
      </c>
      <c r="CR152" s="39"/>
      <c r="CS152" s="81">
        <f>H152*月別販売比率!$AQ$21</f>
        <v>4.513064133016627</v>
      </c>
      <c r="CT152" s="39"/>
      <c r="CU152" s="81">
        <f>H152*月別販売比率!$AV$21</f>
        <v>2.7482022196931504</v>
      </c>
      <c r="CV152" s="39"/>
      <c r="CW152" s="81">
        <f>H152*月別販売比率!$BA$21</f>
        <v>2.510307110204034</v>
      </c>
      <c r="CX152" s="39"/>
      <c r="CY152" s="81">
        <f>H152*月別販売比率!$BF$21</f>
        <v>3.6104513064133017</v>
      </c>
      <c r="CZ152" s="39"/>
      <c r="DA152" s="28"/>
      <c r="DB152" s="294"/>
    </row>
    <row r="153" spans="2:106" ht="30.75" customHeight="1">
      <c r="C153" s="457"/>
      <c r="D153" s="494"/>
      <c r="E153" s="99" t="s">
        <v>49</v>
      </c>
      <c r="F153" s="56">
        <v>13</v>
      </c>
      <c r="G153" s="46">
        <f t="shared" si="195"/>
        <v>64350</v>
      </c>
      <c r="H153" s="7">
        <f t="shared" si="196"/>
        <v>30.878859857482183</v>
      </c>
      <c r="I153" s="46">
        <f t="shared" si="184"/>
        <v>152850.35629453682</v>
      </c>
      <c r="J153" s="49">
        <v>2</v>
      </c>
      <c r="K153" s="21">
        <f t="shared" si="185"/>
        <v>18</v>
      </c>
      <c r="L153" s="39">
        <v>3</v>
      </c>
      <c r="M153" s="39">
        <v>15</v>
      </c>
      <c r="N153" s="42"/>
      <c r="O153" s="19"/>
      <c r="P153" s="19"/>
      <c r="Q153" s="330"/>
      <c r="R153" s="124"/>
      <c r="S153" s="124"/>
      <c r="T153" s="124"/>
      <c r="U153" s="124"/>
      <c r="V153" s="124"/>
      <c r="W153" s="124"/>
      <c r="X153" s="124"/>
      <c r="Y153" s="124"/>
      <c r="Z153" s="124"/>
      <c r="AA153" s="124"/>
      <c r="AB153" s="124"/>
      <c r="AC153" s="124"/>
      <c r="AD153" s="124"/>
      <c r="AE153" s="328"/>
      <c r="AF153" s="124"/>
      <c r="AG153" s="331"/>
      <c r="AH153" s="331"/>
      <c r="AI153" s="129">
        <f t="shared" si="186"/>
        <v>27.529691211401424</v>
      </c>
      <c r="AJ153" s="129">
        <f t="shared" si="187"/>
        <v>25.177749728575453</v>
      </c>
      <c r="AK153" s="129">
        <f t="shared" si="188"/>
        <v>21.472286545677591</v>
      </c>
      <c r="AL153" s="399">
        <f t="shared" si="189"/>
        <v>18.384400559929372</v>
      </c>
      <c r="AM153" s="393">
        <f t="shared" si="190"/>
        <v>15.605303172755974</v>
      </c>
      <c r="AN153" s="393">
        <f t="shared" si="191"/>
        <v>12.517417187007755</v>
      </c>
      <c r="AO153" s="393">
        <f t="shared" si="192"/>
        <v>10.637068299849284</v>
      </c>
      <c r="AP153" s="96">
        <f t="shared" si="193"/>
        <v>8.9194897507623132</v>
      </c>
      <c r="AQ153" s="91">
        <f t="shared" si="194"/>
        <v>6.449180962163739</v>
      </c>
      <c r="AR153" s="198"/>
      <c r="AS153" s="81">
        <f>$H$153*月別販売比率!AG5</f>
        <v>3.0878859857482186</v>
      </c>
      <c r="AT153" s="39"/>
      <c r="AU153" s="81">
        <f>$H$153*月別販売比率!AL5</f>
        <v>2.7790973871733966</v>
      </c>
      <c r="AV153" s="39"/>
      <c r="AW153" s="245">
        <f>$H$153*月別販売比率!AQ5</f>
        <v>3.0878859857482186</v>
      </c>
      <c r="AX153" s="280"/>
      <c r="AY153" s="81">
        <f>$H$153*月別販売比率!AV5</f>
        <v>1.880348887158471</v>
      </c>
      <c r="AZ153" s="39"/>
      <c r="BA153" s="245">
        <f>$H$153*月別販売比率!BA5</f>
        <v>1.7175785490869706</v>
      </c>
      <c r="BB153" s="280"/>
      <c r="BC153" s="81">
        <f>$H$153*月別販売比率!BF5</f>
        <v>2.4703087885985746</v>
      </c>
      <c r="BD153" s="39"/>
      <c r="BE153" s="81">
        <f>$H$153*月別販売比率!C21</f>
        <v>2.1882072791114551</v>
      </c>
      <c r="BF153" s="39"/>
      <c r="BG153" s="81">
        <f>$H$153*月別販売比率!H21</f>
        <v>2.1615201900237531</v>
      </c>
      <c r="BH153" s="39"/>
      <c r="BI153" s="81">
        <f>$H$153*月別販売比率!M21</f>
        <v>3.1207314931294583</v>
      </c>
      <c r="BJ153" s="39"/>
      <c r="BK153" s="81">
        <f>$H$153*月別販売比率!R21</f>
        <v>2.4703087885985746</v>
      </c>
      <c r="BL153" s="39"/>
      <c r="BM153" s="245">
        <f>$H$153*月別販売比率!W21</f>
        <v>2.3519414828259699</v>
      </c>
      <c r="BN153" s="280"/>
      <c r="BO153" s="81">
        <f>$H$153*月別販売比率!AB21</f>
        <v>3.7054631828978617</v>
      </c>
      <c r="BP153" s="39"/>
      <c r="BQ153" s="81">
        <f>$H$153*月別販売比率!AG21</f>
        <v>3.0878859857482186</v>
      </c>
      <c r="BR153" s="39"/>
      <c r="BS153" s="81">
        <f>$H$153*月別販売比率!AL21</f>
        <v>2.7790973871733966</v>
      </c>
      <c r="BT153" s="39"/>
      <c r="BU153" s="81">
        <f>$H$153*月別販売比率!AQ21</f>
        <v>3.0878859857482186</v>
      </c>
      <c r="BV153" s="39"/>
      <c r="BW153" s="81">
        <f>$H$153*月別販売比率!AV21</f>
        <v>1.880348887158471</v>
      </c>
      <c r="BX153" s="39"/>
      <c r="BY153" s="81">
        <f>$H$153*月別販売比率!BA21</f>
        <v>1.7175785490869706</v>
      </c>
      <c r="BZ153" s="39"/>
      <c r="CA153" s="245">
        <f>$H$153*月別販売比率!BF21</f>
        <v>2.4703087885985746</v>
      </c>
      <c r="CB153" s="280"/>
      <c r="CC153" s="81">
        <f>H153*月別販売比率!$C$21</f>
        <v>2.1882072791114551</v>
      </c>
      <c r="CD153" s="42"/>
      <c r="CE153" s="81">
        <f>H153*月別販売比率!$H$21</f>
        <v>2.1615201900237531</v>
      </c>
      <c r="CF153" s="42"/>
      <c r="CG153" s="81">
        <f>H153*月別販売比率!$M$21</f>
        <v>3.1207314931294583</v>
      </c>
      <c r="CH153" s="42"/>
      <c r="CI153" s="81">
        <f>H153*月別販売比率!$R$21</f>
        <v>2.4703087885985746</v>
      </c>
      <c r="CJ153" s="42">
        <v>10</v>
      </c>
      <c r="CK153" s="81">
        <f>H153*月別販売比率!$W$21</f>
        <v>2.3519414828259699</v>
      </c>
      <c r="CL153" s="42"/>
      <c r="CM153" s="81">
        <f>H153*月別販売比率!$AB$21</f>
        <v>3.7054631828978617</v>
      </c>
      <c r="CN153" s="42"/>
      <c r="CO153" s="81">
        <f>H153*月別販売比率!$AG$21</f>
        <v>3.0878859857482186</v>
      </c>
      <c r="CP153" s="42"/>
      <c r="CQ153" s="81">
        <f>H153*月別販売比率!$AL$21</f>
        <v>2.7790973871733966</v>
      </c>
      <c r="CR153" s="42"/>
      <c r="CS153" s="81">
        <f>H153*月別販売比率!$AQ$21</f>
        <v>3.0878859857482186</v>
      </c>
      <c r="CT153" s="42"/>
      <c r="CU153" s="81">
        <f>H153*月別販売比率!$AV$21</f>
        <v>1.880348887158471</v>
      </c>
      <c r="CV153" s="39"/>
      <c r="CW153" s="81">
        <f>H153*月別販売比率!$BA$21</f>
        <v>1.7175785490869706</v>
      </c>
      <c r="CX153" s="39"/>
      <c r="CY153" s="81">
        <f>H153*月別販売比率!$BF$21</f>
        <v>2.4703087885985746</v>
      </c>
      <c r="CZ153" s="39"/>
      <c r="DA153" s="28"/>
      <c r="DB153" s="294"/>
    </row>
    <row r="154" spans="2:106" ht="30.75" customHeight="1">
      <c r="C154" s="458"/>
      <c r="D154" s="495"/>
      <c r="E154" s="122" t="s">
        <v>50</v>
      </c>
      <c r="F154" s="126">
        <v>9</v>
      </c>
      <c r="G154" s="53">
        <f t="shared" si="195"/>
        <v>44550</v>
      </c>
      <c r="H154" s="52">
        <f t="shared" si="196"/>
        <v>21.377672209026127</v>
      </c>
      <c r="I154" s="53">
        <f t="shared" si="184"/>
        <v>105819.47743467933</v>
      </c>
      <c r="J154" s="127">
        <v>0</v>
      </c>
      <c r="K154" s="103">
        <f t="shared" si="185"/>
        <v>13</v>
      </c>
      <c r="L154" s="103">
        <v>6</v>
      </c>
      <c r="M154" s="103">
        <v>7</v>
      </c>
      <c r="N154" s="117"/>
      <c r="O154" s="123"/>
      <c r="P154" s="123"/>
      <c r="Q154" s="332"/>
      <c r="R154" s="238"/>
      <c r="S154" s="238"/>
      <c r="T154" s="238"/>
      <c r="U154" s="238"/>
      <c r="V154" s="329"/>
      <c r="W154" s="329"/>
      <c r="X154" s="329"/>
      <c r="Y154" s="329"/>
      <c r="Z154" s="238"/>
      <c r="AA154" s="238"/>
      <c r="AB154" s="238"/>
      <c r="AC154" s="238"/>
      <c r="AD154" s="238"/>
      <c r="AE154" s="328"/>
      <c r="AF154" s="124"/>
      <c r="AG154" s="124"/>
      <c r="AH154" s="331"/>
      <c r="AI154" s="238">
        <f t="shared" si="186"/>
        <v>16.289786223277908</v>
      </c>
      <c r="AJ154" s="238">
        <f t="shared" si="187"/>
        <v>14.661519042859929</v>
      </c>
      <c r="AK154" s="238">
        <f t="shared" si="188"/>
        <v>12.096198377776794</v>
      </c>
      <c r="AL154" s="401">
        <f t="shared" si="189"/>
        <v>9.9584311568741803</v>
      </c>
      <c r="AM154" s="395">
        <f t="shared" si="190"/>
        <v>8.0344406580618291</v>
      </c>
      <c r="AN154" s="395">
        <f t="shared" si="191"/>
        <v>5.8966734371592162</v>
      </c>
      <c r="AO154" s="395">
        <f t="shared" si="192"/>
        <v>4.5948934383571975</v>
      </c>
      <c r="AP154" s="403">
        <f t="shared" si="193"/>
        <v>3.4058005966816025</v>
      </c>
      <c r="AQ154" s="90">
        <f t="shared" si="194"/>
        <v>1.6955868199595123</v>
      </c>
      <c r="AR154" s="238"/>
      <c r="AS154" s="282">
        <f>$H$154*月別販売比率!AG5</f>
        <v>2.1377672209026128</v>
      </c>
      <c r="AT154" s="103"/>
      <c r="AU154" s="282">
        <f>$H$154*月別販売比率!AL5</f>
        <v>1.9239904988123513</v>
      </c>
      <c r="AV154" s="103"/>
      <c r="AW154" s="301">
        <f>$H$154*月別販売比率!AQ5</f>
        <v>2.1377672209026128</v>
      </c>
      <c r="AX154" s="302"/>
      <c r="AY154" s="282">
        <f>$H$154*月別販売比率!AV5</f>
        <v>1.3017799988020184</v>
      </c>
      <c r="AZ154" s="103"/>
      <c r="BA154" s="301">
        <f>$H$154*月別販売比率!BA5</f>
        <v>1.189092841675595</v>
      </c>
      <c r="BB154" s="302"/>
      <c r="BC154" s="282">
        <f>$H$154*月別販売比率!BF5</f>
        <v>1.7102137767220902</v>
      </c>
      <c r="BD154" s="103"/>
      <c r="BE154" s="282">
        <f>$H$154*月別販売比率!C21</f>
        <v>1.5149127316925457</v>
      </c>
      <c r="BF154" s="103"/>
      <c r="BG154" s="282">
        <f>$H$154*月別販売比率!H21</f>
        <v>1.4964370546318291</v>
      </c>
      <c r="BH154" s="103"/>
      <c r="BI154" s="282">
        <f>$H$154*月別販売比率!M21</f>
        <v>2.1605064183203941</v>
      </c>
      <c r="BJ154" s="103"/>
      <c r="BK154" s="282">
        <f>$H$154*月別販売比率!R21</f>
        <v>1.7102137767220902</v>
      </c>
      <c r="BL154" s="103"/>
      <c r="BM154" s="301">
        <f>$H$154*月別販売比率!W21</f>
        <v>1.6282671804179791</v>
      </c>
      <c r="BN154" s="302">
        <v>5</v>
      </c>
      <c r="BO154" s="282">
        <f>$H$154*月別販売比率!AB21</f>
        <v>2.5653206650831351</v>
      </c>
      <c r="BP154" s="103"/>
      <c r="BQ154" s="282">
        <f>$H$154*月別販売比率!AG21</f>
        <v>2.1377672209026128</v>
      </c>
      <c r="BR154" s="103"/>
      <c r="BS154" s="282">
        <f>$H$154*月別販売比率!AL21</f>
        <v>1.9239904988123513</v>
      </c>
      <c r="BT154" s="103"/>
      <c r="BU154" s="282">
        <f>$H$154*月別販売比率!AQ21</f>
        <v>2.1377672209026128</v>
      </c>
      <c r="BV154" s="103"/>
      <c r="BW154" s="282">
        <f>$H$154*月別販売比率!AV21</f>
        <v>1.3017799988020184</v>
      </c>
      <c r="BX154" s="103"/>
      <c r="BY154" s="282">
        <f>$H$154*月別販売比率!BA21</f>
        <v>1.189092841675595</v>
      </c>
      <c r="BZ154" s="103"/>
      <c r="CA154" s="301">
        <f>$H$154*月別販売比率!BF21</f>
        <v>1.7102137767220902</v>
      </c>
      <c r="CB154" s="302"/>
      <c r="CC154" s="282">
        <f>H154*月別販売比率!$C$21</f>
        <v>1.5149127316925457</v>
      </c>
      <c r="CD154" s="117"/>
      <c r="CE154" s="282">
        <f>H154*月別販売比率!$H$21</f>
        <v>1.4964370546318291</v>
      </c>
      <c r="CF154" s="117"/>
      <c r="CG154" s="282">
        <f>H154*月別販売比率!$M$21</f>
        <v>2.1605064183203941</v>
      </c>
      <c r="CH154" s="117"/>
      <c r="CI154" s="282">
        <f>H154*月別販売比率!$R$21</f>
        <v>1.7102137767220902</v>
      </c>
      <c r="CJ154" s="117">
        <v>5</v>
      </c>
      <c r="CK154" s="282">
        <f>H154*月別販売比率!$W$21</f>
        <v>1.6282671804179791</v>
      </c>
      <c r="CL154" s="117"/>
      <c r="CM154" s="282">
        <f>H154*月別販売比率!$AB$21</f>
        <v>2.5653206650831351</v>
      </c>
      <c r="CN154" s="117"/>
      <c r="CO154" s="282">
        <f>H154*月別販売比率!$AG$21</f>
        <v>2.1377672209026128</v>
      </c>
      <c r="CP154" s="117"/>
      <c r="CQ154" s="282">
        <f>H154*月別販売比率!$AL$21</f>
        <v>1.9239904988123513</v>
      </c>
      <c r="CR154" s="117"/>
      <c r="CS154" s="282">
        <f>H154*月別販売比率!$AQ$21</f>
        <v>2.1377672209026128</v>
      </c>
      <c r="CT154" s="117"/>
      <c r="CU154" s="282">
        <f>H154*月別販売比率!$AV$21</f>
        <v>1.3017799988020184</v>
      </c>
      <c r="CV154" s="103"/>
      <c r="CW154" s="282">
        <f>H154*月別販売比率!$BA$21</f>
        <v>1.189092841675595</v>
      </c>
      <c r="CX154" s="103"/>
      <c r="CY154" s="282">
        <f>H154*月別販売比率!$BF$21</f>
        <v>1.7102137767220902</v>
      </c>
      <c r="CZ154" s="103"/>
      <c r="DA154" s="303"/>
      <c r="DB154" s="300"/>
    </row>
    <row r="155" spans="2:106" ht="30.75" customHeight="1">
      <c r="B155" s="2">
        <v>13</v>
      </c>
      <c r="C155" s="435" t="s">
        <v>4</v>
      </c>
      <c r="D155" s="436"/>
      <c r="E155" s="445"/>
      <c r="F155" s="130">
        <f>SUM(F156:F163)</f>
        <v>1288</v>
      </c>
      <c r="G155" s="131">
        <f>SUM(G156:G159)</f>
        <v>3034680</v>
      </c>
      <c r="H155" s="130">
        <v>1288</v>
      </c>
      <c r="I155" s="131">
        <f t="shared" ref="I155:N155" si="197">SUM(I156:I159)</f>
        <v>3034680</v>
      </c>
      <c r="J155" s="147">
        <f>SUM(J156:J159)</f>
        <v>0</v>
      </c>
      <c r="K155" s="148">
        <f t="shared" si="197"/>
        <v>3</v>
      </c>
      <c r="L155" s="148">
        <f t="shared" si="197"/>
        <v>3</v>
      </c>
      <c r="M155" s="148">
        <f t="shared" si="197"/>
        <v>0</v>
      </c>
      <c r="N155" s="149">
        <f t="shared" si="197"/>
        <v>0</v>
      </c>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6">
        <f>SUM(AS156:AS159)</f>
        <v>83.600000000000009</v>
      </c>
      <c r="AT155" s="134"/>
      <c r="AU155" s="136">
        <f>SUM(AU156:AU159)</f>
        <v>75.240000000000009</v>
      </c>
      <c r="AV155" s="134">
        <f>SUM(AV156:AV163)</f>
        <v>0</v>
      </c>
      <c r="AW155" s="136">
        <f>SUM(AW156:AW159)</f>
        <v>83.600000000000009</v>
      </c>
      <c r="AX155" s="134">
        <f>SUM(AX156:AX163)</f>
        <v>0</v>
      </c>
      <c r="AY155" s="136">
        <f>SUM(AY156:AY159)</f>
        <v>50.907697917595918</v>
      </c>
      <c r="AZ155" s="134">
        <f>SUM(AZ156:AZ163)</f>
        <v>153</v>
      </c>
      <c r="BA155" s="136">
        <f>SUM(BA156:BA159)</f>
        <v>46.500928909419528</v>
      </c>
      <c r="BB155" s="134">
        <f>SUM(BB156:BB163)</f>
        <v>0</v>
      </c>
      <c r="BC155" s="136">
        <f>SUM(BC156:BC159)</f>
        <v>66.88</v>
      </c>
      <c r="BD155" s="134">
        <f>SUM(BD156:BD163)</f>
        <v>160</v>
      </c>
      <c r="BE155" s="136">
        <f>SUM(BE156:BE159)</f>
        <v>59.242513932842407</v>
      </c>
      <c r="BF155" s="134">
        <f>SUM(BF156:BF163)</f>
        <v>0</v>
      </c>
      <c r="BG155" s="136">
        <f>SUM(BG156:BG159)</f>
        <v>58.52000000000001</v>
      </c>
      <c r="BH155" s="134">
        <f>SUM(BH156:BH163)</f>
        <v>0</v>
      </c>
      <c r="BI155" s="136">
        <f>SUM(BI156:BI159)</f>
        <v>82.097340044853397</v>
      </c>
      <c r="BJ155" s="134">
        <f>SUM(BJ156:BJ163)</f>
        <v>215</v>
      </c>
      <c r="BK155" s="136">
        <f>SUM(BK156:BK159)</f>
        <v>66.88</v>
      </c>
      <c r="BL155" s="134">
        <f>SUM(BL156:BL163)</f>
        <v>170</v>
      </c>
      <c r="BM155" s="136">
        <f>SUM(BM156:BM159)</f>
        <v>63.675378194576702</v>
      </c>
      <c r="BN155" s="134">
        <f>SUM(BN156:BN163)</f>
        <v>320</v>
      </c>
      <c r="BO155" s="136">
        <f>SUM(BO156:BO159)</f>
        <v>100.32</v>
      </c>
      <c r="BP155" s="134">
        <f>SUM(BP156:BP163)</f>
        <v>91</v>
      </c>
      <c r="BQ155" s="136">
        <f>SUM(BQ156:BQ159)</f>
        <v>83.600000000000009</v>
      </c>
      <c r="BR155" s="134">
        <f>SUM(BR156:BR163)</f>
        <v>0</v>
      </c>
      <c r="BS155" s="136">
        <f>SUM(BS156:BS159)</f>
        <v>75.240000000000009</v>
      </c>
      <c r="BT155" s="134">
        <f>SUM(BT156:BT163)</f>
        <v>0</v>
      </c>
      <c r="BU155" s="136">
        <f>SUM(BU156:BU159)</f>
        <v>83.600000000000009</v>
      </c>
      <c r="BV155" s="134">
        <f>SUM(BV156:BV163)</f>
        <v>0</v>
      </c>
      <c r="BW155" s="136">
        <f>SUM(BW156:BW159)</f>
        <v>50.907697917595918</v>
      </c>
      <c r="BX155" s="134">
        <f>SUM(BX156:BX163)</f>
        <v>0</v>
      </c>
      <c r="BY155" s="136">
        <f>SUM(BY156:BY159)</f>
        <v>46.500928909419528</v>
      </c>
      <c r="BZ155" s="134">
        <f>SUM(BZ156:BZ163)</f>
        <v>81</v>
      </c>
      <c r="CA155" s="136">
        <f>SUM(CA156:CA159)</f>
        <v>66.88</v>
      </c>
      <c r="CB155" s="134">
        <f>SUM(CB156:CB163)</f>
        <v>0</v>
      </c>
      <c r="CC155" s="136">
        <f>SUM(CC156:CC159)</f>
        <v>59.242513932842407</v>
      </c>
      <c r="CD155" s="134">
        <f>SUM(CD156:CD163)</f>
        <v>289</v>
      </c>
      <c r="CE155" s="136">
        <f>SUM(CE156:CE159)</f>
        <v>58.52000000000001</v>
      </c>
      <c r="CF155" s="134">
        <f>SUM(CF156:CF163)</f>
        <v>0</v>
      </c>
      <c r="CG155" s="136">
        <f>SUM(CG156:CG159)</f>
        <v>84.489244107374759</v>
      </c>
      <c r="CH155" s="134">
        <f>SUM(CH156:CH163)</f>
        <v>0</v>
      </c>
      <c r="CI155" s="136">
        <f>SUM(CI156:CI159)</f>
        <v>66.88</v>
      </c>
      <c r="CJ155" s="134">
        <f>SUM(CJ156:CJ163)</f>
        <v>0</v>
      </c>
      <c r="CK155" s="136">
        <f>SUM(CK156:CK159)</f>
        <v>63.675378194576702</v>
      </c>
      <c r="CL155" s="134">
        <f>SUM(CL156:CL163)</f>
        <v>238</v>
      </c>
      <c r="CM155" s="136">
        <f>SUM(CM156:CM159)</f>
        <v>100.32</v>
      </c>
      <c r="CN155" s="134">
        <f>SUM(CN156:CN163)</f>
        <v>0</v>
      </c>
      <c r="CO155" s="136">
        <f>SUM(CO156:CO159)</f>
        <v>83.600000000000009</v>
      </c>
      <c r="CP155" s="134">
        <f>SUM(CP156:CP163)</f>
        <v>300</v>
      </c>
      <c r="CQ155" s="136">
        <f>SUM(CQ156:CQ159)</f>
        <v>75.240000000000009</v>
      </c>
      <c r="CR155" s="134">
        <f>SUM(CR156:CR163)</f>
        <v>0</v>
      </c>
      <c r="CS155" s="136">
        <f>SUM(CS156:CS159)</f>
        <v>83.600000000000009</v>
      </c>
      <c r="CT155" s="134">
        <f>SUM(CT156:CT163)</f>
        <v>0</v>
      </c>
      <c r="CU155" s="136">
        <v>50.907697917595918</v>
      </c>
      <c r="CV155" s="134">
        <f>SUM(CV156:CV163)</f>
        <v>0</v>
      </c>
      <c r="CW155" s="136">
        <f>SUM(CW156:CW159)</f>
        <v>46.500928909419528</v>
      </c>
      <c r="CX155" s="134">
        <f>SUM(CX156:CX163)</f>
        <v>0</v>
      </c>
      <c r="CY155" s="136">
        <f>SUM(CY156:CY159)</f>
        <v>66.88</v>
      </c>
      <c r="CZ155" s="134">
        <f>SUM(CZ156:CZ163)</f>
        <v>0</v>
      </c>
      <c r="DA155" s="141"/>
      <c r="DB155" s="293"/>
    </row>
    <row r="156" spans="2:106" ht="30.75" customHeight="1">
      <c r="C156" s="446" t="s">
        <v>507</v>
      </c>
      <c r="D156" s="443">
        <v>2</v>
      </c>
      <c r="E156" s="99" t="s">
        <v>46</v>
      </c>
      <c r="F156" s="56">
        <v>270</v>
      </c>
      <c r="G156" s="46">
        <f t="shared" ref="G156:G163" si="198">F156*3630</f>
        <v>980100</v>
      </c>
      <c r="H156" s="57">
        <f>F156*($H$155/$F$155)</f>
        <v>270</v>
      </c>
      <c r="I156" s="46">
        <f t="shared" ref="I156:I163" si="199">H156*3630</f>
        <v>980100</v>
      </c>
      <c r="J156" s="49">
        <v>0</v>
      </c>
      <c r="K156" s="39">
        <f>SUM(L156:N156)</f>
        <v>3</v>
      </c>
      <c r="L156" s="39">
        <v>3</v>
      </c>
      <c r="M156" s="39">
        <v>0</v>
      </c>
      <c r="N156" s="42"/>
      <c r="O156" s="289">
        <v>45593</v>
      </c>
      <c r="P156" s="19"/>
      <c r="Q156" s="124"/>
      <c r="R156" s="124"/>
      <c r="S156" s="129"/>
      <c r="T156" s="129"/>
      <c r="U156" s="129"/>
      <c r="V156" s="129"/>
      <c r="W156" s="129"/>
      <c r="X156" s="129"/>
      <c r="Y156" s="129"/>
      <c r="Z156" s="129"/>
      <c r="AA156" s="129"/>
      <c r="AB156" s="129"/>
      <c r="AC156" s="129"/>
      <c r="AD156" s="129"/>
      <c r="AE156" s="129"/>
      <c r="AF156" s="129"/>
      <c r="AG156" s="129"/>
      <c r="AH156" s="129"/>
      <c r="AI156" s="129">
        <f>SUM(J156:K156)-CI156+CJ156</f>
        <v>-18.600000000000001</v>
      </c>
      <c r="AJ156" s="129">
        <f>0-CK156+CL156</f>
        <v>56.434985511320917</v>
      </c>
      <c r="AK156" s="129">
        <f t="shared" ref="AK156:AK163" si="200">AJ156-CM156+CN156</f>
        <v>24.034985511320919</v>
      </c>
      <c r="AL156" s="399">
        <f t="shared" ref="AL156:AL163" si="201">AK156-CO156+CP156</f>
        <v>77.034985511320912</v>
      </c>
      <c r="AM156" s="393">
        <f t="shared" ref="AM156:AM163" si="202">AL156-CQ156+CR156</f>
        <v>52.734985511320914</v>
      </c>
      <c r="AN156" s="393">
        <f t="shared" ref="AN156:AN163" si="203">AM156-CS156+CT156</f>
        <v>25.734985511320914</v>
      </c>
      <c r="AO156" s="393">
        <f t="shared" ref="AO156:AO163" si="204">AN156-CU156+CV156</f>
        <v>9.2935041264514204</v>
      </c>
      <c r="AP156" s="96">
        <f t="shared" ref="AP156:AP163" si="205">AO156-CW156+CX156</f>
        <v>-5.7247384639113452</v>
      </c>
      <c r="AQ156" s="91">
        <f t="shared" ref="AQ156:AQ163" si="206">AP156-CY156+CZ156</f>
        <v>-27.324738463911345</v>
      </c>
      <c r="AR156" s="198"/>
      <c r="AS156" s="245">
        <f>$H$156*月別販売比率!AG5</f>
        <v>27</v>
      </c>
      <c r="AT156" s="280">
        <v>24</v>
      </c>
      <c r="AU156" s="81">
        <f>$H$156*月別販売比率!AL5</f>
        <v>24.3</v>
      </c>
      <c r="AV156" s="39"/>
      <c r="AW156" s="81">
        <f>$H$156*月別販売比率!AQ5</f>
        <v>27</v>
      </c>
      <c r="AX156" s="39"/>
      <c r="AY156" s="81">
        <f>$H$156*月別販売比率!AV5</f>
        <v>16.441481384869494</v>
      </c>
      <c r="AZ156" s="39">
        <v>55</v>
      </c>
      <c r="BA156" s="81">
        <f>$H$156*月別販売比率!BA5</f>
        <v>15.018242590362766</v>
      </c>
      <c r="BB156" s="39"/>
      <c r="BC156" s="245">
        <f>$H$156*月別販売比率!BF5</f>
        <v>21.6</v>
      </c>
      <c r="BD156" s="243"/>
      <c r="BE156" s="81">
        <f>$H$156*月別販売比率!C21</f>
        <v>19.133347801276855</v>
      </c>
      <c r="BF156" s="21"/>
      <c r="BG156" s="81">
        <f>$H$156*月別販売比率!H21</f>
        <v>18.900000000000002</v>
      </c>
      <c r="BH156" s="21"/>
      <c r="BI156" s="245">
        <f>$H$156*月別販売比率!M21</f>
        <v>27.287196063386581</v>
      </c>
      <c r="BJ156" s="241">
        <v>75</v>
      </c>
      <c r="BK156" s="245">
        <f>$H$156*月別販売比率!R21</f>
        <v>21.6</v>
      </c>
      <c r="BL156" s="241"/>
      <c r="BM156" s="245">
        <f>$H$156*月別販売比率!W21</f>
        <v>20.565014488679079</v>
      </c>
      <c r="BN156" s="241">
        <v>80</v>
      </c>
      <c r="BO156" s="245">
        <f>$H$156*月別販売比率!AB21</f>
        <v>32.4</v>
      </c>
      <c r="BP156" s="241">
        <v>23</v>
      </c>
      <c r="BQ156" s="81">
        <f>$H$156*月別販売比率!AG21</f>
        <v>27</v>
      </c>
      <c r="BR156" s="21"/>
      <c r="BS156" s="81">
        <f>$H$156*月別販売比率!AL21</f>
        <v>24.3</v>
      </c>
      <c r="BT156" s="21"/>
      <c r="BU156" s="81">
        <f>$H$156*月別販売比率!AQ21</f>
        <v>27</v>
      </c>
      <c r="BV156" s="21"/>
      <c r="BW156" s="81">
        <f>$H$156*月別販売比率!AV21</f>
        <v>16.441481384869494</v>
      </c>
      <c r="BX156" s="21"/>
      <c r="BY156" s="245">
        <f>$H$156*月別販売比率!BA21</f>
        <v>15.018242590362766</v>
      </c>
      <c r="BZ156" s="241"/>
      <c r="CA156" s="81">
        <f>$H$156*月別販売比率!BF21</f>
        <v>21.6</v>
      </c>
      <c r="CB156" s="21"/>
      <c r="CC156" s="245">
        <f>H156*月別販売比率!$C$21</f>
        <v>19.133347801276855</v>
      </c>
      <c r="CD156" s="241">
        <v>65</v>
      </c>
      <c r="CE156" s="81">
        <f>H156*月別販売比率!$H$21</f>
        <v>18.900000000000002</v>
      </c>
      <c r="CF156" s="21"/>
      <c r="CG156" s="81">
        <f>H156*月別販売比率!$M$21</f>
        <v>27.287196063386581</v>
      </c>
      <c r="CH156" s="21"/>
      <c r="CI156" s="81">
        <f>H156*月別販売比率!$R$21</f>
        <v>21.6</v>
      </c>
      <c r="CJ156" s="21"/>
      <c r="CK156" s="81">
        <f>H156*月別販売比率!$W$21</f>
        <v>20.565014488679079</v>
      </c>
      <c r="CL156" s="21">
        <v>77</v>
      </c>
      <c r="CM156" s="81">
        <f>H156*月別販売比率!$AB$21</f>
        <v>32.4</v>
      </c>
      <c r="CN156" s="21"/>
      <c r="CO156" s="81">
        <f>H156*月別販売比率!$AG$21</f>
        <v>27</v>
      </c>
      <c r="CP156" s="21">
        <v>80</v>
      </c>
      <c r="CQ156" s="81">
        <f>H156*月別販売比率!$AL$21</f>
        <v>24.3</v>
      </c>
      <c r="CR156" s="21"/>
      <c r="CS156" s="41">
        <f>H156*月別販売比率!$AQ$21</f>
        <v>27</v>
      </c>
      <c r="CT156" s="21"/>
      <c r="CU156" s="81">
        <f>H156*月別販売比率!$AV$21</f>
        <v>16.441481384869494</v>
      </c>
      <c r="CV156" s="21"/>
      <c r="CW156" s="81">
        <f>H156*月別販売比率!$BA$21</f>
        <v>15.018242590362766</v>
      </c>
      <c r="CX156" s="21"/>
      <c r="CY156" s="81">
        <f>H156*月別販売比率!$BF$21</f>
        <v>21.6</v>
      </c>
      <c r="CZ156" s="21"/>
      <c r="DA156" s="28"/>
      <c r="DB156" s="294"/>
    </row>
    <row r="157" spans="2:106" ht="30.75" customHeight="1">
      <c r="C157" s="438"/>
      <c r="D157" s="441"/>
      <c r="E157" s="94" t="s">
        <v>47</v>
      </c>
      <c r="F157" s="57">
        <v>270</v>
      </c>
      <c r="G157" s="46">
        <f t="shared" si="198"/>
        <v>980100</v>
      </c>
      <c r="H157" s="57">
        <f>F157*($H$155/$F$155)</f>
        <v>270</v>
      </c>
      <c r="I157" s="46">
        <f t="shared" si="199"/>
        <v>980100</v>
      </c>
      <c r="J157" s="9">
        <v>0</v>
      </c>
      <c r="K157" s="21">
        <f t="shared" ref="K157:K163" si="207">SUM(L157:N157)</f>
        <v>0</v>
      </c>
      <c r="L157" s="21">
        <v>0</v>
      </c>
      <c r="M157" s="21">
        <v>0</v>
      </c>
      <c r="N157" s="42"/>
      <c r="O157" s="289">
        <v>45593</v>
      </c>
      <c r="P157" s="19"/>
      <c r="Q157" s="124"/>
      <c r="R157" s="124"/>
      <c r="S157" s="124"/>
      <c r="T157" s="124"/>
      <c r="U157" s="124"/>
      <c r="V157" s="124"/>
      <c r="W157" s="124"/>
      <c r="X157" s="331">
        <v>45848</v>
      </c>
      <c r="Y157" s="129"/>
      <c r="Z157" s="129"/>
      <c r="AA157" s="345"/>
      <c r="AB157" s="129"/>
      <c r="AC157" s="129"/>
      <c r="AD157" s="129"/>
      <c r="AE157" s="129"/>
      <c r="AF157" s="328"/>
      <c r="AG157" s="124"/>
      <c r="AH157" s="124"/>
      <c r="AI157" s="129">
        <f t="shared" ref="AI157:AI163" si="208">SUM(J157:K157)-CI157+CJ157</f>
        <v>-21.6</v>
      </c>
      <c r="AJ157" s="129">
        <f>0-CK157+CL157</f>
        <v>76.434985511320917</v>
      </c>
      <c r="AK157" s="129">
        <f t="shared" si="200"/>
        <v>44.034985511320919</v>
      </c>
      <c r="AL157" s="399">
        <f t="shared" si="201"/>
        <v>97.034985511320912</v>
      </c>
      <c r="AM157" s="393">
        <f t="shared" si="202"/>
        <v>72.734985511320914</v>
      </c>
      <c r="AN157" s="393">
        <f t="shared" si="203"/>
        <v>45.734985511320914</v>
      </c>
      <c r="AO157" s="393">
        <f t="shared" si="204"/>
        <v>29.29350412645142</v>
      </c>
      <c r="AP157" s="96">
        <f t="shared" si="205"/>
        <v>14.275261536088655</v>
      </c>
      <c r="AQ157" s="91">
        <f t="shared" si="206"/>
        <v>-7.3247384639113466</v>
      </c>
      <c r="AR157" s="198"/>
      <c r="AS157" s="245">
        <f>$H$157*月別販売比率!AG5</f>
        <v>27</v>
      </c>
      <c r="AT157" s="241">
        <v>112</v>
      </c>
      <c r="AU157" s="81">
        <f>$H$157*月別販売比率!AL5</f>
        <v>24.3</v>
      </c>
      <c r="AV157" s="21"/>
      <c r="AW157" s="81">
        <f>$H$157*月別販売比率!AQ5</f>
        <v>27</v>
      </c>
      <c r="AX157" s="21"/>
      <c r="AY157" s="81">
        <f>$H$157*月別販売比率!AV5</f>
        <v>16.441481384869494</v>
      </c>
      <c r="AZ157" s="21">
        <v>28</v>
      </c>
      <c r="BA157" s="81">
        <f>$H$157*月別販売比率!BA5</f>
        <v>15.018242590362766</v>
      </c>
      <c r="BB157" s="21"/>
      <c r="BC157" s="245">
        <f>$H$157*月別販売比率!BF5</f>
        <v>21.6</v>
      </c>
      <c r="BD157" s="355"/>
      <c r="BE157" s="81">
        <f>$H$157*月別販売比率!C21</f>
        <v>19.133347801276855</v>
      </c>
      <c r="BF157" s="21"/>
      <c r="BG157" s="81">
        <f>$H$157*月別販売比率!H21</f>
        <v>18.900000000000002</v>
      </c>
      <c r="BH157" s="21"/>
      <c r="BI157" s="245">
        <f>$H$157*月別販売比率!M21</f>
        <v>27.287196063386581</v>
      </c>
      <c r="BJ157" s="241">
        <v>70</v>
      </c>
      <c r="BK157" s="245">
        <f>$H$157*月別販売比率!R21</f>
        <v>21.6</v>
      </c>
      <c r="BL157" s="241"/>
      <c r="BM157" s="245">
        <f>$H$157*月別販売比率!W21</f>
        <v>20.565014488679079</v>
      </c>
      <c r="BN157" s="241">
        <v>100</v>
      </c>
      <c r="BO157" s="245">
        <f>$H$157*月別販売比率!AB21</f>
        <v>32.4</v>
      </c>
      <c r="BP157" s="241">
        <v>27</v>
      </c>
      <c r="BQ157" s="81">
        <f>$H$157*月別販売比率!AG21</f>
        <v>27</v>
      </c>
      <c r="BR157" s="21"/>
      <c r="BS157" s="81">
        <f>$H$157*月別販売比率!AL21</f>
        <v>24.3</v>
      </c>
      <c r="BT157" s="21"/>
      <c r="BU157" s="81">
        <f>$H$157*月別販売比率!AQ21</f>
        <v>27</v>
      </c>
      <c r="BV157" s="21"/>
      <c r="BW157" s="81">
        <f>$H$157*月別販売比率!AV21</f>
        <v>16.441481384869494</v>
      </c>
      <c r="BX157" s="21"/>
      <c r="BY157" s="245">
        <f>$H$157*月別販売比率!BA21</f>
        <v>15.018242590362766</v>
      </c>
      <c r="BZ157" s="241"/>
      <c r="CA157" s="81">
        <f>$H$157*月別販売比率!BF21</f>
        <v>21.6</v>
      </c>
      <c r="CB157" s="21"/>
      <c r="CC157" s="245">
        <f>H157*月別販売比率!$C$21</f>
        <v>19.133347801276855</v>
      </c>
      <c r="CD157" s="241">
        <v>107</v>
      </c>
      <c r="CE157" s="81">
        <f>H157*月別販売比率!$H$21</f>
        <v>18.900000000000002</v>
      </c>
      <c r="CF157" s="21"/>
      <c r="CG157" s="81">
        <f>H157*月別販売比率!$M$21</f>
        <v>27.287196063386581</v>
      </c>
      <c r="CH157" s="21"/>
      <c r="CI157" s="81">
        <f>H157*月別販売比率!$R$21</f>
        <v>21.6</v>
      </c>
      <c r="CJ157" s="21"/>
      <c r="CK157" s="81">
        <f>H157*月別販売比率!$W$21</f>
        <v>20.565014488679079</v>
      </c>
      <c r="CL157" s="21">
        <v>97</v>
      </c>
      <c r="CM157" s="81">
        <f>H157*月別販売比率!$AB$21</f>
        <v>32.4</v>
      </c>
      <c r="CN157" s="21"/>
      <c r="CO157" s="81">
        <f>H157*月別販売比率!$AG$21</f>
        <v>27</v>
      </c>
      <c r="CP157" s="21">
        <v>80</v>
      </c>
      <c r="CQ157" s="81">
        <f>H157*月別販売比率!$AL$21</f>
        <v>24.3</v>
      </c>
      <c r="CR157" s="21"/>
      <c r="CS157" s="41">
        <f>H157*月別販売比率!$AQ$21</f>
        <v>27</v>
      </c>
      <c r="CT157" s="21"/>
      <c r="CU157" s="81">
        <f>H157*月別販売比率!$AV$21</f>
        <v>16.441481384869494</v>
      </c>
      <c r="CV157" s="21"/>
      <c r="CW157" s="81">
        <f>H157*月別販売比率!$BA$21</f>
        <v>15.018242590362766</v>
      </c>
      <c r="CX157" s="21"/>
      <c r="CY157" s="81">
        <f>H157*月別販売比率!$BF$21</f>
        <v>21.6</v>
      </c>
      <c r="CZ157" s="21"/>
      <c r="DA157" s="28"/>
      <c r="DB157" s="294"/>
    </row>
    <row r="158" spans="2:106" ht="30.75" customHeight="1">
      <c r="C158" s="438"/>
      <c r="D158" s="441"/>
      <c r="E158" s="94" t="s">
        <v>51</v>
      </c>
      <c r="F158" s="57">
        <v>219</v>
      </c>
      <c r="G158" s="46">
        <f t="shared" si="198"/>
        <v>794970</v>
      </c>
      <c r="H158" s="57">
        <f>F158*($H$155/$F$155)</f>
        <v>219</v>
      </c>
      <c r="I158" s="46">
        <f t="shared" si="199"/>
        <v>794970</v>
      </c>
      <c r="J158" s="9">
        <v>0</v>
      </c>
      <c r="K158" s="21">
        <f t="shared" si="207"/>
        <v>0</v>
      </c>
      <c r="L158" s="21">
        <v>0</v>
      </c>
      <c r="M158" s="21">
        <v>0</v>
      </c>
      <c r="N158" s="42"/>
      <c r="O158" s="19"/>
      <c r="P158" s="19"/>
      <c r="Q158" s="124"/>
      <c r="R158" s="124"/>
      <c r="S158" s="124"/>
      <c r="T158" s="124"/>
      <c r="U158" s="124"/>
      <c r="V158" s="328"/>
      <c r="W158" s="328"/>
      <c r="X158" s="328"/>
      <c r="Y158" s="331">
        <v>45889</v>
      </c>
      <c r="Z158" s="330"/>
      <c r="AA158" s="331"/>
      <c r="AB158" s="330"/>
      <c r="AC158" s="331"/>
      <c r="AD158" s="129"/>
      <c r="AE158" s="328"/>
      <c r="AF158" s="328"/>
      <c r="AG158" s="124"/>
      <c r="AH158" s="124"/>
      <c r="AI158" s="129">
        <f t="shared" si="208"/>
        <v>-17.52</v>
      </c>
      <c r="AJ158" s="129">
        <f>0-CK158+CL158</f>
        <v>40.319488248071416</v>
      </c>
      <c r="AK158" s="129">
        <f t="shared" si="200"/>
        <v>14.039488248071418</v>
      </c>
      <c r="AL158" s="399">
        <f t="shared" si="201"/>
        <v>72.139488248071416</v>
      </c>
      <c r="AM158" s="393">
        <f t="shared" si="202"/>
        <v>52.429488248071415</v>
      </c>
      <c r="AN158" s="393">
        <f t="shared" si="203"/>
        <v>30.529488248071413</v>
      </c>
      <c r="AO158" s="393">
        <f t="shared" si="204"/>
        <v>17.193620013677268</v>
      </c>
      <c r="AP158" s="96">
        <f t="shared" si="205"/>
        <v>5.0121565792719132</v>
      </c>
      <c r="AQ158" s="91">
        <f t="shared" si="206"/>
        <v>-12.507843420728086</v>
      </c>
      <c r="AR158" s="198"/>
      <c r="AS158" s="245">
        <f>$H$158*月別販売比率!AG5</f>
        <v>21.900000000000002</v>
      </c>
      <c r="AT158" s="241">
        <v>44</v>
      </c>
      <c r="AU158" s="81">
        <f>$H$158*月別販売比率!AL5</f>
        <v>19.71</v>
      </c>
      <c r="AV158" s="21"/>
      <c r="AW158" s="81">
        <f>$H$158*月別販売比率!AQ5</f>
        <v>21.900000000000002</v>
      </c>
      <c r="AX158" s="21"/>
      <c r="AY158" s="81">
        <f>$H$158*月別販売比率!AV5</f>
        <v>13.335868234394145</v>
      </c>
      <c r="AZ158" s="21">
        <v>50</v>
      </c>
      <c r="BA158" s="81">
        <f>$H$158*月別販売比率!BA5</f>
        <v>12.181463434405355</v>
      </c>
      <c r="BB158" s="21"/>
      <c r="BC158" s="245">
        <f>$H$158*月別販売比率!BF5</f>
        <v>17.52</v>
      </c>
      <c r="BD158" s="355"/>
      <c r="BE158" s="81">
        <f>$H$158*月別販売比率!C21</f>
        <v>15.519270994369004</v>
      </c>
      <c r="BF158" s="21"/>
      <c r="BG158" s="81">
        <f>$H$158*月別販売比率!H21</f>
        <v>15.330000000000002</v>
      </c>
      <c r="BH158" s="21"/>
      <c r="BI158" s="245">
        <f>$H$158*月別販売比率!M21</f>
        <v>22.132947918080227</v>
      </c>
      <c r="BJ158" s="241">
        <v>70</v>
      </c>
      <c r="BK158" s="245">
        <f>$H$158*月別販売比率!R21</f>
        <v>17.52</v>
      </c>
      <c r="BL158" s="241"/>
      <c r="BM158" s="245">
        <f>$H$158*月別販売比率!W21</f>
        <v>16.680511751928584</v>
      </c>
      <c r="BN158" s="241">
        <v>80</v>
      </c>
      <c r="BO158" s="245">
        <f>$H$158*月別販売比率!AB21</f>
        <v>26.279999999999998</v>
      </c>
      <c r="BP158" s="241">
        <v>22</v>
      </c>
      <c r="BQ158" s="81">
        <f>$H$158*月別販売比率!AG21</f>
        <v>21.900000000000002</v>
      </c>
      <c r="BR158" s="21"/>
      <c r="BS158" s="81">
        <f>$H$158*月別販売比率!AL21</f>
        <v>19.71</v>
      </c>
      <c r="BT158" s="21"/>
      <c r="BU158" s="81">
        <f>$H$158*月別販売比率!AQ21</f>
        <v>21.900000000000002</v>
      </c>
      <c r="BV158" s="21"/>
      <c r="BW158" s="81">
        <f>$H$158*月別販売比率!AV21</f>
        <v>13.335868234394145</v>
      </c>
      <c r="BX158" s="21"/>
      <c r="BY158" s="245">
        <f>$H$158*月別販売比率!BA21</f>
        <v>12.181463434405355</v>
      </c>
      <c r="BZ158" s="241"/>
      <c r="CA158" s="81">
        <f>$H$158*月別販売比率!BF21</f>
        <v>17.52</v>
      </c>
      <c r="CB158" s="21"/>
      <c r="CC158" s="245">
        <f>H158*月別販売比率!$C$21</f>
        <v>15.519270994369004</v>
      </c>
      <c r="CD158" s="241">
        <v>96</v>
      </c>
      <c r="CE158" s="81">
        <f>H158*月別販売比率!$H$21</f>
        <v>15.330000000000002</v>
      </c>
      <c r="CF158" s="21"/>
      <c r="CG158" s="81">
        <f>H158*月別販売比率!$M$21</f>
        <v>22.132947918080227</v>
      </c>
      <c r="CH158" s="21"/>
      <c r="CI158" s="81">
        <f>H158*月別販売比率!$R$21</f>
        <v>17.52</v>
      </c>
      <c r="CJ158" s="21"/>
      <c r="CK158" s="81">
        <f>H158*月別販売比率!$W$21</f>
        <v>16.680511751928584</v>
      </c>
      <c r="CL158" s="21">
        <v>57</v>
      </c>
      <c r="CM158" s="81">
        <f>H158*月別販売比率!$AB$21</f>
        <v>26.279999999999998</v>
      </c>
      <c r="CN158" s="21"/>
      <c r="CO158" s="81">
        <f>H158*月別販売比率!$AG$21</f>
        <v>21.900000000000002</v>
      </c>
      <c r="CP158" s="21">
        <v>80</v>
      </c>
      <c r="CQ158" s="81">
        <f>H158*月別販売比率!$AL$21</f>
        <v>19.71</v>
      </c>
      <c r="CR158" s="21"/>
      <c r="CS158" s="41">
        <f>H158*月別販売比率!$AQ$21</f>
        <v>21.900000000000002</v>
      </c>
      <c r="CT158" s="21"/>
      <c r="CU158" s="81">
        <f>H158*月別販売比率!$AV$21</f>
        <v>13.335868234394145</v>
      </c>
      <c r="CV158" s="21"/>
      <c r="CW158" s="81">
        <f>H158*月別販売比率!$BA$21</f>
        <v>12.181463434405355</v>
      </c>
      <c r="CX158" s="21"/>
      <c r="CY158" s="81">
        <f>H158*月別販売比率!$BF$21</f>
        <v>17.52</v>
      </c>
      <c r="CZ158" s="21"/>
      <c r="DA158" s="28"/>
      <c r="DB158" s="294"/>
    </row>
    <row r="159" spans="2:106" ht="30.75" customHeight="1">
      <c r="C159" s="438"/>
      <c r="D159" s="442"/>
      <c r="E159" s="94" t="s">
        <v>49</v>
      </c>
      <c r="F159" s="57">
        <v>77</v>
      </c>
      <c r="G159" s="46">
        <f t="shared" si="198"/>
        <v>279510</v>
      </c>
      <c r="H159" s="57">
        <f>F159*($H$155/$F$155)</f>
        <v>77</v>
      </c>
      <c r="I159" s="46">
        <f t="shared" si="199"/>
        <v>279510</v>
      </c>
      <c r="J159" s="9">
        <v>0</v>
      </c>
      <c r="K159" s="21">
        <f t="shared" si="207"/>
        <v>0</v>
      </c>
      <c r="L159" s="21">
        <v>0</v>
      </c>
      <c r="M159" s="21">
        <v>0</v>
      </c>
      <c r="N159" s="42"/>
      <c r="O159" s="19"/>
      <c r="P159" s="19"/>
      <c r="Q159" s="124"/>
      <c r="R159" s="124"/>
      <c r="S159" s="129"/>
      <c r="T159" s="129"/>
      <c r="U159" s="129"/>
      <c r="V159" s="129"/>
      <c r="W159" s="124"/>
      <c r="X159" s="331">
        <v>45848</v>
      </c>
      <c r="Y159" s="129"/>
      <c r="Z159" s="129"/>
      <c r="AA159" s="129"/>
      <c r="AB159" s="129"/>
      <c r="AC159" s="345"/>
      <c r="AD159" s="345"/>
      <c r="AE159" s="345"/>
      <c r="AF159" s="345"/>
      <c r="AG159" s="331"/>
      <c r="AH159" s="331"/>
      <c r="AI159" s="129">
        <f t="shared" si="208"/>
        <v>-6.16</v>
      </c>
      <c r="AJ159" s="129">
        <f t="shared" ref="AJ159:AJ163" si="209">AI159-CK159+CL159</f>
        <v>-5.0248374652899592</v>
      </c>
      <c r="AK159" s="129">
        <f t="shared" si="200"/>
        <v>-14.264837465289959</v>
      </c>
      <c r="AL159" s="399">
        <f>0-CO159+CP159</f>
        <v>52.3</v>
      </c>
      <c r="AM159" s="393">
        <f t="shared" si="202"/>
        <v>45.37</v>
      </c>
      <c r="AN159" s="393">
        <f t="shared" si="203"/>
        <v>37.669999999999995</v>
      </c>
      <c r="AO159" s="393">
        <f t="shared" si="204"/>
        <v>32.981133086537213</v>
      </c>
      <c r="AP159" s="96">
        <f t="shared" si="205"/>
        <v>28.698152792248571</v>
      </c>
      <c r="AQ159" s="91">
        <f t="shared" si="206"/>
        <v>22.538152792248571</v>
      </c>
      <c r="AR159" s="129"/>
      <c r="AS159" s="283">
        <f>$H$159*月別販売比率!AG5</f>
        <v>7.7</v>
      </c>
      <c r="AT159" s="241"/>
      <c r="AU159" s="41">
        <f>$H$159*月別販売比率!AL5</f>
        <v>6.93</v>
      </c>
      <c r="AV159" s="21"/>
      <c r="AW159" s="41">
        <f>$H$159*月別販売比率!AQ5</f>
        <v>7.7</v>
      </c>
      <c r="AX159" s="21"/>
      <c r="AY159" s="41">
        <f>$H$159*月別販売比率!AV5</f>
        <v>4.6888669134627818</v>
      </c>
      <c r="AZ159" s="21">
        <v>20</v>
      </c>
      <c r="BA159" s="41">
        <f>$H$159*月別販売比率!BA5</f>
        <v>4.2829802942886408</v>
      </c>
      <c r="BB159" s="21"/>
      <c r="BC159" s="283">
        <f>$H$159*月別販売比率!BF5</f>
        <v>6.16</v>
      </c>
      <c r="BD159" s="355"/>
      <c r="BE159" s="41">
        <f>$H$159*月別販売比率!C21</f>
        <v>5.4565473359196952</v>
      </c>
      <c r="BF159" s="39"/>
      <c r="BG159" s="41">
        <f>$H$159*月別販売比率!H21</f>
        <v>5.3900000000000006</v>
      </c>
      <c r="BH159" s="39"/>
      <c r="BI159" s="283">
        <f>$H$159*月別販売比率!H21</f>
        <v>5.3900000000000006</v>
      </c>
      <c r="BJ159" s="280"/>
      <c r="BK159" s="283">
        <f>$H$159*月別販売比率!R21</f>
        <v>6.16</v>
      </c>
      <c r="BL159" s="280"/>
      <c r="BM159" s="283">
        <f>$H$159*月別販売比率!W21</f>
        <v>5.8648374652899591</v>
      </c>
      <c r="BN159" s="280">
        <v>60</v>
      </c>
      <c r="BO159" s="283">
        <f>$H$159*月別販売比率!AB21</f>
        <v>9.24</v>
      </c>
      <c r="BP159" s="280">
        <v>19</v>
      </c>
      <c r="BQ159" s="41">
        <f>$H$159*月別販売比率!AG21</f>
        <v>7.7</v>
      </c>
      <c r="BR159" s="39"/>
      <c r="BS159" s="41">
        <f>$H$159*月別販売比率!AL21</f>
        <v>6.93</v>
      </c>
      <c r="BT159" s="39"/>
      <c r="BU159" s="41">
        <f>$H$159*月別販売比率!AQ21</f>
        <v>7.7</v>
      </c>
      <c r="BV159" s="39"/>
      <c r="BW159" s="41">
        <f>$H$159*月別販売比率!AV21</f>
        <v>4.6888669134627818</v>
      </c>
      <c r="BX159" s="39"/>
      <c r="BY159" s="283">
        <f>$H$159*月別販売比率!BA21</f>
        <v>4.2829802942886408</v>
      </c>
      <c r="BZ159" s="280"/>
      <c r="CA159" s="41">
        <f>$H$159*月別販売比率!BF21</f>
        <v>6.16</v>
      </c>
      <c r="CB159" s="42"/>
      <c r="CC159" s="283">
        <f>H159*月別販売比率!$C$21</f>
        <v>5.4565473359196952</v>
      </c>
      <c r="CD159" s="243"/>
      <c r="CE159" s="41">
        <f>H159*月別販売比率!$H$21</f>
        <v>5.3900000000000006</v>
      </c>
      <c r="CF159" s="42"/>
      <c r="CG159" s="41">
        <f>H159*月別販売比率!$M$21</f>
        <v>7.7819040625213578</v>
      </c>
      <c r="CH159" s="42"/>
      <c r="CI159" s="41">
        <f>H159*月別販売比率!$R$21</f>
        <v>6.16</v>
      </c>
      <c r="CJ159" s="42"/>
      <c r="CK159" s="41">
        <f>H159*月別販売比率!$W$21</f>
        <v>5.8648374652899591</v>
      </c>
      <c r="CL159" s="42">
        <v>7</v>
      </c>
      <c r="CM159" s="41">
        <f>H159*月別販売比率!$AB$21</f>
        <v>9.24</v>
      </c>
      <c r="CN159" s="42"/>
      <c r="CO159" s="41">
        <f>H159*月別販売比率!$AG$21</f>
        <v>7.7</v>
      </c>
      <c r="CP159" s="42">
        <v>60</v>
      </c>
      <c r="CQ159" s="41">
        <f>H159*月別販売比率!$AL$21</f>
        <v>6.93</v>
      </c>
      <c r="CR159" s="42"/>
      <c r="CS159" s="41">
        <f>H159*月別販売比率!$AQ$21</f>
        <v>7.7</v>
      </c>
      <c r="CT159" s="42"/>
      <c r="CU159" s="41">
        <f>H159*月別販売比率!$AV$21</f>
        <v>4.6888669134627818</v>
      </c>
      <c r="CV159" s="39"/>
      <c r="CW159" s="41">
        <f>H159*月別販売比率!$BA$21</f>
        <v>4.2829802942886408</v>
      </c>
      <c r="CX159" s="39"/>
      <c r="CY159" s="41">
        <f>H159*月別販売比率!$BF$21</f>
        <v>6.16</v>
      </c>
      <c r="CZ159" s="39"/>
      <c r="DA159" s="298"/>
      <c r="DB159" s="299"/>
    </row>
    <row r="160" spans="2:106" ht="30.75" customHeight="1">
      <c r="C160" s="438"/>
      <c r="D160" s="441">
        <v>3</v>
      </c>
      <c r="E160" s="94" t="s">
        <v>46</v>
      </c>
      <c r="F160" s="57">
        <v>158</v>
      </c>
      <c r="G160" s="46">
        <f t="shared" si="198"/>
        <v>573540</v>
      </c>
      <c r="H160" s="57">
        <f>F160*($H$155/$F$155)</f>
        <v>158</v>
      </c>
      <c r="I160" s="46">
        <f t="shared" si="199"/>
        <v>573540</v>
      </c>
      <c r="J160" s="9">
        <v>32</v>
      </c>
      <c r="K160" s="21">
        <f t="shared" si="207"/>
        <v>66</v>
      </c>
      <c r="L160" s="21">
        <v>59</v>
      </c>
      <c r="M160" s="118"/>
      <c r="N160" s="95">
        <v>7</v>
      </c>
      <c r="O160" s="19"/>
      <c r="P160" s="19"/>
      <c r="Q160" s="124"/>
      <c r="R160" s="124"/>
      <c r="S160" s="124"/>
      <c r="T160" s="124"/>
      <c r="U160" s="124"/>
      <c r="V160" s="124"/>
      <c r="W160" s="124"/>
      <c r="X160" s="124"/>
      <c r="Y160" s="124"/>
      <c r="Z160" s="124"/>
      <c r="AA160" s="124"/>
      <c r="AB160" s="124"/>
      <c r="AC160" s="124"/>
      <c r="AD160" s="124"/>
      <c r="AE160" s="124"/>
      <c r="AF160" s="124"/>
      <c r="AG160" s="124"/>
      <c r="AH160" s="124"/>
      <c r="AI160" s="124">
        <f t="shared" si="208"/>
        <v>85.36</v>
      </c>
      <c r="AJ160" s="124">
        <f t="shared" si="209"/>
        <v>73.325658188106317</v>
      </c>
      <c r="AK160" s="124">
        <f t="shared" si="200"/>
        <v>54.365658188106316</v>
      </c>
      <c r="AL160" s="400">
        <f t="shared" si="201"/>
        <v>38.565658188106312</v>
      </c>
      <c r="AM160" s="394">
        <f t="shared" si="202"/>
        <v>24.345658188106313</v>
      </c>
      <c r="AN160" s="394">
        <f t="shared" si="203"/>
        <v>8.5456581881063123</v>
      </c>
      <c r="AO160" s="394">
        <f t="shared" si="204"/>
        <v>-1.0756531408173178</v>
      </c>
      <c r="AP160" s="97">
        <f t="shared" si="205"/>
        <v>-9.8641062122147876</v>
      </c>
      <c r="AQ160" s="24">
        <f t="shared" si="206"/>
        <v>-22.504106212214786</v>
      </c>
      <c r="AR160" s="25"/>
      <c r="AS160" s="284">
        <f>$H$160*月別販売比率!AG5</f>
        <v>15.8</v>
      </c>
      <c r="AT160" s="241">
        <v>30</v>
      </c>
      <c r="AU160" s="261">
        <f>$H$160*月別販売比率!AL5</f>
        <v>14.219999999999999</v>
      </c>
      <c r="AV160" s="21"/>
      <c r="AW160" s="261">
        <f>$H$160*月別販売比率!AQ5</f>
        <v>15.8</v>
      </c>
      <c r="AX160" s="21"/>
      <c r="AY160" s="261">
        <f>$H$160*月別販売比率!AV5</f>
        <v>9.6213113289236301</v>
      </c>
      <c r="AZ160" s="21"/>
      <c r="BA160" s="261">
        <f>$H$160*月別販売比率!BA5</f>
        <v>8.7884530713974698</v>
      </c>
      <c r="BB160" s="21"/>
      <c r="BC160" s="284">
        <f>$H$160*月別販売比率!BF5</f>
        <v>12.64</v>
      </c>
      <c r="BD160" s="241">
        <v>65</v>
      </c>
      <c r="BE160" s="261">
        <f>$H$160*月別販売比率!C21</f>
        <v>11.196551676302752</v>
      </c>
      <c r="BF160" s="21"/>
      <c r="BG160" s="261">
        <f>$H$160*月別販売比率!H21</f>
        <v>11.06</v>
      </c>
      <c r="BH160" s="21"/>
      <c r="BI160" s="284">
        <f>$H$160*月別販売比率!H21</f>
        <v>11.06</v>
      </c>
      <c r="BJ160" s="241"/>
      <c r="BK160" s="284">
        <f>$H$160*月別販売比率!R21</f>
        <v>12.64</v>
      </c>
      <c r="BL160" s="241">
        <v>60</v>
      </c>
      <c r="BM160" s="284">
        <f>$H$160*月別販売比率!W21</f>
        <v>12.034341811893682</v>
      </c>
      <c r="BN160" s="241"/>
      <c r="BO160" s="284">
        <f>$H$160*月別販売比率!AB21</f>
        <v>18.96</v>
      </c>
      <c r="BP160" s="241"/>
      <c r="BQ160" s="261">
        <f>$H$160*月別販売比率!AG21</f>
        <v>15.8</v>
      </c>
      <c r="BR160" s="21"/>
      <c r="BS160" s="261">
        <f>$H$160*月別販売比率!AL21</f>
        <v>14.219999999999999</v>
      </c>
      <c r="BT160" s="21"/>
      <c r="BU160" s="261">
        <f>$H$160*月別販売比率!AQ21</f>
        <v>15.8</v>
      </c>
      <c r="BV160" s="21"/>
      <c r="BW160" s="261">
        <f>$H$160*月別販売比率!AV21</f>
        <v>9.6213113289236301</v>
      </c>
      <c r="BX160" s="21"/>
      <c r="BY160" s="284">
        <f>$H$160*月別販売比率!BA21</f>
        <v>8.7884530713974698</v>
      </c>
      <c r="BZ160" s="241"/>
      <c r="CA160" s="261">
        <f>$H$160*月別販売比率!BF21</f>
        <v>12.64</v>
      </c>
      <c r="CB160" s="21"/>
      <c r="CC160" s="284">
        <f>H160*月別販売比率!$C$21</f>
        <v>11.196551676302752</v>
      </c>
      <c r="CD160" s="241">
        <v>7</v>
      </c>
      <c r="CE160" s="261">
        <f>H160*月別販売比率!$H$21</f>
        <v>11.06</v>
      </c>
      <c r="CF160" s="21"/>
      <c r="CG160" s="261">
        <f>H160*月別販売比率!$M$21</f>
        <v>15.968062881537332</v>
      </c>
      <c r="CH160" s="21"/>
      <c r="CI160" s="261">
        <f>H160*月別販売比率!$R$21</f>
        <v>12.64</v>
      </c>
      <c r="CJ160" s="21"/>
      <c r="CK160" s="261">
        <f>H160*月別販売比率!$W$21</f>
        <v>12.034341811893682</v>
      </c>
      <c r="CL160" s="21"/>
      <c r="CM160" s="261">
        <f>H160*月別販売比率!$AB$21</f>
        <v>18.96</v>
      </c>
      <c r="CN160" s="21"/>
      <c r="CO160" s="261">
        <f>H160*月別販売比率!$AG$21</f>
        <v>15.8</v>
      </c>
      <c r="CP160" s="21"/>
      <c r="CQ160" s="261">
        <f>H160*月別販売比率!$AL$21</f>
        <v>14.219999999999999</v>
      </c>
      <c r="CR160" s="21"/>
      <c r="CS160" s="41">
        <f>H160*月別販売比率!$AQ$21</f>
        <v>15.8</v>
      </c>
      <c r="CT160" s="21"/>
      <c r="CU160" s="261">
        <f>H160*月別販売比率!$AV$21</f>
        <v>9.6213113289236301</v>
      </c>
      <c r="CV160" s="21"/>
      <c r="CW160" s="261">
        <f>H160*月別販売比率!$BA$21</f>
        <v>8.7884530713974698</v>
      </c>
      <c r="CX160" s="21"/>
      <c r="CY160" s="261">
        <f>H160*月別販売比率!$BF$21</f>
        <v>12.64</v>
      </c>
      <c r="CZ160" s="21"/>
      <c r="DA160" s="28"/>
      <c r="DB160" s="294"/>
    </row>
    <row r="161" spans="2:106" ht="30.75" customHeight="1">
      <c r="C161" s="438"/>
      <c r="D161" s="441"/>
      <c r="E161" s="94" t="s">
        <v>47</v>
      </c>
      <c r="F161" s="57">
        <v>154</v>
      </c>
      <c r="G161" s="46">
        <f t="shared" si="198"/>
        <v>559020</v>
      </c>
      <c r="H161" s="57">
        <f>F161*($H$155/$F$155)</f>
        <v>154</v>
      </c>
      <c r="I161" s="46">
        <f t="shared" si="199"/>
        <v>559020</v>
      </c>
      <c r="J161" s="9">
        <v>-10</v>
      </c>
      <c r="K161" s="21">
        <f t="shared" si="207"/>
        <v>120</v>
      </c>
      <c r="L161" s="21">
        <v>69</v>
      </c>
      <c r="M161" s="262"/>
      <c r="N161" s="42">
        <v>51</v>
      </c>
      <c r="O161" s="19"/>
      <c r="P161" s="19"/>
      <c r="Q161" s="124"/>
      <c r="R161" s="124"/>
      <c r="S161" s="124"/>
      <c r="T161" s="124"/>
      <c r="U161" s="124"/>
      <c r="V161" s="124"/>
      <c r="W161" s="124"/>
      <c r="X161" s="124"/>
      <c r="Y161" s="124"/>
      <c r="Z161" s="124"/>
      <c r="AA161" s="124"/>
      <c r="AB161" s="124"/>
      <c r="AC161" s="124"/>
      <c r="AD161" s="124"/>
      <c r="AE161" s="124"/>
      <c r="AF161" s="124"/>
      <c r="AG161" s="124"/>
      <c r="AH161" s="124"/>
      <c r="AI161" s="129">
        <f t="shared" si="208"/>
        <v>97.68</v>
      </c>
      <c r="AJ161" s="129">
        <f t="shared" si="209"/>
        <v>85.950325069420089</v>
      </c>
      <c r="AK161" s="129">
        <f t="shared" si="200"/>
        <v>67.470325069420085</v>
      </c>
      <c r="AL161" s="399">
        <f t="shared" si="201"/>
        <v>52.070325069420086</v>
      </c>
      <c r="AM161" s="393">
        <f t="shared" si="202"/>
        <v>38.210325069420087</v>
      </c>
      <c r="AN161" s="393">
        <f t="shared" si="203"/>
        <v>22.810325069420088</v>
      </c>
      <c r="AO161" s="393">
        <f t="shared" si="204"/>
        <v>13.432591242494524</v>
      </c>
      <c r="AP161" s="96">
        <f t="shared" si="205"/>
        <v>4.8666306539172428</v>
      </c>
      <c r="AQ161" s="91">
        <f t="shared" si="206"/>
        <v>-7.4533693460827575</v>
      </c>
      <c r="AR161" s="198"/>
      <c r="AS161" s="245">
        <f>$H$161*月別販売比率!AG5</f>
        <v>15.4</v>
      </c>
      <c r="AT161" s="241">
        <v>35</v>
      </c>
      <c r="AU161" s="81">
        <f>$H$161*月別販売比率!AL5</f>
        <v>13.86</v>
      </c>
      <c r="AV161" s="21"/>
      <c r="AW161" s="81">
        <f>$H$161*月別販売比率!AQ5</f>
        <v>15.4</v>
      </c>
      <c r="AX161" s="21"/>
      <c r="AY161" s="81">
        <f>$H$161*月別販売比率!AV5</f>
        <v>9.3777338269255637</v>
      </c>
      <c r="AZ161" s="21"/>
      <c r="BA161" s="81">
        <f>$H$161*月別販売比率!BA5</f>
        <v>8.5659605885772816</v>
      </c>
      <c r="BB161" s="21"/>
      <c r="BC161" s="245">
        <f>$H$161*月別販売比率!BF5</f>
        <v>12.32</v>
      </c>
      <c r="BD161" s="241">
        <v>65</v>
      </c>
      <c r="BE161" s="81">
        <f>$H$161*月別販売比率!C21</f>
        <v>10.91309467183939</v>
      </c>
      <c r="BF161" s="21"/>
      <c r="BG161" s="81">
        <f>$H$161*月別販売比率!H21</f>
        <v>10.780000000000001</v>
      </c>
      <c r="BH161" s="21"/>
      <c r="BI161" s="245">
        <f>$H$161*月別販売比率!H21</f>
        <v>10.780000000000001</v>
      </c>
      <c r="BJ161" s="241"/>
      <c r="BK161" s="245">
        <f>$H$161*月別販売比率!R21</f>
        <v>12.32</v>
      </c>
      <c r="BL161" s="241">
        <v>65</v>
      </c>
      <c r="BM161" s="245">
        <f>$H$161*月別販売比率!W21</f>
        <v>11.729674930579918</v>
      </c>
      <c r="BN161" s="241"/>
      <c r="BO161" s="245">
        <f>$H$161*月別販売比率!AB21</f>
        <v>18.48</v>
      </c>
      <c r="BP161" s="241"/>
      <c r="BQ161" s="81">
        <f>$H$161*月別販売比率!AG21</f>
        <v>15.4</v>
      </c>
      <c r="BR161" s="21"/>
      <c r="BS161" s="81">
        <f>$H$161*月別販売比率!AL21</f>
        <v>13.86</v>
      </c>
      <c r="BT161" s="21"/>
      <c r="BU161" s="81">
        <f>$H$161*月別販売比率!AQ21</f>
        <v>15.4</v>
      </c>
      <c r="BV161" s="21"/>
      <c r="BW161" s="81">
        <f>$H$161*月別販売比率!AV21</f>
        <v>9.3777338269255637</v>
      </c>
      <c r="BX161" s="21"/>
      <c r="BY161" s="245">
        <f>$H$161*月別販売比率!BA21</f>
        <v>8.5659605885772816</v>
      </c>
      <c r="BZ161" s="241">
        <v>47</v>
      </c>
      <c r="CA161" s="81">
        <f>$H$161*月別販売比率!BF21</f>
        <v>12.32</v>
      </c>
      <c r="CB161" s="21"/>
      <c r="CC161" s="245">
        <f>H161*月別販売比率!$C$21</f>
        <v>10.91309467183939</v>
      </c>
      <c r="CD161" s="241">
        <v>7</v>
      </c>
      <c r="CE161" s="81">
        <f>H161*月別販売比率!$H$21</f>
        <v>10.780000000000001</v>
      </c>
      <c r="CF161" s="21"/>
      <c r="CG161" s="81">
        <f>H161*月別販売比率!$M$21</f>
        <v>15.563808125042716</v>
      </c>
      <c r="CH161" s="21"/>
      <c r="CI161" s="81">
        <f>H161*月別販売比率!$R$21</f>
        <v>12.32</v>
      </c>
      <c r="CJ161" s="21"/>
      <c r="CK161" s="81">
        <f>H161*月別販売比率!$W$21</f>
        <v>11.729674930579918</v>
      </c>
      <c r="CL161" s="21"/>
      <c r="CM161" s="81">
        <f>H161*月別販売比率!$AB$21</f>
        <v>18.48</v>
      </c>
      <c r="CN161" s="21"/>
      <c r="CO161" s="81">
        <f>H161*月別販売比率!$AG$21</f>
        <v>15.4</v>
      </c>
      <c r="CP161" s="21"/>
      <c r="CQ161" s="81">
        <f>H161*月別販売比率!$AL$21</f>
        <v>13.86</v>
      </c>
      <c r="CR161" s="21"/>
      <c r="CS161" s="41">
        <f>H161*月別販売比率!$AQ$21</f>
        <v>15.4</v>
      </c>
      <c r="CT161" s="21"/>
      <c r="CU161" s="81">
        <f>H161*月別販売比率!$AV$21</f>
        <v>9.3777338269255637</v>
      </c>
      <c r="CV161" s="21"/>
      <c r="CW161" s="81">
        <f>H161*月別販売比率!$BA$21</f>
        <v>8.5659605885772816</v>
      </c>
      <c r="CX161" s="21"/>
      <c r="CY161" s="81">
        <f>H161*月別販売比率!$BF$21</f>
        <v>12.32</v>
      </c>
      <c r="CZ161" s="21"/>
      <c r="DA161" s="28"/>
      <c r="DB161" s="294"/>
    </row>
    <row r="162" spans="2:106" ht="30.75" customHeight="1">
      <c r="C162" s="438"/>
      <c r="D162" s="441"/>
      <c r="E162" s="94" t="s">
        <v>51</v>
      </c>
      <c r="F162" s="57">
        <v>103</v>
      </c>
      <c r="G162" s="46">
        <f t="shared" si="198"/>
        <v>373890</v>
      </c>
      <c r="H162" s="57">
        <f>F162*($H$155/$F$155)</f>
        <v>103</v>
      </c>
      <c r="I162" s="46">
        <f t="shared" si="199"/>
        <v>373890</v>
      </c>
      <c r="J162" s="9">
        <v>3</v>
      </c>
      <c r="K162" s="21">
        <f t="shared" si="207"/>
        <v>65</v>
      </c>
      <c r="L162" s="21">
        <v>55</v>
      </c>
      <c r="M162" s="262"/>
      <c r="N162" s="42">
        <v>10</v>
      </c>
      <c r="O162" s="19"/>
      <c r="P162" s="19"/>
      <c r="Q162" s="124"/>
      <c r="R162" s="124"/>
      <c r="S162" s="124"/>
      <c r="T162" s="124"/>
      <c r="U162" s="124"/>
      <c r="V162" s="124"/>
      <c r="W162" s="124"/>
      <c r="X162" s="124"/>
      <c r="Y162" s="124"/>
      <c r="Z162" s="124"/>
      <c r="AA162" s="124"/>
      <c r="AB162" s="124"/>
      <c r="AC162" s="124"/>
      <c r="AD162" s="124"/>
      <c r="AE162" s="124"/>
      <c r="AF162" s="124"/>
      <c r="AG162" s="124"/>
      <c r="AH162" s="124"/>
      <c r="AI162" s="129">
        <f t="shared" si="208"/>
        <v>59.76</v>
      </c>
      <c r="AJ162" s="129">
        <f t="shared" si="209"/>
        <v>51.914827806170571</v>
      </c>
      <c r="AK162" s="129">
        <f t="shared" si="200"/>
        <v>39.554827806170572</v>
      </c>
      <c r="AL162" s="399">
        <f t="shared" si="201"/>
        <v>29.254827806170571</v>
      </c>
      <c r="AM162" s="393">
        <f t="shared" si="202"/>
        <v>19.984827806170571</v>
      </c>
      <c r="AN162" s="393">
        <f t="shared" si="203"/>
        <v>9.6848278061705706</v>
      </c>
      <c r="AO162" s="393">
        <f t="shared" si="204"/>
        <v>3.4127071297203564</v>
      </c>
      <c r="AP162" s="96">
        <f t="shared" si="205"/>
        <v>-2.3164743028995138</v>
      </c>
      <c r="AQ162" s="91">
        <f t="shared" si="206"/>
        <v>-10.556474302899513</v>
      </c>
      <c r="AR162" s="198"/>
      <c r="AS162" s="245">
        <f>$H$162*月別販売比率!AG5</f>
        <v>10.3</v>
      </c>
      <c r="AT162" s="241">
        <v>35</v>
      </c>
      <c r="AU162" s="81">
        <f>$H$162*月別販売比率!AL5</f>
        <v>9.27</v>
      </c>
      <c r="AV162" s="21"/>
      <c r="AW162" s="81">
        <f>$H$162*月別販売比率!AQ5</f>
        <v>10.3</v>
      </c>
      <c r="AX162" s="39"/>
      <c r="AY162" s="81">
        <f>$H$162*月別販売比率!AV5</f>
        <v>6.2721206764502142</v>
      </c>
      <c r="AZ162" s="39"/>
      <c r="BA162" s="81">
        <f>$H$162*月別販売比率!BA5</f>
        <v>5.7291814326198702</v>
      </c>
      <c r="BB162" s="39"/>
      <c r="BC162" s="245">
        <f>$H$162*月別販売比率!BF5</f>
        <v>8.24</v>
      </c>
      <c r="BD162" s="280">
        <v>30</v>
      </c>
      <c r="BE162" s="81">
        <f>$H$162*月別販売比率!C21</f>
        <v>7.2990178649315407</v>
      </c>
      <c r="BF162" s="39"/>
      <c r="BG162" s="81">
        <f>$H$162*月別販売比率!H21</f>
        <v>7.2100000000000009</v>
      </c>
      <c r="BH162" s="39"/>
      <c r="BI162" s="245">
        <f>$H$162*月別販売比率!H21</f>
        <v>7.2100000000000009</v>
      </c>
      <c r="BJ162" s="280"/>
      <c r="BK162" s="245">
        <f>$H$162*月別販売比率!R21</f>
        <v>8.24</v>
      </c>
      <c r="BL162" s="280">
        <v>45</v>
      </c>
      <c r="BM162" s="245">
        <f>$H$162*月別販売比率!W21</f>
        <v>7.8451721938294261</v>
      </c>
      <c r="BN162" s="280"/>
      <c r="BO162" s="245">
        <f>$H$162*月別販売比率!AB21</f>
        <v>12.36</v>
      </c>
      <c r="BP162" s="280"/>
      <c r="BQ162" s="81">
        <f>$H$162*月別販売比率!AG21</f>
        <v>10.3</v>
      </c>
      <c r="BR162" s="39"/>
      <c r="BS162" s="81">
        <f>$H$162*月別販売比率!AL21</f>
        <v>9.27</v>
      </c>
      <c r="BT162" s="39"/>
      <c r="BU162" s="81">
        <f>$H$162*月別販売比率!AQ21</f>
        <v>10.3</v>
      </c>
      <c r="BV162" s="39"/>
      <c r="BW162" s="81">
        <f>$H$162*月別販売比率!AV21</f>
        <v>6.2721206764502142</v>
      </c>
      <c r="BX162" s="39"/>
      <c r="BY162" s="245">
        <f>$H$162*月別販売比率!BA21</f>
        <v>5.7291814326198702</v>
      </c>
      <c r="BZ162" s="280">
        <v>17</v>
      </c>
      <c r="CA162" s="81">
        <f>$H$162*月別販売比率!BF21</f>
        <v>8.24</v>
      </c>
      <c r="CB162" s="39"/>
      <c r="CC162" s="245">
        <f>H162*月別販売比率!$C$21</f>
        <v>7.2990178649315407</v>
      </c>
      <c r="CD162" s="280">
        <v>7</v>
      </c>
      <c r="CE162" s="81">
        <f>H162*月別販売比率!$H$21</f>
        <v>7.2100000000000009</v>
      </c>
      <c r="CF162" s="39"/>
      <c r="CG162" s="81">
        <f>H162*月別販売比率!$M$21</f>
        <v>10.409559979736363</v>
      </c>
      <c r="CH162" s="39"/>
      <c r="CI162" s="81">
        <f>H162*月別販売比率!$R$21</f>
        <v>8.24</v>
      </c>
      <c r="CJ162" s="39"/>
      <c r="CK162" s="81">
        <f>H162*月別販売比率!$W$21</f>
        <v>7.8451721938294261</v>
      </c>
      <c r="CL162" s="39"/>
      <c r="CM162" s="81">
        <f>H162*月別販売比率!$AB$21</f>
        <v>12.36</v>
      </c>
      <c r="CN162" s="39"/>
      <c r="CO162" s="81">
        <f>H162*月別販売比率!$AG$21</f>
        <v>10.3</v>
      </c>
      <c r="CP162" s="39"/>
      <c r="CQ162" s="81">
        <f>H162*月別販売比率!$AL$21</f>
        <v>9.27</v>
      </c>
      <c r="CR162" s="39"/>
      <c r="CS162" s="41">
        <f>H162*月別販売比率!$AQ$21</f>
        <v>10.3</v>
      </c>
      <c r="CT162" s="39"/>
      <c r="CU162" s="81">
        <f>H162*月別販売比率!$AV$21</f>
        <v>6.2721206764502142</v>
      </c>
      <c r="CV162" s="39"/>
      <c r="CW162" s="81">
        <f>H162*月別販売比率!$BA$21</f>
        <v>5.7291814326198702</v>
      </c>
      <c r="CX162" s="39"/>
      <c r="CY162" s="81">
        <f>H162*月別販売比率!$BF$21</f>
        <v>8.24</v>
      </c>
      <c r="CZ162" s="39"/>
      <c r="DA162" s="50"/>
      <c r="DB162" s="295"/>
    </row>
    <row r="163" spans="2:106" ht="30.75" customHeight="1">
      <c r="C163" s="438"/>
      <c r="D163" s="441"/>
      <c r="E163" s="119" t="s">
        <v>49</v>
      </c>
      <c r="F163" s="126">
        <v>37</v>
      </c>
      <c r="G163" s="53">
        <f t="shared" si="198"/>
        <v>134310</v>
      </c>
      <c r="H163" s="126">
        <f>F163*($H$155/$F$155)</f>
        <v>37</v>
      </c>
      <c r="I163" s="53">
        <f t="shared" si="199"/>
        <v>134310</v>
      </c>
      <c r="J163" s="127">
        <v>7</v>
      </c>
      <c r="K163" s="103">
        <f t="shared" si="207"/>
        <v>57</v>
      </c>
      <c r="L163" s="103">
        <v>51</v>
      </c>
      <c r="M163" s="114"/>
      <c r="N163" s="117">
        <v>6</v>
      </c>
      <c r="O163" s="123"/>
      <c r="P163" s="123"/>
      <c r="Q163" s="238"/>
      <c r="R163" s="238"/>
      <c r="S163" s="238"/>
      <c r="T163" s="238"/>
      <c r="U163" s="238"/>
      <c r="V163" s="238"/>
      <c r="W163" s="238"/>
      <c r="X163" s="238"/>
      <c r="Y163" s="238"/>
      <c r="Z163" s="238"/>
      <c r="AA163" s="238"/>
      <c r="AB163" s="238"/>
      <c r="AC163" s="238"/>
      <c r="AD163" s="238"/>
      <c r="AE163" s="238"/>
      <c r="AF163" s="238"/>
      <c r="AG163" s="238"/>
      <c r="AH163" s="238"/>
      <c r="AI163" s="238">
        <f t="shared" si="208"/>
        <v>61.04</v>
      </c>
      <c r="AJ163" s="238">
        <f t="shared" si="209"/>
        <v>58.221831347847683</v>
      </c>
      <c r="AK163" s="238">
        <f t="shared" si="200"/>
        <v>53.781831347847685</v>
      </c>
      <c r="AL163" s="401">
        <f t="shared" si="201"/>
        <v>50.081831347847682</v>
      </c>
      <c r="AM163" s="395">
        <f t="shared" si="202"/>
        <v>46.751831347847684</v>
      </c>
      <c r="AN163" s="395">
        <f t="shared" si="203"/>
        <v>43.051831347847681</v>
      </c>
      <c r="AO163" s="395">
        <f t="shared" si="204"/>
        <v>40.798739454365567</v>
      </c>
      <c r="AP163" s="403">
        <f t="shared" si="205"/>
        <v>38.740683988278818</v>
      </c>
      <c r="AQ163" s="90">
        <f t="shared" si="206"/>
        <v>35.780683988278817</v>
      </c>
      <c r="AR163" s="238"/>
      <c r="AS163" s="301">
        <f>$H$163*月別販売比率!AG5</f>
        <v>3.7</v>
      </c>
      <c r="AT163" s="302">
        <v>30</v>
      </c>
      <c r="AU163" s="282">
        <f>$H$163*月別販売比率!AL5</f>
        <v>3.33</v>
      </c>
      <c r="AV163" s="117"/>
      <c r="AW163" s="282">
        <f>$H$163*月別販売比率!AQ5</f>
        <v>3.7</v>
      </c>
      <c r="AX163" s="104"/>
      <c r="AY163" s="282">
        <f>$H$163*月別販売比率!AV5</f>
        <v>2.2530918934821158</v>
      </c>
      <c r="AZ163" s="104"/>
      <c r="BA163" s="282">
        <f>$H$163*月別販売比率!BA5</f>
        <v>2.0580554660867496</v>
      </c>
      <c r="BB163" s="104"/>
      <c r="BC163" s="301">
        <f>$H$163*月別販売比率!BF5</f>
        <v>2.96</v>
      </c>
      <c r="BD163" s="339"/>
      <c r="BE163" s="282">
        <f>$H$163*月別販売比率!C21</f>
        <v>2.6219772912860875</v>
      </c>
      <c r="BF163" s="104"/>
      <c r="BG163" s="282">
        <f>$H$163*月別販売比率!H21</f>
        <v>2.5900000000000003</v>
      </c>
      <c r="BH163" s="104"/>
      <c r="BI163" s="301">
        <f>$H$163*月別販売比率!H21</f>
        <v>2.5900000000000003</v>
      </c>
      <c r="BJ163" s="339"/>
      <c r="BK163" s="301">
        <f>$H$163*月別販売比率!R21</f>
        <v>2.96</v>
      </c>
      <c r="BL163" s="339"/>
      <c r="BM163" s="301">
        <f>$H$163*月別販売比率!W21</f>
        <v>2.8181686521523184</v>
      </c>
      <c r="BN163" s="339"/>
      <c r="BO163" s="301">
        <f>$H$163*月別販売比率!AB21</f>
        <v>4.4399999999999995</v>
      </c>
      <c r="BP163" s="339"/>
      <c r="BQ163" s="282">
        <f>$H$163*月別販売比率!AG21</f>
        <v>3.7</v>
      </c>
      <c r="BR163" s="104"/>
      <c r="BS163" s="282">
        <f>$H$163*月別販売比率!AL21</f>
        <v>3.33</v>
      </c>
      <c r="BT163" s="104"/>
      <c r="BU163" s="282">
        <f>$H$163*月別販売比率!AQ21</f>
        <v>3.7</v>
      </c>
      <c r="BV163" s="104"/>
      <c r="BW163" s="282">
        <f>$H$163*月別販売比率!AV21</f>
        <v>2.2530918934821158</v>
      </c>
      <c r="BX163" s="104"/>
      <c r="BY163" s="301">
        <f>$H$163*月別販売比率!BA21</f>
        <v>2.0580554660867496</v>
      </c>
      <c r="BZ163" s="339">
        <v>17</v>
      </c>
      <c r="CA163" s="282">
        <f>$H$163*月別販売比率!BF21</f>
        <v>2.96</v>
      </c>
      <c r="CB163" s="104"/>
      <c r="CC163" s="301">
        <f>H163*月別販売比率!$C$21</f>
        <v>2.6219772912860875</v>
      </c>
      <c r="CD163" s="339"/>
      <c r="CE163" s="282">
        <f>H163*月別販売比率!$H$21</f>
        <v>2.5900000000000003</v>
      </c>
      <c r="CF163" s="104"/>
      <c r="CG163" s="282">
        <f>H163*月別販売比率!$M$21</f>
        <v>3.7393564975751983</v>
      </c>
      <c r="CH163" s="104"/>
      <c r="CI163" s="282">
        <f>H163*月別販売比率!$R$21</f>
        <v>2.96</v>
      </c>
      <c r="CJ163" s="104"/>
      <c r="CK163" s="282">
        <f>H163*月別販売比率!$W$21</f>
        <v>2.8181686521523184</v>
      </c>
      <c r="CL163" s="104"/>
      <c r="CM163" s="282">
        <f>H163*月別販売比率!$AB$21</f>
        <v>4.4399999999999995</v>
      </c>
      <c r="CN163" s="104"/>
      <c r="CO163" s="282">
        <f>H163*月別販売比率!$AG$21</f>
        <v>3.7</v>
      </c>
      <c r="CP163" s="104"/>
      <c r="CQ163" s="282">
        <f>H163*月別販売比率!$AL$21</f>
        <v>3.33</v>
      </c>
      <c r="CR163" s="104"/>
      <c r="CS163" s="41">
        <f>H163*月別販売比率!$AQ$21</f>
        <v>3.7</v>
      </c>
      <c r="CT163" s="104"/>
      <c r="CU163" s="282">
        <f>H163*月別販売比率!$AV$21</f>
        <v>2.2530918934821158</v>
      </c>
      <c r="CV163" s="104"/>
      <c r="CW163" s="282">
        <f>H163*月別販売比率!$BA$21</f>
        <v>2.0580554660867496</v>
      </c>
      <c r="CX163" s="104"/>
      <c r="CY163" s="282">
        <f>H163*月別販売比率!$BF$21</f>
        <v>2.96</v>
      </c>
      <c r="CZ163" s="104"/>
      <c r="DA163" s="296"/>
      <c r="DB163" s="297"/>
    </row>
    <row r="164" spans="2:106" ht="30.75" customHeight="1">
      <c r="B164" s="2">
        <v>14</v>
      </c>
      <c r="C164" s="435" t="s">
        <v>491</v>
      </c>
      <c r="D164" s="436"/>
      <c r="E164" s="445"/>
      <c r="F164" s="130">
        <f>SUM(F165:F170)</f>
        <v>614</v>
      </c>
      <c r="G164" s="131">
        <f>SUM(G165:G170)</f>
        <v>4187480</v>
      </c>
      <c r="H164" s="165">
        <v>615</v>
      </c>
      <c r="I164" s="131">
        <f t="shared" ref="I164:N164" si="210">SUM(I165:I170)</f>
        <v>5183200</v>
      </c>
      <c r="J164" s="147">
        <f t="shared" si="210"/>
        <v>65</v>
      </c>
      <c r="K164" s="148">
        <f t="shared" si="210"/>
        <v>155</v>
      </c>
      <c r="L164" s="148">
        <f t="shared" si="210"/>
        <v>60</v>
      </c>
      <c r="M164" s="148">
        <f t="shared" si="210"/>
        <v>55</v>
      </c>
      <c r="N164" s="149">
        <f t="shared" si="210"/>
        <v>0</v>
      </c>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6">
        <f t="shared" ref="AS164:CZ164" si="211">SUM(AS165:AS170)</f>
        <v>60.8</v>
      </c>
      <c r="AT164" s="134">
        <f t="shared" si="211"/>
        <v>0</v>
      </c>
      <c r="AU164" s="136">
        <f t="shared" si="211"/>
        <v>38.301981978382045</v>
      </c>
      <c r="AV164" s="134">
        <f t="shared" si="211"/>
        <v>0</v>
      </c>
      <c r="AW164" s="136">
        <f t="shared" si="211"/>
        <v>42.67701944017103</v>
      </c>
      <c r="AX164" s="134">
        <f t="shared" si="211"/>
        <v>0</v>
      </c>
      <c r="AY164" s="136">
        <f t="shared" si="211"/>
        <v>30.4</v>
      </c>
      <c r="AZ164" s="134">
        <f t="shared" si="211"/>
        <v>0</v>
      </c>
      <c r="BA164" s="136">
        <f t="shared" si="211"/>
        <v>22.8</v>
      </c>
      <c r="BB164" s="134">
        <f t="shared" si="211"/>
        <v>0</v>
      </c>
      <c r="BC164" s="136">
        <f t="shared" si="211"/>
        <v>37.926165311382398</v>
      </c>
      <c r="BD164" s="134">
        <f t="shared" si="211"/>
        <v>0</v>
      </c>
      <c r="BE164" s="136">
        <f t="shared" si="211"/>
        <v>53.2</v>
      </c>
      <c r="BF164" s="134">
        <f t="shared" si="211"/>
        <v>0</v>
      </c>
      <c r="BG164" s="136">
        <f t="shared" si="211"/>
        <v>60.8</v>
      </c>
      <c r="BH164" s="134">
        <f t="shared" si="211"/>
        <v>0</v>
      </c>
      <c r="BI164" s="136">
        <f t="shared" si="211"/>
        <v>106.4</v>
      </c>
      <c r="BJ164" s="134">
        <f t="shared" si="211"/>
        <v>0</v>
      </c>
      <c r="BK164" s="136">
        <f t="shared" si="211"/>
        <v>136.79999999999998</v>
      </c>
      <c r="BL164" s="134">
        <f t="shared" si="211"/>
        <v>0</v>
      </c>
      <c r="BM164" s="136">
        <f t="shared" si="211"/>
        <v>76</v>
      </c>
      <c r="BN164" s="134">
        <f t="shared" si="211"/>
        <v>0</v>
      </c>
      <c r="BO164" s="136">
        <f t="shared" si="211"/>
        <v>91.2</v>
      </c>
      <c r="BP164" s="134">
        <f t="shared" si="211"/>
        <v>0</v>
      </c>
      <c r="BQ164" s="136">
        <f t="shared" si="211"/>
        <v>60.8</v>
      </c>
      <c r="BR164" s="134">
        <f t="shared" si="211"/>
        <v>300</v>
      </c>
      <c r="BS164" s="136">
        <f t="shared" si="211"/>
        <v>38.301981978382045</v>
      </c>
      <c r="BT164" s="134">
        <f t="shared" si="211"/>
        <v>0</v>
      </c>
      <c r="BU164" s="136">
        <f t="shared" si="211"/>
        <v>42.67701944017103</v>
      </c>
      <c r="BV164" s="134">
        <f t="shared" si="211"/>
        <v>300</v>
      </c>
      <c r="BW164" s="136">
        <f t="shared" si="211"/>
        <v>30.4</v>
      </c>
      <c r="BX164" s="134">
        <f t="shared" si="211"/>
        <v>0</v>
      </c>
      <c r="BY164" s="136">
        <f t="shared" si="211"/>
        <v>22.8</v>
      </c>
      <c r="BZ164" s="134">
        <f t="shared" si="211"/>
        <v>0</v>
      </c>
      <c r="CA164" s="136">
        <f t="shared" si="211"/>
        <v>37.926165311382398</v>
      </c>
      <c r="CB164" s="134">
        <f t="shared" si="211"/>
        <v>0</v>
      </c>
      <c r="CC164" s="136">
        <f t="shared" si="211"/>
        <v>53.2</v>
      </c>
      <c r="CD164" s="134">
        <f t="shared" si="211"/>
        <v>0</v>
      </c>
      <c r="CE164" s="136">
        <f t="shared" si="211"/>
        <v>60.8</v>
      </c>
      <c r="CF164" s="134">
        <f t="shared" si="211"/>
        <v>0</v>
      </c>
      <c r="CG164" s="136">
        <f t="shared" si="211"/>
        <v>106.4</v>
      </c>
      <c r="CH164" s="134">
        <f t="shared" si="211"/>
        <v>0</v>
      </c>
      <c r="CI164" s="136">
        <f t="shared" si="211"/>
        <v>11.7</v>
      </c>
      <c r="CJ164" s="134">
        <f t="shared" si="211"/>
        <v>0</v>
      </c>
      <c r="CK164" s="136">
        <f t="shared" si="211"/>
        <v>76</v>
      </c>
      <c r="CL164" s="134">
        <f t="shared" si="211"/>
        <v>0</v>
      </c>
      <c r="CM164" s="136">
        <f t="shared" si="211"/>
        <v>91.2</v>
      </c>
      <c r="CN164" s="134">
        <f t="shared" si="211"/>
        <v>300</v>
      </c>
      <c r="CO164" s="136">
        <f t="shared" si="211"/>
        <v>60.8</v>
      </c>
      <c r="CP164" s="134">
        <f t="shared" si="211"/>
        <v>300</v>
      </c>
      <c r="CQ164" s="136">
        <f t="shared" si="211"/>
        <v>38.301981978382045</v>
      </c>
      <c r="CR164" s="134">
        <f t="shared" si="211"/>
        <v>0</v>
      </c>
      <c r="CS164" s="136">
        <f t="shared" si="211"/>
        <v>42.67701944017103</v>
      </c>
      <c r="CT164" s="134">
        <f t="shared" si="211"/>
        <v>0</v>
      </c>
      <c r="CU164" s="136">
        <v>30.4</v>
      </c>
      <c r="CV164" s="134">
        <f t="shared" si="211"/>
        <v>0</v>
      </c>
      <c r="CW164" s="136">
        <f t="shared" si="211"/>
        <v>22.8</v>
      </c>
      <c r="CX164" s="134">
        <f t="shared" si="211"/>
        <v>0</v>
      </c>
      <c r="CY164" s="136">
        <f t="shared" si="211"/>
        <v>37.926165311382398</v>
      </c>
      <c r="CZ164" s="134">
        <f t="shared" si="211"/>
        <v>0</v>
      </c>
      <c r="DA164" s="141"/>
      <c r="DB164" s="293"/>
    </row>
    <row r="165" spans="2:106" ht="30.75" customHeight="1">
      <c r="C165" s="446" t="s">
        <v>481</v>
      </c>
      <c r="D165" s="443">
        <v>1</v>
      </c>
      <c r="E165" s="99" t="s">
        <v>46</v>
      </c>
      <c r="F165" s="56">
        <v>67</v>
      </c>
      <c r="G165" s="46">
        <f>F165*6820</f>
        <v>456940</v>
      </c>
      <c r="H165" s="56">
        <v>110</v>
      </c>
      <c r="I165" s="46">
        <f>H165*6820</f>
        <v>750200</v>
      </c>
      <c r="J165" s="49">
        <v>40</v>
      </c>
      <c r="K165" s="39">
        <v>62</v>
      </c>
      <c r="L165" s="39">
        <v>13</v>
      </c>
      <c r="M165" s="39">
        <v>15</v>
      </c>
      <c r="N165" s="42"/>
      <c r="O165" s="19"/>
      <c r="P165" s="19"/>
      <c r="Q165" s="124"/>
      <c r="R165" s="124"/>
      <c r="S165" s="124"/>
      <c r="T165" s="124"/>
      <c r="U165" s="124"/>
      <c r="V165" s="124"/>
      <c r="W165" s="124"/>
      <c r="X165" s="124"/>
      <c r="Y165" s="124"/>
      <c r="Z165" s="124"/>
      <c r="AA165" s="124"/>
      <c r="AB165" s="124"/>
      <c r="AC165" s="124"/>
      <c r="AD165" s="124"/>
      <c r="AE165" s="124"/>
      <c r="AF165" s="124"/>
      <c r="AG165" s="124"/>
      <c r="AH165" s="124"/>
      <c r="AI165" s="129">
        <f t="shared" ref="AI165:AI170" si="212">SUM(J165:K165)-CI165+CJ165</f>
        <v>94.8</v>
      </c>
      <c r="AJ165" s="129">
        <f t="shared" ref="AJ165:AJ170" si="213">AI165-CK165+CL165</f>
        <v>83.8</v>
      </c>
      <c r="AK165" s="129">
        <f t="shared" ref="AK165:AK169" si="214">AJ165-CM165+CN165</f>
        <v>85.6</v>
      </c>
      <c r="AL165" s="399">
        <f t="shared" ref="AL165:AL170" si="215">AK165-CO165+CP165</f>
        <v>91.8</v>
      </c>
      <c r="AM165" s="393">
        <f t="shared" ref="AM165:AM170" si="216">AL165-CQ165+CR165</f>
        <v>86.256292082076286</v>
      </c>
      <c r="AN165" s="393">
        <f t="shared" ref="AN165:AN170" si="217">AM165-CS165+CT165</f>
        <v>80.079355057840999</v>
      </c>
      <c r="AO165" s="393">
        <f t="shared" ref="AO165:AO170" si="218">AN165-CU165+CV165</f>
        <v>75.679355057840993</v>
      </c>
      <c r="AP165" s="96">
        <f t="shared" ref="AP165:AP170" si="219">AO165-CW165+CX165</f>
        <v>72.379355057840996</v>
      </c>
      <c r="AQ165" s="91">
        <f t="shared" ref="AQ165:AQ170" si="220">AP165-CY165+CZ165</f>
        <v>66.890041657509329</v>
      </c>
      <c r="AR165" s="198"/>
      <c r="AS165" s="81">
        <f>$H$165*月別販売比率!AG25</f>
        <v>8.8000000000000007</v>
      </c>
      <c r="AT165" s="39"/>
      <c r="AU165" s="81">
        <f>$H$165*月別販売比率!AL25</f>
        <v>5.5437079179237179</v>
      </c>
      <c r="AV165" s="39"/>
      <c r="AW165" s="81">
        <f>$H$165*月別販売比率!AQ25</f>
        <v>6.1769370242352801</v>
      </c>
      <c r="AX165" s="39"/>
      <c r="AY165" s="81">
        <f>$H$165*月別販売比率!AV25</f>
        <v>4.4000000000000004</v>
      </c>
      <c r="AZ165" s="39"/>
      <c r="BA165" s="81">
        <f>$H$165*月別販売比率!BA25</f>
        <v>3.3</v>
      </c>
      <c r="BB165" s="39"/>
      <c r="BC165" s="81">
        <f>$H$165*月別販売比率!BF25</f>
        <v>5.4893134003316622</v>
      </c>
      <c r="BD165" s="39"/>
      <c r="BE165" s="81">
        <f>$H$165*月別販売比率!C25</f>
        <v>7.7000000000000011</v>
      </c>
      <c r="BF165" s="39"/>
      <c r="BG165" s="81">
        <f>$H$165*月別販売比率!H25</f>
        <v>8.8000000000000007</v>
      </c>
      <c r="BH165" s="39"/>
      <c r="BI165" s="81">
        <f>$H$165*月別販売比率!M25</f>
        <v>15.400000000000002</v>
      </c>
      <c r="BJ165" s="39"/>
      <c r="BK165" s="81">
        <f>$H$165*月別販売比率!R25</f>
        <v>19.8</v>
      </c>
      <c r="BL165" s="39"/>
      <c r="BM165" s="81">
        <f>$H$165*月別販売比率!W25</f>
        <v>11</v>
      </c>
      <c r="BN165" s="39"/>
      <c r="BO165" s="81">
        <f>$H$165*月別販売比率!AB25</f>
        <v>13.2</v>
      </c>
      <c r="BP165" s="39"/>
      <c r="BQ165" s="245">
        <f>$H$165*月別販売比率!AG25</f>
        <v>8.8000000000000007</v>
      </c>
      <c r="BR165" s="280">
        <v>20</v>
      </c>
      <c r="BS165" s="81">
        <f>$H$165*月別販売比率!AL25</f>
        <v>5.5437079179237179</v>
      </c>
      <c r="BT165" s="39"/>
      <c r="BU165" s="245">
        <f>$H$165*月別販売比率!AQ25</f>
        <v>6.1769370242352801</v>
      </c>
      <c r="BV165" s="280">
        <v>30</v>
      </c>
      <c r="BW165" s="81">
        <f>$H$165*月別販売比率!AV25</f>
        <v>4.4000000000000004</v>
      </c>
      <c r="BX165" s="39"/>
      <c r="BY165" s="81">
        <f>$H$165*月別販売比率!BA25</f>
        <v>3.3</v>
      </c>
      <c r="BZ165" s="39"/>
      <c r="CA165" s="81">
        <f>$H$165*月別販売比率!BF25</f>
        <v>5.4893134003316622</v>
      </c>
      <c r="CB165" s="39"/>
      <c r="CC165" s="81">
        <f>H165*月別販売比率!$C$25</f>
        <v>7.7000000000000011</v>
      </c>
      <c r="CD165" s="39"/>
      <c r="CE165" s="81">
        <f>H165*月別販売比率!$H$25</f>
        <v>8.8000000000000007</v>
      </c>
      <c r="CF165" s="39"/>
      <c r="CG165" s="81">
        <f>H165*月別販売比率!$M$25</f>
        <v>15.400000000000002</v>
      </c>
      <c r="CH165" s="39"/>
      <c r="CI165" s="81">
        <f>J165*月別販売比率!$R$25</f>
        <v>7.1999999999999993</v>
      </c>
      <c r="CJ165" s="39"/>
      <c r="CK165" s="81">
        <f>H165*月別販売比率!$W$25</f>
        <v>11</v>
      </c>
      <c r="CL165" s="39"/>
      <c r="CM165" s="81">
        <f>H165*月別販売比率!$AB$25</f>
        <v>13.2</v>
      </c>
      <c r="CN165" s="39">
        <v>15</v>
      </c>
      <c r="CO165" s="81">
        <f>H165*月別販売比率!$AG$25</f>
        <v>8.8000000000000007</v>
      </c>
      <c r="CP165" s="39">
        <v>15</v>
      </c>
      <c r="CQ165" s="81">
        <f>H165*月別販売比率!$AL$25</f>
        <v>5.5437079179237179</v>
      </c>
      <c r="CR165" s="39"/>
      <c r="CS165" s="81">
        <f>H165*月別販売比率!$AQ$25</f>
        <v>6.1769370242352801</v>
      </c>
      <c r="CT165" s="39"/>
      <c r="CU165" s="81">
        <f>H165*月別販売比率!$AV$25</f>
        <v>4.4000000000000004</v>
      </c>
      <c r="CV165" s="39"/>
      <c r="CW165" s="81">
        <f>H165*月別販売比率!$BA$25</f>
        <v>3.3</v>
      </c>
      <c r="CX165" s="39"/>
      <c r="CY165" s="81">
        <f>H165*月別販売比率!$BF$25</f>
        <v>5.4893134003316622</v>
      </c>
      <c r="CZ165" s="39"/>
      <c r="DA165" s="28"/>
      <c r="DB165" s="294"/>
    </row>
    <row r="166" spans="2:106" ht="30.75" customHeight="1">
      <c r="C166" s="457"/>
      <c r="D166" s="441"/>
      <c r="E166" s="94" t="s">
        <v>47</v>
      </c>
      <c r="F166" s="57">
        <v>98</v>
      </c>
      <c r="G166" s="46">
        <f t="shared" ref="G166:G170" si="221">F166*6820</f>
        <v>668360</v>
      </c>
      <c r="H166" s="56">
        <v>100</v>
      </c>
      <c r="I166" s="46">
        <f t="shared" ref="I166:I170" si="222">H166*6820</f>
        <v>682000</v>
      </c>
      <c r="J166" s="9">
        <v>1</v>
      </c>
      <c r="K166" s="21">
        <v>4</v>
      </c>
      <c r="L166" s="21">
        <v>3</v>
      </c>
      <c r="M166" s="21">
        <v>9</v>
      </c>
      <c r="N166" s="42"/>
      <c r="O166" s="19"/>
      <c r="P166" s="19"/>
      <c r="Q166" s="124"/>
      <c r="R166" s="124"/>
      <c r="S166" s="124"/>
      <c r="T166" s="124"/>
      <c r="U166" s="124"/>
      <c r="V166" s="124"/>
      <c r="W166" s="124"/>
      <c r="X166" s="328"/>
      <c r="Y166" s="328"/>
      <c r="Z166" s="124"/>
      <c r="AA166" s="334">
        <v>45940</v>
      </c>
      <c r="AB166" s="124"/>
      <c r="AC166" s="124"/>
      <c r="AD166" s="124"/>
      <c r="AE166" s="124"/>
      <c r="AF166" s="124"/>
      <c r="AG166" s="124"/>
      <c r="AH166" s="124"/>
      <c r="AI166" s="129">
        <f t="shared" si="212"/>
        <v>4.82</v>
      </c>
      <c r="AJ166" s="129">
        <f t="shared" si="213"/>
        <v>-5.18</v>
      </c>
      <c r="AK166" s="129">
        <f>0-CM166+CN166</f>
        <v>53</v>
      </c>
      <c r="AL166" s="399">
        <f t="shared" si="215"/>
        <v>110</v>
      </c>
      <c r="AM166" s="393">
        <f t="shared" si="216"/>
        <v>104.96026552916025</v>
      </c>
      <c r="AN166" s="393">
        <f t="shared" si="217"/>
        <v>99.344868234400906</v>
      </c>
      <c r="AO166" s="393">
        <f t="shared" si="218"/>
        <v>95.344868234400906</v>
      </c>
      <c r="AP166" s="96">
        <f t="shared" si="219"/>
        <v>92.344868234400906</v>
      </c>
      <c r="AQ166" s="91">
        <f t="shared" si="220"/>
        <v>87.354583325008491</v>
      </c>
      <c r="AR166" s="198"/>
      <c r="AS166" s="81">
        <f>$H$166*月別販売比率!AG25</f>
        <v>8</v>
      </c>
      <c r="AT166" s="21"/>
      <c r="AU166" s="81">
        <f>$H$166*月別販売比率!AL25</f>
        <v>5.0397344708397434</v>
      </c>
      <c r="AV166" s="21"/>
      <c r="AW166" s="81">
        <f>$H$166*月別販売比率!AQ25</f>
        <v>5.6153972947593456</v>
      </c>
      <c r="AX166" s="21"/>
      <c r="AY166" s="81">
        <f>$H$166*月別販売比率!AV25</f>
        <v>4</v>
      </c>
      <c r="AZ166" s="21"/>
      <c r="BA166" s="81">
        <f>$H$166*月別販売比率!BA25</f>
        <v>3</v>
      </c>
      <c r="BB166" s="21"/>
      <c r="BC166" s="81">
        <f>$H$166*月別販売比率!BF25</f>
        <v>4.99028490939242</v>
      </c>
      <c r="BD166" s="21"/>
      <c r="BE166" s="81">
        <f>$H$166*月別販売比率!C25</f>
        <v>7.0000000000000009</v>
      </c>
      <c r="BF166" s="21"/>
      <c r="BG166" s="81">
        <f>$H$166*月別販売比率!H25</f>
        <v>8</v>
      </c>
      <c r="BH166" s="21"/>
      <c r="BI166" s="81">
        <f>$H$166*月別販売比率!M25</f>
        <v>14.000000000000002</v>
      </c>
      <c r="BJ166" s="21"/>
      <c r="BK166" s="81">
        <f>$H$166*月別販売比率!R25</f>
        <v>18</v>
      </c>
      <c r="BL166" s="21"/>
      <c r="BM166" s="81">
        <f>$H$166*月別販売比率!W25</f>
        <v>10</v>
      </c>
      <c r="BN166" s="21"/>
      <c r="BO166" s="81">
        <f>$H$166*月別販売比率!AB25</f>
        <v>12</v>
      </c>
      <c r="BP166" s="21"/>
      <c r="BQ166" s="245">
        <f>$H$166*月別販売比率!AG25</f>
        <v>8</v>
      </c>
      <c r="BR166" s="241">
        <v>40</v>
      </c>
      <c r="BS166" s="81">
        <f>$H$166*月別販売比率!AL25</f>
        <v>5.0397344708397434</v>
      </c>
      <c r="BT166" s="21"/>
      <c r="BU166" s="245">
        <f>$H$166*月別販売比率!AQ25</f>
        <v>5.6153972947593456</v>
      </c>
      <c r="BV166" s="241">
        <v>30</v>
      </c>
      <c r="BW166" s="81">
        <f>$H$166*月別販売比率!AV25</f>
        <v>4</v>
      </c>
      <c r="BX166" s="21"/>
      <c r="BY166" s="81">
        <f>$H$166*月別販売比率!BA25</f>
        <v>3</v>
      </c>
      <c r="BZ166" s="21"/>
      <c r="CA166" s="81">
        <f>$H$166*月別販売比率!BF25</f>
        <v>4.99028490939242</v>
      </c>
      <c r="CB166" s="21"/>
      <c r="CC166" s="81">
        <f>H166*月別販売比率!$C$25</f>
        <v>7.0000000000000009</v>
      </c>
      <c r="CD166" s="21"/>
      <c r="CE166" s="81">
        <f>H166*月別販売比率!$H$25</f>
        <v>8</v>
      </c>
      <c r="CF166" s="21"/>
      <c r="CG166" s="81">
        <f>H166*月別販売比率!$M$25</f>
        <v>14.000000000000002</v>
      </c>
      <c r="CH166" s="21"/>
      <c r="CI166" s="81">
        <f>J166*月別販売比率!$R$25</f>
        <v>0.18</v>
      </c>
      <c r="CJ166" s="21"/>
      <c r="CK166" s="81">
        <f>H166*月別販売比率!$W$25</f>
        <v>10</v>
      </c>
      <c r="CL166" s="21"/>
      <c r="CM166" s="81">
        <f>H166*月別販売比率!$AB$25</f>
        <v>12</v>
      </c>
      <c r="CN166" s="21">
        <v>65</v>
      </c>
      <c r="CO166" s="81">
        <f>H166*月別販売比率!$AG$25</f>
        <v>8</v>
      </c>
      <c r="CP166" s="21">
        <v>65</v>
      </c>
      <c r="CQ166" s="81">
        <f>H166*月別販売比率!$AL$25</f>
        <v>5.0397344708397434</v>
      </c>
      <c r="CR166" s="21"/>
      <c r="CS166" s="81">
        <f>H166*月別販売比率!$AQ$25</f>
        <v>5.6153972947593456</v>
      </c>
      <c r="CT166" s="21"/>
      <c r="CU166" s="81">
        <f>H166*月別販売比率!$AV$25</f>
        <v>4</v>
      </c>
      <c r="CV166" s="21"/>
      <c r="CW166" s="81">
        <f>H166*月別販売比率!$BA$25</f>
        <v>3</v>
      </c>
      <c r="CX166" s="21"/>
      <c r="CY166" s="81">
        <f>H166*月別販売比率!$BF$25</f>
        <v>4.99028490939242</v>
      </c>
      <c r="CZ166" s="21"/>
      <c r="DA166" s="28"/>
      <c r="DB166" s="294"/>
    </row>
    <row r="167" spans="2:106" ht="30.75" customHeight="1">
      <c r="C167" s="457"/>
      <c r="D167" s="441"/>
      <c r="E167" s="94" t="s">
        <v>51</v>
      </c>
      <c r="F167" s="57">
        <v>129</v>
      </c>
      <c r="G167" s="46">
        <f t="shared" si="221"/>
        <v>879780</v>
      </c>
      <c r="H167" s="56">
        <v>150</v>
      </c>
      <c r="I167" s="46">
        <f t="shared" si="222"/>
        <v>1023000</v>
      </c>
      <c r="J167" s="9">
        <v>24</v>
      </c>
      <c r="K167" s="21">
        <f t="shared" ref="K167:K170" si="223">SUM(L167:N167)</f>
        <v>24</v>
      </c>
      <c r="L167" s="21">
        <v>10</v>
      </c>
      <c r="M167" s="21">
        <v>14</v>
      </c>
      <c r="N167" s="42"/>
      <c r="O167" s="19"/>
      <c r="P167" s="19"/>
      <c r="Q167" s="124"/>
      <c r="R167" s="124"/>
      <c r="S167" s="124"/>
      <c r="T167" s="124"/>
      <c r="U167" s="328"/>
      <c r="V167" s="328"/>
      <c r="W167" s="328"/>
      <c r="X167" s="328"/>
      <c r="Y167" s="328"/>
      <c r="Z167" s="124"/>
      <c r="AA167" s="333">
        <v>45940</v>
      </c>
      <c r="AB167" s="124"/>
      <c r="AC167" s="124"/>
      <c r="AD167" s="124"/>
      <c r="AE167" s="124"/>
      <c r="AF167" s="124"/>
      <c r="AG167" s="124"/>
      <c r="AH167" s="124"/>
      <c r="AI167" s="129">
        <f t="shared" si="212"/>
        <v>43.68</v>
      </c>
      <c r="AJ167" s="129">
        <f t="shared" si="213"/>
        <v>28.68</v>
      </c>
      <c r="AK167" s="129">
        <f t="shared" si="214"/>
        <v>60.68</v>
      </c>
      <c r="AL167" s="399">
        <f t="shared" si="215"/>
        <v>98.68</v>
      </c>
      <c r="AM167" s="393">
        <f t="shared" si="216"/>
        <v>91.120398293740394</v>
      </c>
      <c r="AN167" s="393">
        <f t="shared" si="217"/>
        <v>82.69730235160138</v>
      </c>
      <c r="AO167" s="393">
        <f t="shared" si="218"/>
        <v>76.69730235160138</v>
      </c>
      <c r="AP167" s="96">
        <f t="shared" si="219"/>
        <v>72.19730235160138</v>
      </c>
      <c r="AQ167" s="91">
        <f t="shared" si="220"/>
        <v>64.711874987512743</v>
      </c>
      <c r="AR167" s="198"/>
      <c r="AS167" s="81">
        <f>$H$167*月別販売比率!AG25</f>
        <v>12</v>
      </c>
      <c r="AT167" s="21"/>
      <c r="AU167" s="81">
        <f>$H$167*月別販売比率!AL25</f>
        <v>7.559601706259615</v>
      </c>
      <c r="AV167" s="21"/>
      <c r="AW167" s="81">
        <f>$H$167*月別販売比率!AQ25</f>
        <v>8.4230959421390192</v>
      </c>
      <c r="AX167" s="21"/>
      <c r="AY167" s="81">
        <f>$H$167*月別販売比率!AV25</f>
        <v>6</v>
      </c>
      <c r="AZ167" s="21"/>
      <c r="BA167" s="81">
        <f>$H$167*月別販売比率!BA25</f>
        <v>4.5</v>
      </c>
      <c r="BB167" s="21"/>
      <c r="BC167" s="81">
        <f>$H$167*月別販売比率!BF25</f>
        <v>7.48542736408863</v>
      </c>
      <c r="BD167" s="21"/>
      <c r="BE167" s="81">
        <f>$H$167*月別販売比率!C25</f>
        <v>10.500000000000002</v>
      </c>
      <c r="BF167" s="21"/>
      <c r="BG167" s="81">
        <f>$H$167*月別販売比率!H25</f>
        <v>12</v>
      </c>
      <c r="BH167" s="21"/>
      <c r="BI167" s="81">
        <f>$H$167*月別販売比率!M25</f>
        <v>21.000000000000004</v>
      </c>
      <c r="BJ167" s="21"/>
      <c r="BK167" s="81">
        <f>$H$167*月別販売比率!R25</f>
        <v>27</v>
      </c>
      <c r="BL167" s="21"/>
      <c r="BM167" s="81">
        <f>$H$167*月別販売比率!W25</f>
        <v>15</v>
      </c>
      <c r="BN167" s="21"/>
      <c r="BO167" s="81">
        <f>$H$167*月別販売比率!AB25</f>
        <v>18</v>
      </c>
      <c r="BP167" s="21"/>
      <c r="BQ167" s="245">
        <f>$H$167*月別販売比率!AG25</f>
        <v>12</v>
      </c>
      <c r="BR167" s="241">
        <v>70</v>
      </c>
      <c r="BS167" s="81">
        <f>$H$167*月別販売比率!AL25</f>
        <v>7.559601706259615</v>
      </c>
      <c r="BT167" s="21"/>
      <c r="BU167" s="245">
        <f>$H$167*月別販売比率!AQ25</f>
        <v>8.4230959421390192</v>
      </c>
      <c r="BV167" s="241">
        <v>80</v>
      </c>
      <c r="BW167" s="81">
        <f>$H$167*月別販売比率!AV25</f>
        <v>6</v>
      </c>
      <c r="BX167" s="21"/>
      <c r="BY167" s="81">
        <f>$H$167*月別販売比率!BA25</f>
        <v>4.5</v>
      </c>
      <c r="BZ167" s="21"/>
      <c r="CA167" s="81">
        <f>$H$167*月別販売比率!BF25</f>
        <v>7.48542736408863</v>
      </c>
      <c r="CB167" s="21"/>
      <c r="CC167" s="81">
        <f>H167*月別販売比率!$C$25</f>
        <v>10.500000000000002</v>
      </c>
      <c r="CD167" s="21"/>
      <c r="CE167" s="81">
        <f>H167*月別販売比率!$H$25</f>
        <v>12</v>
      </c>
      <c r="CF167" s="21"/>
      <c r="CG167" s="81">
        <f>H167*月別販売比率!$M$25</f>
        <v>21.000000000000004</v>
      </c>
      <c r="CH167" s="21"/>
      <c r="CI167" s="81">
        <f>J167*月別販売比率!$R$25</f>
        <v>4.32</v>
      </c>
      <c r="CJ167" s="21"/>
      <c r="CK167" s="81">
        <f>H167*月別販売比率!$W$25</f>
        <v>15</v>
      </c>
      <c r="CL167" s="21"/>
      <c r="CM167" s="81">
        <f>H167*月別販売比率!$AB$25</f>
        <v>18</v>
      </c>
      <c r="CN167" s="21">
        <v>50</v>
      </c>
      <c r="CO167" s="81">
        <f>H167*月別販売比率!$AG$25</f>
        <v>12</v>
      </c>
      <c r="CP167" s="21">
        <v>50</v>
      </c>
      <c r="CQ167" s="81">
        <f>H167*月別販売比率!$AL$25</f>
        <v>7.559601706259615</v>
      </c>
      <c r="CR167" s="21"/>
      <c r="CS167" s="81">
        <f>H167*月別販売比率!$AQ$25</f>
        <v>8.4230959421390192</v>
      </c>
      <c r="CT167" s="21"/>
      <c r="CU167" s="81">
        <f>H167*月別販売比率!$AV$25</f>
        <v>6</v>
      </c>
      <c r="CV167" s="21"/>
      <c r="CW167" s="81">
        <f>H167*月別販売比率!$BA$25</f>
        <v>4.5</v>
      </c>
      <c r="CX167" s="21"/>
      <c r="CY167" s="81">
        <f>H167*月別販売比率!$BF$25</f>
        <v>7.48542736408863</v>
      </c>
      <c r="CZ167" s="21"/>
      <c r="DA167" s="28"/>
      <c r="DB167" s="294"/>
    </row>
    <row r="168" spans="2:106" ht="30.75" customHeight="1">
      <c r="C168" s="457"/>
      <c r="D168" s="443">
        <v>2</v>
      </c>
      <c r="E168" s="94" t="s">
        <v>46</v>
      </c>
      <c r="F168" s="57">
        <v>68</v>
      </c>
      <c r="G168" s="46">
        <f t="shared" si="221"/>
        <v>463760</v>
      </c>
      <c r="H168" s="56">
        <v>120</v>
      </c>
      <c r="I168" s="46">
        <f t="shared" si="222"/>
        <v>818400</v>
      </c>
      <c r="J168" s="9">
        <v>0</v>
      </c>
      <c r="K168" s="21">
        <v>44</v>
      </c>
      <c r="L168" s="21">
        <v>30</v>
      </c>
      <c r="M168" s="21">
        <v>0</v>
      </c>
      <c r="N168" s="42"/>
      <c r="O168" s="19"/>
      <c r="P168" s="19"/>
      <c r="Q168" s="124"/>
      <c r="R168" s="124"/>
      <c r="S168" s="124"/>
      <c r="T168" s="124"/>
      <c r="U168" s="124"/>
      <c r="V168" s="124"/>
      <c r="W168" s="124"/>
      <c r="X168" s="124"/>
      <c r="Y168" s="124"/>
      <c r="Z168" s="124"/>
      <c r="AA168" s="124"/>
      <c r="AB168" s="124"/>
      <c r="AC168" s="124"/>
      <c r="AD168" s="124"/>
      <c r="AE168" s="124"/>
      <c r="AF168" s="124"/>
      <c r="AG168" s="124"/>
      <c r="AH168" s="124"/>
      <c r="AI168" s="129">
        <f t="shared" si="212"/>
        <v>44</v>
      </c>
      <c r="AJ168" s="129">
        <f t="shared" si="213"/>
        <v>32</v>
      </c>
      <c r="AK168" s="129">
        <f t="shared" si="214"/>
        <v>77.599999999999994</v>
      </c>
      <c r="AL168" s="399">
        <f t="shared" si="215"/>
        <v>128</v>
      </c>
      <c r="AM168" s="393">
        <f t="shared" si="216"/>
        <v>121.95231863499231</v>
      </c>
      <c r="AN168" s="393">
        <f t="shared" si="217"/>
        <v>115.2138418812811</v>
      </c>
      <c r="AO168" s="393">
        <f t="shared" si="218"/>
        <v>110.4138418812811</v>
      </c>
      <c r="AP168" s="96">
        <f t="shared" si="219"/>
        <v>106.81384188128111</v>
      </c>
      <c r="AQ168" s="91">
        <f t="shared" si="220"/>
        <v>100.8254999900102</v>
      </c>
      <c r="AR168" s="198"/>
      <c r="AS168" s="81">
        <f>$H$168*月別販売比率!AG25</f>
        <v>9.6</v>
      </c>
      <c r="AT168" s="21"/>
      <c r="AU168" s="81">
        <f>$H$168*月別販売比率!AL25</f>
        <v>6.0476813650076924</v>
      </c>
      <c r="AV168" s="21"/>
      <c r="AW168" s="81">
        <f>$H$168*月別販売比率!AQ25</f>
        <v>6.7384767537112147</v>
      </c>
      <c r="AX168" s="21"/>
      <c r="AY168" s="81">
        <f>$H$168*月別販売比率!AV25</f>
        <v>4.8</v>
      </c>
      <c r="AZ168" s="21"/>
      <c r="BA168" s="81">
        <f>$H$168*月別販売比率!BA25</f>
        <v>3.5999999999999996</v>
      </c>
      <c r="BB168" s="21"/>
      <c r="BC168" s="81">
        <f>$H$168*月別販売比率!BF25</f>
        <v>5.9883418912709043</v>
      </c>
      <c r="BD168" s="21"/>
      <c r="BE168" s="81">
        <f>$H$168*月別販売比率!C25</f>
        <v>8.4</v>
      </c>
      <c r="BF168" s="21"/>
      <c r="BG168" s="81">
        <f>$H$168*月別販売比率!H25</f>
        <v>9.6</v>
      </c>
      <c r="BH168" s="21"/>
      <c r="BI168" s="81">
        <f>$H$168*月別販売比率!M25</f>
        <v>16.8</v>
      </c>
      <c r="BJ168" s="21"/>
      <c r="BK168" s="81">
        <f>$H$168*月別販売比率!R25</f>
        <v>21.599999999999998</v>
      </c>
      <c r="BL168" s="21"/>
      <c r="BM168" s="81">
        <f>$H$168*月別販売比率!W25</f>
        <v>12</v>
      </c>
      <c r="BN168" s="21"/>
      <c r="BO168" s="81">
        <f>$H$168*月別販売比率!AB25</f>
        <v>14.399999999999999</v>
      </c>
      <c r="BP168" s="21"/>
      <c r="BQ168" s="245">
        <f>$H$168*月別販売比率!AG25</f>
        <v>9.6</v>
      </c>
      <c r="BR168" s="241">
        <v>20</v>
      </c>
      <c r="BS168" s="81">
        <f>$H$168*月別販売比率!AL25</f>
        <v>6.0476813650076924</v>
      </c>
      <c r="BT168" s="21"/>
      <c r="BU168" s="245">
        <f>$H$168*月別販売比率!AQ25</f>
        <v>6.7384767537112147</v>
      </c>
      <c r="BV168" s="241">
        <v>30</v>
      </c>
      <c r="BW168" s="81">
        <f>$H$168*月別販売比率!AV25</f>
        <v>4.8</v>
      </c>
      <c r="BX168" s="21"/>
      <c r="BY168" s="81">
        <f>$H$168*月別販売比率!BA25</f>
        <v>3.5999999999999996</v>
      </c>
      <c r="BZ168" s="21"/>
      <c r="CA168" s="81">
        <f>$H$168*月別販売比率!BF25</f>
        <v>5.9883418912709043</v>
      </c>
      <c r="CB168" s="21"/>
      <c r="CC168" s="81">
        <f>H168*月別販売比率!$C$25</f>
        <v>8.4</v>
      </c>
      <c r="CD168" s="21"/>
      <c r="CE168" s="81">
        <f>H168*月別販売比率!$H$25</f>
        <v>9.6</v>
      </c>
      <c r="CF168" s="21"/>
      <c r="CG168" s="81">
        <f>H168*月別販売比率!$M$25</f>
        <v>16.8</v>
      </c>
      <c r="CH168" s="21"/>
      <c r="CI168" s="81">
        <f>J168*月別販売比率!$R$25</f>
        <v>0</v>
      </c>
      <c r="CJ168" s="21"/>
      <c r="CK168" s="81">
        <f>H168*月別販売比率!$W$25</f>
        <v>12</v>
      </c>
      <c r="CL168" s="21"/>
      <c r="CM168" s="81">
        <f>H168*月別販売比率!$AB$25</f>
        <v>14.399999999999999</v>
      </c>
      <c r="CN168" s="21">
        <v>60</v>
      </c>
      <c r="CO168" s="81">
        <f>H168*月別販売比率!$AG$25</f>
        <v>9.6</v>
      </c>
      <c r="CP168" s="21">
        <v>60</v>
      </c>
      <c r="CQ168" s="81">
        <f>H168*月別販売比率!$AL$25</f>
        <v>6.0476813650076924</v>
      </c>
      <c r="CR168" s="21"/>
      <c r="CS168" s="81">
        <f>H168*月別販売比率!$AQ$25</f>
        <v>6.7384767537112147</v>
      </c>
      <c r="CT168" s="21"/>
      <c r="CU168" s="81">
        <f>H168*月別販売比率!$AV$25</f>
        <v>4.8</v>
      </c>
      <c r="CV168" s="21"/>
      <c r="CW168" s="81">
        <f>H168*月別販売比率!$BA$25</f>
        <v>3.5999999999999996</v>
      </c>
      <c r="CX168" s="21"/>
      <c r="CY168" s="81">
        <f>H168*月別販売比率!$BF$25</f>
        <v>5.9883418912709043</v>
      </c>
      <c r="CZ168" s="21"/>
      <c r="DA168" s="28"/>
      <c r="DB168" s="294"/>
    </row>
    <row r="169" spans="2:106" ht="30.75" customHeight="1">
      <c r="C169" s="457"/>
      <c r="D169" s="441"/>
      <c r="E169" s="94" t="s">
        <v>47</v>
      </c>
      <c r="F169" s="57">
        <v>111</v>
      </c>
      <c r="G169" s="46">
        <f t="shared" si="221"/>
        <v>757020</v>
      </c>
      <c r="H169" s="45">
        <v>120</v>
      </c>
      <c r="I169" s="46">
        <f t="shared" si="222"/>
        <v>818400</v>
      </c>
      <c r="J169" s="9">
        <v>0</v>
      </c>
      <c r="K169" s="21">
        <f t="shared" si="223"/>
        <v>13</v>
      </c>
      <c r="L169" s="21">
        <v>2</v>
      </c>
      <c r="M169" s="21">
        <v>11</v>
      </c>
      <c r="N169" s="42"/>
      <c r="O169" s="19"/>
      <c r="P169" s="19"/>
      <c r="Q169" s="124"/>
      <c r="R169" s="124"/>
      <c r="S169" s="124"/>
      <c r="T169" s="124"/>
      <c r="U169" s="124"/>
      <c r="V169" s="328"/>
      <c r="W169" s="328"/>
      <c r="X169" s="328"/>
      <c r="Y169" s="328"/>
      <c r="Z169" s="124"/>
      <c r="AA169" s="333">
        <v>45940</v>
      </c>
      <c r="AB169" s="124"/>
      <c r="AC169" s="124"/>
      <c r="AD169" s="124"/>
      <c r="AE169" s="124"/>
      <c r="AF169" s="124"/>
      <c r="AG169" s="124"/>
      <c r="AH169" s="124"/>
      <c r="AI169" s="129">
        <f t="shared" si="212"/>
        <v>13</v>
      </c>
      <c r="AJ169" s="129">
        <f t="shared" si="213"/>
        <v>1</v>
      </c>
      <c r="AK169" s="129">
        <f t="shared" si="214"/>
        <v>36.6</v>
      </c>
      <c r="AL169" s="399">
        <f t="shared" si="215"/>
        <v>77</v>
      </c>
      <c r="AM169" s="393">
        <f t="shared" si="216"/>
        <v>70.952318634992309</v>
      </c>
      <c r="AN169" s="393">
        <f t="shared" si="217"/>
        <v>64.213841881281098</v>
      </c>
      <c r="AO169" s="393">
        <f t="shared" si="218"/>
        <v>59.413841881281101</v>
      </c>
      <c r="AP169" s="96">
        <f t="shared" si="219"/>
        <v>55.8138418812811</v>
      </c>
      <c r="AQ169" s="91">
        <f t="shared" si="220"/>
        <v>49.825499990010194</v>
      </c>
      <c r="AR169" s="198"/>
      <c r="AS169" s="81">
        <f>$H$169*月別販売比率!AG25</f>
        <v>9.6</v>
      </c>
      <c r="AT169" s="21"/>
      <c r="AU169" s="81">
        <f>$H$169*月別販売比率!AL25</f>
        <v>6.0476813650076924</v>
      </c>
      <c r="AV169" s="21"/>
      <c r="AW169" s="81">
        <f>$H$169*月別販売比率!AQ25</f>
        <v>6.7384767537112147</v>
      </c>
      <c r="AX169" s="21"/>
      <c r="AY169" s="81">
        <f>$H$169*月別販売比率!AV25</f>
        <v>4.8</v>
      </c>
      <c r="AZ169" s="21"/>
      <c r="BA169" s="81">
        <f>$H$169*月別販売比率!BA25</f>
        <v>3.5999999999999996</v>
      </c>
      <c r="BB169" s="21"/>
      <c r="BC169" s="81">
        <f>$H$169*月別販売比率!BF25</f>
        <v>5.9883418912709043</v>
      </c>
      <c r="BD169" s="21"/>
      <c r="BE169" s="81">
        <f>$H$169*月別販売比率!C25</f>
        <v>8.4</v>
      </c>
      <c r="BF169" s="21"/>
      <c r="BG169" s="81">
        <f>$H$169*月別販売比率!H25</f>
        <v>9.6</v>
      </c>
      <c r="BH169" s="21"/>
      <c r="BI169" s="81">
        <f>$H$169*月別販売比率!M25</f>
        <v>16.8</v>
      </c>
      <c r="BJ169" s="21"/>
      <c r="BK169" s="81">
        <f>$H$169*月別販売比率!R25</f>
        <v>21.599999999999998</v>
      </c>
      <c r="BL169" s="21"/>
      <c r="BM169" s="81">
        <f>$H$169*月別販売比率!W25</f>
        <v>12</v>
      </c>
      <c r="BN169" s="21"/>
      <c r="BO169" s="81">
        <f>$H$169*月別販売比率!AB25</f>
        <v>14.399999999999999</v>
      </c>
      <c r="BP169" s="21"/>
      <c r="BQ169" s="245">
        <f>$H$169*月別販売比率!AG25</f>
        <v>9.6</v>
      </c>
      <c r="BR169" s="241">
        <v>70</v>
      </c>
      <c r="BS169" s="81">
        <f>$H$169*月別販売比率!AL25</f>
        <v>6.0476813650076924</v>
      </c>
      <c r="BT169" s="21"/>
      <c r="BU169" s="245">
        <f>$H$169*月別販売比率!AQ25</f>
        <v>6.7384767537112147</v>
      </c>
      <c r="BV169" s="241">
        <v>50</v>
      </c>
      <c r="BW169" s="81">
        <f>$H$169*月別販売比率!AV25</f>
        <v>4.8</v>
      </c>
      <c r="BX169" s="21"/>
      <c r="BY169" s="81">
        <f>$H$169*月別販売比率!BA25</f>
        <v>3.5999999999999996</v>
      </c>
      <c r="BZ169" s="21"/>
      <c r="CA169" s="81">
        <f>$H$169*月別販売比率!BF25</f>
        <v>5.9883418912709043</v>
      </c>
      <c r="CB169" s="21"/>
      <c r="CC169" s="81">
        <f>H169*月別販売比率!$C$25</f>
        <v>8.4</v>
      </c>
      <c r="CD169" s="21"/>
      <c r="CE169" s="81">
        <f>H169*月別販売比率!$H$25</f>
        <v>9.6</v>
      </c>
      <c r="CF169" s="21"/>
      <c r="CG169" s="81">
        <f>H169*月別販売比率!$M$25</f>
        <v>16.8</v>
      </c>
      <c r="CH169" s="21"/>
      <c r="CI169" s="81">
        <f>J169*月別販売比率!$R$25</f>
        <v>0</v>
      </c>
      <c r="CJ169" s="21"/>
      <c r="CK169" s="81">
        <f>H169*月別販売比率!$W$25</f>
        <v>12</v>
      </c>
      <c r="CL169" s="21"/>
      <c r="CM169" s="81">
        <f>H169*月別販売比率!$AB$25</f>
        <v>14.399999999999999</v>
      </c>
      <c r="CN169" s="21">
        <v>50</v>
      </c>
      <c r="CO169" s="81">
        <f>H169*月別販売比率!$AG$25</f>
        <v>9.6</v>
      </c>
      <c r="CP169" s="21">
        <v>50</v>
      </c>
      <c r="CQ169" s="81">
        <f>H169*月別販売比率!$AL$25</f>
        <v>6.0476813650076924</v>
      </c>
      <c r="CR169" s="21"/>
      <c r="CS169" s="81">
        <f>H169*月別販売比率!$AQ$25</f>
        <v>6.7384767537112147</v>
      </c>
      <c r="CT169" s="21"/>
      <c r="CU169" s="81">
        <f>H169*月別販売比率!$AV$25</f>
        <v>4.8</v>
      </c>
      <c r="CV169" s="21"/>
      <c r="CW169" s="81">
        <f>H169*月別販売比率!$BA$25</f>
        <v>3.5999999999999996</v>
      </c>
      <c r="CX169" s="21"/>
      <c r="CY169" s="81">
        <f>H169*月別販売比率!$BF$25</f>
        <v>5.9883418912709043</v>
      </c>
      <c r="CZ169" s="21"/>
      <c r="DA169" s="28"/>
      <c r="DB169" s="294"/>
    </row>
    <row r="170" spans="2:106" ht="30.75" customHeight="1">
      <c r="C170" s="457"/>
      <c r="D170" s="441"/>
      <c r="E170" s="119" t="s">
        <v>51</v>
      </c>
      <c r="F170" s="126">
        <v>141</v>
      </c>
      <c r="G170" s="53">
        <f t="shared" si="221"/>
        <v>961620</v>
      </c>
      <c r="H170" s="52">
        <v>160</v>
      </c>
      <c r="I170" s="53">
        <f t="shared" si="222"/>
        <v>1091200</v>
      </c>
      <c r="J170" s="127">
        <v>0</v>
      </c>
      <c r="K170" s="103">
        <f t="shared" si="223"/>
        <v>8</v>
      </c>
      <c r="L170" s="103">
        <v>2</v>
      </c>
      <c r="M170" s="103">
        <v>6</v>
      </c>
      <c r="N170" s="117"/>
      <c r="O170" s="123"/>
      <c r="P170" s="123"/>
      <c r="Q170" s="329"/>
      <c r="R170" s="329"/>
      <c r="S170" s="329"/>
      <c r="T170" s="329"/>
      <c r="U170" s="329"/>
      <c r="V170" s="329"/>
      <c r="W170" s="329"/>
      <c r="X170" s="329"/>
      <c r="Y170" s="329"/>
      <c r="Z170" s="238"/>
      <c r="AA170" s="391">
        <v>45940</v>
      </c>
      <c r="AB170" s="238"/>
      <c r="AC170" s="238"/>
      <c r="AD170" s="238"/>
      <c r="AE170" s="238"/>
      <c r="AF170" s="328"/>
      <c r="AG170" s="124"/>
      <c r="AH170" s="124"/>
      <c r="AI170" s="238">
        <f t="shared" si="212"/>
        <v>8</v>
      </c>
      <c r="AJ170" s="238">
        <f t="shared" si="213"/>
        <v>-8</v>
      </c>
      <c r="AK170" s="238">
        <f>0-CM170+CN170</f>
        <v>40.799999999999997</v>
      </c>
      <c r="AL170" s="401">
        <f t="shared" si="215"/>
        <v>88</v>
      </c>
      <c r="AM170" s="395">
        <f t="shared" si="216"/>
        <v>79.936424846656408</v>
      </c>
      <c r="AN170" s="395">
        <f t="shared" si="217"/>
        <v>70.951789175041455</v>
      </c>
      <c r="AO170" s="395">
        <f t="shared" si="218"/>
        <v>64.551789175041449</v>
      </c>
      <c r="AP170" s="403">
        <f t="shared" si="219"/>
        <v>59.751789175041452</v>
      </c>
      <c r="AQ170" s="90">
        <f t="shared" si="220"/>
        <v>51.767333320013577</v>
      </c>
      <c r="AR170" s="238"/>
      <c r="AS170" s="282">
        <f>$H$170*月別販売比率!AG25</f>
        <v>12.8</v>
      </c>
      <c r="AT170" s="107"/>
      <c r="AU170" s="282">
        <f>$H$170*月別販売比率!AL25</f>
        <v>8.0635751533435887</v>
      </c>
      <c r="AV170" s="103"/>
      <c r="AW170" s="282">
        <f>$H$170*月別販売比率!AQ25</f>
        <v>8.9846356716149529</v>
      </c>
      <c r="AX170" s="103"/>
      <c r="AY170" s="282">
        <f>$H$170*月別販売比率!AV25</f>
        <v>6.4</v>
      </c>
      <c r="AZ170" s="103"/>
      <c r="BA170" s="282">
        <f>$H$170*月別販売比率!BA25</f>
        <v>4.8</v>
      </c>
      <c r="BB170" s="103"/>
      <c r="BC170" s="282">
        <f>$H$170*月別販売比率!BF25</f>
        <v>7.9844558550278721</v>
      </c>
      <c r="BD170" s="103"/>
      <c r="BE170" s="282">
        <f>$H$170*月別販売比率!C25</f>
        <v>11.200000000000001</v>
      </c>
      <c r="BF170" s="103"/>
      <c r="BG170" s="282">
        <f>$H$170*月別販売比率!H25</f>
        <v>12.8</v>
      </c>
      <c r="BH170" s="103"/>
      <c r="BI170" s="282">
        <f>$H$170*月別販売比率!M25</f>
        <v>22.400000000000002</v>
      </c>
      <c r="BJ170" s="103"/>
      <c r="BK170" s="282">
        <f>$H$170*月別販売比率!R25</f>
        <v>28.799999999999997</v>
      </c>
      <c r="BL170" s="103"/>
      <c r="BM170" s="282">
        <f>$H$170*月別販売比率!W25</f>
        <v>16</v>
      </c>
      <c r="BN170" s="103"/>
      <c r="BO170" s="282">
        <f>$H$170*月別販売比率!AB25</f>
        <v>19.2</v>
      </c>
      <c r="BP170" s="103"/>
      <c r="BQ170" s="301">
        <f>$H$170*月別販売比率!AG25</f>
        <v>12.8</v>
      </c>
      <c r="BR170" s="302">
        <v>80</v>
      </c>
      <c r="BS170" s="282">
        <f>$H$170*月別販売比率!AL25</f>
        <v>8.0635751533435887</v>
      </c>
      <c r="BT170" s="103"/>
      <c r="BU170" s="301">
        <f>$H$170*月別販売比率!AQ25</f>
        <v>8.9846356716149529</v>
      </c>
      <c r="BV170" s="302">
        <v>80</v>
      </c>
      <c r="BW170" s="282">
        <f>$H$170*月別販売比率!AV25</f>
        <v>6.4</v>
      </c>
      <c r="BX170" s="103"/>
      <c r="BY170" s="282">
        <f>$H$170*月別販売比率!BA25</f>
        <v>4.8</v>
      </c>
      <c r="BZ170" s="103"/>
      <c r="CA170" s="282">
        <f>$H$170*月別販売比率!BF25</f>
        <v>7.9844558550278721</v>
      </c>
      <c r="CB170" s="103"/>
      <c r="CC170" s="282">
        <f>H170*月別販売比率!$C$25</f>
        <v>11.200000000000001</v>
      </c>
      <c r="CD170" s="103"/>
      <c r="CE170" s="282">
        <f>H170*月別販売比率!$H$25</f>
        <v>12.8</v>
      </c>
      <c r="CF170" s="103"/>
      <c r="CG170" s="282">
        <f>H170*月別販売比率!$M$25</f>
        <v>22.400000000000002</v>
      </c>
      <c r="CH170" s="103"/>
      <c r="CI170" s="282">
        <f>J170*月別販売比率!$R$25</f>
        <v>0</v>
      </c>
      <c r="CJ170" s="103"/>
      <c r="CK170" s="282">
        <f>H170*月別販売比率!$W$25</f>
        <v>16</v>
      </c>
      <c r="CL170" s="103"/>
      <c r="CM170" s="282">
        <f>H170*月別販売比率!$AB$25</f>
        <v>19.2</v>
      </c>
      <c r="CN170" s="103">
        <v>60</v>
      </c>
      <c r="CO170" s="282">
        <f>H170*月別販売比率!$AG$25</f>
        <v>12.8</v>
      </c>
      <c r="CP170" s="103">
        <v>60</v>
      </c>
      <c r="CQ170" s="282">
        <f>H170*月別販売比率!$AL$25</f>
        <v>8.0635751533435887</v>
      </c>
      <c r="CR170" s="103"/>
      <c r="CS170" s="282">
        <f>H170*月別販売比率!$AQ$25</f>
        <v>8.9846356716149529</v>
      </c>
      <c r="CT170" s="103"/>
      <c r="CU170" s="282">
        <f>H170*月別販売比率!$AV$25</f>
        <v>6.4</v>
      </c>
      <c r="CV170" s="103"/>
      <c r="CW170" s="282">
        <f>H170*月別販売比率!$BA$25</f>
        <v>4.8</v>
      </c>
      <c r="CX170" s="103"/>
      <c r="CY170" s="282">
        <f>H170*月別販売比率!$BF$25</f>
        <v>7.9844558550278721</v>
      </c>
      <c r="CZ170" s="103"/>
      <c r="DA170" s="303"/>
      <c r="DB170" s="300"/>
    </row>
    <row r="171" spans="2:106" ht="30.6" customHeight="1">
      <c r="B171" s="2">
        <v>15</v>
      </c>
      <c r="C171" s="435" t="s">
        <v>490</v>
      </c>
      <c r="D171" s="436"/>
      <c r="E171" s="445"/>
      <c r="F171" s="130">
        <f>SUM(F172:F181)</f>
        <v>1070</v>
      </c>
      <c r="G171" s="131">
        <f>SUM(G172:G181)</f>
        <v>3295600</v>
      </c>
      <c r="H171" s="130">
        <v>1070</v>
      </c>
      <c r="I171" s="131">
        <f>SUM(I172:I181)</f>
        <v>3295600</v>
      </c>
      <c r="J171" s="133">
        <f>SUM(J173:J181)</f>
        <v>251</v>
      </c>
      <c r="K171" s="134">
        <f>SUM(K173:K181)</f>
        <v>199</v>
      </c>
      <c r="L171" s="134">
        <f>SUM(L173:L181)</f>
        <v>67</v>
      </c>
      <c r="M171" s="134">
        <f>SUM(M172:M181)</f>
        <v>148</v>
      </c>
      <c r="N171" s="135">
        <f>SUM(N172:N181)</f>
        <v>0</v>
      </c>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6">
        <f t="shared" ref="AS171:CC171" si="224">SUM(AS172:AS181)</f>
        <v>107.00000000000003</v>
      </c>
      <c r="AT171" s="134">
        <f t="shared" si="224"/>
        <v>0</v>
      </c>
      <c r="AU171" s="136">
        <f t="shared" si="224"/>
        <v>96.300000000000011</v>
      </c>
      <c r="AV171" s="134">
        <f t="shared" si="224"/>
        <v>0</v>
      </c>
      <c r="AW171" s="136">
        <f t="shared" si="224"/>
        <v>107.00000000000003</v>
      </c>
      <c r="AX171" s="134">
        <f t="shared" si="224"/>
        <v>0</v>
      </c>
      <c r="AY171" s="136">
        <f t="shared" si="224"/>
        <v>65.156981784482824</v>
      </c>
      <c r="AZ171" s="134">
        <f t="shared" si="224"/>
        <v>0</v>
      </c>
      <c r="BA171" s="136">
        <f t="shared" si="224"/>
        <v>59.516739154400597</v>
      </c>
      <c r="BB171" s="134">
        <f t="shared" si="224"/>
        <v>0</v>
      </c>
      <c r="BC171" s="136">
        <f t="shared" si="224"/>
        <v>85.600000000000009</v>
      </c>
      <c r="BD171" s="134">
        <f t="shared" si="224"/>
        <v>0</v>
      </c>
      <c r="BE171" s="136">
        <f t="shared" si="224"/>
        <v>75.824748693949019</v>
      </c>
      <c r="BF171" s="134">
        <f t="shared" si="224"/>
        <v>600</v>
      </c>
      <c r="BG171" s="136">
        <f t="shared" si="224"/>
        <v>74.900000000000006</v>
      </c>
      <c r="BH171" s="134">
        <f t="shared" si="224"/>
        <v>0</v>
      </c>
      <c r="BI171" s="136">
        <f t="shared" si="224"/>
        <v>108.13814736230978</v>
      </c>
      <c r="BJ171" s="134">
        <f t="shared" si="224"/>
        <v>0</v>
      </c>
      <c r="BK171" s="136">
        <f t="shared" si="224"/>
        <v>85.600000000000009</v>
      </c>
      <c r="BL171" s="134">
        <f t="shared" si="224"/>
        <v>0</v>
      </c>
      <c r="BM171" s="136">
        <f t="shared" si="224"/>
        <v>81.498390751431899</v>
      </c>
      <c r="BN171" s="134">
        <f t="shared" si="224"/>
        <v>0</v>
      </c>
      <c r="BO171" s="136">
        <f t="shared" si="224"/>
        <v>128.4</v>
      </c>
      <c r="BP171" s="134">
        <f t="shared" si="224"/>
        <v>560</v>
      </c>
      <c r="BQ171" s="136">
        <f t="shared" si="224"/>
        <v>107.00000000000003</v>
      </c>
      <c r="BR171" s="134">
        <f t="shared" si="224"/>
        <v>40</v>
      </c>
      <c r="BS171" s="136">
        <f t="shared" si="224"/>
        <v>96.300000000000011</v>
      </c>
      <c r="BT171" s="134">
        <f t="shared" si="224"/>
        <v>0</v>
      </c>
      <c r="BU171" s="136">
        <f t="shared" si="224"/>
        <v>107.00000000000003</v>
      </c>
      <c r="BV171" s="134">
        <f t="shared" si="224"/>
        <v>0</v>
      </c>
      <c r="BW171" s="136">
        <f t="shared" si="224"/>
        <v>65.156981784482824</v>
      </c>
      <c r="BX171" s="134">
        <f t="shared" si="224"/>
        <v>0</v>
      </c>
      <c r="BY171" s="136">
        <f t="shared" si="224"/>
        <v>59.516739154400597</v>
      </c>
      <c r="BZ171" s="134">
        <f t="shared" si="224"/>
        <v>300</v>
      </c>
      <c r="CA171" s="136">
        <f t="shared" si="224"/>
        <v>85.600000000000009</v>
      </c>
      <c r="CB171" s="134">
        <f t="shared" si="224"/>
        <v>0</v>
      </c>
      <c r="CC171" s="136">
        <f t="shared" si="224"/>
        <v>75.824748693949019</v>
      </c>
      <c r="CD171" s="134">
        <f>SUM(CD172:CD181)</f>
        <v>300</v>
      </c>
      <c r="CE171" s="136">
        <f t="shared" ref="CE171:CZ171" si="225">SUM(CE172:CE181)</f>
        <v>74.900000000000006</v>
      </c>
      <c r="CF171" s="134">
        <f t="shared" si="225"/>
        <v>0</v>
      </c>
      <c r="CG171" s="136">
        <f t="shared" si="225"/>
        <v>108.13814736230978</v>
      </c>
      <c r="CH171" s="134">
        <f t="shared" si="225"/>
        <v>0</v>
      </c>
      <c r="CI171" s="136">
        <f t="shared" si="225"/>
        <v>85.600000000000009</v>
      </c>
      <c r="CJ171" s="134">
        <f t="shared" si="225"/>
        <v>0</v>
      </c>
      <c r="CK171" s="136">
        <f t="shared" si="225"/>
        <v>81.498390751431899</v>
      </c>
      <c r="CL171" s="134">
        <f t="shared" si="225"/>
        <v>0</v>
      </c>
      <c r="CM171" s="136">
        <f t="shared" si="225"/>
        <v>128.4</v>
      </c>
      <c r="CN171" s="134">
        <f t="shared" si="225"/>
        <v>0</v>
      </c>
      <c r="CO171" s="136">
        <f t="shared" si="225"/>
        <v>107.00000000000003</v>
      </c>
      <c r="CP171" s="134">
        <f t="shared" si="225"/>
        <v>320</v>
      </c>
      <c r="CQ171" s="136">
        <f t="shared" si="225"/>
        <v>96.300000000000011</v>
      </c>
      <c r="CR171" s="134">
        <f t="shared" si="225"/>
        <v>0</v>
      </c>
      <c r="CS171" s="136">
        <f t="shared" si="225"/>
        <v>107.00000000000003</v>
      </c>
      <c r="CT171" s="134">
        <f t="shared" si="225"/>
        <v>280</v>
      </c>
      <c r="CU171" s="136">
        <v>65.156981784482824</v>
      </c>
      <c r="CV171" s="134">
        <f t="shared" si="225"/>
        <v>0</v>
      </c>
      <c r="CW171" s="136">
        <f t="shared" si="225"/>
        <v>59.516739154400597</v>
      </c>
      <c r="CX171" s="134">
        <f t="shared" si="225"/>
        <v>0</v>
      </c>
      <c r="CY171" s="136">
        <f t="shared" si="225"/>
        <v>85.600000000000009</v>
      </c>
      <c r="CZ171" s="134">
        <f t="shared" si="225"/>
        <v>0</v>
      </c>
      <c r="DA171" s="141"/>
      <c r="DB171" s="293"/>
    </row>
    <row r="172" spans="2:106" ht="30.75" customHeight="1">
      <c r="B172" s="25"/>
      <c r="C172" s="446" t="s">
        <v>360</v>
      </c>
      <c r="D172" s="443">
        <v>1</v>
      </c>
      <c r="E172" s="99" t="s">
        <v>275</v>
      </c>
      <c r="F172" s="1">
        <v>144.96</v>
      </c>
      <c r="G172" s="46">
        <f>F172*3080</f>
        <v>446476.80000000005</v>
      </c>
      <c r="H172" s="45">
        <f>F172*($H$171/$F$171)</f>
        <v>144.96</v>
      </c>
      <c r="I172" s="46">
        <f>H172*3080</f>
        <v>446476.80000000005</v>
      </c>
      <c r="J172" s="279">
        <v>41</v>
      </c>
      <c r="K172" s="39">
        <f t="shared" ref="K172:K177" si="226">SUM(L172:N172)</f>
        <v>23</v>
      </c>
      <c r="L172" s="79">
        <v>12</v>
      </c>
      <c r="M172" s="39">
        <v>11</v>
      </c>
      <c r="N172" s="42"/>
      <c r="O172" s="288"/>
      <c r="P172" s="288"/>
      <c r="Q172" s="331">
        <v>45631</v>
      </c>
      <c r="R172" s="124"/>
      <c r="S172" s="345"/>
      <c r="T172" s="345"/>
      <c r="U172" s="331">
        <v>45392</v>
      </c>
      <c r="V172" s="124"/>
      <c r="W172" s="124"/>
      <c r="X172" s="124"/>
      <c r="Y172" s="124"/>
      <c r="Z172" s="124"/>
      <c r="AA172" s="124"/>
      <c r="AB172" s="124"/>
      <c r="AC172" s="328"/>
      <c r="AD172" s="328"/>
      <c r="AE172" s="124"/>
      <c r="AF172" s="124"/>
      <c r="AG172" s="124"/>
      <c r="AH172" s="124"/>
      <c r="AI172" s="129">
        <f t="shared" ref="AI172:AI181" si="227">SUM(J172:K172)-CI172+CJ172</f>
        <v>52.403199999999998</v>
      </c>
      <c r="AJ172" s="129">
        <f t="shared" ref="AJ172:AJ181" si="228">AI172-CK172+CL172</f>
        <v>41.362072221189187</v>
      </c>
      <c r="AK172" s="129">
        <f t="shared" ref="AK172:AK181" si="229">AJ172-CM172+CN172</f>
        <v>23.966872221189188</v>
      </c>
      <c r="AL172" s="399">
        <f t="shared" ref="AL172:AL180" si="230">AK172-CO172+CP172</f>
        <v>59.470872221189182</v>
      </c>
      <c r="AM172" s="393">
        <f t="shared" ref="AM172:AM181" si="231">AL172-CQ172+CR172</f>
        <v>46.424472221189184</v>
      </c>
      <c r="AN172" s="393">
        <f t="shared" ref="AN172:AN181" si="232">AM172-CS172+CT172</f>
        <v>81.928472221189182</v>
      </c>
      <c r="AO172" s="393">
        <f t="shared" ref="AO172:AO181" si="233">AN172-CU172+CV172</f>
        <v>73.101223548779245</v>
      </c>
      <c r="AP172" s="96">
        <f t="shared" ref="AP172:AP181" si="234">AO172-CW172+CX172</f>
        <v>65.038095971375583</v>
      </c>
      <c r="AQ172" s="91">
        <f t="shared" ref="AQ172:AQ181" si="235">AP172-CY172+CZ172</f>
        <v>53.441295971375581</v>
      </c>
      <c r="AR172" s="198"/>
      <c r="AS172" s="81">
        <f>$H$172*月別販売比率!AG5</f>
        <v>14.496000000000002</v>
      </c>
      <c r="AT172" s="39"/>
      <c r="AU172" s="81">
        <f>$H$172*月別販売比率!AL5</f>
        <v>13.0464</v>
      </c>
      <c r="AV172" s="39"/>
      <c r="AW172" s="81">
        <f>$H$172*月別販売比率!AQ5</f>
        <v>14.496000000000002</v>
      </c>
      <c r="AX172" s="39"/>
      <c r="AY172" s="81">
        <f>$H$172*月別販売比率!AV5</f>
        <v>8.8272486724099331</v>
      </c>
      <c r="AZ172" s="39"/>
      <c r="BA172" s="81">
        <f>$H$172*月別販売比率!BA5</f>
        <v>8.0631275774036553</v>
      </c>
      <c r="BB172" s="39"/>
      <c r="BC172" s="81">
        <f>$H$172*月別販売比率!BF5</f>
        <v>11.5968</v>
      </c>
      <c r="BD172" s="39"/>
      <c r="BE172" s="245">
        <f>$H$172*月別販売比率!C21</f>
        <v>10.272481841752196</v>
      </c>
      <c r="BF172" s="280">
        <v>60</v>
      </c>
      <c r="BG172" s="81">
        <f>$H$172*月別販売比率!H21</f>
        <v>10.147200000000002</v>
      </c>
      <c r="BH172" s="39"/>
      <c r="BI172" s="81">
        <f>$H$172*月別販売比率!M21</f>
        <v>14.650192375364885</v>
      </c>
      <c r="BJ172" s="39"/>
      <c r="BK172" s="81">
        <f>$H$172*月別販売比率!R21</f>
        <v>11.5968</v>
      </c>
      <c r="BL172" s="39"/>
      <c r="BM172" s="81">
        <f>$H$172*月別販売比率!W21</f>
        <v>11.041127778810813</v>
      </c>
      <c r="BN172" s="39"/>
      <c r="BO172" s="245">
        <f>$H$172*月別販売比率!AB21</f>
        <v>17.395199999999999</v>
      </c>
      <c r="BP172" s="280">
        <v>100</v>
      </c>
      <c r="BQ172" s="245">
        <f>$H$172*月別販売比率!AG21</f>
        <v>14.496000000000002</v>
      </c>
      <c r="BR172" s="280"/>
      <c r="BS172" s="81">
        <f>$H$172*月別販売比率!AL21</f>
        <v>13.0464</v>
      </c>
      <c r="BT172" s="39"/>
      <c r="BU172" s="81">
        <f>$H$172*月別販売比率!AQ21</f>
        <v>14.496000000000002</v>
      </c>
      <c r="BV172" s="39"/>
      <c r="BW172" s="81">
        <f>$H$172*月別販売比率!AV21</f>
        <v>8.8272486724099331</v>
      </c>
      <c r="BX172" s="39"/>
      <c r="BY172" s="245">
        <f>$H$172*月別販売比率!BA21</f>
        <v>8.0631275774036553</v>
      </c>
      <c r="BZ172" s="280">
        <v>30</v>
      </c>
      <c r="CA172" s="81">
        <f>$H$172*月別販売比率!BF21</f>
        <v>11.5968</v>
      </c>
      <c r="CB172" s="39"/>
      <c r="CC172" s="245">
        <f>H172*月別販売比率!$C$21</f>
        <v>10.272481841752196</v>
      </c>
      <c r="CD172" s="280">
        <v>30</v>
      </c>
      <c r="CE172" s="81">
        <f>H172*月別販売比率!$H$21</f>
        <v>10.147200000000002</v>
      </c>
      <c r="CF172" s="39"/>
      <c r="CG172" s="81">
        <f>H172*月別販売比率!$M$21</f>
        <v>14.650192375364885</v>
      </c>
      <c r="CH172" s="39"/>
      <c r="CI172" s="81">
        <f>H172*月別販売比率!$R$21</f>
        <v>11.5968</v>
      </c>
      <c r="CJ172" s="39"/>
      <c r="CK172" s="81">
        <f>H172*月別販売比率!$W$21</f>
        <v>11.041127778810813</v>
      </c>
      <c r="CL172" s="39"/>
      <c r="CM172" s="81">
        <f>H172*月別販売比率!$AB$21</f>
        <v>17.395199999999999</v>
      </c>
      <c r="CN172" s="39"/>
      <c r="CO172" s="81">
        <f>H172*月別販売比率!$AG$21</f>
        <v>14.496000000000002</v>
      </c>
      <c r="CP172" s="39">
        <v>50</v>
      </c>
      <c r="CQ172" s="81">
        <f>H172*月別販売比率!$AL$21</f>
        <v>13.0464</v>
      </c>
      <c r="CR172" s="39"/>
      <c r="CS172" s="81">
        <f>H172*月別販売比率!$AQ$21</f>
        <v>14.496000000000002</v>
      </c>
      <c r="CT172" s="39">
        <v>50</v>
      </c>
      <c r="CU172" s="81">
        <f>H172*月別販売比率!$AV$21</f>
        <v>8.8272486724099331</v>
      </c>
      <c r="CV172" s="39"/>
      <c r="CW172" s="81">
        <f>H172*月別販売比率!$BA$21</f>
        <v>8.0631275774036553</v>
      </c>
      <c r="CX172" s="39"/>
      <c r="CY172" s="81">
        <f>H172*月別販売比率!$BF$21</f>
        <v>11.5968</v>
      </c>
      <c r="CZ172" s="39"/>
      <c r="DA172" s="28"/>
      <c r="DB172" s="294"/>
    </row>
    <row r="173" spans="2:106" ht="30.75" customHeight="1">
      <c r="B173" s="25"/>
      <c r="C173" s="438"/>
      <c r="D173" s="441"/>
      <c r="E173" s="99" t="s">
        <v>46</v>
      </c>
      <c r="F173" s="1">
        <v>90.600000000000009</v>
      </c>
      <c r="G173" s="46">
        <f t="shared" ref="G173:G181" si="236">F173*3080</f>
        <v>279048</v>
      </c>
      <c r="H173" s="45">
        <f>F173*($H$171/$F$171)</f>
        <v>90.600000000000009</v>
      </c>
      <c r="I173" s="46">
        <f t="shared" ref="I173:I181" si="237">H173*3080</f>
        <v>279048</v>
      </c>
      <c r="J173" s="49">
        <v>13</v>
      </c>
      <c r="K173" s="39">
        <f t="shared" si="226"/>
        <v>23</v>
      </c>
      <c r="L173" s="39">
        <v>11</v>
      </c>
      <c r="M173" s="39">
        <v>12</v>
      </c>
      <c r="N173" s="42"/>
      <c r="O173" s="19"/>
      <c r="P173" s="19"/>
      <c r="Q173" s="330"/>
      <c r="R173" s="124"/>
      <c r="S173" s="345"/>
      <c r="T173" s="345"/>
      <c r="U173" s="331">
        <v>45392</v>
      </c>
      <c r="V173" s="124"/>
      <c r="W173" s="124"/>
      <c r="X173" s="124"/>
      <c r="Y173" s="328"/>
      <c r="Z173" s="124"/>
      <c r="AA173" s="328"/>
      <c r="AB173" s="328"/>
      <c r="AC173" s="328"/>
      <c r="AD173" s="330"/>
      <c r="AE173" s="330"/>
      <c r="AF173" s="330"/>
      <c r="AG173" s="330"/>
      <c r="AH173" s="330"/>
      <c r="AI173" s="129">
        <f t="shared" si="227"/>
        <v>28.751999999999999</v>
      </c>
      <c r="AJ173" s="129">
        <f t="shared" si="228"/>
        <v>21.851295138243241</v>
      </c>
      <c r="AK173" s="129">
        <f t="shared" si="229"/>
        <v>10.979295138243241</v>
      </c>
      <c r="AL173" s="399">
        <f t="shared" si="230"/>
        <v>31.919295138243243</v>
      </c>
      <c r="AM173" s="393">
        <f t="shared" si="231"/>
        <v>23.765295138243243</v>
      </c>
      <c r="AN173" s="393">
        <f t="shared" si="232"/>
        <v>39.705295138243244</v>
      </c>
      <c r="AO173" s="393">
        <f t="shared" si="233"/>
        <v>34.188264717987039</v>
      </c>
      <c r="AP173" s="96">
        <f t="shared" si="234"/>
        <v>29.148809982109753</v>
      </c>
      <c r="AQ173" s="91">
        <f t="shared" si="235"/>
        <v>21.900809982109752</v>
      </c>
      <c r="AR173" s="198"/>
      <c r="AS173" s="81">
        <f>$H$173*月別販売比率!AG5</f>
        <v>9.06</v>
      </c>
      <c r="AT173" s="21"/>
      <c r="AU173" s="81">
        <f>$H$173*月別販売比率!AL5</f>
        <v>8.1539999999999999</v>
      </c>
      <c r="AV173" s="21"/>
      <c r="AW173" s="81">
        <f>$H$173*月別販売比率!AQ5</f>
        <v>9.06</v>
      </c>
      <c r="AX173" s="21"/>
      <c r="AY173" s="81">
        <f>$H$173*月別販売比率!AV5</f>
        <v>5.5170304202562086</v>
      </c>
      <c r="AZ173" s="21"/>
      <c r="BA173" s="81">
        <f>$H$173*月別販売比率!BA5</f>
        <v>5.0394547358772845</v>
      </c>
      <c r="BB173" s="21"/>
      <c r="BC173" s="81">
        <f>$H$173*月別販売比率!BF5</f>
        <v>7.2480000000000011</v>
      </c>
      <c r="BD173" s="21"/>
      <c r="BE173" s="245">
        <f>$H$173*月別販売比率!C21</f>
        <v>6.4203011510951224</v>
      </c>
      <c r="BF173" s="241">
        <v>90</v>
      </c>
      <c r="BG173" s="81">
        <f>$H$173*月別販売比率!H21</f>
        <v>6.3420000000000014</v>
      </c>
      <c r="BH173" s="21"/>
      <c r="BI173" s="81">
        <f>$H$173*月別販売比率!M21</f>
        <v>9.1563702346030542</v>
      </c>
      <c r="BJ173" s="21"/>
      <c r="BK173" s="81">
        <f>$H$173*月別販売比率!R21</f>
        <v>7.2480000000000011</v>
      </c>
      <c r="BL173" s="21"/>
      <c r="BM173" s="81">
        <f>$H$173*月別販売比率!W21</f>
        <v>6.9007048617567577</v>
      </c>
      <c r="BN173" s="21"/>
      <c r="BO173" s="245">
        <f>$H$173*月別販売比率!AB21</f>
        <v>10.872</v>
      </c>
      <c r="BP173" s="241">
        <v>15</v>
      </c>
      <c r="BQ173" s="245">
        <f>$H$173*月別販売比率!AG21</f>
        <v>9.06</v>
      </c>
      <c r="BR173" s="241"/>
      <c r="BS173" s="81">
        <f>$H$173*月別販売比率!AL21</f>
        <v>8.1539999999999999</v>
      </c>
      <c r="BT173" s="21"/>
      <c r="BU173" s="81">
        <f>$H$173*月別販売比率!AQ21</f>
        <v>9.06</v>
      </c>
      <c r="BV173" s="21"/>
      <c r="BW173" s="81">
        <f>$H$173*月別販売比率!AV21</f>
        <v>5.5170304202562086</v>
      </c>
      <c r="BX173" s="21"/>
      <c r="BY173" s="245">
        <f>$H$173*月別販売比率!BA21</f>
        <v>5.0394547358772845</v>
      </c>
      <c r="BZ173" s="241">
        <v>40</v>
      </c>
      <c r="CA173" s="81">
        <f>$H$173*月別販売比率!BF21</f>
        <v>7.2480000000000011</v>
      </c>
      <c r="CB173" s="21"/>
      <c r="CC173" s="245">
        <f>H173*月別販売比率!$C$21</f>
        <v>6.4203011510951224</v>
      </c>
      <c r="CD173" s="241">
        <v>40</v>
      </c>
      <c r="CE173" s="81">
        <f>H173*月別販売比率!$H$21</f>
        <v>6.3420000000000014</v>
      </c>
      <c r="CF173" s="21"/>
      <c r="CG173" s="81">
        <f>H173*月別販売比率!$M$21</f>
        <v>9.1563702346030542</v>
      </c>
      <c r="CH173" s="21"/>
      <c r="CI173" s="81">
        <f>H173*月別販売比率!$R$21</f>
        <v>7.2480000000000011</v>
      </c>
      <c r="CJ173" s="21"/>
      <c r="CK173" s="81">
        <f>H173*月別販売比率!$W$21</f>
        <v>6.9007048617567577</v>
      </c>
      <c r="CL173" s="21"/>
      <c r="CM173" s="81">
        <f>H173*月別販売比率!$AB$21</f>
        <v>10.872</v>
      </c>
      <c r="CN173" s="21"/>
      <c r="CO173" s="81">
        <f>H173*月別販売比率!$AG$21</f>
        <v>9.06</v>
      </c>
      <c r="CP173" s="21">
        <v>30</v>
      </c>
      <c r="CQ173" s="81">
        <f>H173*月別販売比率!$AL$21</f>
        <v>8.1539999999999999</v>
      </c>
      <c r="CR173" s="21"/>
      <c r="CS173" s="81">
        <f>H173*月別販売比率!$AQ$21</f>
        <v>9.06</v>
      </c>
      <c r="CT173" s="21">
        <v>25</v>
      </c>
      <c r="CU173" s="81">
        <f>H173*月別販売比率!$AV$21</f>
        <v>5.5170304202562086</v>
      </c>
      <c r="CV173" s="21"/>
      <c r="CW173" s="81">
        <f>H173*月別販売比率!$BA$21</f>
        <v>5.0394547358772845</v>
      </c>
      <c r="CX173" s="21"/>
      <c r="CY173" s="81">
        <f>H173*月別販売比率!$BF$21</f>
        <v>7.2480000000000011</v>
      </c>
      <c r="CZ173" s="21"/>
      <c r="DA173" s="28"/>
      <c r="DB173" s="294"/>
    </row>
    <row r="174" spans="2:106" ht="30.75" customHeight="1">
      <c r="B174" s="25"/>
      <c r="C174" s="457"/>
      <c r="D174" s="441"/>
      <c r="E174" s="94" t="s">
        <v>47</v>
      </c>
      <c r="F174" s="1">
        <v>122.31</v>
      </c>
      <c r="G174" s="46">
        <f t="shared" si="236"/>
        <v>376714.8</v>
      </c>
      <c r="H174" s="45">
        <f>F174*($H$171/$F$171)</f>
        <v>122.31</v>
      </c>
      <c r="I174" s="46">
        <f t="shared" si="237"/>
        <v>376714.8</v>
      </c>
      <c r="J174" s="9">
        <v>24</v>
      </c>
      <c r="K174" s="21">
        <f t="shared" si="226"/>
        <v>27</v>
      </c>
      <c r="L174" s="21">
        <v>9</v>
      </c>
      <c r="M174" s="39">
        <v>18</v>
      </c>
      <c r="N174" s="42"/>
      <c r="O174" s="19"/>
      <c r="P174" s="19"/>
      <c r="Q174" s="330"/>
      <c r="R174" s="124"/>
      <c r="S174" s="345"/>
      <c r="T174" s="345"/>
      <c r="U174" s="331">
        <v>45392</v>
      </c>
      <c r="V174" s="124"/>
      <c r="W174" s="124"/>
      <c r="X174" s="124"/>
      <c r="Y174" s="124"/>
      <c r="Z174" s="124"/>
      <c r="AA174" s="328"/>
      <c r="AB174" s="124"/>
      <c r="AC174" s="328"/>
      <c r="AD174" s="328"/>
      <c r="AE174" s="124"/>
      <c r="AF174" s="124"/>
      <c r="AG174" s="124"/>
      <c r="AH174" s="124"/>
      <c r="AI174" s="129">
        <f t="shared" si="227"/>
        <v>41.215199999999996</v>
      </c>
      <c r="AJ174" s="129">
        <f t="shared" si="228"/>
        <v>31.899248436628373</v>
      </c>
      <c r="AK174" s="129">
        <f t="shared" si="229"/>
        <v>17.222048436628373</v>
      </c>
      <c r="AL174" s="399">
        <f t="shared" si="230"/>
        <v>44.991048436628375</v>
      </c>
      <c r="AM174" s="393">
        <f t="shared" si="231"/>
        <v>33.983148436628376</v>
      </c>
      <c r="AN174" s="393">
        <f t="shared" si="232"/>
        <v>66.752148436628374</v>
      </c>
      <c r="AO174" s="393">
        <f t="shared" si="233"/>
        <v>59.304157369282493</v>
      </c>
      <c r="AP174" s="96">
        <f t="shared" si="234"/>
        <v>52.500893475848159</v>
      </c>
      <c r="AQ174" s="91">
        <f t="shared" si="235"/>
        <v>42.716093475848155</v>
      </c>
      <c r="AR174" s="198"/>
      <c r="AS174" s="81">
        <f>$H$174*月別販売比率!AG5</f>
        <v>12.231000000000002</v>
      </c>
      <c r="AT174" s="21"/>
      <c r="AU174" s="81">
        <f>$H$174*月別販売比率!AL5</f>
        <v>11.007899999999999</v>
      </c>
      <c r="AV174" s="21"/>
      <c r="AW174" s="81">
        <f>$H$174*月別販売比率!AQ5</f>
        <v>12.231000000000002</v>
      </c>
      <c r="AX174" s="21"/>
      <c r="AY174" s="81">
        <f>$H$174*月別販売比率!AV5</f>
        <v>7.4479910673458809</v>
      </c>
      <c r="AZ174" s="21"/>
      <c r="BA174" s="81">
        <f>$H$174*月別販売比率!BA5</f>
        <v>6.803263893434333</v>
      </c>
      <c r="BB174" s="21"/>
      <c r="BC174" s="81">
        <f>$H$174*月別販売比率!BF5</f>
        <v>9.7848000000000006</v>
      </c>
      <c r="BD174" s="21"/>
      <c r="BE174" s="245">
        <f>$H$174*月別販売比率!C21</f>
        <v>8.6674065539784149</v>
      </c>
      <c r="BF174" s="241">
        <v>75</v>
      </c>
      <c r="BG174" s="81">
        <f>$H$174*月別販売比率!H21</f>
        <v>8.5617000000000001</v>
      </c>
      <c r="BH174" s="21"/>
      <c r="BI174" s="81">
        <f>$H$174*月別販売比率!M21</f>
        <v>12.361099816714122</v>
      </c>
      <c r="BJ174" s="21"/>
      <c r="BK174" s="81">
        <f>$H$174*月別販売比率!R21</f>
        <v>9.7848000000000006</v>
      </c>
      <c r="BL174" s="21"/>
      <c r="BM174" s="81">
        <f>$H$174*月別販売比率!W21</f>
        <v>9.3159515633716232</v>
      </c>
      <c r="BN174" s="21"/>
      <c r="BO174" s="245">
        <f>$H$174*月別販売比率!AB21</f>
        <v>14.677199999999999</v>
      </c>
      <c r="BP174" s="241">
        <v>65</v>
      </c>
      <c r="BQ174" s="245">
        <f>$H$174*月別販売比率!AG21</f>
        <v>12.231000000000002</v>
      </c>
      <c r="BR174" s="241"/>
      <c r="BS174" s="81">
        <f>$H$174*月別販売比率!AL21</f>
        <v>11.007899999999999</v>
      </c>
      <c r="BT174" s="21"/>
      <c r="BU174" s="81">
        <f>$H$174*月別販売比率!AQ21</f>
        <v>12.231000000000002</v>
      </c>
      <c r="BV174" s="21"/>
      <c r="BW174" s="81">
        <f>$H$174*月別販売比率!AV21</f>
        <v>7.4479910673458809</v>
      </c>
      <c r="BX174" s="21"/>
      <c r="BY174" s="245">
        <f>$H$174*月別販売比率!BA21</f>
        <v>6.803263893434333</v>
      </c>
      <c r="BZ174" s="241">
        <v>35</v>
      </c>
      <c r="CA174" s="81">
        <f>$H$174*月別販売比率!BF21</f>
        <v>9.7848000000000006</v>
      </c>
      <c r="CB174" s="21"/>
      <c r="CC174" s="245">
        <f>H174*月別販売比率!$C$21</f>
        <v>8.6674065539784149</v>
      </c>
      <c r="CD174" s="241">
        <v>35</v>
      </c>
      <c r="CE174" s="81">
        <f>H174*月別販売比率!$H$21</f>
        <v>8.5617000000000001</v>
      </c>
      <c r="CF174" s="21"/>
      <c r="CG174" s="81">
        <f>H174*月別販売比率!$M$21</f>
        <v>12.361099816714122</v>
      </c>
      <c r="CH174" s="21"/>
      <c r="CI174" s="81">
        <f>H174*月別販売比率!$R$21</f>
        <v>9.7848000000000006</v>
      </c>
      <c r="CJ174" s="21"/>
      <c r="CK174" s="81">
        <f>H174*月別販売比率!$W$21</f>
        <v>9.3159515633716232</v>
      </c>
      <c r="CL174" s="21"/>
      <c r="CM174" s="81">
        <f>H174*月別販売比率!$AB$21</f>
        <v>14.677199999999999</v>
      </c>
      <c r="CN174" s="21"/>
      <c r="CO174" s="81">
        <f>H174*月別販売比率!$AG$21</f>
        <v>12.231000000000002</v>
      </c>
      <c r="CP174" s="21">
        <v>40</v>
      </c>
      <c r="CQ174" s="81">
        <f>H174*月別販売比率!$AL$21</f>
        <v>11.007899999999999</v>
      </c>
      <c r="CR174" s="21"/>
      <c r="CS174" s="81">
        <f>H174*月別販売比率!$AQ$21</f>
        <v>12.231000000000002</v>
      </c>
      <c r="CT174" s="21">
        <v>45</v>
      </c>
      <c r="CU174" s="81">
        <f>H174*月別販売比率!$AV$21</f>
        <v>7.4479910673458809</v>
      </c>
      <c r="CV174" s="21"/>
      <c r="CW174" s="81">
        <f>H174*月別販売比率!$BA$21</f>
        <v>6.803263893434333</v>
      </c>
      <c r="CX174" s="21"/>
      <c r="CY174" s="81">
        <f>H174*月別販売比率!$BF$21</f>
        <v>9.7848000000000006</v>
      </c>
      <c r="CZ174" s="21"/>
      <c r="DA174" s="28"/>
      <c r="DB174" s="294"/>
    </row>
    <row r="175" spans="2:106" ht="30.75" customHeight="1">
      <c r="B175" s="25"/>
      <c r="C175" s="457"/>
      <c r="D175" s="441"/>
      <c r="E175" s="94" t="s">
        <v>51</v>
      </c>
      <c r="F175" s="1">
        <v>58.89</v>
      </c>
      <c r="G175" s="46">
        <f t="shared" si="236"/>
        <v>181381.2</v>
      </c>
      <c r="H175" s="45">
        <f>F175*($H$171/$F$171)</f>
        <v>58.89</v>
      </c>
      <c r="I175" s="46">
        <f t="shared" si="237"/>
        <v>181381.2</v>
      </c>
      <c r="J175" s="9">
        <v>0</v>
      </c>
      <c r="K175" s="21">
        <f t="shared" si="226"/>
        <v>25</v>
      </c>
      <c r="L175" s="21">
        <v>7</v>
      </c>
      <c r="M175" s="39">
        <v>18</v>
      </c>
      <c r="N175" s="42"/>
      <c r="O175" s="19"/>
      <c r="P175" s="19"/>
      <c r="Q175" s="330"/>
      <c r="R175" s="124"/>
      <c r="S175" s="129"/>
      <c r="T175" s="129"/>
      <c r="U175" s="129"/>
      <c r="V175" s="328"/>
      <c r="W175" s="328"/>
      <c r="X175" s="328"/>
      <c r="Y175" s="328"/>
      <c r="Z175" s="124"/>
      <c r="AA175" s="328"/>
      <c r="AB175" s="328"/>
      <c r="AC175" s="328"/>
      <c r="AD175" s="328"/>
      <c r="AE175" s="328"/>
      <c r="AF175" s="328"/>
      <c r="AG175" s="124"/>
      <c r="AH175" s="124"/>
      <c r="AI175" s="129">
        <f t="shared" si="227"/>
        <v>20.288800000000002</v>
      </c>
      <c r="AJ175" s="129">
        <f t="shared" si="228"/>
        <v>15.80334183985811</v>
      </c>
      <c r="AK175" s="129">
        <f t="shared" si="229"/>
        <v>8.7365418398581092</v>
      </c>
      <c r="AL175" s="399">
        <f t="shared" si="230"/>
        <v>22.84754183985811</v>
      </c>
      <c r="AM175" s="393">
        <f t="shared" si="231"/>
        <v>17.547441839858109</v>
      </c>
      <c r="AN175" s="393">
        <f t="shared" si="232"/>
        <v>31.65844183985811</v>
      </c>
      <c r="AO175" s="393">
        <f t="shared" si="233"/>
        <v>28.072372066691575</v>
      </c>
      <c r="AP175" s="96">
        <f t="shared" si="234"/>
        <v>24.796726488371341</v>
      </c>
      <c r="AQ175" s="91">
        <f t="shared" si="235"/>
        <v>20.085526488371343</v>
      </c>
      <c r="AR175" s="198"/>
      <c r="AS175" s="81">
        <f>$H$175*月別販売比率!AG5</f>
        <v>5.8890000000000002</v>
      </c>
      <c r="AT175" s="21"/>
      <c r="AU175" s="81">
        <f>$H$175*月別販売比率!AL5</f>
        <v>5.3000999999999996</v>
      </c>
      <c r="AV175" s="21"/>
      <c r="AW175" s="81">
        <f>$H$175*月別販売比率!AQ5</f>
        <v>5.8890000000000002</v>
      </c>
      <c r="AX175" s="21"/>
      <c r="AY175" s="81">
        <f>$H$175*月別販売比率!AV5</f>
        <v>3.5860697731665354</v>
      </c>
      <c r="AZ175" s="21"/>
      <c r="BA175" s="81">
        <f>$H$175*月別販売比率!BA5</f>
        <v>3.2756455783202343</v>
      </c>
      <c r="BB175" s="21"/>
      <c r="BC175" s="81">
        <f>$H$175*月別販売比率!BF5</f>
        <v>4.7111999999999998</v>
      </c>
      <c r="BD175" s="21"/>
      <c r="BE175" s="245">
        <f>$H$175*月別販売比率!C21</f>
        <v>4.1731957482118291</v>
      </c>
      <c r="BF175" s="241">
        <v>60</v>
      </c>
      <c r="BG175" s="81">
        <f>$H$175*月別販売比率!H21</f>
        <v>4.1223000000000001</v>
      </c>
      <c r="BH175" s="21"/>
      <c r="BI175" s="81">
        <f>$H$175*月別販売比率!M21</f>
        <v>5.9516406524919843</v>
      </c>
      <c r="BJ175" s="21"/>
      <c r="BK175" s="81">
        <f>$H$175*月別販売比率!R21</f>
        <v>4.7111999999999998</v>
      </c>
      <c r="BL175" s="21"/>
      <c r="BM175" s="81">
        <f>$H$175*月別販売比率!W21</f>
        <v>4.4854581601418921</v>
      </c>
      <c r="BN175" s="21"/>
      <c r="BO175" s="245">
        <f>$H$175*月別販売比率!AB21</f>
        <v>7.0667999999999997</v>
      </c>
      <c r="BP175" s="241">
        <v>10</v>
      </c>
      <c r="BQ175" s="245">
        <f>$H$175*月別販売比率!AG21</f>
        <v>5.8890000000000002</v>
      </c>
      <c r="BR175" s="241"/>
      <c r="BS175" s="81">
        <f>$H$175*月別販売比率!AL21</f>
        <v>5.3000999999999996</v>
      </c>
      <c r="BT175" s="21"/>
      <c r="BU175" s="81">
        <f>$H$175*月別販売比率!AQ21</f>
        <v>5.8890000000000002</v>
      </c>
      <c r="BV175" s="21"/>
      <c r="BW175" s="81">
        <f>$H$175*月別販売比率!AV21</f>
        <v>3.5860697731665354</v>
      </c>
      <c r="BX175" s="21"/>
      <c r="BY175" s="245">
        <f>$H$175*月別販売比率!BA21</f>
        <v>3.2756455783202343</v>
      </c>
      <c r="BZ175" s="241">
        <v>25</v>
      </c>
      <c r="CA175" s="81">
        <f>$H$175*月別販売比率!BF21</f>
        <v>4.7111999999999998</v>
      </c>
      <c r="CB175" s="21"/>
      <c r="CC175" s="245">
        <f>H175*月別販売比率!$C$21</f>
        <v>4.1731957482118291</v>
      </c>
      <c r="CD175" s="241">
        <v>25</v>
      </c>
      <c r="CE175" s="81">
        <f>H175*月別販売比率!$H$21</f>
        <v>4.1223000000000001</v>
      </c>
      <c r="CF175" s="21"/>
      <c r="CG175" s="81">
        <f>H175*月別販売比率!$M$21</f>
        <v>5.9516406524919843</v>
      </c>
      <c r="CH175" s="21"/>
      <c r="CI175" s="81">
        <f>H175*月別販売比率!$R$21</f>
        <v>4.7111999999999998</v>
      </c>
      <c r="CJ175" s="21"/>
      <c r="CK175" s="81">
        <f>H175*月別販売比率!$W$21</f>
        <v>4.4854581601418921</v>
      </c>
      <c r="CL175" s="21"/>
      <c r="CM175" s="81">
        <f>H175*月別販売比率!$AB$21</f>
        <v>7.0667999999999997</v>
      </c>
      <c r="CN175" s="21"/>
      <c r="CO175" s="81">
        <f>H175*月別販売比率!$AG$21</f>
        <v>5.8890000000000002</v>
      </c>
      <c r="CP175" s="21">
        <v>20</v>
      </c>
      <c r="CQ175" s="81">
        <f>H175*月別販売比率!$AL$21</f>
        <v>5.3000999999999996</v>
      </c>
      <c r="CR175" s="21"/>
      <c r="CS175" s="81">
        <f>H175*月別販売比率!$AQ$21</f>
        <v>5.8890000000000002</v>
      </c>
      <c r="CT175" s="21">
        <v>20</v>
      </c>
      <c r="CU175" s="81">
        <f>H175*月別販売比率!$AV$21</f>
        <v>3.5860697731665354</v>
      </c>
      <c r="CV175" s="21"/>
      <c r="CW175" s="81">
        <f>H175*月別販売比率!$BA$21</f>
        <v>3.2756455783202343</v>
      </c>
      <c r="CX175" s="21"/>
      <c r="CY175" s="81">
        <f>H175*月別販売比率!$BF$21</f>
        <v>4.7111999999999998</v>
      </c>
      <c r="CZ175" s="21"/>
      <c r="DA175" s="28"/>
      <c r="DB175" s="294"/>
    </row>
    <row r="176" spans="2:106" ht="30.75" customHeight="1">
      <c r="B176" s="25"/>
      <c r="C176" s="457"/>
      <c r="D176" s="441"/>
      <c r="E176" s="94" t="s">
        <v>49</v>
      </c>
      <c r="F176" s="1">
        <v>36.24</v>
      </c>
      <c r="G176" s="46">
        <f t="shared" si="236"/>
        <v>111619.20000000001</v>
      </c>
      <c r="H176" s="45">
        <f>F176*($H$171/$F$171)</f>
        <v>36.24</v>
      </c>
      <c r="I176" s="46">
        <f t="shared" si="237"/>
        <v>111619.20000000001</v>
      </c>
      <c r="J176" s="9">
        <v>0</v>
      </c>
      <c r="K176" s="21">
        <f t="shared" si="226"/>
        <v>14</v>
      </c>
      <c r="L176" s="21">
        <v>0</v>
      </c>
      <c r="M176" s="39">
        <v>14</v>
      </c>
      <c r="N176" s="42"/>
      <c r="O176" s="19"/>
      <c r="P176" s="19"/>
      <c r="Q176" s="330"/>
      <c r="R176" s="124"/>
      <c r="S176" s="129"/>
      <c r="T176" s="129"/>
      <c r="U176" s="129"/>
      <c r="V176" s="124"/>
      <c r="W176" s="124"/>
      <c r="X176" s="124"/>
      <c r="Y176" s="124"/>
      <c r="Z176" s="124"/>
      <c r="AA176" s="328"/>
      <c r="AB176" s="124"/>
      <c r="AC176" s="124"/>
      <c r="AD176" s="124"/>
      <c r="AE176" s="124"/>
      <c r="AF176" s="124"/>
      <c r="AG176" s="124"/>
      <c r="AH176" s="124"/>
      <c r="AI176" s="129">
        <f t="shared" si="227"/>
        <v>11.1008</v>
      </c>
      <c r="AJ176" s="129">
        <f t="shared" si="228"/>
        <v>8.3405180552972968</v>
      </c>
      <c r="AK176" s="129">
        <f t="shared" si="229"/>
        <v>3.9917180552972971</v>
      </c>
      <c r="AL176" s="399">
        <f t="shared" si="230"/>
        <v>20.367718055297296</v>
      </c>
      <c r="AM176" s="393">
        <f t="shared" si="231"/>
        <v>17.106118055297294</v>
      </c>
      <c r="AN176" s="393">
        <f t="shared" si="232"/>
        <v>13.482118055297294</v>
      </c>
      <c r="AO176" s="393">
        <f t="shared" si="233"/>
        <v>11.275305887194811</v>
      </c>
      <c r="AP176" s="96">
        <f t="shared" si="234"/>
        <v>9.2595239928438975</v>
      </c>
      <c r="AQ176" s="91">
        <f t="shared" si="235"/>
        <v>6.360323992843897</v>
      </c>
      <c r="AR176" s="198"/>
      <c r="AS176" s="81">
        <f>$H$176*月別販売比率!AG5</f>
        <v>3.6240000000000006</v>
      </c>
      <c r="AT176" s="21"/>
      <c r="AU176" s="81">
        <f>$H$176*月別販売比率!AL5</f>
        <v>3.2616000000000001</v>
      </c>
      <c r="AV176" s="21"/>
      <c r="AW176" s="81">
        <f>$H$176*月別販売比率!AQ5</f>
        <v>3.6240000000000006</v>
      </c>
      <c r="AX176" s="21"/>
      <c r="AY176" s="81">
        <f>$H$176*月別販売比率!AV5</f>
        <v>2.2068121681024833</v>
      </c>
      <c r="AZ176" s="21"/>
      <c r="BA176" s="81">
        <f>$H$176*月別販売比率!BA5</f>
        <v>2.0157818943509138</v>
      </c>
      <c r="BB176" s="21"/>
      <c r="BC176" s="81">
        <f>$H$176*月別販売比率!BF5</f>
        <v>2.8992</v>
      </c>
      <c r="BD176" s="21"/>
      <c r="BE176" s="245">
        <f>$H$176*月別販売比率!C21</f>
        <v>2.568120460438049</v>
      </c>
      <c r="BF176" s="241">
        <v>15</v>
      </c>
      <c r="BG176" s="81">
        <f>$H$176*月別販売比率!H21</f>
        <v>2.5368000000000004</v>
      </c>
      <c r="BH176" s="21"/>
      <c r="BI176" s="81">
        <f>$H$176*月別販売比率!M21</f>
        <v>3.6625480938412212</v>
      </c>
      <c r="BJ176" s="21"/>
      <c r="BK176" s="81">
        <f>$H$176*月別販売比率!R21</f>
        <v>2.8992</v>
      </c>
      <c r="BL176" s="21"/>
      <c r="BM176" s="81">
        <f>$H$176*月別販売比率!W21</f>
        <v>2.7602819447027032</v>
      </c>
      <c r="BN176" s="21"/>
      <c r="BO176" s="245">
        <f>$H$176*月別販売比率!AB21</f>
        <v>4.3487999999999998</v>
      </c>
      <c r="BP176" s="241">
        <v>25</v>
      </c>
      <c r="BQ176" s="245">
        <f>$H$176*月別販売比率!AG21</f>
        <v>3.6240000000000006</v>
      </c>
      <c r="BR176" s="241"/>
      <c r="BS176" s="81">
        <f>$H$176*月別販売比率!AL21</f>
        <v>3.2616000000000001</v>
      </c>
      <c r="BT176" s="21"/>
      <c r="BU176" s="81">
        <f>$H$176*月別販売比率!AQ21</f>
        <v>3.6240000000000006</v>
      </c>
      <c r="BV176" s="21"/>
      <c r="BW176" s="81">
        <f>$H$176*月別販売比率!AV21</f>
        <v>2.2068121681024833</v>
      </c>
      <c r="BX176" s="21"/>
      <c r="BY176" s="245">
        <f>$H$176*月別販売比率!BA21</f>
        <v>2.0157818943509138</v>
      </c>
      <c r="BZ176" s="241">
        <v>5</v>
      </c>
      <c r="CA176" s="81">
        <f>$H$176*月別販売比率!BF21</f>
        <v>2.8992</v>
      </c>
      <c r="CB176" s="21"/>
      <c r="CC176" s="245">
        <f>H176*月別販売比率!$C$21</f>
        <v>2.568120460438049</v>
      </c>
      <c r="CD176" s="241">
        <v>5</v>
      </c>
      <c r="CE176" s="81">
        <f>H176*月別販売比率!$H$21</f>
        <v>2.5368000000000004</v>
      </c>
      <c r="CF176" s="21"/>
      <c r="CG176" s="81">
        <f>H176*月別販売比率!$M$21</f>
        <v>3.6625480938412212</v>
      </c>
      <c r="CH176" s="21"/>
      <c r="CI176" s="81">
        <f>H176*月別販売比率!$R$21</f>
        <v>2.8992</v>
      </c>
      <c r="CJ176" s="21"/>
      <c r="CK176" s="81">
        <f>H176*月別販売比率!$W$21</f>
        <v>2.7602819447027032</v>
      </c>
      <c r="CL176" s="21"/>
      <c r="CM176" s="81">
        <f>H176*月別販売比率!$AB$21</f>
        <v>4.3487999999999998</v>
      </c>
      <c r="CN176" s="21"/>
      <c r="CO176" s="81">
        <f>H176*月別販売比率!$AG$21</f>
        <v>3.6240000000000006</v>
      </c>
      <c r="CP176" s="21">
        <v>20</v>
      </c>
      <c r="CQ176" s="81">
        <f>H176*月別販売比率!$AL$21</f>
        <v>3.2616000000000001</v>
      </c>
      <c r="CR176" s="21"/>
      <c r="CS176" s="81">
        <f>H176*月別販売比率!$AQ$21</f>
        <v>3.6240000000000006</v>
      </c>
      <c r="CT176" s="21">
        <v>0</v>
      </c>
      <c r="CU176" s="81">
        <f>H176*月別販売比率!$AV$21</f>
        <v>2.2068121681024833</v>
      </c>
      <c r="CV176" s="21"/>
      <c r="CW176" s="81">
        <f>H176*月別販売比率!$BA$21</f>
        <v>2.0157818943509138</v>
      </c>
      <c r="CX176" s="21"/>
      <c r="CY176" s="81">
        <f>H176*月別販売比率!$BF$21</f>
        <v>2.8992</v>
      </c>
      <c r="CZ176" s="21"/>
      <c r="DA176" s="28"/>
      <c r="DB176" s="294"/>
    </row>
    <row r="177" spans="2:106" ht="30.75" customHeight="1">
      <c r="B177" s="25"/>
      <c r="C177" s="457"/>
      <c r="D177" s="443">
        <v>2</v>
      </c>
      <c r="E177" s="94" t="s">
        <v>275</v>
      </c>
      <c r="F177" s="1">
        <v>197.44</v>
      </c>
      <c r="G177" s="46">
        <f t="shared" si="236"/>
        <v>608115.19999999995</v>
      </c>
      <c r="H177" s="45">
        <f>F177*($H$171/$F$171)</f>
        <v>197.44</v>
      </c>
      <c r="I177" s="46">
        <f t="shared" si="237"/>
        <v>608115.19999999995</v>
      </c>
      <c r="J177" s="278">
        <v>116</v>
      </c>
      <c r="K177" s="21">
        <f t="shared" si="226"/>
        <v>25</v>
      </c>
      <c r="L177" s="79">
        <v>12</v>
      </c>
      <c r="M177" s="39">
        <v>13</v>
      </c>
      <c r="N177" s="42"/>
      <c r="O177" s="288"/>
      <c r="P177" s="288"/>
      <c r="Q177" s="331">
        <v>45631</v>
      </c>
      <c r="R177" s="124"/>
      <c r="S177" s="129"/>
      <c r="T177" s="129"/>
      <c r="U177" s="129"/>
      <c r="V177" s="124"/>
      <c r="W177" s="124"/>
      <c r="X177" s="124"/>
      <c r="Y177" s="124"/>
      <c r="Z177" s="124"/>
      <c r="AA177" s="328"/>
      <c r="AB177" s="124"/>
      <c r="AC177" s="124"/>
      <c r="AD177" s="124"/>
      <c r="AE177" s="124"/>
      <c r="AF177" s="124"/>
      <c r="AG177" s="124"/>
      <c r="AH177" s="124"/>
      <c r="AI177" s="129">
        <f t="shared" si="227"/>
        <v>125.20480000000001</v>
      </c>
      <c r="AJ177" s="129">
        <f t="shared" si="228"/>
        <v>110.16644273835261</v>
      </c>
      <c r="AK177" s="129">
        <f t="shared" si="229"/>
        <v>86.473642738352623</v>
      </c>
      <c r="AL177" s="399">
        <f t="shared" si="230"/>
        <v>106.72964273835262</v>
      </c>
      <c r="AM177" s="393">
        <f t="shared" si="231"/>
        <v>88.960042738352627</v>
      </c>
      <c r="AN177" s="393">
        <f t="shared" si="232"/>
        <v>99.216042738352627</v>
      </c>
      <c r="AO177" s="393">
        <f t="shared" si="233"/>
        <v>87.193057239728063</v>
      </c>
      <c r="AP177" s="96">
        <f t="shared" si="234"/>
        <v>76.21082828772353</v>
      </c>
      <c r="AQ177" s="91">
        <f t="shared" si="235"/>
        <v>60.415628287723528</v>
      </c>
      <c r="AR177" s="198"/>
      <c r="AS177" s="81">
        <f>$H$177*月別販売比率!AG5</f>
        <v>19.744</v>
      </c>
      <c r="AT177" s="21"/>
      <c r="AU177" s="81">
        <f>$H$177*月別販売比率!AL5</f>
        <v>17.769600000000001</v>
      </c>
      <c r="AV177" s="21"/>
      <c r="AW177" s="81">
        <f>$H$177*月別販売比率!AQ5</f>
        <v>19.744</v>
      </c>
      <c r="AX177" s="21"/>
      <c r="AY177" s="81">
        <f>$H$177*月別販売比率!AV5</f>
        <v>12.022985498624566</v>
      </c>
      <c r="AZ177" s="21"/>
      <c r="BA177" s="81">
        <f>$H$177*月別販売比率!BA5</f>
        <v>10.982228952004535</v>
      </c>
      <c r="BB177" s="21"/>
      <c r="BC177" s="81">
        <f>$H$177*月別販売比率!BF5</f>
        <v>15.795199999999999</v>
      </c>
      <c r="BD177" s="21"/>
      <c r="BE177" s="245">
        <f>$H$177*月別販売比率!C21</f>
        <v>13.99143774031149</v>
      </c>
      <c r="BF177" s="241">
        <v>60</v>
      </c>
      <c r="BG177" s="81">
        <f>$H$177*月別販売比率!H21</f>
        <v>13.820800000000002</v>
      </c>
      <c r="BH177" s="21"/>
      <c r="BI177" s="81">
        <f>$H$177*月別販売比率!M21</f>
        <v>19.954014780574244</v>
      </c>
      <c r="BJ177" s="21"/>
      <c r="BK177" s="81">
        <f>$H$177*月別販売比率!R21</f>
        <v>15.795199999999999</v>
      </c>
      <c r="BL177" s="21"/>
      <c r="BM177" s="81">
        <f>$H$177*月別販売比率!W21</f>
        <v>15.038357261647397</v>
      </c>
      <c r="BN177" s="21"/>
      <c r="BO177" s="245">
        <f>$H$177*月別販売比率!AB21</f>
        <v>23.692799999999998</v>
      </c>
      <c r="BP177" s="241">
        <v>150</v>
      </c>
      <c r="BQ177" s="245">
        <f>$H$177*月別販売比率!AG21</f>
        <v>19.744</v>
      </c>
      <c r="BR177" s="241"/>
      <c r="BS177" s="81">
        <f>$H$177*月別販売比率!AL21</f>
        <v>17.769600000000001</v>
      </c>
      <c r="BT177" s="21"/>
      <c r="BU177" s="81">
        <f>$H$177*月別販売比率!AQ21</f>
        <v>19.744</v>
      </c>
      <c r="BV177" s="21"/>
      <c r="BW177" s="81">
        <f>$H$177*月別販売比率!AV21</f>
        <v>12.022985498624566</v>
      </c>
      <c r="BX177" s="21"/>
      <c r="BY177" s="245">
        <f>$H$177*月別販売比率!BA21</f>
        <v>10.982228952004535</v>
      </c>
      <c r="BZ177" s="241">
        <v>40</v>
      </c>
      <c r="CA177" s="81">
        <f>$H$177*月別販売比率!BF21</f>
        <v>15.795199999999999</v>
      </c>
      <c r="CB177" s="21"/>
      <c r="CC177" s="245">
        <f>H177*月別販売比率!$C$21</f>
        <v>13.99143774031149</v>
      </c>
      <c r="CD177" s="241">
        <v>40</v>
      </c>
      <c r="CE177" s="81">
        <f>H177*月別販売比率!$H$21</f>
        <v>13.820800000000002</v>
      </c>
      <c r="CF177" s="21"/>
      <c r="CG177" s="81">
        <f>H177*月別販売比率!$M$21</f>
        <v>19.954014780574244</v>
      </c>
      <c r="CH177" s="21"/>
      <c r="CI177" s="81">
        <f>H177*月別販売比率!$R$21</f>
        <v>15.795199999999999</v>
      </c>
      <c r="CJ177" s="21"/>
      <c r="CK177" s="81">
        <f>H177*月別販売比率!$W$21</f>
        <v>15.038357261647397</v>
      </c>
      <c r="CL177" s="21"/>
      <c r="CM177" s="81">
        <f>H177*月別販売比率!$AB$21</f>
        <v>23.692799999999998</v>
      </c>
      <c r="CN177" s="21"/>
      <c r="CO177" s="81">
        <f>H177*月別販売比率!$AG$21</f>
        <v>19.744</v>
      </c>
      <c r="CP177" s="21">
        <v>40</v>
      </c>
      <c r="CQ177" s="81">
        <f>H177*月別販売比率!$AL$21</f>
        <v>17.769600000000001</v>
      </c>
      <c r="CR177" s="21"/>
      <c r="CS177" s="81">
        <f>H177*月別販売比率!$AQ$21</f>
        <v>19.744</v>
      </c>
      <c r="CT177" s="21">
        <v>30</v>
      </c>
      <c r="CU177" s="81">
        <f>H177*月別販売比率!$AV$21</f>
        <v>12.022985498624566</v>
      </c>
      <c r="CV177" s="21"/>
      <c r="CW177" s="81">
        <f>H177*月別販売比率!$BA$21</f>
        <v>10.982228952004535</v>
      </c>
      <c r="CX177" s="21"/>
      <c r="CY177" s="81">
        <f>H177*月別販売比率!$BF$21</f>
        <v>15.795199999999999</v>
      </c>
      <c r="CZ177" s="21"/>
      <c r="DA177" s="28"/>
      <c r="DB177" s="294"/>
    </row>
    <row r="178" spans="2:106" ht="30.75" customHeight="1">
      <c r="B178" s="25"/>
      <c r="C178" s="457"/>
      <c r="D178" s="441"/>
      <c r="E178" s="94" t="s">
        <v>46</v>
      </c>
      <c r="F178" s="1">
        <v>123.4</v>
      </c>
      <c r="G178" s="46">
        <f t="shared" si="236"/>
        <v>380072</v>
      </c>
      <c r="H178" s="45">
        <f>F178*($H$171/$F$171)</f>
        <v>123.4</v>
      </c>
      <c r="I178" s="46">
        <f t="shared" si="237"/>
        <v>380072</v>
      </c>
      <c r="J178" s="9">
        <v>34</v>
      </c>
      <c r="K178" s="21">
        <f>SUM(L177:N177)</f>
        <v>25</v>
      </c>
      <c r="L178" s="21">
        <v>12</v>
      </c>
      <c r="M178" s="39">
        <v>18</v>
      </c>
      <c r="N178" s="42"/>
      <c r="O178" s="19"/>
      <c r="P178" s="19"/>
      <c r="Q178" s="330"/>
      <c r="R178" s="124"/>
      <c r="S178" s="345"/>
      <c r="T178" s="345"/>
      <c r="U178" s="331">
        <v>45392</v>
      </c>
      <c r="V178" s="328"/>
      <c r="W178" s="331">
        <v>45838</v>
      </c>
      <c r="X178" s="124"/>
      <c r="Y178" s="124"/>
      <c r="Z178" s="124"/>
      <c r="AA178" s="328"/>
      <c r="AB178" s="124"/>
      <c r="AC178" s="124"/>
      <c r="AD178" s="124"/>
      <c r="AE178" s="124"/>
      <c r="AF178" s="124"/>
      <c r="AG178" s="124"/>
      <c r="AH178" s="124"/>
      <c r="AI178" s="129">
        <f t="shared" si="227"/>
        <v>49.128</v>
      </c>
      <c r="AJ178" s="129">
        <f t="shared" si="228"/>
        <v>39.729026711470375</v>
      </c>
      <c r="AK178" s="129">
        <f t="shared" si="229"/>
        <v>24.921026711470375</v>
      </c>
      <c r="AL178" s="399">
        <f t="shared" si="230"/>
        <v>42.581026711470372</v>
      </c>
      <c r="AM178" s="393">
        <f t="shared" si="231"/>
        <v>31.47502671147037</v>
      </c>
      <c r="AN178" s="393">
        <f t="shared" si="232"/>
        <v>44.135026711470367</v>
      </c>
      <c r="AO178" s="393">
        <f t="shared" si="233"/>
        <v>36.620660774830014</v>
      </c>
      <c r="AP178" s="96">
        <f t="shared" si="234"/>
        <v>29.756767679827178</v>
      </c>
      <c r="AQ178" s="91">
        <f t="shared" si="235"/>
        <v>19.884767679827178</v>
      </c>
      <c r="AR178" s="198"/>
      <c r="AS178" s="81">
        <f>$H$178*月別販売比率!AG5</f>
        <v>12.340000000000002</v>
      </c>
      <c r="AT178" s="21"/>
      <c r="AU178" s="81">
        <f>$H$178*月別販売比率!AL5</f>
        <v>11.106</v>
      </c>
      <c r="AV178" s="21"/>
      <c r="AW178" s="81">
        <f>$H$178*月別販売比率!AQ5</f>
        <v>12.340000000000002</v>
      </c>
      <c r="AX178" s="21"/>
      <c r="AY178" s="81">
        <f>$H$178*月別販売比率!AV5</f>
        <v>7.5143659366403543</v>
      </c>
      <c r="AZ178" s="21"/>
      <c r="BA178" s="81">
        <f>$H$178*月別販売比率!BA5</f>
        <v>6.863893095002835</v>
      </c>
      <c r="BB178" s="21"/>
      <c r="BC178" s="81">
        <f>$H$178*月別販売比率!BF5</f>
        <v>9.8719999999999999</v>
      </c>
      <c r="BD178" s="21"/>
      <c r="BE178" s="245">
        <f>$H$178*月別販売比率!C21</f>
        <v>8.744648587694682</v>
      </c>
      <c r="BF178" s="241">
        <v>90</v>
      </c>
      <c r="BG178" s="81">
        <f>$H$178*月別販売比率!H21</f>
        <v>8.6380000000000017</v>
      </c>
      <c r="BH178" s="21"/>
      <c r="BI178" s="81">
        <f>$H$178*月別販売比率!M21</f>
        <v>12.471259237858904</v>
      </c>
      <c r="BJ178" s="21"/>
      <c r="BK178" s="81">
        <f>$H$178*月別販売比率!R21</f>
        <v>9.8719999999999999</v>
      </c>
      <c r="BL178" s="21"/>
      <c r="BM178" s="81">
        <f>$H$178*月別販売比率!W21</f>
        <v>9.3989732885296231</v>
      </c>
      <c r="BN178" s="21"/>
      <c r="BO178" s="245">
        <f>$H$178*月別販売比率!AB21</f>
        <v>14.808</v>
      </c>
      <c r="BP178" s="241">
        <v>50</v>
      </c>
      <c r="BQ178" s="245">
        <f>$H$178*月別販売比率!AG21</f>
        <v>12.340000000000002</v>
      </c>
      <c r="BR178" s="241"/>
      <c r="BS178" s="81">
        <f>$H$178*月別販売比率!AL21</f>
        <v>11.106</v>
      </c>
      <c r="BT178" s="21"/>
      <c r="BU178" s="81">
        <f>$H$178*月別販売比率!AQ21</f>
        <v>12.340000000000002</v>
      </c>
      <c r="BV178" s="21"/>
      <c r="BW178" s="81">
        <f>$H$178*月別販売比率!AV21</f>
        <v>7.5143659366403543</v>
      </c>
      <c r="BX178" s="21"/>
      <c r="BY178" s="245">
        <f>$H$178*月別販売比率!BA21</f>
        <v>6.863893095002835</v>
      </c>
      <c r="BZ178" s="241">
        <v>50</v>
      </c>
      <c r="CA178" s="81">
        <f>$H$178*月別販売比率!BF21</f>
        <v>9.8719999999999999</v>
      </c>
      <c r="CB178" s="21"/>
      <c r="CC178" s="245">
        <f>H178*月別販売比率!$C$21</f>
        <v>8.744648587694682</v>
      </c>
      <c r="CD178" s="241">
        <v>50</v>
      </c>
      <c r="CE178" s="81">
        <f>H178*月別販売比率!$H$21</f>
        <v>8.6380000000000017</v>
      </c>
      <c r="CF178" s="21"/>
      <c r="CG178" s="81">
        <f>H178*月別販売比率!$M$21</f>
        <v>12.471259237858904</v>
      </c>
      <c r="CH178" s="21"/>
      <c r="CI178" s="81">
        <f>H178*月別販売比率!$R$21</f>
        <v>9.8719999999999999</v>
      </c>
      <c r="CJ178" s="21"/>
      <c r="CK178" s="81">
        <f>H178*月別販売比率!$W$21</f>
        <v>9.3989732885296231</v>
      </c>
      <c r="CL178" s="21"/>
      <c r="CM178" s="81">
        <f>H178*月別販売比率!$AB$21</f>
        <v>14.808</v>
      </c>
      <c r="CN178" s="21"/>
      <c r="CO178" s="81">
        <f>H178*月別販売比率!$AG$21</f>
        <v>12.340000000000002</v>
      </c>
      <c r="CP178" s="21">
        <v>30</v>
      </c>
      <c r="CQ178" s="81">
        <f>H178*月別販売比率!$AL$21</f>
        <v>11.106</v>
      </c>
      <c r="CR178" s="21"/>
      <c r="CS178" s="81">
        <f>H178*月別販売比率!$AQ$21</f>
        <v>12.340000000000002</v>
      </c>
      <c r="CT178" s="21">
        <v>25</v>
      </c>
      <c r="CU178" s="81">
        <f>H178*月別販売比率!$AV$21</f>
        <v>7.5143659366403543</v>
      </c>
      <c r="CV178" s="21"/>
      <c r="CW178" s="81">
        <f>H178*月別販売比率!$BA$21</f>
        <v>6.863893095002835</v>
      </c>
      <c r="CX178" s="21"/>
      <c r="CY178" s="81">
        <f>H178*月別販売比率!$BF$21</f>
        <v>9.8719999999999999</v>
      </c>
      <c r="CZ178" s="21"/>
      <c r="DA178" s="28"/>
      <c r="DB178" s="294"/>
    </row>
    <row r="179" spans="2:106" ht="30.75" customHeight="1">
      <c r="B179" s="25"/>
      <c r="C179" s="457"/>
      <c r="D179" s="441"/>
      <c r="E179" s="94" t="s">
        <v>47</v>
      </c>
      <c r="F179" s="1">
        <v>166.59</v>
      </c>
      <c r="G179" s="46">
        <f t="shared" si="236"/>
        <v>513097.2</v>
      </c>
      <c r="H179" s="45">
        <f>F179*($H$171/$F$171)</f>
        <v>166.59</v>
      </c>
      <c r="I179" s="46">
        <f t="shared" si="237"/>
        <v>513097.2</v>
      </c>
      <c r="J179" s="9">
        <v>54</v>
      </c>
      <c r="K179" s="21">
        <f>SUM(L179:N179)</f>
        <v>22</v>
      </c>
      <c r="L179" s="21">
        <v>9</v>
      </c>
      <c r="M179" s="39">
        <v>13</v>
      </c>
      <c r="N179" s="42"/>
      <c r="O179" s="19"/>
      <c r="P179" s="19"/>
      <c r="Q179" s="330"/>
      <c r="R179" s="124"/>
      <c r="S179" s="345"/>
      <c r="T179" s="345"/>
      <c r="U179" s="331">
        <v>45392</v>
      </c>
      <c r="V179" s="328"/>
      <c r="W179" s="328"/>
      <c r="X179" s="124"/>
      <c r="Y179" s="328"/>
      <c r="Z179" s="124"/>
      <c r="AA179" s="328"/>
      <c r="AB179" s="124"/>
      <c r="AC179" s="328"/>
      <c r="AD179" s="328"/>
      <c r="AE179" s="124"/>
      <c r="AF179" s="124"/>
      <c r="AG179" s="124"/>
      <c r="AH179" s="124"/>
      <c r="AI179" s="129">
        <f t="shared" si="227"/>
        <v>62.672799999999995</v>
      </c>
      <c r="AJ179" s="129">
        <f t="shared" si="228"/>
        <v>49.984186060485001</v>
      </c>
      <c r="AK179" s="129">
        <f t="shared" si="229"/>
        <v>29.993386060485001</v>
      </c>
      <c r="AL179" s="399">
        <f t="shared" si="230"/>
        <v>63.334386060485002</v>
      </c>
      <c r="AM179" s="393">
        <f t="shared" si="231"/>
        <v>48.341286060485004</v>
      </c>
      <c r="AN179" s="393">
        <f t="shared" si="232"/>
        <v>76.682286060484998</v>
      </c>
      <c r="AO179" s="393">
        <f t="shared" si="233"/>
        <v>66.537892046020517</v>
      </c>
      <c r="AP179" s="96">
        <f t="shared" si="234"/>
        <v>57.271636367766689</v>
      </c>
      <c r="AQ179" s="91">
        <f t="shared" si="235"/>
        <v>43.944436367766684</v>
      </c>
      <c r="AR179" s="198"/>
      <c r="AS179" s="81">
        <f>$H$179*月別販売比率!AG5</f>
        <v>16.659000000000002</v>
      </c>
      <c r="AT179" s="21"/>
      <c r="AU179" s="81">
        <f>$H$179*月別販売比率!AL5</f>
        <v>14.9931</v>
      </c>
      <c r="AV179" s="21"/>
      <c r="AW179" s="81">
        <f>$H$179*月別販売比率!AQ5</f>
        <v>16.659000000000002</v>
      </c>
      <c r="AX179" s="21"/>
      <c r="AY179" s="81">
        <f>$H$179*月別販売比率!AV5</f>
        <v>10.144394014464478</v>
      </c>
      <c r="AZ179" s="21"/>
      <c r="BA179" s="81">
        <f>$H$179*月別販売比率!BA5</f>
        <v>9.2662556782538275</v>
      </c>
      <c r="BB179" s="21"/>
      <c r="BC179" s="81">
        <f>$H$179*月別販売比率!BF5</f>
        <v>13.327200000000001</v>
      </c>
      <c r="BD179" s="21"/>
      <c r="BE179" s="245">
        <f>$H$179*月別販売比率!C21</f>
        <v>11.805275593387819</v>
      </c>
      <c r="BF179" s="241">
        <v>75</v>
      </c>
      <c r="BG179" s="81">
        <f>$H$179*月別販売比率!H21</f>
        <v>11.661300000000001</v>
      </c>
      <c r="BH179" s="21"/>
      <c r="BI179" s="81">
        <f>$H$179*月別販売比率!M21</f>
        <v>16.836199971109522</v>
      </c>
      <c r="BJ179" s="21"/>
      <c r="BK179" s="81">
        <f>$H$179*月別販売比率!R21</f>
        <v>13.327200000000001</v>
      </c>
      <c r="BL179" s="21"/>
      <c r="BM179" s="81">
        <f>$H$179*月別販売比率!W21</f>
        <v>12.688613939514992</v>
      </c>
      <c r="BN179" s="21"/>
      <c r="BO179" s="245">
        <f>$H$179*月別販売比率!AB21</f>
        <v>19.9908</v>
      </c>
      <c r="BP179" s="241">
        <v>110</v>
      </c>
      <c r="BQ179" s="245">
        <f>$H$179*月別販売比率!AG21</f>
        <v>16.659000000000002</v>
      </c>
      <c r="BR179" s="241"/>
      <c r="BS179" s="81">
        <f>$H$179*月別販売比率!AL21</f>
        <v>14.9931</v>
      </c>
      <c r="BT179" s="21"/>
      <c r="BU179" s="81">
        <f>$H$179*月別販売比率!AQ21</f>
        <v>16.659000000000002</v>
      </c>
      <c r="BV179" s="21"/>
      <c r="BW179" s="81">
        <f>$H$179*月別販売比率!AV21</f>
        <v>10.144394014464478</v>
      </c>
      <c r="BX179" s="21"/>
      <c r="BY179" s="245">
        <f>$H$179*月別販売比率!BA21</f>
        <v>9.2662556782538275</v>
      </c>
      <c r="BZ179" s="241">
        <v>40</v>
      </c>
      <c r="CA179" s="81">
        <f>$H$179*月別販売比率!BF21</f>
        <v>13.327200000000001</v>
      </c>
      <c r="CB179" s="21"/>
      <c r="CC179" s="245">
        <f>H179*月別販売比率!$C$21</f>
        <v>11.805275593387819</v>
      </c>
      <c r="CD179" s="241">
        <v>40</v>
      </c>
      <c r="CE179" s="81">
        <f>H179*月別販売比率!$H$21</f>
        <v>11.661300000000001</v>
      </c>
      <c r="CF179" s="21"/>
      <c r="CG179" s="81">
        <f>H179*月別販売比率!$M$21</f>
        <v>16.836199971109522</v>
      </c>
      <c r="CH179" s="21"/>
      <c r="CI179" s="81">
        <f>H179*月別販売比率!$R$21</f>
        <v>13.327200000000001</v>
      </c>
      <c r="CJ179" s="21"/>
      <c r="CK179" s="81">
        <f>H179*月別販売比率!$W$21</f>
        <v>12.688613939514992</v>
      </c>
      <c r="CL179" s="21"/>
      <c r="CM179" s="81">
        <f>H179*月別販売比率!$AB$21</f>
        <v>19.9908</v>
      </c>
      <c r="CN179" s="21"/>
      <c r="CO179" s="81">
        <f>H179*月別販売比率!$AG$21</f>
        <v>16.659000000000002</v>
      </c>
      <c r="CP179" s="21">
        <v>50</v>
      </c>
      <c r="CQ179" s="81">
        <f>H179*月別販売比率!$AL$21</f>
        <v>14.9931</v>
      </c>
      <c r="CR179" s="21"/>
      <c r="CS179" s="81">
        <f>H179*月別販売比率!$AQ$21</f>
        <v>16.659000000000002</v>
      </c>
      <c r="CT179" s="21">
        <v>45</v>
      </c>
      <c r="CU179" s="81">
        <f>H179*月別販売比率!$AV$21</f>
        <v>10.144394014464478</v>
      </c>
      <c r="CV179" s="21"/>
      <c r="CW179" s="81">
        <f>H179*月別販売比率!$BA$21</f>
        <v>9.2662556782538275</v>
      </c>
      <c r="CX179" s="21"/>
      <c r="CY179" s="81">
        <f>H179*月別販売比率!$BF$21</f>
        <v>13.327200000000001</v>
      </c>
      <c r="CZ179" s="21"/>
      <c r="DA179" s="28"/>
      <c r="DB179" s="294"/>
    </row>
    <row r="180" spans="2:106" ht="30.75" customHeight="1">
      <c r="B180" s="25"/>
      <c r="C180" s="457"/>
      <c r="D180" s="441"/>
      <c r="E180" s="94" t="s">
        <v>51</v>
      </c>
      <c r="F180" s="308">
        <v>80.210000000000008</v>
      </c>
      <c r="G180" s="46">
        <f t="shared" si="236"/>
        <v>247046.80000000002</v>
      </c>
      <c r="H180" s="45">
        <f>F180*($H$171/$F$171)</f>
        <v>80.210000000000008</v>
      </c>
      <c r="I180" s="46">
        <f t="shared" si="237"/>
        <v>247046.80000000002</v>
      </c>
      <c r="J180" s="9">
        <v>10</v>
      </c>
      <c r="K180" s="21">
        <f>SUM(L180:N180)</f>
        <v>24</v>
      </c>
      <c r="L180" s="21">
        <v>7</v>
      </c>
      <c r="M180" s="39">
        <v>17</v>
      </c>
      <c r="N180" s="42"/>
      <c r="O180" s="310"/>
      <c r="P180" s="43"/>
      <c r="Q180" s="335"/>
      <c r="R180" s="129"/>
      <c r="S180" s="345"/>
      <c r="T180" s="345"/>
      <c r="U180" s="345"/>
      <c r="V180" s="328"/>
      <c r="W180" s="328"/>
      <c r="X180" s="328"/>
      <c r="Y180" s="328"/>
      <c r="Z180" s="124"/>
      <c r="AA180" s="328"/>
      <c r="AB180" s="124"/>
      <c r="AC180" s="124"/>
      <c r="AD180" s="124"/>
      <c r="AE180" s="124"/>
      <c r="AF180" s="124"/>
      <c r="AG180" s="124"/>
      <c r="AH180" s="124"/>
      <c r="AI180" s="129">
        <f t="shared" si="227"/>
        <v>27.583199999999998</v>
      </c>
      <c r="AJ180" s="129">
        <f t="shared" si="228"/>
        <v>21.473867362455742</v>
      </c>
      <c r="AK180" s="129">
        <f t="shared" si="229"/>
        <v>11.848667362455741</v>
      </c>
      <c r="AL180" s="399">
        <f t="shared" si="230"/>
        <v>23.827667362455742</v>
      </c>
      <c r="AM180" s="393">
        <f t="shared" si="231"/>
        <v>16.60876736245574</v>
      </c>
      <c r="AN180" s="393">
        <f t="shared" si="232"/>
        <v>33.587767362455736</v>
      </c>
      <c r="AO180" s="393">
        <f t="shared" si="233"/>
        <v>28.703429503639505</v>
      </c>
      <c r="AP180" s="96">
        <f t="shared" si="234"/>
        <v>24.241898991887663</v>
      </c>
      <c r="AQ180" s="91">
        <f t="shared" si="235"/>
        <v>17.825098991887661</v>
      </c>
      <c r="AR180" s="198"/>
      <c r="AS180" s="81">
        <f>$H$180*月別販売比率!AG5</f>
        <v>8.0210000000000008</v>
      </c>
      <c r="AT180" s="39"/>
      <c r="AU180" s="81">
        <f>$H$180*月別販売比率!AL5</f>
        <v>7.2189000000000005</v>
      </c>
      <c r="AV180" s="39"/>
      <c r="AW180" s="81">
        <f>$H$180*月別販売比率!AQ5</f>
        <v>8.0210000000000008</v>
      </c>
      <c r="AX180" s="39"/>
      <c r="AY180" s="81">
        <f>$H$180*月別販売比率!AV5</f>
        <v>4.8843378588162301</v>
      </c>
      <c r="AZ180" s="39"/>
      <c r="BA180" s="81">
        <f>$H$180*月別販売比率!BA5</f>
        <v>4.4615305117518433</v>
      </c>
      <c r="BB180" s="39"/>
      <c r="BC180" s="81">
        <f>$H$180*月別販売比率!BF5</f>
        <v>6.4168000000000012</v>
      </c>
      <c r="BD180" s="39"/>
      <c r="BE180" s="245">
        <f>$H$180*月別販売比率!C21</f>
        <v>5.6840215820015434</v>
      </c>
      <c r="BF180" s="280">
        <v>60</v>
      </c>
      <c r="BG180" s="81">
        <f>$H$180*月別販売比率!H21</f>
        <v>5.6147000000000009</v>
      </c>
      <c r="BH180" s="39"/>
      <c r="BI180" s="81">
        <f>$H$180*月別販売比率!M21</f>
        <v>8.1063185046082875</v>
      </c>
      <c r="BJ180" s="39"/>
      <c r="BK180" s="81">
        <f>$H$180*月別販売比率!R21</f>
        <v>6.4168000000000012</v>
      </c>
      <c r="BL180" s="39"/>
      <c r="BM180" s="81">
        <f>$H$180*月別販売比率!W21</f>
        <v>6.1093326375442558</v>
      </c>
      <c r="BN180" s="39"/>
      <c r="BO180" s="245">
        <f>$H$180*月別販売比率!AB21</f>
        <v>9.6252000000000013</v>
      </c>
      <c r="BP180" s="280">
        <v>35</v>
      </c>
      <c r="BQ180" s="245">
        <f>$H$180*月別販売比率!AG21</f>
        <v>8.0210000000000008</v>
      </c>
      <c r="BR180" s="280"/>
      <c r="BS180" s="81">
        <f>$H$180*月別販売比率!AL21</f>
        <v>7.2189000000000005</v>
      </c>
      <c r="BT180" s="39"/>
      <c r="BU180" s="81">
        <f>$H$180*月別販売比率!AQ21</f>
        <v>8.0210000000000008</v>
      </c>
      <c r="BV180" s="39"/>
      <c r="BW180" s="81">
        <f>$H$180*月別販売比率!AV21</f>
        <v>4.8843378588162301</v>
      </c>
      <c r="BX180" s="39"/>
      <c r="BY180" s="245">
        <f>$H$180*月別販売比率!BA21</f>
        <v>4.4615305117518433</v>
      </c>
      <c r="BZ180" s="280">
        <v>30</v>
      </c>
      <c r="CA180" s="81">
        <f>$H$180*月別販売比率!BF21</f>
        <v>6.4168000000000012</v>
      </c>
      <c r="CB180" s="39"/>
      <c r="CC180" s="245">
        <f>H180*月別販売比率!$C$21</f>
        <v>5.6840215820015434</v>
      </c>
      <c r="CD180" s="280">
        <v>30</v>
      </c>
      <c r="CE180" s="81">
        <f>H180*月別販売比率!$H$21</f>
        <v>5.6147000000000009</v>
      </c>
      <c r="CF180" s="39"/>
      <c r="CG180" s="81">
        <f>H180*月別販売比率!$M$21</f>
        <v>8.1063185046082875</v>
      </c>
      <c r="CH180" s="39"/>
      <c r="CI180" s="81">
        <f>H180*月別販売比率!$R$21</f>
        <v>6.4168000000000012</v>
      </c>
      <c r="CJ180" s="39"/>
      <c r="CK180" s="81">
        <f>H180*月別販売比率!$W$21</f>
        <v>6.1093326375442558</v>
      </c>
      <c r="CL180" s="39"/>
      <c r="CM180" s="81">
        <f>H180*月別販売比率!$AB$21</f>
        <v>9.6252000000000013</v>
      </c>
      <c r="CN180" s="39"/>
      <c r="CO180" s="81">
        <f>H180*月別販売比率!$AG$21</f>
        <v>8.0210000000000008</v>
      </c>
      <c r="CP180" s="39">
        <v>20</v>
      </c>
      <c r="CQ180" s="81">
        <f>H180*月別販売比率!$AL$21</f>
        <v>7.2189000000000005</v>
      </c>
      <c r="CR180" s="39"/>
      <c r="CS180" s="81">
        <f>H180*月別販売比率!$AQ$21</f>
        <v>8.0210000000000008</v>
      </c>
      <c r="CT180" s="39">
        <v>25</v>
      </c>
      <c r="CU180" s="81">
        <f>H180*月別販売比率!$AV$21</f>
        <v>4.8843378588162301</v>
      </c>
      <c r="CV180" s="39"/>
      <c r="CW180" s="81">
        <f>H180*月別販売比率!$BA$21</f>
        <v>4.4615305117518433</v>
      </c>
      <c r="CX180" s="39"/>
      <c r="CY180" s="81">
        <f>H180*月別販売比率!$BF$21</f>
        <v>6.4168000000000012</v>
      </c>
      <c r="CZ180" s="39"/>
      <c r="DA180" s="50"/>
      <c r="DB180" s="295"/>
    </row>
    <row r="181" spans="2:106" ht="30.75" customHeight="1">
      <c r="B181" s="25"/>
      <c r="C181" s="457"/>
      <c r="D181" s="441"/>
      <c r="E181" s="119" t="s">
        <v>49</v>
      </c>
      <c r="F181" s="308">
        <v>49.36</v>
      </c>
      <c r="G181" s="549">
        <f t="shared" si="236"/>
        <v>152028.79999999999</v>
      </c>
      <c r="H181" s="550">
        <f>F181*($H$171/$F$171)</f>
        <v>49.36</v>
      </c>
      <c r="I181" s="549">
        <f t="shared" si="237"/>
        <v>152028.79999999999</v>
      </c>
      <c r="J181" s="102">
        <v>0</v>
      </c>
      <c r="K181" s="107">
        <f>SUM(L181:N181)</f>
        <v>14</v>
      </c>
      <c r="L181" s="107">
        <v>0</v>
      </c>
      <c r="M181" s="79">
        <v>14</v>
      </c>
      <c r="N181" s="44"/>
      <c r="O181" s="281"/>
      <c r="P181" s="115"/>
      <c r="Q181" s="336"/>
      <c r="R181" s="305"/>
      <c r="S181" s="238"/>
      <c r="T181" s="238"/>
      <c r="U181" s="238"/>
      <c r="V181" s="238"/>
      <c r="W181" s="238"/>
      <c r="X181" s="238"/>
      <c r="Y181" s="238"/>
      <c r="Z181" s="238"/>
      <c r="AA181" s="334">
        <v>45940</v>
      </c>
      <c r="AB181" s="238"/>
      <c r="AC181" s="238"/>
      <c r="AD181" s="238"/>
      <c r="AE181" s="238"/>
      <c r="AF181" s="238"/>
      <c r="AG181" s="238"/>
      <c r="AH181" s="238"/>
      <c r="AI181" s="238">
        <f t="shared" si="227"/>
        <v>10.0512</v>
      </c>
      <c r="AJ181" s="238">
        <f t="shared" si="228"/>
        <v>6.2916106845881501</v>
      </c>
      <c r="AK181" s="238">
        <f t="shared" si="229"/>
        <v>0.36841068458815052</v>
      </c>
      <c r="AL181" s="401">
        <f>0-CO181+CP181</f>
        <v>15.064</v>
      </c>
      <c r="AM181" s="395">
        <f t="shared" si="231"/>
        <v>10.621600000000001</v>
      </c>
      <c r="AN181" s="395">
        <f t="shared" si="232"/>
        <v>20.685600000000001</v>
      </c>
      <c r="AO181" s="395">
        <f t="shared" si="233"/>
        <v>17.67985362534386</v>
      </c>
      <c r="AP181" s="403">
        <f t="shared" si="234"/>
        <v>14.934296387342727</v>
      </c>
      <c r="AQ181" s="90">
        <f t="shared" si="235"/>
        <v>10.985496387342726</v>
      </c>
      <c r="AR181" s="238"/>
      <c r="AS181" s="282">
        <f>$H$181*月別販売比率!AG5</f>
        <v>4.9359999999999999</v>
      </c>
      <c r="AT181" s="104"/>
      <c r="AU181" s="282">
        <f>$H$181*月別販売比率!AL5</f>
        <v>4.4424000000000001</v>
      </c>
      <c r="AV181" s="104"/>
      <c r="AW181" s="282">
        <f>$H$181*月別販売比率!AQ5</f>
        <v>4.9359999999999999</v>
      </c>
      <c r="AX181" s="104"/>
      <c r="AY181" s="282">
        <f>$H$181*月別販売比率!AV5</f>
        <v>3.0057463746561415</v>
      </c>
      <c r="AZ181" s="104"/>
      <c r="BA181" s="282">
        <f>$H$181*月別販売比率!BA5</f>
        <v>2.7455572380011337</v>
      </c>
      <c r="BB181" s="104"/>
      <c r="BC181" s="282">
        <f>$H$181*月別販売比率!BF5</f>
        <v>3.9487999999999999</v>
      </c>
      <c r="BD181" s="104"/>
      <c r="BE181" s="301">
        <f>$H$181*月別販売比率!C21</f>
        <v>3.4978594350778724</v>
      </c>
      <c r="BF181" s="339">
        <v>15</v>
      </c>
      <c r="BG181" s="282">
        <f>$H$181*月別販売比率!H21</f>
        <v>3.4552000000000005</v>
      </c>
      <c r="BH181" s="104"/>
      <c r="BI181" s="282">
        <f>$H$181*月別販売比率!M21</f>
        <v>4.9885036951435611</v>
      </c>
      <c r="BJ181" s="104"/>
      <c r="BK181" s="282">
        <f>$H$181*月別販売比率!R21</f>
        <v>3.9487999999999999</v>
      </c>
      <c r="BL181" s="104"/>
      <c r="BM181" s="282">
        <f>$H$181*月別販売比率!W21</f>
        <v>3.7595893154118492</v>
      </c>
      <c r="BN181" s="104"/>
      <c r="BO181" s="301">
        <f>$H$181*月別販売比率!AB21</f>
        <v>5.9231999999999996</v>
      </c>
      <c r="BP181" s="339"/>
      <c r="BQ181" s="301">
        <f>$H$181*月別販売比率!AG21</f>
        <v>4.9359999999999999</v>
      </c>
      <c r="BR181" s="339">
        <v>40</v>
      </c>
      <c r="BS181" s="282">
        <f>$H$181*月別販売比率!AL21</f>
        <v>4.4424000000000001</v>
      </c>
      <c r="BT181" s="104"/>
      <c r="BU181" s="282">
        <f>$H$181*月別販売比率!AQ21</f>
        <v>4.9359999999999999</v>
      </c>
      <c r="BV181" s="104"/>
      <c r="BW181" s="282">
        <f>$H$181*月別販売比率!AV21</f>
        <v>3.0057463746561415</v>
      </c>
      <c r="BX181" s="104"/>
      <c r="BY181" s="301">
        <f>$H$181*月別販売比率!BA21</f>
        <v>2.7455572380011337</v>
      </c>
      <c r="BZ181" s="339">
        <v>5</v>
      </c>
      <c r="CA181" s="282">
        <f>$H$181*月別販売比率!BF21</f>
        <v>3.9487999999999999</v>
      </c>
      <c r="CB181" s="104"/>
      <c r="CC181" s="301">
        <f>H181*月別販売比率!$C$21</f>
        <v>3.4978594350778724</v>
      </c>
      <c r="CD181" s="339">
        <v>5</v>
      </c>
      <c r="CE181" s="282">
        <f>H181*月別販売比率!$H$21</f>
        <v>3.4552000000000005</v>
      </c>
      <c r="CF181" s="104"/>
      <c r="CG181" s="282">
        <f>H181*月別販売比率!$M$21</f>
        <v>4.9885036951435611</v>
      </c>
      <c r="CH181" s="104"/>
      <c r="CI181" s="282">
        <f>H181*月別販売比率!$R$21</f>
        <v>3.9487999999999999</v>
      </c>
      <c r="CJ181" s="104"/>
      <c r="CK181" s="282">
        <f>H181*月別販売比率!$W$21</f>
        <v>3.7595893154118492</v>
      </c>
      <c r="CL181" s="104"/>
      <c r="CM181" s="282">
        <f>H181*月別販売比率!$AB$21</f>
        <v>5.9231999999999996</v>
      </c>
      <c r="CN181" s="104"/>
      <c r="CO181" s="282">
        <f>H181*月別販売比率!$AG$21</f>
        <v>4.9359999999999999</v>
      </c>
      <c r="CP181" s="104">
        <v>20</v>
      </c>
      <c r="CQ181" s="282">
        <f>H181*月別販売比率!$AL$21</f>
        <v>4.4424000000000001</v>
      </c>
      <c r="CR181" s="104"/>
      <c r="CS181" s="282">
        <f>H181*月別販売比率!$AQ$21</f>
        <v>4.9359999999999999</v>
      </c>
      <c r="CT181" s="104">
        <v>15</v>
      </c>
      <c r="CU181" s="282">
        <f>H181*月別販売比率!$AV$21</f>
        <v>3.0057463746561415</v>
      </c>
      <c r="CV181" s="104"/>
      <c r="CW181" s="282">
        <f>H181*月別販売比率!$BA$21</f>
        <v>2.7455572380011337</v>
      </c>
      <c r="CX181" s="104"/>
      <c r="CY181" s="282">
        <f>H181*月別販売比率!$BF$21</f>
        <v>3.9487999999999999</v>
      </c>
      <c r="CZ181" s="104"/>
      <c r="DA181" s="296"/>
      <c r="DB181" s="297"/>
    </row>
    <row r="182" spans="2:106" ht="30.6" customHeight="1">
      <c r="B182" s="2">
        <v>16</v>
      </c>
      <c r="C182" s="556" t="s">
        <v>518</v>
      </c>
      <c r="D182" s="557"/>
      <c r="E182" s="558"/>
      <c r="F182" s="144">
        <f>SUM(F183:F194)</f>
        <v>0</v>
      </c>
      <c r="G182" s="145">
        <f>SUM(G183:G194)</f>
        <v>0</v>
      </c>
      <c r="H182" s="144"/>
      <c r="I182" s="145">
        <f>SUM(I183:I194)</f>
        <v>0</v>
      </c>
      <c r="J182" s="147">
        <f>SUM(J184:J194)</f>
        <v>0</v>
      </c>
      <c r="K182" s="148">
        <f>SUM(K184:K194)</f>
        <v>0</v>
      </c>
      <c r="L182" s="148">
        <f>SUM(L184:L194)</f>
        <v>0</v>
      </c>
      <c r="M182" s="148">
        <f>SUM(M183:M194)</f>
        <v>0</v>
      </c>
      <c r="N182" s="149">
        <f>SUM(N183:N194)</f>
        <v>0</v>
      </c>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6">
        <f>SUM(AS183:AS194)</f>
        <v>31.711428371824582</v>
      </c>
      <c r="AT182" s="134">
        <f>SUM(AT183:AT194)</f>
        <v>0</v>
      </c>
      <c r="AU182" s="136">
        <f>SUM(AU183:AU194)</f>
        <v>38.653890073092484</v>
      </c>
      <c r="AV182" s="134">
        <f>SUM(AV183:AV194)</f>
        <v>0</v>
      </c>
      <c r="AW182" s="136">
        <f>SUM(AW183:AW194)</f>
        <v>52.96227745506576</v>
      </c>
      <c r="AX182" s="134">
        <f>SUM(AX183:AX194)</f>
        <v>0</v>
      </c>
      <c r="AY182" s="136">
        <f>SUM(AY183:AY194)</f>
        <v>50.84018504272791</v>
      </c>
      <c r="AZ182" s="134">
        <f>SUM(AZ183:AZ194)</f>
        <v>0</v>
      </c>
      <c r="BA182" s="136">
        <f>SUM(BA183:BA194)</f>
        <v>32.276713443370319</v>
      </c>
      <c r="BB182" s="134">
        <f>SUM(BB183:BB194)</f>
        <v>0</v>
      </c>
      <c r="BC182" s="136">
        <f>SUM(BC183:BC194)</f>
        <v>48.743000000000009</v>
      </c>
      <c r="BD182" s="134">
        <f>SUM(BD183:BD194)</f>
        <v>0</v>
      </c>
      <c r="BE182" s="136">
        <f>SUM(BE183:BE194)</f>
        <v>48.743000000000009</v>
      </c>
      <c r="BF182" s="134">
        <f>SUM(BF183:BF194)</f>
        <v>795</v>
      </c>
      <c r="BG182" s="136">
        <f>SUM(BG183:BG194)</f>
        <v>34.874445034561539</v>
      </c>
      <c r="BH182" s="134">
        <f>SUM(BH183:BH194)</f>
        <v>0</v>
      </c>
      <c r="BI182" s="136">
        <f>SUM(BI183:BI194)</f>
        <v>38.658920562034936</v>
      </c>
      <c r="BJ182" s="134">
        <f>SUM(BJ183:BJ194)</f>
        <v>0</v>
      </c>
      <c r="BK182" s="136">
        <f>SUM(BK183:BK194)</f>
        <v>28.944401479685546</v>
      </c>
      <c r="BL182" s="134">
        <f>SUM(BL183:BL194)</f>
        <v>0</v>
      </c>
      <c r="BM182" s="136">
        <f>SUM(BM183:BM194)</f>
        <v>32.884693177478908</v>
      </c>
      <c r="BN182" s="134">
        <f>SUM(BN183:BN194)</f>
        <v>0</v>
      </c>
      <c r="BO182" s="136">
        <f>SUM(BO183:BO194)</f>
        <v>48.973551177839319</v>
      </c>
      <c r="BP182" s="134">
        <f>SUM(BP183:BP194)</f>
        <v>845</v>
      </c>
      <c r="BQ182" s="136">
        <f>SUM(BQ183:BQ194)</f>
        <v>31.711428371824582</v>
      </c>
      <c r="BR182" s="134">
        <f>SUM(BR183:BR194)</f>
        <v>0</v>
      </c>
      <c r="BS182" s="136">
        <f>SUM(BS183:BS194)</f>
        <v>38.653890073092484</v>
      </c>
      <c r="BT182" s="134">
        <f>SUM(BT183:BT194)</f>
        <v>0</v>
      </c>
      <c r="BU182" s="136">
        <f>SUM(BU183:BU194)</f>
        <v>52.96227745506576</v>
      </c>
      <c r="BV182" s="134">
        <f>SUM(BV183:BV194)</f>
        <v>0</v>
      </c>
      <c r="BW182" s="136">
        <f>SUM(BW183:BW194)</f>
        <v>50.84018504272791</v>
      </c>
      <c r="BX182" s="134">
        <f>SUM(BX183:BX194)</f>
        <v>0</v>
      </c>
      <c r="BY182" s="136">
        <f>SUM(BY183:BY194)</f>
        <v>32.276713443370319</v>
      </c>
      <c r="BZ182" s="134">
        <f>SUM(BZ183:BZ194)</f>
        <v>420</v>
      </c>
      <c r="CA182" s="136">
        <f>SUM(CA183:CA194)</f>
        <v>48.743000000000009</v>
      </c>
      <c r="CB182" s="134">
        <f>SUM(CB183:CB194)</f>
        <v>0</v>
      </c>
      <c r="CC182" s="136">
        <f>SUM(CC183:CC194)</f>
        <v>0</v>
      </c>
      <c r="CD182" s="134">
        <f>SUM(CD183:CD194)</f>
        <v>420</v>
      </c>
      <c r="CE182" s="136">
        <f>SUM(CE183:CE194)</f>
        <v>0</v>
      </c>
      <c r="CF182" s="134">
        <f>SUM(CF183:CF194)</f>
        <v>0</v>
      </c>
      <c r="CG182" s="136">
        <f>SUM(CG183:CG194)</f>
        <v>0</v>
      </c>
      <c r="CH182" s="134">
        <f>SUM(CH183:CH194)</f>
        <v>0</v>
      </c>
      <c r="CI182" s="136">
        <f>SUM(CI183:CI194)</f>
        <v>0</v>
      </c>
      <c r="CJ182" s="134">
        <f>SUM(CJ183:CJ194)</f>
        <v>0</v>
      </c>
      <c r="CK182" s="136">
        <f>SUM(CK183:CK194)</f>
        <v>0</v>
      </c>
      <c r="CL182" s="134">
        <f>SUM(CL183:CL194)</f>
        <v>0</v>
      </c>
      <c r="CM182" s="136">
        <f>SUM(CM183:CM194)</f>
        <v>0</v>
      </c>
      <c r="CN182" s="134">
        <f>SUM(CN183:CN194)</f>
        <v>0</v>
      </c>
      <c r="CO182" s="136">
        <f>SUM(CO183:CO194)</f>
        <v>0</v>
      </c>
      <c r="CP182" s="134">
        <f>SUM(CP183:CP194)</f>
        <v>0</v>
      </c>
      <c r="CQ182" s="136">
        <f>SUM(CQ183:CQ194)</f>
        <v>0</v>
      </c>
      <c r="CR182" s="134">
        <f>SUM(CR183:CR194)</f>
        <v>0</v>
      </c>
      <c r="CS182" s="136">
        <f>SUM(CS183:CS194)</f>
        <v>0</v>
      </c>
      <c r="CT182" s="134">
        <f>SUM(CT183:CT194)</f>
        <v>0</v>
      </c>
      <c r="CU182" s="136">
        <v>65.156981784482824</v>
      </c>
      <c r="CV182" s="134">
        <f>SUM(CV183:CV194)</f>
        <v>0</v>
      </c>
      <c r="CW182" s="136">
        <f>SUM(CW183:CW194)</f>
        <v>0</v>
      </c>
      <c r="CX182" s="134">
        <f>SUM(CX183:CX194)</f>
        <v>0</v>
      </c>
      <c r="CY182" s="136">
        <f>SUM(CY183:CY194)</f>
        <v>0</v>
      </c>
      <c r="CZ182" s="134">
        <f>SUM(CZ183:CZ194)</f>
        <v>0</v>
      </c>
      <c r="DA182" s="141"/>
      <c r="DB182" s="293"/>
    </row>
    <row r="183" spans="2:106" ht="30.75" customHeight="1">
      <c r="B183" s="25"/>
      <c r="C183" s="553"/>
      <c r="D183" s="494">
        <v>1</v>
      </c>
      <c r="E183" s="99" t="s">
        <v>287</v>
      </c>
      <c r="F183" s="572"/>
      <c r="G183" s="46">
        <f>F183*3080</f>
        <v>0</v>
      </c>
      <c r="H183" s="45">
        <f>F183*($H$171/$F$171)</f>
        <v>0</v>
      </c>
      <c r="I183" s="46">
        <f>H183*3080</f>
        <v>0</v>
      </c>
      <c r="J183" s="310"/>
      <c r="K183" s="39">
        <f>SUM(L183:N183)</f>
        <v>0</v>
      </c>
      <c r="L183" s="39"/>
      <c r="M183" s="39"/>
      <c r="N183" s="42"/>
      <c r="O183" s="304"/>
      <c r="P183" s="304"/>
      <c r="Q183" s="333">
        <v>45631</v>
      </c>
      <c r="R183" s="129"/>
      <c r="S183" s="345"/>
      <c r="T183" s="345"/>
      <c r="U183" s="333">
        <v>45392</v>
      </c>
      <c r="V183" s="129"/>
      <c r="W183" s="129"/>
      <c r="X183" s="129"/>
      <c r="Y183" s="129"/>
      <c r="Z183" s="129"/>
      <c r="AA183" s="129"/>
      <c r="AB183" s="129"/>
      <c r="AC183" s="345"/>
      <c r="AD183" s="345"/>
      <c r="AE183" s="129"/>
      <c r="AF183" s="129"/>
      <c r="AG183" s="129"/>
      <c r="AH183" s="129"/>
      <c r="AI183" s="129">
        <f>SUM(J183:K183)-CI183+CJ183</f>
        <v>0</v>
      </c>
      <c r="AJ183" s="129">
        <f t="shared" ref="AJ183:AJ194" si="238">AI183-CK183+CL183</f>
        <v>0</v>
      </c>
      <c r="AK183" s="129">
        <f t="shared" ref="AK183:AK194" si="239">AJ183-CM183+CN183</f>
        <v>0</v>
      </c>
      <c r="AL183" s="399">
        <f t="shared" ref="AL183:AL194" si="240">AK183-CO183+CP183</f>
        <v>0</v>
      </c>
      <c r="AM183" s="393">
        <f t="shared" ref="AM183:AM194" si="241">AL183-CQ183+CR183</f>
        <v>0</v>
      </c>
      <c r="AN183" s="393">
        <f t="shared" ref="AN183:AN194" si="242">AM183-CS183+CT183</f>
        <v>0</v>
      </c>
      <c r="AO183" s="393">
        <f t="shared" ref="AO183:AO194" si="243">AN183-CU183+CV183</f>
        <v>0</v>
      </c>
      <c r="AP183" s="96">
        <f t="shared" ref="AP183:AP194" si="244">AO183-CW183+CX183</f>
        <v>0</v>
      </c>
      <c r="AQ183" s="91">
        <f t="shared" ref="AQ183:AQ194" si="245">AP183-CY183+CZ183</f>
        <v>0</v>
      </c>
      <c r="AR183" s="129"/>
      <c r="AS183" s="41">
        <f>$H$172*月別販売比率!AG16</f>
        <v>0</v>
      </c>
      <c r="AT183" s="39"/>
      <c r="AU183" s="41">
        <f>$H$172*月別販売比率!AL16</f>
        <v>0</v>
      </c>
      <c r="AV183" s="39"/>
      <c r="AW183" s="41">
        <f>$H$172*月別販売比率!AQ16</f>
        <v>0</v>
      </c>
      <c r="AX183" s="39"/>
      <c r="AY183" s="41">
        <f>$H$172*月別販売比率!AV16</f>
        <v>0</v>
      </c>
      <c r="AZ183" s="39"/>
      <c r="BA183" s="41">
        <f>$H$172*月別販売比率!BA16</f>
        <v>0</v>
      </c>
      <c r="BB183" s="39"/>
      <c r="BC183" s="41">
        <f>$H$172*月別販売比率!BF16</f>
        <v>0</v>
      </c>
      <c r="BD183" s="39"/>
      <c r="BE183" s="283">
        <f>$H$172*月別販売比率!C32</f>
        <v>0</v>
      </c>
      <c r="BF183" s="280">
        <v>60</v>
      </c>
      <c r="BG183" s="41">
        <f>$H$172*月別販売比率!H32</f>
        <v>0</v>
      </c>
      <c r="BH183" s="39"/>
      <c r="BI183" s="41">
        <f>$H$172*月別販売比率!M32</f>
        <v>0</v>
      </c>
      <c r="BJ183" s="39"/>
      <c r="BK183" s="41">
        <f>$H$172*月別販売比率!R32</f>
        <v>0</v>
      </c>
      <c r="BL183" s="39"/>
      <c r="BM183" s="41">
        <f>$H$172*月別販売比率!W32</f>
        <v>0</v>
      </c>
      <c r="BN183" s="39"/>
      <c r="BO183" s="283">
        <f>$H$172*月別販売比率!AB32</f>
        <v>0</v>
      </c>
      <c r="BP183" s="280">
        <v>100</v>
      </c>
      <c r="BQ183" s="283">
        <f>$H$172*月別販売比率!AG32</f>
        <v>0</v>
      </c>
      <c r="BR183" s="280"/>
      <c r="BS183" s="41">
        <f>$H$172*月別販売比率!AL32</f>
        <v>0</v>
      </c>
      <c r="BT183" s="39"/>
      <c r="BU183" s="41">
        <f>$H$172*月別販売比率!AQ32</f>
        <v>0</v>
      </c>
      <c r="BV183" s="39"/>
      <c r="BW183" s="41">
        <f>$H$172*月別販売比率!AV32</f>
        <v>0</v>
      </c>
      <c r="BX183" s="39"/>
      <c r="BY183" s="283">
        <f>$H$172*月別販売比率!BA32</f>
        <v>0</v>
      </c>
      <c r="BZ183" s="280">
        <v>30</v>
      </c>
      <c r="CA183" s="41">
        <f>$H$172*月別販売比率!BF32</f>
        <v>0</v>
      </c>
      <c r="CB183" s="39"/>
      <c r="CC183" s="283">
        <f>H183*月別販売比率!$C$21</f>
        <v>0</v>
      </c>
      <c r="CD183" s="280">
        <v>30</v>
      </c>
      <c r="CE183" s="41">
        <f>H183*月別販売比率!$H$21</f>
        <v>0</v>
      </c>
      <c r="CF183" s="39"/>
      <c r="CG183" s="41">
        <f>H183*月別販売比率!$M$21</f>
        <v>0</v>
      </c>
      <c r="CH183" s="39"/>
      <c r="CI183" s="41">
        <f>H183*月別販売比率!$R$21</f>
        <v>0</v>
      </c>
      <c r="CJ183" s="39"/>
      <c r="CK183" s="41">
        <f>H183*月別販売比率!$W$21</f>
        <v>0</v>
      </c>
      <c r="CL183" s="39"/>
      <c r="CM183" s="41">
        <f>H183*月別販売比率!$AB$21</f>
        <v>0</v>
      </c>
      <c r="CN183" s="39"/>
      <c r="CO183" s="41">
        <f>H183*月別販売比率!$AG$21</f>
        <v>0</v>
      </c>
      <c r="CP183" s="39"/>
      <c r="CQ183" s="41">
        <f>H183*月別販売比率!$AL$21</f>
        <v>0</v>
      </c>
      <c r="CR183" s="39"/>
      <c r="CS183" s="41">
        <f>H183*月別販売比率!$AQ$21</f>
        <v>0</v>
      </c>
      <c r="CT183" s="39"/>
      <c r="CU183" s="41">
        <f>H183*月別販売比率!$AV$21</f>
        <v>0</v>
      </c>
      <c r="CV183" s="39"/>
      <c r="CW183" s="41">
        <f>H183*月別販売比率!$BA$21</f>
        <v>0</v>
      </c>
      <c r="CX183" s="39"/>
      <c r="CY183" s="41">
        <f>H183*月別販売比率!$BF$21</f>
        <v>0</v>
      </c>
      <c r="CZ183" s="39"/>
      <c r="DA183" s="50"/>
      <c r="DB183" s="295"/>
    </row>
    <row r="184" spans="2:106" ht="30.75" customHeight="1">
      <c r="B184" s="25"/>
      <c r="C184" s="554"/>
      <c r="D184" s="494"/>
      <c r="E184" s="99" t="s">
        <v>286</v>
      </c>
      <c r="F184" s="572"/>
      <c r="G184" s="46">
        <f t="shared" ref="G184:G194" si="246">F184*3080</f>
        <v>0</v>
      </c>
      <c r="H184" s="45">
        <f>F184*($H$171/$F$171)</f>
        <v>0</v>
      </c>
      <c r="I184" s="46">
        <f t="shared" ref="I184:I194" si="247">H184*3080</f>
        <v>0</v>
      </c>
      <c r="J184" s="49"/>
      <c r="K184" s="39">
        <f t="shared" ref="K184:K194" si="248">SUM(L184:N184)</f>
        <v>0</v>
      </c>
      <c r="L184" s="39"/>
      <c r="M184" s="39"/>
      <c r="N184" s="42"/>
      <c r="O184" s="43"/>
      <c r="P184" s="43"/>
      <c r="Q184" s="335"/>
      <c r="R184" s="129"/>
      <c r="S184" s="345"/>
      <c r="T184" s="345"/>
      <c r="U184" s="333">
        <v>45392</v>
      </c>
      <c r="V184" s="129"/>
      <c r="W184" s="129"/>
      <c r="X184" s="129"/>
      <c r="Y184" s="345"/>
      <c r="Z184" s="129"/>
      <c r="AA184" s="345"/>
      <c r="AB184" s="345"/>
      <c r="AC184" s="345"/>
      <c r="AD184" s="335"/>
      <c r="AE184" s="335"/>
      <c r="AF184" s="335"/>
      <c r="AG184" s="335"/>
      <c r="AH184" s="335"/>
      <c r="AI184" s="129">
        <f t="shared" ref="AI184:AI194" si="249">SUM(J184:K184)-CI184+CJ184</f>
        <v>0</v>
      </c>
      <c r="AJ184" s="129">
        <f t="shared" si="238"/>
        <v>0</v>
      </c>
      <c r="AK184" s="129">
        <f t="shared" si="239"/>
        <v>0</v>
      </c>
      <c r="AL184" s="399">
        <f t="shared" si="240"/>
        <v>0</v>
      </c>
      <c r="AM184" s="393">
        <f t="shared" si="241"/>
        <v>0</v>
      </c>
      <c r="AN184" s="393">
        <f t="shared" si="242"/>
        <v>0</v>
      </c>
      <c r="AO184" s="393">
        <f t="shared" si="243"/>
        <v>0</v>
      </c>
      <c r="AP184" s="96">
        <f t="shared" si="244"/>
        <v>0</v>
      </c>
      <c r="AQ184" s="91">
        <f t="shared" si="245"/>
        <v>0</v>
      </c>
      <c r="AR184" s="129"/>
      <c r="AS184" s="41">
        <f>$H$173*月別販売比率!AG16</f>
        <v>0</v>
      </c>
      <c r="AT184" s="39"/>
      <c r="AU184" s="41">
        <f>$H$173*月別販売比率!AL16</f>
        <v>0</v>
      </c>
      <c r="AV184" s="39"/>
      <c r="AW184" s="41">
        <f>$H$173*月別販売比率!AQ16</f>
        <v>0</v>
      </c>
      <c r="AX184" s="39"/>
      <c r="AY184" s="41">
        <f>$H$173*月別販売比率!AV16</f>
        <v>0</v>
      </c>
      <c r="AZ184" s="39"/>
      <c r="BA184" s="41">
        <f>$H$173*月別販売比率!BA16</f>
        <v>0</v>
      </c>
      <c r="BB184" s="39"/>
      <c r="BC184" s="41">
        <f>$H$173*月別販売比率!BF16</f>
        <v>0</v>
      </c>
      <c r="BD184" s="39"/>
      <c r="BE184" s="283">
        <f>$H$173*月別販売比率!C32</f>
        <v>0</v>
      </c>
      <c r="BF184" s="280">
        <v>90</v>
      </c>
      <c r="BG184" s="41">
        <f>$H$173*月別販売比率!H32</f>
        <v>0</v>
      </c>
      <c r="BH184" s="39"/>
      <c r="BI184" s="41">
        <f>$H$173*月別販売比率!M32</f>
        <v>0</v>
      </c>
      <c r="BJ184" s="39"/>
      <c r="BK184" s="41">
        <f>$H$173*月別販売比率!R32</f>
        <v>0</v>
      </c>
      <c r="BL184" s="39"/>
      <c r="BM184" s="41">
        <f>$H$173*月別販売比率!W32</f>
        <v>0</v>
      </c>
      <c r="BN184" s="39"/>
      <c r="BO184" s="283">
        <f>$H$173*月別販売比率!AB32</f>
        <v>0</v>
      </c>
      <c r="BP184" s="280">
        <v>15</v>
      </c>
      <c r="BQ184" s="283">
        <f>$H$173*月別販売比率!AG32</f>
        <v>0</v>
      </c>
      <c r="BR184" s="280"/>
      <c r="BS184" s="41">
        <f>$H$173*月別販売比率!AL32</f>
        <v>0</v>
      </c>
      <c r="BT184" s="39"/>
      <c r="BU184" s="41">
        <f>$H$173*月別販売比率!AQ32</f>
        <v>0</v>
      </c>
      <c r="BV184" s="39"/>
      <c r="BW184" s="41">
        <f>$H$173*月別販売比率!AV32</f>
        <v>0</v>
      </c>
      <c r="BX184" s="39"/>
      <c r="BY184" s="283">
        <f>$H$173*月別販売比率!BA32</f>
        <v>0</v>
      </c>
      <c r="BZ184" s="280">
        <v>40</v>
      </c>
      <c r="CA184" s="41">
        <f>$H$173*月別販売比率!BF32</f>
        <v>0</v>
      </c>
      <c r="CB184" s="39"/>
      <c r="CC184" s="283">
        <f>H184*月別販売比率!$C$21</f>
        <v>0</v>
      </c>
      <c r="CD184" s="280">
        <v>40</v>
      </c>
      <c r="CE184" s="41">
        <f>H184*月別販売比率!$H$21</f>
        <v>0</v>
      </c>
      <c r="CF184" s="39"/>
      <c r="CG184" s="41">
        <f>H184*月別販売比率!$M$21</f>
        <v>0</v>
      </c>
      <c r="CH184" s="39"/>
      <c r="CI184" s="41">
        <f>H184*月別販売比率!$R$21</f>
        <v>0</v>
      </c>
      <c r="CJ184" s="39"/>
      <c r="CK184" s="41">
        <f>H184*月別販売比率!$W$21</f>
        <v>0</v>
      </c>
      <c r="CL184" s="39"/>
      <c r="CM184" s="41">
        <f>H184*月別販売比率!$AB$21</f>
        <v>0</v>
      </c>
      <c r="CN184" s="39"/>
      <c r="CO184" s="41">
        <f>H184*月別販売比率!$AG$21</f>
        <v>0</v>
      </c>
      <c r="CP184" s="39"/>
      <c r="CQ184" s="41">
        <f>H184*月別販売比率!$AL$21</f>
        <v>0</v>
      </c>
      <c r="CR184" s="39"/>
      <c r="CS184" s="41">
        <f>H184*月別販売比率!$AQ$21</f>
        <v>0</v>
      </c>
      <c r="CT184" s="39"/>
      <c r="CU184" s="41">
        <f>H184*月別販売比率!$AV$21</f>
        <v>0</v>
      </c>
      <c r="CV184" s="39"/>
      <c r="CW184" s="41">
        <f>H184*月別販売比率!$BA$21</f>
        <v>0</v>
      </c>
      <c r="CX184" s="39"/>
      <c r="CY184" s="41">
        <f>H184*月別販売比率!$BF$21</f>
        <v>0</v>
      </c>
      <c r="CZ184" s="39"/>
      <c r="DA184" s="50"/>
      <c r="DB184" s="295"/>
    </row>
    <row r="185" spans="2:106" ht="30.75" customHeight="1">
      <c r="B185" s="25"/>
      <c r="C185" s="555"/>
      <c r="D185" s="494"/>
      <c r="E185" s="99" t="s">
        <v>285</v>
      </c>
      <c r="F185" s="572"/>
      <c r="G185" s="46">
        <f t="shared" si="246"/>
        <v>0</v>
      </c>
      <c r="H185" s="45">
        <f>F185*($H$171/$F$171)</f>
        <v>0</v>
      </c>
      <c r="I185" s="46">
        <f t="shared" si="247"/>
        <v>0</v>
      </c>
      <c r="J185" s="49"/>
      <c r="K185" s="39">
        <f t="shared" si="248"/>
        <v>0</v>
      </c>
      <c r="L185" s="39"/>
      <c r="M185" s="39"/>
      <c r="N185" s="42"/>
      <c r="O185" s="43"/>
      <c r="P185" s="43"/>
      <c r="Q185" s="335"/>
      <c r="R185" s="129"/>
      <c r="S185" s="345"/>
      <c r="T185" s="345"/>
      <c r="U185" s="333">
        <v>45392</v>
      </c>
      <c r="V185" s="129"/>
      <c r="W185" s="129"/>
      <c r="X185" s="129"/>
      <c r="Y185" s="129"/>
      <c r="Z185" s="129"/>
      <c r="AA185" s="345"/>
      <c r="AB185" s="129"/>
      <c r="AC185" s="345"/>
      <c r="AD185" s="345"/>
      <c r="AE185" s="129"/>
      <c r="AF185" s="129"/>
      <c r="AG185" s="129"/>
      <c r="AH185" s="129"/>
      <c r="AI185" s="129">
        <f t="shared" si="249"/>
        <v>0</v>
      </c>
      <c r="AJ185" s="129">
        <f t="shared" si="238"/>
        <v>0</v>
      </c>
      <c r="AK185" s="129">
        <f t="shared" si="239"/>
        <v>0</v>
      </c>
      <c r="AL185" s="399">
        <f t="shared" si="240"/>
        <v>0</v>
      </c>
      <c r="AM185" s="393">
        <f t="shared" si="241"/>
        <v>0</v>
      </c>
      <c r="AN185" s="393">
        <f t="shared" si="242"/>
        <v>0</v>
      </c>
      <c r="AO185" s="393">
        <f t="shared" si="243"/>
        <v>0</v>
      </c>
      <c r="AP185" s="96">
        <f t="shared" si="244"/>
        <v>0</v>
      </c>
      <c r="AQ185" s="91">
        <f t="shared" si="245"/>
        <v>0</v>
      </c>
      <c r="AR185" s="129"/>
      <c r="AS185" s="41">
        <f>$H$174*月別販売比率!AG16</f>
        <v>0</v>
      </c>
      <c r="AT185" s="39"/>
      <c r="AU185" s="41">
        <f>$H$174*月別販売比率!AL16</f>
        <v>0</v>
      </c>
      <c r="AV185" s="39"/>
      <c r="AW185" s="41">
        <f>$H$174*月別販売比率!AQ16</f>
        <v>0</v>
      </c>
      <c r="AX185" s="39"/>
      <c r="AY185" s="41">
        <f>$H$174*月別販売比率!AV16</f>
        <v>0</v>
      </c>
      <c r="AZ185" s="39"/>
      <c r="BA185" s="41">
        <f>$H$174*月別販売比率!BA16</f>
        <v>0</v>
      </c>
      <c r="BB185" s="39"/>
      <c r="BC185" s="41">
        <f>$H$174*月別販売比率!BF16</f>
        <v>0</v>
      </c>
      <c r="BD185" s="39"/>
      <c r="BE185" s="283">
        <f>$H$174*月別販売比率!C32</f>
        <v>0</v>
      </c>
      <c r="BF185" s="280">
        <v>75</v>
      </c>
      <c r="BG185" s="41">
        <f>$H$174*月別販売比率!H32</f>
        <v>0</v>
      </c>
      <c r="BH185" s="39"/>
      <c r="BI185" s="41">
        <f>$H$174*月別販売比率!M32</f>
        <v>0</v>
      </c>
      <c r="BJ185" s="39"/>
      <c r="BK185" s="41">
        <f>$H$174*月別販売比率!R32</f>
        <v>0</v>
      </c>
      <c r="BL185" s="39"/>
      <c r="BM185" s="41">
        <f>$H$174*月別販売比率!W32</f>
        <v>0</v>
      </c>
      <c r="BN185" s="39"/>
      <c r="BO185" s="283">
        <f>$H$174*月別販売比率!AB32</f>
        <v>0</v>
      </c>
      <c r="BP185" s="280">
        <v>65</v>
      </c>
      <c r="BQ185" s="283">
        <f>$H$174*月別販売比率!AG32</f>
        <v>0</v>
      </c>
      <c r="BR185" s="280"/>
      <c r="BS185" s="41">
        <f>$H$174*月別販売比率!AL32</f>
        <v>0</v>
      </c>
      <c r="BT185" s="39"/>
      <c r="BU185" s="41">
        <f>$H$174*月別販売比率!AQ32</f>
        <v>0</v>
      </c>
      <c r="BV185" s="39"/>
      <c r="BW185" s="41">
        <f>$H$174*月別販売比率!AV32</f>
        <v>0</v>
      </c>
      <c r="BX185" s="39"/>
      <c r="BY185" s="283">
        <f>$H$174*月別販売比率!BA32</f>
        <v>0</v>
      </c>
      <c r="BZ185" s="280">
        <v>35</v>
      </c>
      <c r="CA185" s="41">
        <f>$H$174*月別販売比率!BF32</f>
        <v>0</v>
      </c>
      <c r="CB185" s="39"/>
      <c r="CC185" s="283">
        <f>H185*月別販売比率!$C$21</f>
        <v>0</v>
      </c>
      <c r="CD185" s="280">
        <v>35</v>
      </c>
      <c r="CE185" s="41">
        <f>H185*月別販売比率!$H$21</f>
        <v>0</v>
      </c>
      <c r="CF185" s="39"/>
      <c r="CG185" s="41">
        <f>H185*月別販売比率!$M$21</f>
        <v>0</v>
      </c>
      <c r="CH185" s="39"/>
      <c r="CI185" s="41">
        <f>H185*月別販売比率!$R$21</f>
        <v>0</v>
      </c>
      <c r="CJ185" s="39"/>
      <c r="CK185" s="41">
        <f>H185*月別販売比率!$W$21</f>
        <v>0</v>
      </c>
      <c r="CL185" s="39"/>
      <c r="CM185" s="41">
        <f>H185*月別販売比率!$AB$21</f>
        <v>0</v>
      </c>
      <c r="CN185" s="39"/>
      <c r="CO185" s="41">
        <f>H185*月別販売比率!$AG$21</f>
        <v>0</v>
      </c>
      <c r="CP185" s="39"/>
      <c r="CQ185" s="41">
        <f>H185*月別販売比率!$AL$21</f>
        <v>0</v>
      </c>
      <c r="CR185" s="39"/>
      <c r="CS185" s="41">
        <f>H185*月別販売比率!$AQ$21</f>
        <v>0</v>
      </c>
      <c r="CT185" s="39"/>
      <c r="CU185" s="41">
        <f>H185*月別販売比率!$AV$21</f>
        <v>0</v>
      </c>
      <c r="CV185" s="39"/>
      <c r="CW185" s="41">
        <f>H185*月別販売比率!$BA$21</f>
        <v>0</v>
      </c>
      <c r="CX185" s="39"/>
      <c r="CY185" s="41">
        <f>H185*月別販売比率!$BF$21</f>
        <v>0</v>
      </c>
      <c r="CZ185" s="39"/>
      <c r="DA185" s="50"/>
      <c r="DB185" s="295"/>
    </row>
    <row r="186" spans="2:106" ht="30.75" customHeight="1">
      <c r="B186" s="25"/>
      <c r="C186" s="555"/>
      <c r="D186" s="494"/>
      <c r="E186" s="99" t="s">
        <v>284</v>
      </c>
      <c r="F186" s="572"/>
      <c r="G186" s="46">
        <f t="shared" si="246"/>
        <v>0</v>
      </c>
      <c r="H186" s="45">
        <f>F186*($H$171/$F$171)</f>
        <v>0</v>
      </c>
      <c r="I186" s="46">
        <f t="shared" si="247"/>
        <v>0</v>
      </c>
      <c r="J186" s="310"/>
      <c r="K186" s="39">
        <f t="shared" si="248"/>
        <v>0</v>
      </c>
      <c r="L186" s="39"/>
      <c r="M186" s="39"/>
      <c r="N186" s="42"/>
      <c r="O186" s="43"/>
      <c r="P186" s="43"/>
      <c r="Q186" s="335"/>
      <c r="R186" s="129"/>
      <c r="S186" s="345"/>
      <c r="T186" s="345"/>
      <c r="U186" s="333"/>
      <c r="V186" s="129"/>
      <c r="W186" s="129"/>
      <c r="X186" s="129"/>
      <c r="Y186" s="129"/>
      <c r="Z186" s="129"/>
      <c r="AA186" s="345"/>
      <c r="AB186" s="129"/>
      <c r="AC186" s="345"/>
      <c r="AD186" s="345"/>
      <c r="AE186" s="129"/>
      <c r="AF186" s="129"/>
      <c r="AG186" s="129"/>
      <c r="AH186" s="129"/>
      <c r="AI186" s="129">
        <f t="shared" si="249"/>
        <v>0</v>
      </c>
      <c r="AJ186" s="129">
        <f t="shared" ref="AJ186" si="250">AI186-CK186+CL186</f>
        <v>0</v>
      </c>
      <c r="AK186" s="129">
        <f t="shared" ref="AK186" si="251">AJ186-CM186+CN186</f>
        <v>0</v>
      </c>
      <c r="AL186" s="399">
        <f t="shared" ref="AL186" si="252">AK186-CO186+CP186</f>
        <v>0</v>
      </c>
      <c r="AM186" s="393">
        <f t="shared" ref="AM186" si="253">AL186-CQ186+CR186</f>
        <v>0</v>
      </c>
      <c r="AN186" s="393">
        <f t="shared" ref="AN186" si="254">AM186-CS186+CT186</f>
        <v>0</v>
      </c>
      <c r="AO186" s="393">
        <f t="shared" ref="AO186" si="255">AN186-CU186+CV186</f>
        <v>0</v>
      </c>
      <c r="AP186" s="96">
        <f t="shared" ref="AP186" si="256">AO186-CW186+CX186</f>
        <v>0</v>
      </c>
      <c r="AQ186" s="91">
        <f t="shared" ref="AQ186" si="257">AP186-CY186+CZ186</f>
        <v>0</v>
      </c>
      <c r="AR186" s="129"/>
      <c r="AS186" s="41"/>
      <c r="AT186" s="39"/>
      <c r="AU186" s="41"/>
      <c r="AV186" s="39"/>
      <c r="AW186" s="41"/>
      <c r="AX186" s="39"/>
      <c r="AY186" s="41"/>
      <c r="AZ186" s="39"/>
      <c r="BA186" s="41"/>
      <c r="BB186" s="39"/>
      <c r="BC186" s="41"/>
      <c r="BD186" s="39"/>
      <c r="BE186" s="283"/>
      <c r="BF186" s="280"/>
      <c r="BG186" s="41"/>
      <c r="BH186" s="39"/>
      <c r="BI186" s="41"/>
      <c r="BJ186" s="39"/>
      <c r="BK186" s="41"/>
      <c r="BL186" s="39"/>
      <c r="BM186" s="41"/>
      <c r="BN186" s="39"/>
      <c r="BO186" s="283"/>
      <c r="BP186" s="280"/>
      <c r="BQ186" s="283"/>
      <c r="BR186" s="280"/>
      <c r="BS186" s="41"/>
      <c r="BT186" s="39"/>
      <c r="BU186" s="41"/>
      <c r="BV186" s="39"/>
      <c r="BW186" s="41"/>
      <c r="BX186" s="39"/>
      <c r="BY186" s="283"/>
      <c r="BZ186" s="280"/>
      <c r="CA186" s="41"/>
      <c r="CB186" s="39"/>
      <c r="CC186" s="283"/>
      <c r="CD186" s="280"/>
      <c r="CE186" s="41"/>
      <c r="CF186" s="39"/>
      <c r="CG186" s="41"/>
      <c r="CH186" s="39"/>
      <c r="CI186" s="41">
        <f>H186*月別販売比率!$R$21</f>
        <v>0</v>
      </c>
      <c r="CJ186" s="39"/>
      <c r="CK186" s="41">
        <f>H186*月別販売比率!$W$21</f>
        <v>0</v>
      </c>
      <c r="CL186" s="39"/>
      <c r="CM186" s="41">
        <f>H186*月別販売比率!$AB$21</f>
        <v>0</v>
      </c>
      <c r="CN186" s="39"/>
      <c r="CO186" s="41">
        <f>H186*月別販売比率!$AG$21</f>
        <v>0</v>
      </c>
      <c r="CP186" s="39"/>
      <c r="CQ186" s="41">
        <f>H186*月別販売比率!$AL$21</f>
        <v>0</v>
      </c>
      <c r="CR186" s="39"/>
      <c r="CS186" s="41">
        <f>H186*月別販売比率!$AQ$21</f>
        <v>0</v>
      </c>
      <c r="CT186" s="39"/>
      <c r="CU186" s="41">
        <f>H186*月別販売比率!$AV$21</f>
        <v>0</v>
      </c>
      <c r="CV186" s="39"/>
      <c r="CW186" s="41">
        <f>H186*月別販売比率!$BA$21</f>
        <v>0</v>
      </c>
      <c r="CX186" s="39"/>
      <c r="CY186" s="41">
        <f>H186*月別販売比率!$BF$21</f>
        <v>0</v>
      </c>
      <c r="CZ186" s="39"/>
      <c r="DA186" s="50"/>
      <c r="DB186" s="295"/>
    </row>
    <row r="187" spans="2:106" ht="30.75" customHeight="1">
      <c r="B187" s="25"/>
      <c r="C187" s="555"/>
      <c r="D187" s="494">
        <v>2</v>
      </c>
      <c r="E187" s="99" t="s">
        <v>287</v>
      </c>
      <c r="F187" s="572"/>
      <c r="G187" s="46">
        <f t="shared" ref="G187:G189" si="258">F187*3080</f>
        <v>0</v>
      </c>
      <c r="H187" s="45">
        <f>F187*($H$171/$F$171)</f>
        <v>0</v>
      </c>
      <c r="I187" s="46">
        <f t="shared" ref="I187:I189" si="259">H187*3080</f>
        <v>0</v>
      </c>
      <c r="J187" s="310"/>
      <c r="K187" s="39">
        <f t="shared" si="248"/>
        <v>0</v>
      </c>
      <c r="L187" s="39"/>
      <c r="M187" s="39"/>
      <c r="N187" s="42"/>
      <c r="O187" s="304"/>
      <c r="P187" s="304"/>
      <c r="Q187" s="333">
        <v>45631</v>
      </c>
      <c r="R187" s="129"/>
      <c r="S187" s="129"/>
      <c r="T187" s="129"/>
      <c r="U187" s="129"/>
      <c r="V187" s="129"/>
      <c r="W187" s="129"/>
      <c r="X187" s="129"/>
      <c r="Y187" s="129"/>
      <c r="Z187" s="129"/>
      <c r="AA187" s="345"/>
      <c r="AB187" s="129"/>
      <c r="AC187" s="129"/>
      <c r="AD187" s="129"/>
      <c r="AE187" s="129"/>
      <c r="AF187" s="129"/>
      <c r="AG187" s="129"/>
      <c r="AH187" s="129"/>
      <c r="AI187" s="129">
        <f t="shared" ref="AI187:AI189" si="260">SUM(J187:K187)-CI187+CJ187</f>
        <v>0</v>
      </c>
      <c r="AJ187" s="129">
        <f t="shared" ref="AJ187:AJ189" si="261">AI187-CK187+CL187</f>
        <v>0</v>
      </c>
      <c r="AK187" s="129">
        <f t="shared" ref="AK187:AK189" si="262">AJ187-CM187+CN187</f>
        <v>0</v>
      </c>
      <c r="AL187" s="399">
        <f t="shared" ref="AL187:AL189" si="263">AK187-CO187+CP187</f>
        <v>0</v>
      </c>
      <c r="AM187" s="393">
        <f t="shared" ref="AM187:AM189" si="264">AL187-CQ187+CR187</f>
        <v>0</v>
      </c>
      <c r="AN187" s="393">
        <f t="shared" ref="AN187:AN189" si="265">AM187-CS187+CT187</f>
        <v>0</v>
      </c>
      <c r="AO187" s="393">
        <f t="shared" ref="AO187:AO189" si="266">AN187-CU187+CV187</f>
        <v>0</v>
      </c>
      <c r="AP187" s="96">
        <f t="shared" ref="AP187:AP189" si="267">AO187-CW187+CX187</f>
        <v>0</v>
      </c>
      <c r="AQ187" s="91">
        <f t="shared" ref="AQ187:AQ189" si="268">AP187-CY187+CZ187</f>
        <v>0</v>
      </c>
      <c r="AR187" s="129"/>
      <c r="AS187" s="41">
        <f>$H$177*月別販売比率!AG11</f>
        <v>12.84513554301755</v>
      </c>
      <c r="AT187" s="39"/>
      <c r="AU187" s="41">
        <f>$H$177*月別販売比率!AL11</f>
        <v>15.657271928341258</v>
      </c>
      <c r="AV187" s="39"/>
      <c r="AW187" s="41">
        <f>$H$177*月別販売比率!AQ11</f>
        <v>21.453074412178538</v>
      </c>
      <c r="AX187" s="39"/>
      <c r="AY187" s="41">
        <f>$H$177*月別販売比率!AV11</f>
        <v>20.593492675535355</v>
      </c>
      <c r="AZ187" s="39"/>
      <c r="BA187" s="41">
        <f>$H$177*月別販売比率!BA11</f>
        <v>13.074111774529749</v>
      </c>
      <c r="BB187" s="39"/>
      <c r="BC187" s="41">
        <f>$H$177*月別販売比率!BF11</f>
        <v>19.744</v>
      </c>
      <c r="BD187" s="39"/>
      <c r="BE187" s="283">
        <f>$H$177*月別販売比率!C27</f>
        <v>19.744</v>
      </c>
      <c r="BF187" s="280">
        <v>60</v>
      </c>
      <c r="BG187" s="41">
        <f>$H$177*月別販売比率!H27</f>
        <v>14.126357482354042</v>
      </c>
      <c r="BH187" s="39"/>
      <c r="BI187" s="41">
        <f>$H$177*月別販売比率!M27</f>
        <v>15.659309594748327</v>
      </c>
      <c r="BJ187" s="39"/>
      <c r="BK187" s="41">
        <f>$H$177*月別販売比率!R27</f>
        <v>11.724314523416931</v>
      </c>
      <c r="BL187" s="39"/>
      <c r="BM187" s="41">
        <f>$H$177*月別販売比率!W27</f>
        <v>13.320382046573734</v>
      </c>
      <c r="BN187" s="39"/>
      <c r="BO187" s="283">
        <f>$H$177*月別販売比率!AB27</f>
        <v>19.837387818871623</v>
      </c>
      <c r="BP187" s="280">
        <v>150</v>
      </c>
      <c r="BQ187" s="283">
        <f>$H$177*月別販売比率!AG27</f>
        <v>12.84513554301755</v>
      </c>
      <c r="BR187" s="280"/>
      <c r="BS187" s="41">
        <f>$H$177*月別販売比率!AL27</f>
        <v>15.657271928341258</v>
      </c>
      <c r="BT187" s="39"/>
      <c r="BU187" s="41">
        <f>$H$177*月別販売比率!AQ27</f>
        <v>21.453074412178538</v>
      </c>
      <c r="BV187" s="39"/>
      <c r="BW187" s="41">
        <f>$H$177*月別販売比率!AV27</f>
        <v>20.593492675535355</v>
      </c>
      <c r="BX187" s="39"/>
      <c r="BY187" s="283">
        <f>$H$177*月別販売比率!BA27</f>
        <v>13.074111774529749</v>
      </c>
      <c r="BZ187" s="280">
        <v>40</v>
      </c>
      <c r="CA187" s="41">
        <f>$H$177*月別販売比率!BF27</f>
        <v>19.744</v>
      </c>
      <c r="CB187" s="39"/>
      <c r="CC187" s="283">
        <f>H187*月別販売比率!$C$21</f>
        <v>0</v>
      </c>
      <c r="CD187" s="280">
        <v>40</v>
      </c>
      <c r="CE187" s="41">
        <f>H187*月別販売比率!$H$21</f>
        <v>0</v>
      </c>
      <c r="CF187" s="39"/>
      <c r="CG187" s="41">
        <f>H187*月別販売比率!$M$21</f>
        <v>0</v>
      </c>
      <c r="CH187" s="39"/>
      <c r="CI187" s="41">
        <f>H187*月別販売比率!$R$21</f>
        <v>0</v>
      </c>
      <c r="CJ187" s="39"/>
      <c r="CK187" s="41">
        <f>H187*月別販売比率!$W$21</f>
        <v>0</v>
      </c>
      <c r="CL187" s="39"/>
      <c r="CM187" s="41">
        <f>H187*月別販売比率!$AB$21</f>
        <v>0</v>
      </c>
      <c r="CN187" s="39"/>
      <c r="CO187" s="41">
        <f>H187*月別販売比率!$AG$21</f>
        <v>0</v>
      </c>
      <c r="CP187" s="39"/>
      <c r="CQ187" s="41">
        <f>H187*月別販売比率!$AL$21</f>
        <v>0</v>
      </c>
      <c r="CR187" s="39"/>
      <c r="CS187" s="41">
        <f>H187*月別販売比率!$AQ$21</f>
        <v>0</v>
      </c>
      <c r="CT187" s="39"/>
      <c r="CU187" s="41">
        <f>H187*月別販売比率!$AV$21</f>
        <v>0</v>
      </c>
      <c r="CV187" s="39"/>
      <c r="CW187" s="41">
        <f>H187*月別販売比率!$BA$21</f>
        <v>0</v>
      </c>
      <c r="CX187" s="39"/>
      <c r="CY187" s="41">
        <f>H187*月別販売比率!$BF$21</f>
        <v>0</v>
      </c>
      <c r="CZ187" s="39"/>
      <c r="DA187" s="50"/>
      <c r="DB187" s="295"/>
    </row>
    <row r="188" spans="2:106" ht="30.75" customHeight="1">
      <c r="B188" s="25"/>
      <c r="C188" s="555"/>
      <c r="D188" s="494"/>
      <c r="E188" s="99" t="s">
        <v>286</v>
      </c>
      <c r="F188" s="572"/>
      <c r="G188" s="46">
        <f t="shared" si="258"/>
        <v>0</v>
      </c>
      <c r="H188" s="45">
        <f>F188*($H$171/$F$171)</f>
        <v>0</v>
      </c>
      <c r="I188" s="46">
        <f t="shared" si="259"/>
        <v>0</v>
      </c>
      <c r="J188" s="49"/>
      <c r="K188" s="39">
        <f t="shared" si="248"/>
        <v>0</v>
      </c>
      <c r="L188" s="39"/>
      <c r="M188" s="39"/>
      <c r="N188" s="42"/>
      <c r="O188" s="43"/>
      <c r="P188" s="43"/>
      <c r="Q188" s="335"/>
      <c r="R188" s="129"/>
      <c r="S188" s="345"/>
      <c r="T188" s="345"/>
      <c r="U188" s="333">
        <v>45392</v>
      </c>
      <c r="V188" s="345"/>
      <c r="W188" s="333">
        <v>45838</v>
      </c>
      <c r="X188" s="129"/>
      <c r="Y188" s="129"/>
      <c r="Z188" s="129"/>
      <c r="AA188" s="345"/>
      <c r="AB188" s="129"/>
      <c r="AC188" s="129"/>
      <c r="AD188" s="129"/>
      <c r="AE188" s="129"/>
      <c r="AF188" s="129"/>
      <c r="AG188" s="129"/>
      <c r="AH188" s="129"/>
      <c r="AI188" s="129">
        <f t="shared" si="260"/>
        <v>0</v>
      </c>
      <c r="AJ188" s="129">
        <f t="shared" si="261"/>
        <v>0</v>
      </c>
      <c r="AK188" s="129">
        <f t="shared" si="262"/>
        <v>0</v>
      </c>
      <c r="AL188" s="399">
        <f t="shared" si="263"/>
        <v>0</v>
      </c>
      <c r="AM188" s="393">
        <f t="shared" si="264"/>
        <v>0</v>
      </c>
      <c r="AN188" s="393">
        <f t="shared" si="265"/>
        <v>0</v>
      </c>
      <c r="AO188" s="393">
        <f t="shared" si="266"/>
        <v>0</v>
      </c>
      <c r="AP188" s="96">
        <f t="shared" si="267"/>
        <v>0</v>
      </c>
      <c r="AQ188" s="91">
        <f t="shared" si="268"/>
        <v>0</v>
      </c>
      <c r="AR188" s="129"/>
      <c r="AS188" s="41">
        <f>$H$178*月別販売比率!AG11</f>
        <v>8.0282097143859694</v>
      </c>
      <c r="AT188" s="39"/>
      <c r="AU188" s="41">
        <f>$H$178*月別販売比率!AL11</f>
        <v>9.7857949552132855</v>
      </c>
      <c r="AV188" s="39"/>
      <c r="AW188" s="41">
        <f>$H$178*月別販売比率!AQ11</f>
        <v>13.408171507611586</v>
      </c>
      <c r="AX188" s="39"/>
      <c r="AY188" s="41">
        <f>$H$178*月別販売比率!AV11</f>
        <v>12.870932922209599</v>
      </c>
      <c r="AZ188" s="39"/>
      <c r="BA188" s="41">
        <f>$H$178*月別販売比率!BA11</f>
        <v>8.1713198590810929</v>
      </c>
      <c r="BB188" s="39"/>
      <c r="BC188" s="41">
        <f>$H$178*月別販売比率!BF11</f>
        <v>12.340000000000002</v>
      </c>
      <c r="BD188" s="39"/>
      <c r="BE188" s="283">
        <f>$H$178*月別販売比率!C27</f>
        <v>12.340000000000002</v>
      </c>
      <c r="BF188" s="280">
        <v>90</v>
      </c>
      <c r="BG188" s="41">
        <f>$H$178*月別販売比率!H27</f>
        <v>8.8289734264712774</v>
      </c>
      <c r="BH188" s="39"/>
      <c r="BI188" s="41">
        <f>$H$178*月別販売比率!M27</f>
        <v>9.7870684967177048</v>
      </c>
      <c r="BJ188" s="39"/>
      <c r="BK188" s="41">
        <f>$H$178*月別販売比率!R27</f>
        <v>7.3276965771355815</v>
      </c>
      <c r="BL188" s="39"/>
      <c r="BM188" s="41">
        <f>$H$178*月別販売比率!W27</f>
        <v>8.3252387791085845</v>
      </c>
      <c r="BN188" s="39"/>
      <c r="BO188" s="283">
        <f>$H$178*月別販売比率!AB27</f>
        <v>12.398367386794765</v>
      </c>
      <c r="BP188" s="280">
        <v>50</v>
      </c>
      <c r="BQ188" s="283">
        <f>$H$178*月別販売比率!AG27</f>
        <v>8.0282097143859694</v>
      </c>
      <c r="BR188" s="280"/>
      <c r="BS188" s="41">
        <f>$H$178*月別販売比率!AL27</f>
        <v>9.7857949552132855</v>
      </c>
      <c r="BT188" s="39"/>
      <c r="BU188" s="41">
        <f>$H$178*月別販売比率!AQ27</f>
        <v>13.408171507611586</v>
      </c>
      <c r="BV188" s="39"/>
      <c r="BW188" s="41">
        <f>$H$178*月別販売比率!AV27</f>
        <v>12.870932922209599</v>
      </c>
      <c r="BX188" s="39"/>
      <c r="BY188" s="283">
        <f>$H$178*月別販売比率!BA27</f>
        <v>8.1713198590810929</v>
      </c>
      <c r="BZ188" s="280">
        <v>50</v>
      </c>
      <c r="CA188" s="41">
        <f>$H$178*月別販売比率!BF27</f>
        <v>12.340000000000002</v>
      </c>
      <c r="CB188" s="39"/>
      <c r="CC188" s="283">
        <f>H188*月別販売比率!$C$21</f>
        <v>0</v>
      </c>
      <c r="CD188" s="280">
        <v>50</v>
      </c>
      <c r="CE188" s="41">
        <f>H188*月別販売比率!$H$21</f>
        <v>0</v>
      </c>
      <c r="CF188" s="39"/>
      <c r="CG188" s="41">
        <f>H188*月別販売比率!$M$21</f>
        <v>0</v>
      </c>
      <c r="CH188" s="39"/>
      <c r="CI188" s="41">
        <f>H188*月別販売比率!$R$21</f>
        <v>0</v>
      </c>
      <c r="CJ188" s="39"/>
      <c r="CK188" s="41">
        <f>H188*月別販売比率!$W$21</f>
        <v>0</v>
      </c>
      <c r="CL188" s="39"/>
      <c r="CM188" s="41">
        <f>H188*月別販売比率!$AB$21</f>
        <v>0</v>
      </c>
      <c r="CN188" s="39"/>
      <c r="CO188" s="41">
        <f>H188*月別販売比率!$AG$21</f>
        <v>0</v>
      </c>
      <c r="CP188" s="39"/>
      <c r="CQ188" s="41">
        <f>H188*月別販売比率!$AL$21</f>
        <v>0</v>
      </c>
      <c r="CR188" s="39"/>
      <c r="CS188" s="41">
        <f>H188*月別販売比率!$AQ$21</f>
        <v>0</v>
      </c>
      <c r="CT188" s="39"/>
      <c r="CU188" s="41">
        <f>H188*月別販売比率!$AV$21</f>
        <v>0</v>
      </c>
      <c r="CV188" s="39"/>
      <c r="CW188" s="41">
        <f>H188*月別販売比率!$BA$21</f>
        <v>0</v>
      </c>
      <c r="CX188" s="39"/>
      <c r="CY188" s="41">
        <f>H188*月別販売比率!$BF$21</f>
        <v>0</v>
      </c>
      <c r="CZ188" s="39"/>
      <c r="DA188" s="50"/>
      <c r="DB188" s="295"/>
    </row>
    <row r="189" spans="2:106" ht="30.75" customHeight="1">
      <c r="B189" s="25"/>
      <c r="C189" s="555"/>
      <c r="D189" s="494"/>
      <c r="E189" s="99" t="s">
        <v>285</v>
      </c>
      <c r="F189" s="572"/>
      <c r="G189" s="46">
        <f t="shared" si="258"/>
        <v>0</v>
      </c>
      <c r="H189" s="45">
        <f>F189*($H$171/$F$171)</f>
        <v>0</v>
      </c>
      <c r="I189" s="46">
        <f t="shared" si="259"/>
        <v>0</v>
      </c>
      <c r="J189" s="49"/>
      <c r="K189" s="39">
        <f t="shared" si="248"/>
        <v>0</v>
      </c>
      <c r="L189" s="39"/>
      <c r="M189" s="39"/>
      <c r="N189" s="42"/>
      <c r="O189" s="43"/>
      <c r="P189" s="43"/>
      <c r="Q189" s="335"/>
      <c r="R189" s="129"/>
      <c r="S189" s="345"/>
      <c r="T189" s="345"/>
      <c r="U189" s="333">
        <v>45392</v>
      </c>
      <c r="V189" s="345"/>
      <c r="W189" s="345"/>
      <c r="X189" s="129"/>
      <c r="Y189" s="345"/>
      <c r="Z189" s="129"/>
      <c r="AA189" s="345"/>
      <c r="AB189" s="129"/>
      <c r="AC189" s="345"/>
      <c r="AD189" s="345"/>
      <c r="AE189" s="129"/>
      <c r="AF189" s="129"/>
      <c r="AG189" s="129"/>
      <c r="AH189" s="129"/>
      <c r="AI189" s="129">
        <f t="shared" si="260"/>
        <v>0</v>
      </c>
      <c r="AJ189" s="129">
        <f t="shared" si="261"/>
        <v>0</v>
      </c>
      <c r="AK189" s="129">
        <f t="shared" si="262"/>
        <v>0</v>
      </c>
      <c r="AL189" s="399">
        <f t="shared" si="263"/>
        <v>0</v>
      </c>
      <c r="AM189" s="393">
        <f t="shared" si="264"/>
        <v>0</v>
      </c>
      <c r="AN189" s="393">
        <f t="shared" si="265"/>
        <v>0</v>
      </c>
      <c r="AO189" s="393">
        <f t="shared" si="266"/>
        <v>0</v>
      </c>
      <c r="AP189" s="96">
        <f t="shared" si="267"/>
        <v>0</v>
      </c>
      <c r="AQ189" s="91">
        <f t="shared" si="268"/>
        <v>0</v>
      </c>
      <c r="AR189" s="129"/>
      <c r="AS189" s="41">
        <f>$H$179*月別販売比率!AG11</f>
        <v>10.838083114421059</v>
      </c>
      <c r="AT189" s="39"/>
      <c r="AU189" s="41">
        <f>$H$179*月別販売比率!AL11</f>
        <v>13.210823189537937</v>
      </c>
      <c r="AV189" s="39"/>
      <c r="AW189" s="41">
        <f>$H$179*月別販売比率!AQ11</f>
        <v>18.101031535275641</v>
      </c>
      <c r="AX189" s="39"/>
      <c r="AY189" s="41">
        <f>$H$179*月別販売比率!AV11</f>
        <v>17.375759444982958</v>
      </c>
      <c r="AZ189" s="39"/>
      <c r="BA189" s="41">
        <f>$H$179*月別販売比率!BA11</f>
        <v>11.031281809759475</v>
      </c>
      <c r="BB189" s="39"/>
      <c r="BC189" s="41">
        <f>$H$179*月別販売比率!BF11</f>
        <v>16.659000000000002</v>
      </c>
      <c r="BD189" s="39"/>
      <c r="BE189" s="283">
        <f>$H$179*月別販売比率!C27</f>
        <v>16.659000000000002</v>
      </c>
      <c r="BF189" s="280">
        <v>75</v>
      </c>
      <c r="BG189" s="41">
        <f>$H$179*月別販売比率!H27</f>
        <v>11.919114125736224</v>
      </c>
      <c r="BH189" s="39"/>
      <c r="BI189" s="41">
        <f>$H$179*月別販売比率!M27</f>
        <v>13.212542470568902</v>
      </c>
      <c r="BJ189" s="39"/>
      <c r="BK189" s="41">
        <f>$H$179*月別販売比率!R27</f>
        <v>9.892390379133035</v>
      </c>
      <c r="BL189" s="39"/>
      <c r="BM189" s="41">
        <f>$H$179*月別販売比率!W27</f>
        <v>11.239072351796588</v>
      </c>
      <c r="BN189" s="39"/>
      <c r="BO189" s="283">
        <f>$H$179*月別販売比率!AB27</f>
        <v>16.737795972172933</v>
      </c>
      <c r="BP189" s="280">
        <v>110</v>
      </c>
      <c r="BQ189" s="283">
        <f>$H$179*月別販売比率!AG27</f>
        <v>10.838083114421059</v>
      </c>
      <c r="BR189" s="280"/>
      <c r="BS189" s="41">
        <f>$H$179*月別販売比率!AL27</f>
        <v>13.210823189537937</v>
      </c>
      <c r="BT189" s="39"/>
      <c r="BU189" s="41">
        <f>$H$179*月別販売比率!AQ27</f>
        <v>18.101031535275641</v>
      </c>
      <c r="BV189" s="39"/>
      <c r="BW189" s="41">
        <f>$H$179*月別販売比率!AV27</f>
        <v>17.375759444982958</v>
      </c>
      <c r="BX189" s="39"/>
      <c r="BY189" s="283">
        <f>$H$179*月別販売比率!BA27</f>
        <v>11.031281809759475</v>
      </c>
      <c r="BZ189" s="280">
        <v>40</v>
      </c>
      <c r="CA189" s="41">
        <f>$H$179*月別販売比率!BF27</f>
        <v>16.659000000000002</v>
      </c>
      <c r="CB189" s="39"/>
      <c r="CC189" s="283">
        <f>H189*月別販売比率!$C$21</f>
        <v>0</v>
      </c>
      <c r="CD189" s="280">
        <v>40</v>
      </c>
      <c r="CE189" s="41">
        <f>H189*月別販売比率!$H$21</f>
        <v>0</v>
      </c>
      <c r="CF189" s="39"/>
      <c r="CG189" s="41">
        <f>H189*月別販売比率!$M$21</f>
        <v>0</v>
      </c>
      <c r="CH189" s="39"/>
      <c r="CI189" s="41">
        <f>H189*月別販売比率!$R$21</f>
        <v>0</v>
      </c>
      <c r="CJ189" s="39"/>
      <c r="CK189" s="41">
        <f>H189*月別販売比率!$W$21</f>
        <v>0</v>
      </c>
      <c r="CL189" s="39"/>
      <c r="CM189" s="41">
        <f>H189*月別販売比率!$AB$21</f>
        <v>0</v>
      </c>
      <c r="CN189" s="39"/>
      <c r="CO189" s="41">
        <f>H189*月別販売比率!$AG$21</f>
        <v>0</v>
      </c>
      <c r="CP189" s="39"/>
      <c r="CQ189" s="41">
        <f>H189*月別販売比率!$AL$21</f>
        <v>0</v>
      </c>
      <c r="CR189" s="39"/>
      <c r="CS189" s="41">
        <f>H189*月別販売比率!$AQ$21</f>
        <v>0</v>
      </c>
      <c r="CT189" s="39"/>
      <c r="CU189" s="41">
        <f>H189*月別販売比率!$AV$21</f>
        <v>0</v>
      </c>
      <c r="CV189" s="39"/>
      <c r="CW189" s="41">
        <f>H189*月別販売比率!$BA$21</f>
        <v>0</v>
      </c>
      <c r="CX189" s="39"/>
      <c r="CY189" s="41">
        <f>H189*月別販売比率!$BF$21</f>
        <v>0</v>
      </c>
      <c r="CZ189" s="39"/>
      <c r="DA189" s="50"/>
      <c r="DB189" s="295"/>
    </row>
    <row r="190" spans="2:106" ht="30.75" customHeight="1">
      <c r="B190" s="25"/>
      <c r="C190" s="555"/>
      <c r="D190" s="494"/>
      <c r="E190" s="99" t="s">
        <v>284</v>
      </c>
      <c r="F190" s="572"/>
      <c r="G190" s="46">
        <f t="shared" si="246"/>
        <v>0</v>
      </c>
      <c r="H190" s="45">
        <f>F190*($H$171/$F$171)</f>
        <v>0</v>
      </c>
      <c r="I190" s="46">
        <f t="shared" si="247"/>
        <v>0</v>
      </c>
      <c r="J190" s="49"/>
      <c r="K190" s="39">
        <f t="shared" si="248"/>
        <v>0</v>
      </c>
      <c r="L190" s="39"/>
      <c r="M190" s="39"/>
      <c r="N190" s="42"/>
      <c r="O190" s="43"/>
      <c r="P190" s="43"/>
      <c r="Q190" s="335"/>
      <c r="R190" s="129"/>
      <c r="S190" s="129"/>
      <c r="T190" s="129"/>
      <c r="U190" s="129"/>
      <c r="V190" s="345"/>
      <c r="W190" s="345"/>
      <c r="X190" s="345"/>
      <c r="Y190" s="345"/>
      <c r="Z190" s="129"/>
      <c r="AA190" s="345"/>
      <c r="AB190" s="345"/>
      <c r="AC190" s="345"/>
      <c r="AD190" s="345"/>
      <c r="AE190" s="345"/>
      <c r="AF190" s="345"/>
      <c r="AG190" s="129"/>
      <c r="AH190" s="129"/>
      <c r="AI190" s="129">
        <f t="shared" si="249"/>
        <v>0</v>
      </c>
      <c r="AJ190" s="129">
        <f t="shared" si="238"/>
        <v>0</v>
      </c>
      <c r="AK190" s="129">
        <f t="shared" si="239"/>
        <v>0</v>
      </c>
      <c r="AL190" s="399">
        <f t="shared" si="240"/>
        <v>0</v>
      </c>
      <c r="AM190" s="393">
        <f t="shared" si="241"/>
        <v>0</v>
      </c>
      <c r="AN190" s="393">
        <f t="shared" si="242"/>
        <v>0</v>
      </c>
      <c r="AO190" s="393">
        <f t="shared" si="243"/>
        <v>0</v>
      </c>
      <c r="AP190" s="96">
        <f t="shared" si="244"/>
        <v>0</v>
      </c>
      <c r="AQ190" s="91">
        <f t="shared" si="245"/>
        <v>0</v>
      </c>
      <c r="AR190" s="129"/>
      <c r="AS190" s="41">
        <f>$H$175*月別販売比率!AG16</f>
        <v>0</v>
      </c>
      <c r="AT190" s="39"/>
      <c r="AU190" s="41">
        <f>$H$175*月別販売比率!AL16</f>
        <v>0</v>
      </c>
      <c r="AV190" s="39"/>
      <c r="AW190" s="41">
        <f>$H$175*月別販売比率!AQ16</f>
        <v>0</v>
      </c>
      <c r="AX190" s="39"/>
      <c r="AY190" s="41">
        <f>$H$175*月別販売比率!AV16</f>
        <v>0</v>
      </c>
      <c r="AZ190" s="39"/>
      <c r="BA190" s="41">
        <f>$H$175*月別販売比率!BA16</f>
        <v>0</v>
      </c>
      <c r="BB190" s="39"/>
      <c r="BC190" s="41">
        <f>$H$175*月別販売比率!BF16</f>
        <v>0</v>
      </c>
      <c r="BD190" s="39"/>
      <c r="BE190" s="283">
        <f>$H$175*月別販売比率!C32</f>
        <v>0</v>
      </c>
      <c r="BF190" s="280">
        <v>60</v>
      </c>
      <c r="BG190" s="41">
        <f>$H$175*月別販売比率!H32</f>
        <v>0</v>
      </c>
      <c r="BH190" s="39"/>
      <c r="BI190" s="41">
        <f>$H$175*月別販売比率!M32</f>
        <v>0</v>
      </c>
      <c r="BJ190" s="39"/>
      <c r="BK190" s="41">
        <f>$H$175*月別販売比率!R32</f>
        <v>0</v>
      </c>
      <c r="BL190" s="39"/>
      <c r="BM190" s="41">
        <f>$H$175*月別販売比率!W32</f>
        <v>0</v>
      </c>
      <c r="BN190" s="39"/>
      <c r="BO190" s="283">
        <f>$H$175*月別販売比率!AB32</f>
        <v>0</v>
      </c>
      <c r="BP190" s="280">
        <v>10</v>
      </c>
      <c r="BQ190" s="283">
        <f>$H$175*月別販売比率!AG32</f>
        <v>0</v>
      </c>
      <c r="BR190" s="280"/>
      <c r="BS190" s="41">
        <f>$H$175*月別販売比率!AL32</f>
        <v>0</v>
      </c>
      <c r="BT190" s="39"/>
      <c r="BU190" s="41">
        <f>$H$175*月別販売比率!AQ32</f>
        <v>0</v>
      </c>
      <c r="BV190" s="39"/>
      <c r="BW190" s="41">
        <f>$H$175*月別販売比率!AV32</f>
        <v>0</v>
      </c>
      <c r="BX190" s="39"/>
      <c r="BY190" s="283">
        <f>$H$175*月別販売比率!BA32</f>
        <v>0</v>
      </c>
      <c r="BZ190" s="280">
        <v>25</v>
      </c>
      <c r="CA190" s="41">
        <f>$H$175*月別販売比率!BF32</f>
        <v>0</v>
      </c>
      <c r="CB190" s="39"/>
      <c r="CC190" s="283">
        <f>H190*月別販売比率!$C$21</f>
        <v>0</v>
      </c>
      <c r="CD190" s="280">
        <v>25</v>
      </c>
      <c r="CE190" s="41">
        <f>H190*月別販売比率!$H$21</f>
        <v>0</v>
      </c>
      <c r="CF190" s="39"/>
      <c r="CG190" s="41">
        <f>H190*月別販売比率!$M$21</f>
        <v>0</v>
      </c>
      <c r="CH190" s="39"/>
      <c r="CI190" s="41">
        <f>H190*月別販売比率!$R$21</f>
        <v>0</v>
      </c>
      <c r="CJ190" s="39"/>
      <c r="CK190" s="41">
        <f>H190*月別販売比率!$W$21</f>
        <v>0</v>
      </c>
      <c r="CL190" s="39"/>
      <c r="CM190" s="41">
        <f>H190*月別販売比率!$AB$21</f>
        <v>0</v>
      </c>
      <c r="CN190" s="39"/>
      <c r="CO190" s="41">
        <f>H190*月別販売比率!$AG$21</f>
        <v>0</v>
      </c>
      <c r="CP190" s="39"/>
      <c r="CQ190" s="41">
        <f>H190*月別販売比率!$AL$21</f>
        <v>0</v>
      </c>
      <c r="CR190" s="39"/>
      <c r="CS190" s="41">
        <f>H190*月別販売比率!$AQ$21</f>
        <v>0</v>
      </c>
      <c r="CT190" s="39"/>
      <c r="CU190" s="41">
        <f>H190*月別販売比率!$AV$21</f>
        <v>0</v>
      </c>
      <c r="CV190" s="39"/>
      <c r="CW190" s="41">
        <f>H190*月別販売比率!$BA$21</f>
        <v>0</v>
      </c>
      <c r="CX190" s="39"/>
      <c r="CY190" s="41">
        <f>H190*月別販売比率!$BF$21</f>
        <v>0</v>
      </c>
      <c r="CZ190" s="39"/>
      <c r="DA190" s="50"/>
      <c r="DB190" s="295"/>
    </row>
    <row r="191" spans="2:106" ht="30.75" customHeight="1">
      <c r="B191" s="25"/>
      <c r="C191" s="555"/>
      <c r="D191" s="494">
        <v>3</v>
      </c>
      <c r="E191" s="99" t="s">
        <v>287</v>
      </c>
      <c r="F191" s="572"/>
      <c r="G191" s="46">
        <f t="shared" si="246"/>
        <v>0</v>
      </c>
      <c r="H191" s="45">
        <f>F191*($H$171/$F$171)</f>
        <v>0</v>
      </c>
      <c r="I191" s="46">
        <f t="shared" si="247"/>
        <v>0</v>
      </c>
      <c r="J191" s="310"/>
      <c r="K191" s="39">
        <f t="shared" si="248"/>
        <v>0</v>
      </c>
      <c r="L191" s="39"/>
      <c r="M191" s="39"/>
      <c r="N191" s="42"/>
      <c r="O191" s="304"/>
      <c r="P191" s="304"/>
      <c r="Q191" s="333">
        <v>45631</v>
      </c>
      <c r="R191" s="129"/>
      <c r="S191" s="129"/>
      <c r="T191" s="129"/>
      <c r="U191" s="129"/>
      <c r="V191" s="129"/>
      <c r="W191" s="129"/>
      <c r="X191" s="129"/>
      <c r="Y191" s="129"/>
      <c r="Z191" s="129"/>
      <c r="AA191" s="345"/>
      <c r="AB191" s="129"/>
      <c r="AC191" s="129"/>
      <c r="AD191" s="129"/>
      <c r="AE191" s="129"/>
      <c r="AF191" s="129"/>
      <c r="AG191" s="129"/>
      <c r="AH191" s="129"/>
      <c r="AI191" s="129">
        <f t="shared" si="249"/>
        <v>0</v>
      </c>
      <c r="AJ191" s="129">
        <f t="shared" si="238"/>
        <v>0</v>
      </c>
      <c r="AK191" s="129">
        <f t="shared" si="239"/>
        <v>0</v>
      </c>
      <c r="AL191" s="399">
        <f t="shared" si="240"/>
        <v>0</v>
      </c>
      <c r="AM191" s="393">
        <f t="shared" si="241"/>
        <v>0</v>
      </c>
      <c r="AN191" s="393">
        <f t="shared" si="242"/>
        <v>0</v>
      </c>
      <c r="AO191" s="393">
        <f t="shared" si="243"/>
        <v>0</v>
      </c>
      <c r="AP191" s="96">
        <f t="shared" si="244"/>
        <v>0</v>
      </c>
      <c r="AQ191" s="91">
        <f t="shared" si="245"/>
        <v>0</v>
      </c>
      <c r="AR191" s="129"/>
      <c r="AS191" s="41">
        <f>$H$177*月別販売比率!AG16</f>
        <v>0</v>
      </c>
      <c r="AT191" s="39"/>
      <c r="AU191" s="41">
        <f>$H$177*月別販売比率!AL16</f>
        <v>0</v>
      </c>
      <c r="AV191" s="39"/>
      <c r="AW191" s="41">
        <f>$H$177*月別販売比率!AQ16</f>
        <v>0</v>
      </c>
      <c r="AX191" s="39"/>
      <c r="AY191" s="41">
        <f>$H$177*月別販売比率!AV16</f>
        <v>0</v>
      </c>
      <c r="AZ191" s="39"/>
      <c r="BA191" s="41">
        <f>$H$177*月別販売比率!BA16</f>
        <v>0</v>
      </c>
      <c r="BB191" s="39"/>
      <c r="BC191" s="41">
        <f>$H$177*月別販売比率!BF16</f>
        <v>0</v>
      </c>
      <c r="BD191" s="39"/>
      <c r="BE191" s="283">
        <f>$H$177*月別販売比率!C32</f>
        <v>0</v>
      </c>
      <c r="BF191" s="280">
        <v>60</v>
      </c>
      <c r="BG191" s="41">
        <f>$H$177*月別販売比率!H32</f>
        <v>0</v>
      </c>
      <c r="BH191" s="39"/>
      <c r="BI191" s="41">
        <f>$H$177*月別販売比率!M32</f>
        <v>0</v>
      </c>
      <c r="BJ191" s="39"/>
      <c r="BK191" s="41">
        <f>$H$177*月別販売比率!R32</f>
        <v>0</v>
      </c>
      <c r="BL191" s="39"/>
      <c r="BM191" s="41">
        <f>$H$177*月別販売比率!W32</f>
        <v>0</v>
      </c>
      <c r="BN191" s="39"/>
      <c r="BO191" s="283">
        <f>$H$177*月別販売比率!AB32</f>
        <v>0</v>
      </c>
      <c r="BP191" s="280">
        <v>150</v>
      </c>
      <c r="BQ191" s="283">
        <f>$H$177*月別販売比率!AG32</f>
        <v>0</v>
      </c>
      <c r="BR191" s="280"/>
      <c r="BS191" s="41">
        <f>$H$177*月別販売比率!AL32</f>
        <v>0</v>
      </c>
      <c r="BT191" s="39"/>
      <c r="BU191" s="41">
        <f>$H$177*月別販売比率!AQ32</f>
        <v>0</v>
      </c>
      <c r="BV191" s="39"/>
      <c r="BW191" s="41">
        <f>$H$177*月別販売比率!AV32</f>
        <v>0</v>
      </c>
      <c r="BX191" s="39"/>
      <c r="BY191" s="283">
        <f>$H$177*月別販売比率!BA32</f>
        <v>0</v>
      </c>
      <c r="BZ191" s="280">
        <v>40</v>
      </c>
      <c r="CA191" s="41">
        <f>$H$177*月別販売比率!BF32</f>
        <v>0</v>
      </c>
      <c r="CB191" s="39"/>
      <c r="CC191" s="283">
        <f>H191*月別販売比率!$C$21</f>
        <v>0</v>
      </c>
      <c r="CD191" s="280">
        <v>40</v>
      </c>
      <c r="CE191" s="41">
        <f>H191*月別販売比率!$H$21</f>
        <v>0</v>
      </c>
      <c r="CF191" s="39"/>
      <c r="CG191" s="41">
        <f>H191*月別販売比率!$M$21</f>
        <v>0</v>
      </c>
      <c r="CH191" s="39"/>
      <c r="CI191" s="41">
        <f>H191*月別販売比率!$R$21</f>
        <v>0</v>
      </c>
      <c r="CJ191" s="39"/>
      <c r="CK191" s="41">
        <f>H191*月別販売比率!$W$21</f>
        <v>0</v>
      </c>
      <c r="CL191" s="39"/>
      <c r="CM191" s="41">
        <f>H191*月別販売比率!$AB$21</f>
        <v>0</v>
      </c>
      <c r="CN191" s="39"/>
      <c r="CO191" s="41">
        <f>H191*月別販売比率!$AG$21</f>
        <v>0</v>
      </c>
      <c r="CP191" s="39"/>
      <c r="CQ191" s="41">
        <f>H191*月別販売比率!$AL$21</f>
        <v>0</v>
      </c>
      <c r="CR191" s="39"/>
      <c r="CS191" s="41">
        <f>H191*月別販売比率!$AQ$21</f>
        <v>0</v>
      </c>
      <c r="CT191" s="39"/>
      <c r="CU191" s="41">
        <f>H191*月別販売比率!$AV$21</f>
        <v>0</v>
      </c>
      <c r="CV191" s="39"/>
      <c r="CW191" s="41">
        <f>H191*月別販売比率!$BA$21</f>
        <v>0</v>
      </c>
      <c r="CX191" s="39"/>
      <c r="CY191" s="41">
        <f>H191*月別販売比率!$BF$21</f>
        <v>0</v>
      </c>
      <c r="CZ191" s="39"/>
      <c r="DA191" s="50"/>
      <c r="DB191" s="295"/>
    </row>
    <row r="192" spans="2:106" ht="30.75" customHeight="1">
      <c r="B192" s="25"/>
      <c r="C192" s="555"/>
      <c r="D192" s="494"/>
      <c r="E192" s="99" t="s">
        <v>286</v>
      </c>
      <c r="F192" s="572"/>
      <c r="G192" s="46">
        <f t="shared" si="246"/>
        <v>0</v>
      </c>
      <c r="H192" s="45">
        <f>F192*($H$171/$F$171)</f>
        <v>0</v>
      </c>
      <c r="I192" s="46">
        <f t="shared" si="247"/>
        <v>0</v>
      </c>
      <c r="J192" s="49"/>
      <c r="K192" s="39">
        <f t="shared" si="248"/>
        <v>0</v>
      </c>
      <c r="L192" s="39"/>
      <c r="M192" s="39"/>
      <c r="N192" s="42"/>
      <c r="O192" s="43"/>
      <c r="P192" s="43"/>
      <c r="Q192" s="335"/>
      <c r="R192" s="129"/>
      <c r="S192" s="345"/>
      <c r="T192" s="345"/>
      <c r="U192" s="333">
        <v>45392</v>
      </c>
      <c r="V192" s="345"/>
      <c r="W192" s="333">
        <v>45838</v>
      </c>
      <c r="X192" s="129"/>
      <c r="Y192" s="129"/>
      <c r="Z192" s="129"/>
      <c r="AA192" s="345"/>
      <c r="AB192" s="129"/>
      <c r="AC192" s="129"/>
      <c r="AD192" s="129"/>
      <c r="AE192" s="129"/>
      <c r="AF192" s="129"/>
      <c r="AG192" s="129"/>
      <c r="AH192" s="129"/>
      <c r="AI192" s="129">
        <f t="shared" si="249"/>
        <v>0</v>
      </c>
      <c r="AJ192" s="129">
        <f t="shared" si="238"/>
        <v>0</v>
      </c>
      <c r="AK192" s="129">
        <f t="shared" si="239"/>
        <v>0</v>
      </c>
      <c r="AL192" s="399">
        <f t="shared" si="240"/>
        <v>0</v>
      </c>
      <c r="AM192" s="393">
        <f t="shared" si="241"/>
        <v>0</v>
      </c>
      <c r="AN192" s="393">
        <f t="shared" si="242"/>
        <v>0</v>
      </c>
      <c r="AO192" s="393">
        <f t="shared" si="243"/>
        <v>0</v>
      </c>
      <c r="AP192" s="96">
        <f t="shared" si="244"/>
        <v>0</v>
      </c>
      <c r="AQ192" s="91">
        <f t="shared" si="245"/>
        <v>0</v>
      </c>
      <c r="AR192" s="129"/>
      <c r="AS192" s="41">
        <f>$H$178*月別販売比率!AG16</f>
        <v>0</v>
      </c>
      <c r="AT192" s="39"/>
      <c r="AU192" s="41">
        <f>$H$178*月別販売比率!AL16</f>
        <v>0</v>
      </c>
      <c r="AV192" s="39"/>
      <c r="AW192" s="41">
        <f>$H$178*月別販売比率!AQ16</f>
        <v>0</v>
      </c>
      <c r="AX192" s="39"/>
      <c r="AY192" s="41">
        <f>$H$178*月別販売比率!AV16</f>
        <v>0</v>
      </c>
      <c r="AZ192" s="39"/>
      <c r="BA192" s="41">
        <f>$H$178*月別販売比率!BA16</f>
        <v>0</v>
      </c>
      <c r="BB192" s="39"/>
      <c r="BC192" s="41">
        <f>$H$178*月別販売比率!BF16</f>
        <v>0</v>
      </c>
      <c r="BD192" s="39"/>
      <c r="BE192" s="283">
        <f>$H$178*月別販売比率!C32</f>
        <v>0</v>
      </c>
      <c r="BF192" s="280">
        <v>90</v>
      </c>
      <c r="BG192" s="41">
        <f>$H$178*月別販売比率!H32</f>
        <v>0</v>
      </c>
      <c r="BH192" s="39"/>
      <c r="BI192" s="41">
        <f>$H$178*月別販売比率!M32</f>
        <v>0</v>
      </c>
      <c r="BJ192" s="39"/>
      <c r="BK192" s="41">
        <f>$H$178*月別販売比率!R32</f>
        <v>0</v>
      </c>
      <c r="BL192" s="39"/>
      <c r="BM192" s="41">
        <f>$H$178*月別販売比率!W32</f>
        <v>0</v>
      </c>
      <c r="BN192" s="39"/>
      <c r="BO192" s="283">
        <f>$H$178*月別販売比率!AB32</f>
        <v>0</v>
      </c>
      <c r="BP192" s="280">
        <v>50</v>
      </c>
      <c r="BQ192" s="283">
        <f>$H$178*月別販売比率!AG32</f>
        <v>0</v>
      </c>
      <c r="BR192" s="280"/>
      <c r="BS192" s="41">
        <f>$H$178*月別販売比率!AL32</f>
        <v>0</v>
      </c>
      <c r="BT192" s="39"/>
      <c r="BU192" s="41">
        <f>$H$178*月別販売比率!AQ32</f>
        <v>0</v>
      </c>
      <c r="BV192" s="39"/>
      <c r="BW192" s="41">
        <f>$H$178*月別販売比率!AV32</f>
        <v>0</v>
      </c>
      <c r="BX192" s="39"/>
      <c r="BY192" s="283">
        <f>$H$178*月別販売比率!BA32</f>
        <v>0</v>
      </c>
      <c r="BZ192" s="280">
        <v>50</v>
      </c>
      <c r="CA192" s="41">
        <f>$H$178*月別販売比率!BF32</f>
        <v>0</v>
      </c>
      <c r="CB192" s="39"/>
      <c r="CC192" s="283">
        <f>H192*月別販売比率!$C$21</f>
        <v>0</v>
      </c>
      <c r="CD192" s="280">
        <v>50</v>
      </c>
      <c r="CE192" s="41">
        <f>H192*月別販売比率!$H$21</f>
        <v>0</v>
      </c>
      <c r="CF192" s="39"/>
      <c r="CG192" s="41">
        <f>H192*月別販売比率!$M$21</f>
        <v>0</v>
      </c>
      <c r="CH192" s="39"/>
      <c r="CI192" s="41">
        <f>H192*月別販売比率!$R$21</f>
        <v>0</v>
      </c>
      <c r="CJ192" s="39"/>
      <c r="CK192" s="41">
        <f>H192*月別販売比率!$W$21</f>
        <v>0</v>
      </c>
      <c r="CL192" s="39"/>
      <c r="CM192" s="41">
        <f>H192*月別販売比率!$AB$21</f>
        <v>0</v>
      </c>
      <c r="CN192" s="39"/>
      <c r="CO192" s="41">
        <f>H192*月別販売比率!$AG$21</f>
        <v>0</v>
      </c>
      <c r="CP192" s="39"/>
      <c r="CQ192" s="41">
        <f>H192*月別販売比率!$AL$21</f>
        <v>0</v>
      </c>
      <c r="CR192" s="39"/>
      <c r="CS192" s="41">
        <f>H192*月別販売比率!$AQ$21</f>
        <v>0</v>
      </c>
      <c r="CT192" s="39"/>
      <c r="CU192" s="41">
        <f>H192*月別販売比率!$AV$21</f>
        <v>0</v>
      </c>
      <c r="CV192" s="39"/>
      <c r="CW192" s="41">
        <f>H192*月別販売比率!$BA$21</f>
        <v>0</v>
      </c>
      <c r="CX192" s="39"/>
      <c r="CY192" s="41">
        <f>H192*月別販売比率!$BF$21</f>
        <v>0</v>
      </c>
      <c r="CZ192" s="39"/>
      <c r="DA192" s="50"/>
      <c r="DB192" s="295"/>
    </row>
    <row r="193" spans="2:106" ht="30.75" customHeight="1">
      <c r="B193" s="25"/>
      <c r="C193" s="555"/>
      <c r="D193" s="494"/>
      <c r="E193" s="99" t="s">
        <v>285</v>
      </c>
      <c r="F193" s="572"/>
      <c r="G193" s="46">
        <f t="shared" si="246"/>
        <v>0</v>
      </c>
      <c r="H193" s="45">
        <f>F193*($H$171/$F$171)</f>
        <v>0</v>
      </c>
      <c r="I193" s="46">
        <f t="shared" si="247"/>
        <v>0</v>
      </c>
      <c r="J193" s="49"/>
      <c r="K193" s="39">
        <f t="shared" si="248"/>
        <v>0</v>
      </c>
      <c r="L193" s="39"/>
      <c r="M193" s="39"/>
      <c r="N193" s="42"/>
      <c r="O193" s="43"/>
      <c r="P193" s="43"/>
      <c r="Q193" s="335"/>
      <c r="R193" s="129"/>
      <c r="S193" s="345"/>
      <c r="T193" s="345"/>
      <c r="U193" s="333">
        <v>45392</v>
      </c>
      <c r="V193" s="345"/>
      <c r="W193" s="345"/>
      <c r="X193" s="129"/>
      <c r="Y193" s="345"/>
      <c r="Z193" s="129"/>
      <c r="AA193" s="345"/>
      <c r="AB193" s="129"/>
      <c r="AC193" s="345"/>
      <c r="AD193" s="345"/>
      <c r="AE193" s="129"/>
      <c r="AF193" s="129"/>
      <c r="AG193" s="129"/>
      <c r="AH193" s="129"/>
      <c r="AI193" s="129">
        <f t="shared" si="249"/>
        <v>0</v>
      </c>
      <c r="AJ193" s="129">
        <f t="shared" si="238"/>
        <v>0</v>
      </c>
      <c r="AK193" s="129">
        <f t="shared" si="239"/>
        <v>0</v>
      </c>
      <c r="AL193" s="399">
        <f t="shared" si="240"/>
        <v>0</v>
      </c>
      <c r="AM193" s="393">
        <f t="shared" si="241"/>
        <v>0</v>
      </c>
      <c r="AN193" s="393">
        <f t="shared" si="242"/>
        <v>0</v>
      </c>
      <c r="AO193" s="393">
        <f t="shared" si="243"/>
        <v>0</v>
      </c>
      <c r="AP193" s="96">
        <f t="shared" si="244"/>
        <v>0</v>
      </c>
      <c r="AQ193" s="91">
        <f t="shared" si="245"/>
        <v>0</v>
      </c>
      <c r="AR193" s="129"/>
      <c r="AS193" s="41">
        <f>$H$179*月別販売比率!AG16</f>
        <v>0</v>
      </c>
      <c r="AT193" s="39"/>
      <c r="AU193" s="41">
        <f>$H$179*月別販売比率!AL16</f>
        <v>0</v>
      </c>
      <c r="AV193" s="39"/>
      <c r="AW193" s="41">
        <f>$H$179*月別販売比率!AQ16</f>
        <v>0</v>
      </c>
      <c r="AX193" s="39"/>
      <c r="AY193" s="41">
        <f>$H$179*月別販売比率!AV16</f>
        <v>0</v>
      </c>
      <c r="AZ193" s="39"/>
      <c r="BA193" s="41">
        <f>$H$179*月別販売比率!BA16</f>
        <v>0</v>
      </c>
      <c r="BB193" s="39"/>
      <c r="BC193" s="41">
        <f>$H$179*月別販売比率!BF16</f>
        <v>0</v>
      </c>
      <c r="BD193" s="39"/>
      <c r="BE193" s="283">
        <f>$H$179*月別販売比率!C32</f>
        <v>0</v>
      </c>
      <c r="BF193" s="280">
        <v>75</v>
      </c>
      <c r="BG193" s="41">
        <f>$H$179*月別販売比率!H32</f>
        <v>0</v>
      </c>
      <c r="BH193" s="39"/>
      <c r="BI193" s="41">
        <f>$H$179*月別販売比率!M32</f>
        <v>0</v>
      </c>
      <c r="BJ193" s="39"/>
      <c r="BK193" s="41">
        <f>$H$179*月別販売比率!R32</f>
        <v>0</v>
      </c>
      <c r="BL193" s="39"/>
      <c r="BM193" s="41">
        <f>$H$179*月別販売比率!W32</f>
        <v>0</v>
      </c>
      <c r="BN193" s="39"/>
      <c r="BO193" s="283">
        <f>$H$179*月別販売比率!AB32</f>
        <v>0</v>
      </c>
      <c r="BP193" s="280">
        <v>110</v>
      </c>
      <c r="BQ193" s="283">
        <f>$H$179*月別販売比率!AG32</f>
        <v>0</v>
      </c>
      <c r="BR193" s="280"/>
      <c r="BS193" s="41">
        <f>$H$179*月別販売比率!AL32</f>
        <v>0</v>
      </c>
      <c r="BT193" s="39"/>
      <c r="BU193" s="41">
        <f>$H$179*月別販売比率!AQ32</f>
        <v>0</v>
      </c>
      <c r="BV193" s="39"/>
      <c r="BW193" s="41">
        <f>$H$179*月別販売比率!AV32</f>
        <v>0</v>
      </c>
      <c r="BX193" s="39"/>
      <c r="BY193" s="283">
        <f>$H$179*月別販売比率!BA32</f>
        <v>0</v>
      </c>
      <c r="BZ193" s="280">
        <v>40</v>
      </c>
      <c r="CA193" s="41">
        <f>$H$179*月別販売比率!BF32</f>
        <v>0</v>
      </c>
      <c r="CB193" s="39"/>
      <c r="CC193" s="283">
        <f>H193*月別販売比率!$C$21</f>
        <v>0</v>
      </c>
      <c r="CD193" s="280">
        <v>40</v>
      </c>
      <c r="CE193" s="41">
        <f>H193*月別販売比率!$H$21</f>
        <v>0</v>
      </c>
      <c r="CF193" s="39"/>
      <c r="CG193" s="41">
        <f>H193*月別販売比率!$M$21</f>
        <v>0</v>
      </c>
      <c r="CH193" s="39"/>
      <c r="CI193" s="41">
        <f>H193*月別販売比率!$R$21</f>
        <v>0</v>
      </c>
      <c r="CJ193" s="39"/>
      <c r="CK193" s="41">
        <f>H193*月別販売比率!$W$21</f>
        <v>0</v>
      </c>
      <c r="CL193" s="39"/>
      <c r="CM193" s="41">
        <f>H193*月別販売比率!$AB$21</f>
        <v>0</v>
      </c>
      <c r="CN193" s="39"/>
      <c r="CO193" s="41">
        <f>H193*月別販売比率!$AG$21</f>
        <v>0</v>
      </c>
      <c r="CP193" s="39"/>
      <c r="CQ193" s="41">
        <f>H193*月別販売比率!$AL$21</f>
        <v>0</v>
      </c>
      <c r="CR193" s="39"/>
      <c r="CS193" s="41">
        <f>H193*月別販売比率!$AQ$21</f>
        <v>0</v>
      </c>
      <c r="CT193" s="39"/>
      <c r="CU193" s="41">
        <f>H193*月別販売比率!$AV$21</f>
        <v>0</v>
      </c>
      <c r="CV193" s="39"/>
      <c r="CW193" s="41">
        <f>H193*月別販売比率!$BA$21</f>
        <v>0</v>
      </c>
      <c r="CX193" s="39"/>
      <c r="CY193" s="41">
        <f>H193*月別販売比率!$BF$21</f>
        <v>0</v>
      </c>
      <c r="CZ193" s="39"/>
      <c r="DA193" s="50"/>
      <c r="DB193" s="295"/>
    </row>
    <row r="194" spans="2:106" ht="30.75" customHeight="1">
      <c r="B194" s="25"/>
      <c r="C194" s="555"/>
      <c r="D194" s="495"/>
      <c r="E194" s="122" t="s">
        <v>284</v>
      </c>
      <c r="F194" s="573"/>
      <c r="G194" s="53">
        <f t="shared" si="246"/>
        <v>0</v>
      </c>
      <c r="H194" s="52">
        <f>F194*($H$171/$F$171)</f>
        <v>0</v>
      </c>
      <c r="I194" s="53">
        <f t="shared" si="247"/>
        <v>0</v>
      </c>
      <c r="J194" s="127"/>
      <c r="K194" s="103">
        <f t="shared" si="248"/>
        <v>0</v>
      </c>
      <c r="L194" s="103"/>
      <c r="M194" s="103"/>
      <c r="N194" s="117"/>
      <c r="O194" s="313"/>
      <c r="P194" s="123"/>
      <c r="Q194" s="332"/>
      <c r="R194" s="238"/>
      <c r="S194" s="329"/>
      <c r="T194" s="329"/>
      <c r="U194" s="329"/>
      <c r="V194" s="329"/>
      <c r="W194" s="329"/>
      <c r="X194" s="329"/>
      <c r="Y194" s="329"/>
      <c r="Z194" s="238"/>
      <c r="AA194" s="329"/>
      <c r="AB194" s="238"/>
      <c r="AC194" s="238"/>
      <c r="AD194" s="238"/>
      <c r="AE194" s="238"/>
      <c r="AF194" s="238"/>
      <c r="AG194" s="238"/>
      <c r="AH194" s="238"/>
      <c r="AI194" s="238">
        <f t="shared" si="249"/>
        <v>0</v>
      </c>
      <c r="AJ194" s="238">
        <f t="shared" si="238"/>
        <v>0</v>
      </c>
      <c r="AK194" s="238">
        <f t="shared" si="239"/>
        <v>0</v>
      </c>
      <c r="AL194" s="401">
        <f t="shared" si="240"/>
        <v>0</v>
      </c>
      <c r="AM194" s="395">
        <f t="shared" si="241"/>
        <v>0</v>
      </c>
      <c r="AN194" s="395">
        <f t="shared" si="242"/>
        <v>0</v>
      </c>
      <c r="AO194" s="395">
        <f t="shared" si="243"/>
        <v>0</v>
      </c>
      <c r="AP194" s="403">
        <f t="shared" si="244"/>
        <v>0</v>
      </c>
      <c r="AQ194" s="90">
        <f t="shared" si="245"/>
        <v>0</v>
      </c>
      <c r="AR194" s="238"/>
      <c r="AS194" s="282">
        <f>$H$180*月別販売比率!AG16</f>
        <v>0</v>
      </c>
      <c r="AT194" s="103"/>
      <c r="AU194" s="282">
        <f>$H$180*月別販売比率!AL16</f>
        <v>0</v>
      </c>
      <c r="AV194" s="103"/>
      <c r="AW194" s="282">
        <f>$H$180*月別販売比率!AQ16</f>
        <v>0</v>
      </c>
      <c r="AX194" s="103"/>
      <c r="AY194" s="282">
        <f>$H$180*月別販売比率!AV16</f>
        <v>0</v>
      </c>
      <c r="AZ194" s="103"/>
      <c r="BA194" s="282">
        <f>$H$180*月別販売比率!BA16</f>
        <v>0</v>
      </c>
      <c r="BB194" s="103"/>
      <c r="BC194" s="282">
        <f>$H$180*月別販売比率!BF16</f>
        <v>0</v>
      </c>
      <c r="BD194" s="103"/>
      <c r="BE194" s="301">
        <f>$H$180*月別販売比率!C32</f>
        <v>0</v>
      </c>
      <c r="BF194" s="302">
        <v>60</v>
      </c>
      <c r="BG194" s="282">
        <f>$H$180*月別販売比率!H32</f>
        <v>0</v>
      </c>
      <c r="BH194" s="103"/>
      <c r="BI194" s="282">
        <f>$H$180*月別販売比率!M32</f>
        <v>0</v>
      </c>
      <c r="BJ194" s="103"/>
      <c r="BK194" s="282">
        <f>$H$180*月別販売比率!R32</f>
        <v>0</v>
      </c>
      <c r="BL194" s="103"/>
      <c r="BM194" s="282">
        <f>$H$180*月別販売比率!W32</f>
        <v>0</v>
      </c>
      <c r="BN194" s="103"/>
      <c r="BO194" s="301">
        <f>$H$180*月別販売比率!AB32</f>
        <v>0</v>
      </c>
      <c r="BP194" s="302">
        <v>35</v>
      </c>
      <c r="BQ194" s="301">
        <f>$H$180*月別販売比率!AG32</f>
        <v>0</v>
      </c>
      <c r="BR194" s="302"/>
      <c r="BS194" s="282">
        <f>$H$180*月別販売比率!AL32</f>
        <v>0</v>
      </c>
      <c r="BT194" s="103"/>
      <c r="BU194" s="282">
        <f>$H$180*月別販売比率!AQ32</f>
        <v>0</v>
      </c>
      <c r="BV194" s="103"/>
      <c r="BW194" s="282">
        <f>$H$180*月別販売比率!AV32</f>
        <v>0</v>
      </c>
      <c r="BX194" s="103"/>
      <c r="BY194" s="301">
        <f>$H$180*月別販売比率!BA32</f>
        <v>0</v>
      </c>
      <c r="BZ194" s="302">
        <v>30</v>
      </c>
      <c r="CA194" s="282">
        <f>$H$180*月別販売比率!BF32</f>
        <v>0</v>
      </c>
      <c r="CB194" s="103"/>
      <c r="CC194" s="301">
        <f>H194*月別販売比率!$C$21</f>
        <v>0</v>
      </c>
      <c r="CD194" s="302">
        <v>30</v>
      </c>
      <c r="CE194" s="282">
        <f>H194*月別販売比率!$H$21</f>
        <v>0</v>
      </c>
      <c r="CF194" s="103"/>
      <c r="CG194" s="282">
        <f>H194*月別販売比率!$M$21</f>
        <v>0</v>
      </c>
      <c r="CH194" s="103"/>
      <c r="CI194" s="282">
        <f>H194*月別販売比率!$R$21</f>
        <v>0</v>
      </c>
      <c r="CJ194" s="103"/>
      <c r="CK194" s="282">
        <f>H194*月別販売比率!$W$21</f>
        <v>0</v>
      </c>
      <c r="CL194" s="103"/>
      <c r="CM194" s="282">
        <f>H194*月別販売比率!$AB$21</f>
        <v>0</v>
      </c>
      <c r="CN194" s="103"/>
      <c r="CO194" s="282">
        <f>H194*月別販売比率!$AG$21</f>
        <v>0</v>
      </c>
      <c r="CP194" s="103"/>
      <c r="CQ194" s="282">
        <f>H194*月別販売比率!$AL$21</f>
        <v>0</v>
      </c>
      <c r="CR194" s="103"/>
      <c r="CS194" s="282">
        <f>H194*月別販売比率!$AQ$21</f>
        <v>0</v>
      </c>
      <c r="CT194" s="103"/>
      <c r="CU194" s="282">
        <f>H194*月別販売比率!$AV$21</f>
        <v>0</v>
      </c>
      <c r="CV194" s="103"/>
      <c r="CW194" s="282">
        <f>H194*月別販売比率!$BA$21</f>
        <v>0</v>
      </c>
      <c r="CX194" s="103"/>
      <c r="CY194" s="282">
        <f>H194*月別販売比率!$BF$21</f>
        <v>0</v>
      </c>
      <c r="CZ194" s="103"/>
      <c r="DA194" s="303"/>
      <c r="DB194" s="300"/>
    </row>
    <row r="195" spans="2:106" ht="30.6" customHeight="1">
      <c r="B195" s="2">
        <v>17</v>
      </c>
      <c r="C195" s="556" t="s">
        <v>519</v>
      </c>
      <c r="D195" s="557"/>
      <c r="E195" s="558"/>
      <c r="F195" s="144">
        <f>SUM(F202:F210)</f>
        <v>0</v>
      </c>
      <c r="G195" s="145">
        <f>SUM(G202:G210)</f>
        <v>0</v>
      </c>
      <c r="H195" s="144"/>
      <c r="I195" s="145">
        <f>SUM(I202:I210)</f>
        <v>0</v>
      </c>
      <c r="J195" s="147">
        <f>SUM(J203:J210)</f>
        <v>0</v>
      </c>
      <c r="K195" s="148">
        <f>SUM(K203:K210)</f>
        <v>0</v>
      </c>
      <c r="L195" s="148">
        <f>SUM(L203:L210)</f>
        <v>0</v>
      </c>
      <c r="M195" s="148">
        <f>SUM(M202:M210)</f>
        <v>0</v>
      </c>
      <c r="N195" s="149">
        <f>SUM(N202:N210)</f>
        <v>0</v>
      </c>
      <c r="O195" s="152"/>
      <c r="P195" s="152"/>
      <c r="Q195" s="152"/>
      <c r="R195" s="152"/>
      <c r="S195" s="152"/>
      <c r="T195" s="152"/>
      <c r="U195" s="152"/>
      <c r="V195" s="152"/>
      <c r="W195" s="152"/>
      <c r="X195" s="152"/>
      <c r="Y195" s="152"/>
      <c r="Z195" s="152"/>
      <c r="AA195" s="152"/>
      <c r="AB195" s="152"/>
      <c r="AC195" s="152"/>
      <c r="AD195" s="152"/>
      <c r="AE195" s="152"/>
      <c r="AF195" s="152"/>
      <c r="AG195" s="152"/>
      <c r="AH195" s="152"/>
      <c r="AI195" s="152"/>
      <c r="AJ195" s="152"/>
      <c r="AK195" s="152"/>
      <c r="AL195" s="152"/>
      <c r="AM195" s="152"/>
      <c r="AN195" s="152"/>
      <c r="AO195" s="152"/>
      <c r="AP195" s="152"/>
      <c r="AQ195" s="152"/>
      <c r="AR195" s="152"/>
      <c r="AS195" s="150">
        <f>SUM(AS202:AS210)</f>
        <v>66.401231465890561</v>
      </c>
      <c r="AT195" s="148">
        <f>SUM(AT202:AT210)</f>
        <v>0</v>
      </c>
      <c r="AU195" s="150">
        <f>SUM(AU202:AU210)</f>
        <v>80.938199052584181</v>
      </c>
      <c r="AV195" s="148">
        <f>SUM(AV202:AV210)</f>
        <v>0</v>
      </c>
      <c r="AW195" s="150">
        <f>SUM(AW202:AW210)</f>
        <v>110.89883442081596</v>
      </c>
      <c r="AX195" s="148">
        <f>SUM(AX202:AX210)</f>
        <v>0</v>
      </c>
      <c r="AY195" s="150">
        <f>SUM(AY202:AY210)</f>
        <v>106.45534017604542</v>
      </c>
      <c r="AZ195" s="148">
        <f>SUM(AZ202:AZ210)</f>
        <v>0</v>
      </c>
      <c r="BA195" s="150">
        <f>SUM(BA202:BA210)</f>
        <v>67.584893849048029</v>
      </c>
      <c r="BB195" s="148">
        <f>SUM(BB202:BB210)</f>
        <v>0</v>
      </c>
      <c r="BC195" s="150">
        <f>SUM(BC202:BC210)</f>
        <v>102.06400000000002</v>
      </c>
      <c r="BD195" s="148">
        <f>SUM(BD202:BD210)</f>
        <v>0</v>
      </c>
      <c r="BE195" s="150">
        <f>SUM(BE202:BE210)</f>
        <v>0</v>
      </c>
      <c r="BF195" s="148">
        <f>SUM(BF202:BF210)</f>
        <v>585</v>
      </c>
      <c r="BG195" s="150">
        <f>SUM(BG202:BG210)</f>
        <v>0</v>
      </c>
      <c r="BH195" s="148">
        <f>SUM(BH202:BH210)</f>
        <v>0</v>
      </c>
      <c r="BI195" s="150">
        <f>SUM(BI202:BI210)</f>
        <v>0</v>
      </c>
      <c r="BJ195" s="148">
        <f>SUM(BJ202:BJ210)</f>
        <v>0</v>
      </c>
      <c r="BK195" s="150">
        <f>SUM(BK202:BK210)</f>
        <v>0</v>
      </c>
      <c r="BL195" s="148">
        <f>SUM(BL202:BL210)</f>
        <v>0</v>
      </c>
      <c r="BM195" s="150">
        <f>SUM(BM202:BM210)</f>
        <v>0</v>
      </c>
      <c r="BN195" s="148">
        <f>SUM(BN202:BN210)</f>
        <v>0</v>
      </c>
      <c r="BO195" s="150">
        <f>SUM(BO202:BO210)</f>
        <v>0</v>
      </c>
      <c r="BP195" s="148">
        <f>SUM(BP202:BP210)</f>
        <v>560</v>
      </c>
      <c r="BQ195" s="150">
        <f>SUM(BQ202:BQ210)</f>
        <v>0</v>
      </c>
      <c r="BR195" s="148">
        <f>SUM(BR202:BR210)</f>
        <v>0</v>
      </c>
      <c r="BS195" s="150">
        <f>SUM(BS202:BS210)</f>
        <v>0</v>
      </c>
      <c r="BT195" s="148">
        <f>SUM(BT202:BT210)</f>
        <v>0</v>
      </c>
      <c r="BU195" s="150">
        <f>SUM(BU202:BU210)</f>
        <v>0</v>
      </c>
      <c r="BV195" s="148">
        <f>SUM(BV202:BV210)</f>
        <v>0</v>
      </c>
      <c r="BW195" s="150">
        <f>SUM(BW202:BW210)</f>
        <v>0</v>
      </c>
      <c r="BX195" s="148">
        <f>SUM(BX202:BX210)</f>
        <v>0</v>
      </c>
      <c r="BY195" s="150">
        <f>SUM(BY202:BY210)</f>
        <v>0</v>
      </c>
      <c r="BZ195" s="148">
        <f>SUM(BZ202:BZ210)</f>
        <v>295</v>
      </c>
      <c r="CA195" s="150">
        <f>SUM(CA202:CA210)</f>
        <v>0</v>
      </c>
      <c r="CB195" s="148">
        <f>SUM(CB202:CB210)</f>
        <v>0</v>
      </c>
      <c r="CC195" s="150">
        <f>SUM(CC202:CC210)</f>
        <v>0</v>
      </c>
      <c r="CD195" s="148">
        <f>SUM(CD202:CD210)</f>
        <v>295</v>
      </c>
      <c r="CE195" s="150">
        <f>SUM(CE202:CE210)</f>
        <v>0</v>
      </c>
      <c r="CF195" s="148">
        <f>SUM(CF202:CF210)</f>
        <v>0</v>
      </c>
      <c r="CG195" s="150">
        <f>SUM(CG202:CG210)</f>
        <v>0</v>
      </c>
      <c r="CH195" s="148">
        <f>SUM(CH202:CH210)</f>
        <v>0</v>
      </c>
      <c r="CI195" s="150">
        <f>SUM(CI202:CI210)</f>
        <v>0</v>
      </c>
      <c r="CJ195" s="148">
        <f>SUM(CJ202:CJ210)</f>
        <v>0</v>
      </c>
      <c r="CK195" s="150">
        <f>SUM(CK202:CK210)</f>
        <v>0</v>
      </c>
      <c r="CL195" s="148">
        <f>SUM(CL202:CL210)</f>
        <v>0</v>
      </c>
      <c r="CM195" s="150">
        <f>SUM(CM202:CM210)</f>
        <v>0</v>
      </c>
      <c r="CN195" s="148">
        <f>SUM(CN202:CN210)</f>
        <v>0</v>
      </c>
      <c r="CO195" s="150">
        <f>SUM(CO202:CO210)</f>
        <v>0</v>
      </c>
      <c r="CP195" s="148">
        <f>SUM(CP202:CP210)</f>
        <v>0</v>
      </c>
      <c r="CQ195" s="150">
        <f>SUM(CQ202:CQ210)</f>
        <v>0</v>
      </c>
      <c r="CR195" s="148">
        <f>SUM(CR202:CR210)</f>
        <v>0</v>
      </c>
      <c r="CS195" s="150">
        <f>SUM(CS202:CS210)</f>
        <v>0</v>
      </c>
      <c r="CT195" s="148">
        <f>SUM(CT202:CT210)</f>
        <v>0</v>
      </c>
      <c r="CU195" s="150">
        <v>65.156981784482824</v>
      </c>
      <c r="CV195" s="148">
        <f>SUM(CV202:CV210)</f>
        <v>0</v>
      </c>
      <c r="CW195" s="150">
        <f>SUM(CW202:CW210)</f>
        <v>0</v>
      </c>
      <c r="CX195" s="148">
        <f>SUM(CX202:CX210)</f>
        <v>0</v>
      </c>
      <c r="CY195" s="150">
        <f>SUM(CY202:CY210)</f>
        <v>0</v>
      </c>
      <c r="CZ195" s="148">
        <f>SUM(CZ202:CZ210)</f>
        <v>0</v>
      </c>
      <c r="DA195" s="204"/>
      <c r="DB195" s="552"/>
    </row>
    <row r="196" spans="2:106" ht="30.6" customHeight="1">
      <c r="C196" s="446"/>
      <c r="D196" s="443">
        <v>1</v>
      </c>
      <c r="E196" s="99" t="s">
        <v>275</v>
      </c>
      <c r="F196" s="562"/>
      <c r="G196" s="5">
        <f t="shared" ref="G196:G201" si="269">F196*3080</f>
        <v>0</v>
      </c>
      <c r="H196" s="45">
        <f t="shared" ref="H196:H201" si="270">F196*($H$171/$F$171)</f>
        <v>0</v>
      </c>
      <c r="I196" s="5">
        <f>H196*3080</f>
        <v>0</v>
      </c>
      <c r="J196" s="563"/>
      <c r="K196" s="564">
        <f>SUM(L196:N196)</f>
        <v>0</v>
      </c>
      <c r="L196" s="565"/>
      <c r="M196" s="564"/>
      <c r="N196" s="566"/>
      <c r="O196" s="138"/>
      <c r="P196" s="138"/>
      <c r="Q196" s="138">
        <v>45631</v>
      </c>
      <c r="R196" s="138"/>
      <c r="S196" s="138"/>
      <c r="T196" s="138"/>
      <c r="U196" s="138">
        <v>45392</v>
      </c>
      <c r="V196" s="138"/>
      <c r="W196" s="138"/>
      <c r="X196" s="138"/>
      <c r="Y196" s="138"/>
      <c r="Z196" s="138"/>
      <c r="AA196" s="138"/>
      <c r="AB196" s="138"/>
      <c r="AC196" s="138"/>
      <c r="AD196" s="138"/>
      <c r="AE196" s="138"/>
      <c r="AF196" s="138"/>
      <c r="AG196" s="138"/>
      <c r="AH196" s="138"/>
      <c r="AI196" s="138">
        <f>SUM(J196:K196)-CI196+CJ196</f>
        <v>0</v>
      </c>
      <c r="AJ196" s="138">
        <f t="shared" ref="AJ196" si="271">AI196-CK196+CL196</f>
        <v>0</v>
      </c>
      <c r="AK196" s="138">
        <f t="shared" ref="AK196" si="272">AJ196-CM196+CN196</f>
        <v>0</v>
      </c>
      <c r="AL196" s="138">
        <f t="shared" ref="AL196" si="273">AK196-CO196+CP196</f>
        <v>0</v>
      </c>
      <c r="AM196" s="138">
        <f t="shared" ref="AM196" si="274">AL196-CQ196+CR196</f>
        <v>0</v>
      </c>
      <c r="AN196" s="138">
        <f t="shared" ref="AN196" si="275">AM196-CS196+CT196</f>
        <v>0</v>
      </c>
      <c r="AO196" s="138">
        <f t="shared" ref="AO196" si="276">AN196-CU196+CV196</f>
        <v>0</v>
      </c>
      <c r="AP196" s="138">
        <f t="shared" ref="AP196" si="277">AO196-CW196+CX196</f>
        <v>0</v>
      </c>
      <c r="AQ196" s="138">
        <f t="shared" ref="AQ196" si="278">AP196-CY196+CZ196</f>
        <v>0</v>
      </c>
      <c r="AR196" s="559"/>
      <c r="AS196" s="560">
        <f>$H$172*月別販売比率!AG29</f>
        <v>0</v>
      </c>
      <c r="AT196" s="134"/>
      <c r="AU196" s="560">
        <f>$H$172*月別販売比率!AL29</f>
        <v>0</v>
      </c>
      <c r="AV196" s="134"/>
      <c r="AW196" s="560">
        <f>$H$172*月別販売比率!AQ29</f>
        <v>0</v>
      </c>
      <c r="AX196" s="134"/>
      <c r="AY196" s="560">
        <f>$H$172*月別販売比率!AV29</f>
        <v>0</v>
      </c>
      <c r="AZ196" s="134"/>
      <c r="BA196" s="560">
        <f>$H$172*月別販売比率!BA29</f>
        <v>0</v>
      </c>
      <c r="BB196" s="134"/>
      <c r="BC196" s="560">
        <f>$H$172*月別販売比率!BF29</f>
        <v>0</v>
      </c>
      <c r="BD196" s="134"/>
      <c r="BE196" s="560">
        <f>$H$172*月別販売比率!C45</f>
        <v>0</v>
      </c>
      <c r="BF196" s="134">
        <v>60</v>
      </c>
      <c r="BG196" s="560">
        <f>$H$172*月別販売比率!H45</f>
        <v>0</v>
      </c>
      <c r="BH196" s="134"/>
      <c r="BI196" s="560">
        <f>$H$172*月別販売比率!M45</f>
        <v>0</v>
      </c>
      <c r="BJ196" s="134"/>
      <c r="BK196" s="560">
        <f>$H$172*月別販売比率!R45</f>
        <v>0</v>
      </c>
      <c r="BL196" s="134"/>
      <c r="BM196" s="560">
        <f>$H$172*月別販売比率!W45</f>
        <v>0</v>
      </c>
      <c r="BN196" s="134"/>
      <c r="BO196" s="560">
        <f>$H$172*月別販売比率!AB45</f>
        <v>0</v>
      </c>
      <c r="BP196" s="134">
        <v>100</v>
      </c>
      <c r="BQ196" s="560">
        <f>$H$172*月別販売比率!AG45</f>
        <v>0</v>
      </c>
      <c r="BR196" s="134"/>
      <c r="BS196" s="560">
        <f>$H$172*月別販売比率!AL45</f>
        <v>0</v>
      </c>
      <c r="BT196" s="134"/>
      <c r="BU196" s="560">
        <f>$H$172*月別販売比率!AQ45</f>
        <v>0</v>
      </c>
      <c r="BV196" s="134"/>
      <c r="BW196" s="560">
        <f>$H$172*月別販売比率!AV45</f>
        <v>0</v>
      </c>
      <c r="BX196" s="134"/>
      <c r="BY196" s="560">
        <f>$H$172*月別販売比率!BA45</f>
        <v>0</v>
      </c>
      <c r="BZ196" s="134">
        <v>30</v>
      </c>
      <c r="CA196" s="560">
        <f>$H$172*月別販売比率!BF45</f>
        <v>0</v>
      </c>
      <c r="CB196" s="134"/>
      <c r="CC196" s="560">
        <f>H196*月別販売比率!$C$21</f>
        <v>0</v>
      </c>
      <c r="CD196" s="134">
        <v>30</v>
      </c>
      <c r="CE196" s="560">
        <f>H196*月別販売比率!$H$21</f>
        <v>0</v>
      </c>
      <c r="CF196" s="134"/>
      <c r="CG196" s="560">
        <f>H196*月別販売比率!$M$21</f>
        <v>0</v>
      </c>
      <c r="CH196" s="134"/>
      <c r="CI196" s="567">
        <f>H196*月別販売比率!$R$21</f>
        <v>0</v>
      </c>
      <c r="CJ196" s="564"/>
      <c r="CK196" s="567">
        <f>H196*月別販売比率!$W$21</f>
        <v>0</v>
      </c>
      <c r="CL196" s="564"/>
      <c r="CM196" s="567">
        <f>H196*月別販売比率!$AB$21</f>
        <v>0</v>
      </c>
      <c r="CN196" s="564"/>
      <c r="CO196" s="567">
        <f>H196*月別販売比率!$AG$21</f>
        <v>0</v>
      </c>
      <c r="CP196" s="564"/>
      <c r="CQ196" s="567">
        <f>H196*月別販売比率!$AL$21</f>
        <v>0</v>
      </c>
      <c r="CR196" s="564"/>
      <c r="CS196" s="567">
        <f>H196*月別販売比率!$AQ$21</f>
        <v>0</v>
      </c>
      <c r="CT196" s="564"/>
      <c r="CU196" s="567">
        <f>H196*月別販売比率!$AV$21</f>
        <v>0</v>
      </c>
      <c r="CV196" s="564"/>
      <c r="CW196" s="567">
        <f>H196*月別販売比率!$BA$21</f>
        <v>0</v>
      </c>
      <c r="CX196" s="564"/>
      <c r="CY196" s="567">
        <f>H196*月別販売比率!$BF$21</f>
        <v>0</v>
      </c>
      <c r="CZ196" s="564"/>
      <c r="DA196" s="568"/>
      <c r="DB196" s="569"/>
    </row>
    <row r="197" spans="2:106" ht="30.6" customHeight="1">
      <c r="C197" s="457"/>
      <c r="D197" s="441"/>
      <c r="E197" s="99" t="s">
        <v>46</v>
      </c>
      <c r="F197" s="562"/>
      <c r="G197" s="5">
        <f t="shared" si="269"/>
        <v>0</v>
      </c>
      <c r="H197" s="45">
        <f>F197*($H$171/$F$171)</f>
        <v>0</v>
      </c>
      <c r="I197" s="5">
        <f t="shared" ref="I197:I201" si="279">H197*3080</f>
        <v>0</v>
      </c>
      <c r="J197" s="563"/>
      <c r="K197" s="564">
        <f t="shared" ref="K197:K201" si="280">SUM(L197:N197)</f>
        <v>0</v>
      </c>
      <c r="L197" s="565"/>
      <c r="M197" s="564"/>
      <c r="N197" s="566"/>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f t="shared" ref="AI197:AI201" si="281">SUM(J197:K197)-CI197+CJ197</f>
        <v>0</v>
      </c>
      <c r="AJ197" s="138">
        <f t="shared" ref="AJ197:AJ201" si="282">AI197-CK197+CL197</f>
        <v>0</v>
      </c>
      <c r="AK197" s="138">
        <f t="shared" ref="AK197:AK201" si="283">AJ197-CM197+CN197</f>
        <v>0</v>
      </c>
      <c r="AL197" s="138">
        <f t="shared" ref="AL197:AL201" si="284">AK197-CO197+CP197</f>
        <v>0</v>
      </c>
      <c r="AM197" s="138">
        <f t="shared" ref="AM197:AM201" si="285">AL197-CQ197+CR197</f>
        <v>0</v>
      </c>
      <c r="AN197" s="138">
        <f t="shared" ref="AN197:AN201" si="286">AM197-CS197+CT197</f>
        <v>0</v>
      </c>
      <c r="AO197" s="138">
        <f t="shared" ref="AO197:AO201" si="287">AN197-CU197+CV197</f>
        <v>0</v>
      </c>
      <c r="AP197" s="138">
        <f t="shared" ref="AP197:AP201" si="288">AO197-CW197+CX197</f>
        <v>0</v>
      </c>
      <c r="AQ197" s="138">
        <f t="shared" ref="AQ197:AQ201" si="289">AP197-CY197+CZ197</f>
        <v>0</v>
      </c>
      <c r="AR197" s="559"/>
      <c r="AS197" s="560"/>
      <c r="AT197" s="134"/>
      <c r="AU197" s="560"/>
      <c r="AV197" s="134"/>
      <c r="AW197" s="560"/>
      <c r="AX197" s="134"/>
      <c r="AY197" s="560"/>
      <c r="AZ197" s="134"/>
      <c r="BA197" s="560"/>
      <c r="BB197" s="134"/>
      <c r="BC197" s="560"/>
      <c r="BD197" s="134"/>
      <c r="BE197" s="560"/>
      <c r="BF197" s="134"/>
      <c r="BG197" s="560"/>
      <c r="BH197" s="134"/>
      <c r="BI197" s="560"/>
      <c r="BJ197" s="134"/>
      <c r="BK197" s="560"/>
      <c r="BL197" s="134"/>
      <c r="BM197" s="560"/>
      <c r="BN197" s="134"/>
      <c r="BO197" s="560"/>
      <c r="BP197" s="134"/>
      <c r="BQ197" s="560"/>
      <c r="BR197" s="134"/>
      <c r="BS197" s="560"/>
      <c r="BT197" s="134"/>
      <c r="BU197" s="560"/>
      <c r="BV197" s="134"/>
      <c r="BW197" s="560"/>
      <c r="BX197" s="134"/>
      <c r="BY197" s="560"/>
      <c r="BZ197" s="134"/>
      <c r="CA197" s="560"/>
      <c r="CB197" s="134"/>
      <c r="CC197" s="560"/>
      <c r="CD197" s="134"/>
      <c r="CE197" s="560"/>
      <c r="CF197" s="134"/>
      <c r="CG197" s="560"/>
      <c r="CH197" s="134"/>
      <c r="CI197" s="567">
        <f>H197*月別販売比率!$R$21</f>
        <v>0</v>
      </c>
      <c r="CJ197" s="564"/>
      <c r="CK197" s="567">
        <f>H197*月別販売比率!$W$21</f>
        <v>0</v>
      </c>
      <c r="CL197" s="564"/>
      <c r="CM197" s="567">
        <f>H197*月別販売比率!$AB$21</f>
        <v>0</v>
      </c>
      <c r="CN197" s="564"/>
      <c r="CO197" s="567">
        <f>H197*月別販売比率!$AG$21</f>
        <v>0</v>
      </c>
      <c r="CP197" s="564"/>
      <c r="CQ197" s="567">
        <f>H197*月別販売比率!$AL$21</f>
        <v>0</v>
      </c>
      <c r="CR197" s="564"/>
      <c r="CS197" s="567">
        <f>H197*月別販売比率!$AQ$21</f>
        <v>0</v>
      </c>
      <c r="CT197" s="564"/>
      <c r="CU197" s="567">
        <f>H197*月別販売比率!$AV$21</f>
        <v>0</v>
      </c>
      <c r="CV197" s="564"/>
      <c r="CW197" s="567">
        <f>H197*月別販売比率!$BA$21</f>
        <v>0</v>
      </c>
      <c r="CX197" s="564"/>
      <c r="CY197" s="567">
        <f>H197*月別販売比率!$BF$21</f>
        <v>0</v>
      </c>
      <c r="CZ197" s="564"/>
      <c r="DA197" s="568"/>
      <c r="DB197" s="569"/>
    </row>
    <row r="198" spans="2:106" ht="30.6" customHeight="1">
      <c r="C198" s="457"/>
      <c r="D198" s="441"/>
      <c r="E198" s="94" t="s">
        <v>47</v>
      </c>
      <c r="F198" s="562"/>
      <c r="G198" s="5">
        <f t="shared" si="269"/>
        <v>0</v>
      </c>
      <c r="H198" s="45">
        <f t="shared" si="270"/>
        <v>0</v>
      </c>
      <c r="I198" s="5">
        <f t="shared" si="279"/>
        <v>0</v>
      </c>
      <c r="J198" s="563"/>
      <c r="K198" s="564">
        <f t="shared" si="280"/>
        <v>0</v>
      </c>
      <c r="L198" s="565"/>
      <c r="M198" s="564"/>
      <c r="N198" s="566"/>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f t="shared" si="281"/>
        <v>0</v>
      </c>
      <c r="AJ198" s="138">
        <f t="shared" si="282"/>
        <v>0</v>
      </c>
      <c r="AK198" s="138">
        <f t="shared" si="283"/>
        <v>0</v>
      </c>
      <c r="AL198" s="138">
        <f t="shared" si="284"/>
        <v>0</v>
      </c>
      <c r="AM198" s="138">
        <f t="shared" si="285"/>
        <v>0</v>
      </c>
      <c r="AN198" s="138">
        <f t="shared" si="286"/>
        <v>0</v>
      </c>
      <c r="AO198" s="138">
        <f t="shared" si="287"/>
        <v>0</v>
      </c>
      <c r="AP198" s="138">
        <f t="shared" si="288"/>
        <v>0</v>
      </c>
      <c r="AQ198" s="138">
        <f t="shared" si="289"/>
        <v>0</v>
      </c>
      <c r="AR198" s="559"/>
      <c r="AS198" s="560"/>
      <c r="AT198" s="134"/>
      <c r="AU198" s="560"/>
      <c r="AV198" s="134"/>
      <c r="AW198" s="560"/>
      <c r="AX198" s="134"/>
      <c r="AY198" s="560"/>
      <c r="AZ198" s="134"/>
      <c r="BA198" s="560"/>
      <c r="BB198" s="134"/>
      <c r="BC198" s="560"/>
      <c r="BD198" s="134"/>
      <c r="BE198" s="560"/>
      <c r="BF198" s="134"/>
      <c r="BG198" s="560"/>
      <c r="BH198" s="134"/>
      <c r="BI198" s="560"/>
      <c r="BJ198" s="134"/>
      <c r="BK198" s="560"/>
      <c r="BL198" s="134"/>
      <c r="BM198" s="560"/>
      <c r="BN198" s="134"/>
      <c r="BO198" s="560"/>
      <c r="BP198" s="134"/>
      <c r="BQ198" s="560"/>
      <c r="BR198" s="134"/>
      <c r="BS198" s="560"/>
      <c r="BT198" s="134"/>
      <c r="BU198" s="560"/>
      <c r="BV198" s="134"/>
      <c r="BW198" s="560"/>
      <c r="BX198" s="134"/>
      <c r="BY198" s="560"/>
      <c r="BZ198" s="134"/>
      <c r="CA198" s="560"/>
      <c r="CB198" s="134"/>
      <c r="CC198" s="560"/>
      <c r="CD198" s="134"/>
      <c r="CE198" s="560"/>
      <c r="CF198" s="134"/>
      <c r="CG198" s="560"/>
      <c r="CH198" s="134"/>
      <c r="CI198" s="567">
        <f>H198*月別販売比率!$R$21</f>
        <v>0</v>
      </c>
      <c r="CJ198" s="564"/>
      <c r="CK198" s="567">
        <f>H198*月別販売比率!$W$21</f>
        <v>0</v>
      </c>
      <c r="CL198" s="564"/>
      <c r="CM198" s="567">
        <f>H198*月別販売比率!$AB$21</f>
        <v>0</v>
      </c>
      <c r="CN198" s="564"/>
      <c r="CO198" s="567">
        <f>H198*月別販売比率!$AG$21</f>
        <v>0</v>
      </c>
      <c r="CP198" s="564"/>
      <c r="CQ198" s="567">
        <f>H198*月別販売比率!$AL$21</f>
        <v>0</v>
      </c>
      <c r="CR198" s="564"/>
      <c r="CS198" s="567">
        <f>H198*月別販売比率!$AQ$21</f>
        <v>0</v>
      </c>
      <c r="CT198" s="564"/>
      <c r="CU198" s="567">
        <f>H198*月別販売比率!$AV$21</f>
        <v>0</v>
      </c>
      <c r="CV198" s="564"/>
      <c r="CW198" s="567">
        <f>H198*月別販売比率!$BA$21</f>
        <v>0</v>
      </c>
      <c r="CX198" s="564"/>
      <c r="CY198" s="567">
        <f>H198*月別販売比率!$BF$21</f>
        <v>0</v>
      </c>
      <c r="CZ198" s="564"/>
      <c r="DA198" s="568"/>
      <c r="DB198" s="569"/>
    </row>
    <row r="199" spans="2:106" ht="30.6" customHeight="1">
      <c r="C199" s="457"/>
      <c r="D199" s="441"/>
      <c r="E199" s="94" t="s">
        <v>51</v>
      </c>
      <c r="F199" s="562"/>
      <c r="G199" s="5">
        <f t="shared" si="269"/>
        <v>0</v>
      </c>
      <c r="H199" s="45">
        <f t="shared" si="270"/>
        <v>0</v>
      </c>
      <c r="I199" s="5">
        <f t="shared" si="279"/>
        <v>0</v>
      </c>
      <c r="J199" s="563"/>
      <c r="K199" s="564">
        <f t="shared" si="280"/>
        <v>0</v>
      </c>
      <c r="L199" s="565"/>
      <c r="M199" s="564"/>
      <c r="N199" s="566"/>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f t="shared" si="281"/>
        <v>0</v>
      </c>
      <c r="AJ199" s="138">
        <f t="shared" si="282"/>
        <v>0</v>
      </c>
      <c r="AK199" s="138">
        <f t="shared" si="283"/>
        <v>0</v>
      </c>
      <c r="AL199" s="138">
        <f t="shared" si="284"/>
        <v>0</v>
      </c>
      <c r="AM199" s="138">
        <f t="shared" si="285"/>
        <v>0</v>
      </c>
      <c r="AN199" s="138">
        <f t="shared" si="286"/>
        <v>0</v>
      </c>
      <c r="AO199" s="138">
        <f t="shared" si="287"/>
        <v>0</v>
      </c>
      <c r="AP199" s="138">
        <f t="shared" si="288"/>
        <v>0</v>
      </c>
      <c r="AQ199" s="138">
        <f t="shared" si="289"/>
        <v>0</v>
      </c>
      <c r="AR199" s="559"/>
      <c r="AS199" s="560"/>
      <c r="AT199" s="134"/>
      <c r="AU199" s="560"/>
      <c r="AV199" s="134"/>
      <c r="AW199" s="560"/>
      <c r="AX199" s="134"/>
      <c r="AY199" s="560"/>
      <c r="AZ199" s="134"/>
      <c r="BA199" s="560"/>
      <c r="BB199" s="134"/>
      <c r="BC199" s="560"/>
      <c r="BD199" s="134"/>
      <c r="BE199" s="560"/>
      <c r="BF199" s="134"/>
      <c r="BG199" s="560"/>
      <c r="BH199" s="134"/>
      <c r="BI199" s="560"/>
      <c r="BJ199" s="134"/>
      <c r="BK199" s="560"/>
      <c r="BL199" s="134"/>
      <c r="BM199" s="560"/>
      <c r="BN199" s="134"/>
      <c r="BO199" s="560"/>
      <c r="BP199" s="134"/>
      <c r="BQ199" s="560"/>
      <c r="BR199" s="134"/>
      <c r="BS199" s="560"/>
      <c r="BT199" s="134"/>
      <c r="BU199" s="560"/>
      <c r="BV199" s="134"/>
      <c r="BW199" s="560"/>
      <c r="BX199" s="134"/>
      <c r="BY199" s="560"/>
      <c r="BZ199" s="134"/>
      <c r="CA199" s="560"/>
      <c r="CB199" s="134"/>
      <c r="CC199" s="560"/>
      <c r="CD199" s="134"/>
      <c r="CE199" s="560"/>
      <c r="CF199" s="134"/>
      <c r="CG199" s="560"/>
      <c r="CH199" s="134"/>
      <c r="CI199" s="567">
        <f>H199*月別販売比率!$R$21</f>
        <v>0</v>
      </c>
      <c r="CJ199" s="564"/>
      <c r="CK199" s="567">
        <f>H199*月別販売比率!$W$21</f>
        <v>0</v>
      </c>
      <c r="CL199" s="564"/>
      <c r="CM199" s="567">
        <f>H199*月別販売比率!$AB$21</f>
        <v>0</v>
      </c>
      <c r="CN199" s="564"/>
      <c r="CO199" s="567">
        <f>H199*月別販売比率!$AG$21</f>
        <v>0</v>
      </c>
      <c r="CP199" s="564"/>
      <c r="CQ199" s="567">
        <f>H199*月別販売比率!$AL$21</f>
        <v>0</v>
      </c>
      <c r="CR199" s="564"/>
      <c r="CS199" s="567">
        <f>H199*月別販売比率!$AQ$21</f>
        <v>0</v>
      </c>
      <c r="CT199" s="564"/>
      <c r="CU199" s="567">
        <f>H199*月別販売比率!$AV$21</f>
        <v>0</v>
      </c>
      <c r="CV199" s="564"/>
      <c r="CW199" s="567">
        <f>H199*月別販売比率!$BA$21</f>
        <v>0</v>
      </c>
      <c r="CX199" s="564"/>
      <c r="CY199" s="567">
        <f>H199*月別販売比率!$BF$21</f>
        <v>0</v>
      </c>
      <c r="CZ199" s="564"/>
      <c r="DA199" s="568"/>
      <c r="DB199" s="569"/>
    </row>
    <row r="200" spans="2:106" ht="30.6" customHeight="1">
      <c r="C200" s="457"/>
      <c r="D200" s="442"/>
      <c r="E200" s="94" t="s">
        <v>49</v>
      </c>
      <c r="F200" s="562"/>
      <c r="G200" s="5">
        <f t="shared" si="269"/>
        <v>0</v>
      </c>
      <c r="H200" s="45">
        <f t="shared" si="270"/>
        <v>0</v>
      </c>
      <c r="I200" s="5">
        <f t="shared" si="279"/>
        <v>0</v>
      </c>
      <c r="J200" s="563"/>
      <c r="K200" s="564">
        <f t="shared" si="280"/>
        <v>0</v>
      </c>
      <c r="L200" s="565"/>
      <c r="M200" s="564"/>
      <c r="N200" s="566"/>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f t="shared" si="281"/>
        <v>0</v>
      </c>
      <c r="AJ200" s="138">
        <f t="shared" si="282"/>
        <v>0</v>
      </c>
      <c r="AK200" s="138">
        <f t="shared" si="283"/>
        <v>0</v>
      </c>
      <c r="AL200" s="138">
        <f t="shared" si="284"/>
        <v>0</v>
      </c>
      <c r="AM200" s="138">
        <f t="shared" si="285"/>
        <v>0</v>
      </c>
      <c r="AN200" s="138">
        <f t="shared" si="286"/>
        <v>0</v>
      </c>
      <c r="AO200" s="138">
        <f t="shared" si="287"/>
        <v>0</v>
      </c>
      <c r="AP200" s="138">
        <f t="shared" si="288"/>
        <v>0</v>
      </c>
      <c r="AQ200" s="138">
        <f t="shared" si="289"/>
        <v>0</v>
      </c>
      <c r="AR200" s="559"/>
      <c r="AS200" s="560"/>
      <c r="AT200" s="134"/>
      <c r="AU200" s="560"/>
      <c r="AV200" s="134"/>
      <c r="AW200" s="560"/>
      <c r="AX200" s="134"/>
      <c r="AY200" s="560"/>
      <c r="AZ200" s="134"/>
      <c r="BA200" s="560"/>
      <c r="BB200" s="134"/>
      <c r="BC200" s="560"/>
      <c r="BD200" s="134"/>
      <c r="BE200" s="560"/>
      <c r="BF200" s="134"/>
      <c r="BG200" s="560"/>
      <c r="BH200" s="134"/>
      <c r="BI200" s="560"/>
      <c r="BJ200" s="134"/>
      <c r="BK200" s="560"/>
      <c r="BL200" s="134"/>
      <c r="BM200" s="560"/>
      <c r="BN200" s="134"/>
      <c r="BO200" s="560"/>
      <c r="BP200" s="134"/>
      <c r="BQ200" s="560"/>
      <c r="BR200" s="134"/>
      <c r="BS200" s="560"/>
      <c r="BT200" s="134"/>
      <c r="BU200" s="560"/>
      <c r="BV200" s="134"/>
      <c r="BW200" s="560"/>
      <c r="BX200" s="134"/>
      <c r="BY200" s="560"/>
      <c r="BZ200" s="134"/>
      <c r="CA200" s="560"/>
      <c r="CB200" s="134"/>
      <c r="CC200" s="560"/>
      <c r="CD200" s="134"/>
      <c r="CE200" s="560"/>
      <c r="CF200" s="134"/>
      <c r="CG200" s="560"/>
      <c r="CH200" s="134"/>
      <c r="CI200" s="567">
        <f>H200*月別販売比率!$R$21</f>
        <v>0</v>
      </c>
      <c r="CJ200" s="564"/>
      <c r="CK200" s="567">
        <f>H200*月別販売比率!$W$21</f>
        <v>0</v>
      </c>
      <c r="CL200" s="564"/>
      <c r="CM200" s="567">
        <f>H200*月別販売比率!$AB$21</f>
        <v>0</v>
      </c>
      <c r="CN200" s="564"/>
      <c r="CO200" s="567">
        <f>H200*月別販売比率!$AG$21</f>
        <v>0</v>
      </c>
      <c r="CP200" s="564"/>
      <c r="CQ200" s="567">
        <f>H200*月別販売比率!$AL$21</f>
        <v>0</v>
      </c>
      <c r="CR200" s="564"/>
      <c r="CS200" s="567">
        <f>H200*月別販売比率!$AQ$21</f>
        <v>0</v>
      </c>
      <c r="CT200" s="564"/>
      <c r="CU200" s="567">
        <f>H200*月別販売比率!$AV$21</f>
        <v>0</v>
      </c>
      <c r="CV200" s="564"/>
      <c r="CW200" s="567">
        <f>H200*月別販売比率!$BA$21</f>
        <v>0</v>
      </c>
      <c r="CX200" s="564"/>
      <c r="CY200" s="567">
        <f>H200*月別販売比率!$BF$21</f>
        <v>0</v>
      </c>
      <c r="CZ200" s="564"/>
      <c r="DA200" s="568"/>
      <c r="DB200" s="569"/>
    </row>
    <row r="201" spans="2:106" ht="30.6" customHeight="1">
      <c r="C201" s="457"/>
      <c r="D201" s="443">
        <v>2</v>
      </c>
      <c r="E201" s="99" t="s">
        <v>275</v>
      </c>
      <c r="F201" s="562"/>
      <c r="G201" s="5">
        <f t="shared" si="269"/>
        <v>0</v>
      </c>
      <c r="H201" s="45">
        <f t="shared" si="270"/>
        <v>0</v>
      </c>
      <c r="I201" s="5">
        <f t="shared" si="279"/>
        <v>0</v>
      </c>
      <c r="J201" s="563"/>
      <c r="K201" s="564">
        <f t="shared" si="280"/>
        <v>0</v>
      </c>
      <c r="L201" s="565"/>
      <c r="M201" s="564"/>
      <c r="N201" s="566"/>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f t="shared" si="281"/>
        <v>0</v>
      </c>
      <c r="AJ201" s="138">
        <f t="shared" si="282"/>
        <v>0</v>
      </c>
      <c r="AK201" s="138">
        <f t="shared" si="283"/>
        <v>0</v>
      </c>
      <c r="AL201" s="138">
        <f t="shared" si="284"/>
        <v>0</v>
      </c>
      <c r="AM201" s="138">
        <f t="shared" si="285"/>
        <v>0</v>
      </c>
      <c r="AN201" s="138">
        <f t="shared" si="286"/>
        <v>0</v>
      </c>
      <c r="AO201" s="138">
        <f t="shared" si="287"/>
        <v>0</v>
      </c>
      <c r="AP201" s="138">
        <f t="shared" si="288"/>
        <v>0</v>
      </c>
      <c r="AQ201" s="138">
        <f t="shared" si="289"/>
        <v>0</v>
      </c>
      <c r="AR201" s="559"/>
      <c r="AS201" s="560"/>
      <c r="AT201" s="134"/>
      <c r="AU201" s="560"/>
      <c r="AV201" s="134"/>
      <c r="AW201" s="560"/>
      <c r="AX201" s="134"/>
      <c r="AY201" s="560"/>
      <c r="AZ201" s="134"/>
      <c r="BA201" s="560"/>
      <c r="BB201" s="134"/>
      <c r="BC201" s="560"/>
      <c r="BD201" s="134"/>
      <c r="BE201" s="560"/>
      <c r="BF201" s="134"/>
      <c r="BG201" s="560"/>
      <c r="BH201" s="134"/>
      <c r="BI201" s="560"/>
      <c r="BJ201" s="134"/>
      <c r="BK201" s="560"/>
      <c r="BL201" s="134"/>
      <c r="BM201" s="560"/>
      <c r="BN201" s="134"/>
      <c r="BO201" s="560"/>
      <c r="BP201" s="134"/>
      <c r="BQ201" s="560"/>
      <c r="BR201" s="134"/>
      <c r="BS201" s="560"/>
      <c r="BT201" s="134"/>
      <c r="BU201" s="560"/>
      <c r="BV201" s="134"/>
      <c r="BW201" s="560"/>
      <c r="BX201" s="134"/>
      <c r="BY201" s="560"/>
      <c r="BZ201" s="134"/>
      <c r="CA201" s="560"/>
      <c r="CB201" s="134"/>
      <c r="CC201" s="560"/>
      <c r="CD201" s="134"/>
      <c r="CE201" s="560"/>
      <c r="CF201" s="134"/>
      <c r="CG201" s="560"/>
      <c r="CH201" s="134"/>
      <c r="CI201" s="567">
        <f>H201*月別販売比率!$R$21</f>
        <v>0</v>
      </c>
      <c r="CJ201" s="564"/>
      <c r="CK201" s="567">
        <f>H201*月別販売比率!$W$21</f>
        <v>0</v>
      </c>
      <c r="CL201" s="564"/>
      <c r="CM201" s="567">
        <f>H201*月別販売比率!$AB$21</f>
        <v>0</v>
      </c>
      <c r="CN201" s="564"/>
      <c r="CO201" s="567">
        <f>H201*月別販売比率!$AG$21</f>
        <v>0</v>
      </c>
      <c r="CP201" s="564"/>
      <c r="CQ201" s="567">
        <f>H201*月別販売比率!$AL$21</f>
        <v>0</v>
      </c>
      <c r="CR201" s="564"/>
      <c r="CS201" s="567">
        <f>H201*月別販売比率!$AQ$21</f>
        <v>0</v>
      </c>
      <c r="CT201" s="564"/>
      <c r="CU201" s="567">
        <f>H201*月別販売比率!$AV$21</f>
        <v>0</v>
      </c>
      <c r="CV201" s="564"/>
      <c r="CW201" s="567">
        <f>H201*月別販売比率!$BA$21</f>
        <v>0</v>
      </c>
      <c r="CX201" s="564"/>
      <c r="CY201" s="567">
        <f>H201*月別販売比率!$BF$21</f>
        <v>0</v>
      </c>
      <c r="CZ201" s="564"/>
      <c r="DA201" s="568"/>
      <c r="DB201" s="569"/>
    </row>
    <row r="202" spans="2:106" ht="30.75" customHeight="1">
      <c r="B202" s="25"/>
      <c r="C202" s="457"/>
      <c r="D202" s="441"/>
      <c r="E202" s="99" t="s">
        <v>46</v>
      </c>
      <c r="G202" s="46">
        <f>F202*3080</f>
        <v>0</v>
      </c>
      <c r="H202" s="45">
        <f>F202*($H$171/$F$171)</f>
        <v>0</v>
      </c>
      <c r="I202" s="46">
        <f>H202*3080</f>
        <v>0</v>
      </c>
      <c r="J202" s="279"/>
      <c r="K202" s="39">
        <f t="shared" ref="K202:K207" si="290">SUM(L202:N202)</f>
        <v>0</v>
      </c>
      <c r="L202" s="79"/>
      <c r="M202" s="39"/>
      <c r="N202" s="42"/>
      <c r="O202" s="288"/>
      <c r="P202" s="288"/>
      <c r="Q202" s="331">
        <v>45631</v>
      </c>
      <c r="R202" s="124"/>
      <c r="S202" s="345"/>
      <c r="T202" s="345"/>
      <c r="U202" s="331">
        <v>45392</v>
      </c>
      <c r="V202" s="124"/>
      <c r="W202" s="124"/>
      <c r="X202" s="124"/>
      <c r="Y202" s="124"/>
      <c r="Z202" s="124"/>
      <c r="AA202" s="124"/>
      <c r="AB202" s="124"/>
      <c r="AC202" s="328"/>
      <c r="AD202" s="328"/>
      <c r="AE202" s="124"/>
      <c r="AF202" s="124"/>
      <c r="AG202" s="124"/>
      <c r="AH202" s="124"/>
      <c r="AI202" s="129">
        <f t="shared" ref="AI202:AI210" si="291">SUM(J202:K202)-CI202+CJ202</f>
        <v>0</v>
      </c>
      <c r="AJ202" s="129">
        <f t="shared" ref="AJ202:AJ210" si="292">AI202-CK202+CL202</f>
        <v>0</v>
      </c>
      <c r="AK202" s="129">
        <f t="shared" ref="AK202:AK210" si="293">AJ202-CM202+CN202</f>
        <v>0</v>
      </c>
      <c r="AL202" s="399">
        <f t="shared" ref="AL202:AL210" si="294">AK202-CO202+CP202</f>
        <v>0</v>
      </c>
      <c r="AM202" s="393">
        <f t="shared" ref="AM202:AM210" si="295">AL202-CQ202+CR202</f>
        <v>0</v>
      </c>
      <c r="AN202" s="393">
        <f t="shared" ref="AN202:AN210" si="296">AM202-CS202+CT202</f>
        <v>0</v>
      </c>
      <c r="AO202" s="393">
        <f t="shared" ref="AO202:AO210" si="297">AN202-CU202+CV202</f>
        <v>0</v>
      </c>
      <c r="AP202" s="96">
        <f t="shared" ref="AP202:AP210" si="298">AO202-CW202+CX202</f>
        <v>0</v>
      </c>
      <c r="AQ202" s="91">
        <f t="shared" ref="AQ202:AQ210" si="299">AP202-CY202+CZ202</f>
        <v>0</v>
      </c>
      <c r="AR202" s="198"/>
      <c r="AS202" s="81">
        <f>$H$172*月別販売比率!AG27</f>
        <v>9.4308693695088337</v>
      </c>
      <c r="AT202" s="39"/>
      <c r="AU202" s="81">
        <f>$H$172*月別販売比率!AL27</f>
        <v>11.495533522752982</v>
      </c>
      <c r="AV202" s="39"/>
      <c r="AW202" s="81">
        <f>$H$172*月別販売比率!AQ27</f>
        <v>15.750798555456852</v>
      </c>
      <c r="AX202" s="39"/>
      <c r="AY202" s="81">
        <f>$H$172*月別販売比率!AV27</f>
        <v>15.119695594842005</v>
      </c>
      <c r="AZ202" s="39"/>
      <c r="BA202" s="81">
        <f>$H$172*月別販売比率!BA27</f>
        <v>9.5989831991280017</v>
      </c>
      <c r="BB202" s="39"/>
      <c r="BC202" s="81">
        <f>$H$172*月別販売比率!BF27</f>
        <v>14.496000000000002</v>
      </c>
      <c r="BD202" s="39"/>
      <c r="BE202" s="245">
        <f>$H$172*月別販売比率!C43</f>
        <v>0</v>
      </c>
      <c r="BF202" s="280">
        <v>60</v>
      </c>
      <c r="BG202" s="81">
        <f>$H$172*月別販売比率!H43</f>
        <v>0</v>
      </c>
      <c r="BH202" s="39"/>
      <c r="BI202" s="81">
        <f>$H$172*月別販売比率!M43</f>
        <v>0</v>
      </c>
      <c r="BJ202" s="39"/>
      <c r="BK202" s="81">
        <f>$H$172*月別販売比率!R43</f>
        <v>0</v>
      </c>
      <c r="BL202" s="39"/>
      <c r="BM202" s="81">
        <f>$H$172*月別販売比率!W43</f>
        <v>0</v>
      </c>
      <c r="BN202" s="39"/>
      <c r="BO202" s="245">
        <f>$H$172*月別販売比率!AB43</f>
        <v>0</v>
      </c>
      <c r="BP202" s="280">
        <v>100</v>
      </c>
      <c r="BQ202" s="245">
        <f>$H$172*月別販売比率!AG43</f>
        <v>0</v>
      </c>
      <c r="BR202" s="280"/>
      <c r="BS202" s="81">
        <f>$H$172*月別販売比率!AL43</f>
        <v>0</v>
      </c>
      <c r="BT202" s="39"/>
      <c r="BU202" s="81">
        <f>$H$172*月別販売比率!AQ43</f>
        <v>0</v>
      </c>
      <c r="BV202" s="39"/>
      <c r="BW202" s="81">
        <f>$H$172*月別販売比率!AV43</f>
        <v>0</v>
      </c>
      <c r="BX202" s="39"/>
      <c r="BY202" s="245">
        <f>$H$172*月別販売比率!BA43</f>
        <v>0</v>
      </c>
      <c r="BZ202" s="280">
        <v>30</v>
      </c>
      <c r="CA202" s="81">
        <f>$H$172*月別販売比率!BF43</f>
        <v>0</v>
      </c>
      <c r="CB202" s="39"/>
      <c r="CC202" s="245">
        <f>H202*月別販売比率!$C$21</f>
        <v>0</v>
      </c>
      <c r="CD202" s="280">
        <v>30</v>
      </c>
      <c r="CE202" s="81">
        <f>H202*月別販売比率!$H$21</f>
        <v>0</v>
      </c>
      <c r="CF202" s="39"/>
      <c r="CG202" s="81">
        <f>H202*月別販売比率!$M$21</f>
        <v>0</v>
      </c>
      <c r="CH202" s="39"/>
      <c r="CI202" s="570">
        <f>H202*月別販売比率!$R$21</f>
        <v>0</v>
      </c>
      <c r="CJ202" s="571"/>
      <c r="CK202" s="570">
        <f>H202*月別販売比率!$W$21</f>
        <v>0</v>
      </c>
      <c r="CL202" s="571"/>
      <c r="CM202" s="570">
        <f>H202*月別販売比率!$AB$21</f>
        <v>0</v>
      </c>
      <c r="CN202" s="571"/>
      <c r="CO202" s="570">
        <f>H202*月別販売比率!$AG$21</f>
        <v>0</v>
      </c>
      <c r="CP202" s="571"/>
      <c r="CQ202" s="570">
        <f>H202*月別販売比率!$AL$21</f>
        <v>0</v>
      </c>
      <c r="CR202" s="571"/>
      <c r="CS202" s="570">
        <f>H202*月別販売比率!$AQ$21</f>
        <v>0</v>
      </c>
      <c r="CT202" s="571"/>
      <c r="CU202" s="570">
        <f>H202*月別販売比率!$AV$21</f>
        <v>0</v>
      </c>
      <c r="CV202" s="571"/>
      <c r="CW202" s="570">
        <f>H202*月別販売比率!$BA$21</f>
        <v>0</v>
      </c>
      <c r="CX202" s="571"/>
      <c r="CY202" s="570">
        <f>H202*月別販売比率!$BF$21</f>
        <v>0</v>
      </c>
      <c r="CZ202" s="571"/>
      <c r="DA202" s="568"/>
      <c r="DB202" s="569"/>
    </row>
    <row r="203" spans="2:106" ht="30.75" customHeight="1">
      <c r="B203" s="25"/>
      <c r="C203" s="457"/>
      <c r="D203" s="441"/>
      <c r="E203" s="94" t="s">
        <v>47</v>
      </c>
      <c r="G203" s="46">
        <f t="shared" ref="G203:G210" si="300">F203*3080</f>
        <v>0</v>
      </c>
      <c r="H203" s="45">
        <f>F203*($H$171/$F$171)</f>
        <v>0</v>
      </c>
      <c r="I203" s="46">
        <f t="shared" ref="I203:I210" si="301">H203*3080</f>
        <v>0</v>
      </c>
      <c r="J203" s="49"/>
      <c r="K203" s="39">
        <f t="shared" si="290"/>
        <v>0</v>
      </c>
      <c r="L203" s="39"/>
      <c r="M203" s="39"/>
      <c r="N203" s="42"/>
      <c r="O203" s="19"/>
      <c r="P203" s="19"/>
      <c r="Q203" s="330"/>
      <c r="R203" s="124"/>
      <c r="S203" s="345"/>
      <c r="T203" s="345"/>
      <c r="U203" s="331">
        <v>45392</v>
      </c>
      <c r="V203" s="124"/>
      <c r="W203" s="124"/>
      <c r="X203" s="124"/>
      <c r="Y203" s="328"/>
      <c r="Z203" s="124"/>
      <c r="AA203" s="328"/>
      <c r="AB203" s="328"/>
      <c r="AC203" s="328"/>
      <c r="AD203" s="330"/>
      <c r="AE203" s="330"/>
      <c r="AF203" s="330"/>
      <c r="AG203" s="330"/>
      <c r="AH203" s="330"/>
      <c r="AI203" s="129">
        <f t="shared" si="291"/>
        <v>0</v>
      </c>
      <c r="AJ203" s="129">
        <f t="shared" si="292"/>
        <v>0</v>
      </c>
      <c r="AK203" s="129">
        <f t="shared" si="293"/>
        <v>0</v>
      </c>
      <c r="AL203" s="399">
        <f t="shared" si="294"/>
        <v>0</v>
      </c>
      <c r="AM203" s="393">
        <f t="shared" si="295"/>
        <v>0</v>
      </c>
      <c r="AN203" s="393">
        <f t="shared" si="296"/>
        <v>0</v>
      </c>
      <c r="AO203" s="393">
        <f t="shared" si="297"/>
        <v>0</v>
      </c>
      <c r="AP203" s="96">
        <f t="shared" si="298"/>
        <v>0</v>
      </c>
      <c r="AQ203" s="91">
        <f t="shared" si="299"/>
        <v>0</v>
      </c>
      <c r="AR203" s="198"/>
      <c r="AS203" s="81">
        <f>$H$173*月別販売比率!AG27</f>
        <v>5.8942933559430211</v>
      </c>
      <c r="AT203" s="21"/>
      <c r="AU203" s="81">
        <f>$H$173*月別販売比率!AL27</f>
        <v>7.1847084517206143</v>
      </c>
      <c r="AV203" s="21"/>
      <c r="AW203" s="81">
        <f>$H$173*月別販売比率!AQ27</f>
        <v>9.8442490971605334</v>
      </c>
      <c r="AX203" s="21"/>
      <c r="AY203" s="81">
        <f>$H$173*月別販売比率!AV27</f>
        <v>9.4498097467762534</v>
      </c>
      <c r="AZ203" s="21"/>
      <c r="BA203" s="81">
        <f>$H$173*月別販売比率!BA27</f>
        <v>5.9993644994550008</v>
      </c>
      <c r="BB203" s="21"/>
      <c r="BC203" s="81">
        <f>$H$173*月別販売比率!BF27</f>
        <v>9.06</v>
      </c>
      <c r="BD203" s="21"/>
      <c r="BE203" s="245">
        <f>$H$173*月別販売比率!C43</f>
        <v>0</v>
      </c>
      <c r="BF203" s="241">
        <v>90</v>
      </c>
      <c r="BG203" s="81">
        <f>$H$173*月別販売比率!H43</f>
        <v>0</v>
      </c>
      <c r="BH203" s="21"/>
      <c r="BI203" s="81">
        <f>$H$173*月別販売比率!M43</f>
        <v>0</v>
      </c>
      <c r="BJ203" s="21"/>
      <c r="BK203" s="81">
        <f>$H$173*月別販売比率!R43</f>
        <v>0</v>
      </c>
      <c r="BL203" s="21"/>
      <c r="BM203" s="81">
        <f>$H$173*月別販売比率!W43</f>
        <v>0</v>
      </c>
      <c r="BN203" s="21"/>
      <c r="BO203" s="245">
        <f>$H$173*月別販売比率!AB43</f>
        <v>0</v>
      </c>
      <c r="BP203" s="241">
        <v>15</v>
      </c>
      <c r="BQ203" s="245">
        <f>$H$173*月別販売比率!AG43</f>
        <v>0</v>
      </c>
      <c r="BR203" s="241"/>
      <c r="BS203" s="81">
        <f>$H$173*月別販売比率!AL43</f>
        <v>0</v>
      </c>
      <c r="BT203" s="21"/>
      <c r="BU203" s="81">
        <f>$H$173*月別販売比率!AQ43</f>
        <v>0</v>
      </c>
      <c r="BV203" s="21"/>
      <c r="BW203" s="81">
        <f>$H$173*月別販売比率!AV43</f>
        <v>0</v>
      </c>
      <c r="BX203" s="21"/>
      <c r="BY203" s="245">
        <f>$H$173*月別販売比率!BA43</f>
        <v>0</v>
      </c>
      <c r="BZ203" s="241">
        <v>40</v>
      </c>
      <c r="CA203" s="81">
        <f>$H$173*月別販売比率!BF43</f>
        <v>0</v>
      </c>
      <c r="CB203" s="21"/>
      <c r="CC203" s="245">
        <f>H203*月別販売比率!$C$21</f>
        <v>0</v>
      </c>
      <c r="CD203" s="241">
        <v>40</v>
      </c>
      <c r="CE203" s="81">
        <f>H203*月別販売比率!$H$21</f>
        <v>0</v>
      </c>
      <c r="CF203" s="21"/>
      <c r="CG203" s="81">
        <f>H203*月別販売比率!$M$21</f>
        <v>0</v>
      </c>
      <c r="CH203" s="21"/>
      <c r="CI203" s="81">
        <f>H203*月別販売比率!$R$21</f>
        <v>0</v>
      </c>
      <c r="CJ203" s="21"/>
      <c r="CK203" s="81">
        <f>H203*月別販売比率!$W$21</f>
        <v>0</v>
      </c>
      <c r="CL203" s="21"/>
      <c r="CM203" s="81">
        <f>H203*月別販売比率!$AB$21</f>
        <v>0</v>
      </c>
      <c r="CN203" s="21"/>
      <c r="CO203" s="81">
        <f>H203*月別販売比率!$AG$21</f>
        <v>0</v>
      </c>
      <c r="CP203" s="21"/>
      <c r="CQ203" s="81">
        <f>H203*月別販売比率!$AL$21</f>
        <v>0</v>
      </c>
      <c r="CR203" s="21"/>
      <c r="CS203" s="81">
        <f>H203*月別販売比率!$AQ$21</f>
        <v>0</v>
      </c>
      <c r="CT203" s="21"/>
      <c r="CU203" s="81">
        <f>H203*月別販売比率!$AV$21</f>
        <v>0</v>
      </c>
      <c r="CV203" s="21"/>
      <c r="CW203" s="81">
        <f>H203*月別販売比率!$BA$21</f>
        <v>0</v>
      </c>
      <c r="CX203" s="21"/>
      <c r="CY203" s="81">
        <f>H203*月別販売比率!$BF$21</f>
        <v>0</v>
      </c>
      <c r="CZ203" s="21"/>
      <c r="DA203" s="28"/>
      <c r="DB203" s="294"/>
    </row>
    <row r="204" spans="2:106" ht="30.75" customHeight="1">
      <c r="B204" s="25"/>
      <c r="C204" s="457"/>
      <c r="D204" s="441"/>
      <c r="E204" s="94" t="s">
        <v>51</v>
      </c>
      <c r="G204" s="46">
        <f t="shared" si="300"/>
        <v>0</v>
      </c>
      <c r="H204" s="45">
        <f>F204*($H$171/$F$171)</f>
        <v>0</v>
      </c>
      <c r="I204" s="46">
        <f t="shared" si="301"/>
        <v>0</v>
      </c>
      <c r="J204" s="9"/>
      <c r="K204" s="21">
        <f t="shared" si="290"/>
        <v>0</v>
      </c>
      <c r="L204" s="21"/>
      <c r="M204" s="39"/>
      <c r="N204" s="42"/>
      <c r="O204" s="19"/>
      <c r="P204" s="19"/>
      <c r="Q204" s="330"/>
      <c r="R204" s="124"/>
      <c r="S204" s="345"/>
      <c r="T204" s="345"/>
      <c r="U204" s="331">
        <v>45392</v>
      </c>
      <c r="V204" s="124"/>
      <c r="W204" s="124"/>
      <c r="X204" s="124"/>
      <c r="Y204" s="124"/>
      <c r="Z204" s="124"/>
      <c r="AA204" s="328"/>
      <c r="AB204" s="124"/>
      <c r="AC204" s="328"/>
      <c r="AD204" s="328"/>
      <c r="AE204" s="124"/>
      <c r="AF204" s="124"/>
      <c r="AG204" s="124"/>
      <c r="AH204" s="124"/>
      <c r="AI204" s="129">
        <f t="shared" si="291"/>
        <v>0</v>
      </c>
      <c r="AJ204" s="129">
        <f t="shared" si="292"/>
        <v>0</v>
      </c>
      <c r="AK204" s="129">
        <f t="shared" si="293"/>
        <v>0</v>
      </c>
      <c r="AL204" s="399">
        <f t="shared" si="294"/>
        <v>0</v>
      </c>
      <c r="AM204" s="393">
        <f t="shared" si="295"/>
        <v>0</v>
      </c>
      <c r="AN204" s="393">
        <f t="shared" si="296"/>
        <v>0</v>
      </c>
      <c r="AO204" s="393">
        <f t="shared" si="297"/>
        <v>0</v>
      </c>
      <c r="AP204" s="96">
        <f t="shared" si="298"/>
        <v>0</v>
      </c>
      <c r="AQ204" s="91">
        <f t="shared" si="299"/>
        <v>0</v>
      </c>
      <c r="AR204" s="198"/>
      <c r="AS204" s="81">
        <f>$H$174*月別販売比率!AG27</f>
        <v>7.9572960305230787</v>
      </c>
      <c r="AT204" s="21"/>
      <c r="AU204" s="81">
        <f>$H$174*月別販売比率!AL27</f>
        <v>9.699356409822828</v>
      </c>
      <c r="AV204" s="21"/>
      <c r="AW204" s="81">
        <f>$H$174*月別販売比率!AQ27</f>
        <v>13.289736281166718</v>
      </c>
      <c r="AX204" s="21"/>
      <c r="AY204" s="81">
        <f>$H$174*月別販売比率!AV27</f>
        <v>12.757243158147942</v>
      </c>
      <c r="AZ204" s="21"/>
      <c r="BA204" s="81">
        <f>$H$174*月別販売比率!BA27</f>
        <v>8.0991420742642504</v>
      </c>
      <c r="BB204" s="21"/>
      <c r="BC204" s="81">
        <f>$H$174*月別販売比率!BF27</f>
        <v>12.231000000000002</v>
      </c>
      <c r="BD204" s="21"/>
      <c r="BE204" s="245">
        <f>$H$174*月別販売比率!C43</f>
        <v>0</v>
      </c>
      <c r="BF204" s="241">
        <v>75</v>
      </c>
      <c r="BG204" s="81">
        <f>$H$174*月別販売比率!H43</f>
        <v>0</v>
      </c>
      <c r="BH204" s="21"/>
      <c r="BI204" s="81">
        <f>$H$174*月別販売比率!M43</f>
        <v>0</v>
      </c>
      <c r="BJ204" s="21"/>
      <c r="BK204" s="81">
        <f>$H$174*月別販売比率!R43</f>
        <v>0</v>
      </c>
      <c r="BL204" s="21"/>
      <c r="BM204" s="81">
        <f>$H$174*月別販売比率!W43</f>
        <v>0</v>
      </c>
      <c r="BN204" s="21"/>
      <c r="BO204" s="245">
        <f>$H$174*月別販売比率!AB43</f>
        <v>0</v>
      </c>
      <c r="BP204" s="241">
        <v>65</v>
      </c>
      <c r="BQ204" s="245">
        <f>$H$174*月別販売比率!AG43</f>
        <v>0</v>
      </c>
      <c r="BR204" s="241"/>
      <c r="BS204" s="81">
        <f>$H$174*月別販売比率!AL43</f>
        <v>0</v>
      </c>
      <c r="BT204" s="21"/>
      <c r="BU204" s="81">
        <f>$H$174*月別販売比率!AQ43</f>
        <v>0</v>
      </c>
      <c r="BV204" s="21"/>
      <c r="BW204" s="81">
        <f>$H$174*月別販売比率!AV43</f>
        <v>0</v>
      </c>
      <c r="BX204" s="21"/>
      <c r="BY204" s="245">
        <f>$H$174*月別販売比率!BA43</f>
        <v>0</v>
      </c>
      <c r="BZ204" s="241">
        <v>35</v>
      </c>
      <c r="CA204" s="81">
        <f>$H$174*月別販売比率!BF43</f>
        <v>0</v>
      </c>
      <c r="CB204" s="21"/>
      <c r="CC204" s="245">
        <f>H204*月別販売比率!$C$21</f>
        <v>0</v>
      </c>
      <c r="CD204" s="241">
        <v>35</v>
      </c>
      <c r="CE204" s="81">
        <f>H204*月別販売比率!$H$21</f>
        <v>0</v>
      </c>
      <c r="CF204" s="21"/>
      <c r="CG204" s="81">
        <f>H204*月別販売比率!$M$21</f>
        <v>0</v>
      </c>
      <c r="CH204" s="21"/>
      <c r="CI204" s="81">
        <f>H204*月別販売比率!$R$21</f>
        <v>0</v>
      </c>
      <c r="CJ204" s="21"/>
      <c r="CK204" s="81">
        <f>H204*月別販売比率!$W$21</f>
        <v>0</v>
      </c>
      <c r="CL204" s="21"/>
      <c r="CM204" s="81">
        <f>H204*月別販売比率!$AB$21</f>
        <v>0</v>
      </c>
      <c r="CN204" s="21"/>
      <c r="CO204" s="81">
        <f>H204*月別販売比率!$AG$21</f>
        <v>0</v>
      </c>
      <c r="CP204" s="21"/>
      <c r="CQ204" s="81">
        <f>H204*月別販売比率!$AL$21</f>
        <v>0</v>
      </c>
      <c r="CR204" s="21"/>
      <c r="CS204" s="81">
        <f>H204*月別販売比率!$AQ$21</f>
        <v>0</v>
      </c>
      <c r="CT204" s="21"/>
      <c r="CU204" s="81">
        <f>H204*月別販売比率!$AV$21</f>
        <v>0</v>
      </c>
      <c r="CV204" s="21"/>
      <c r="CW204" s="81">
        <f>H204*月別販売比率!$BA$21</f>
        <v>0</v>
      </c>
      <c r="CX204" s="21"/>
      <c r="CY204" s="81">
        <f>H204*月別販売比率!$BF$21</f>
        <v>0</v>
      </c>
      <c r="CZ204" s="21"/>
      <c r="DA204" s="28"/>
      <c r="DB204" s="294"/>
    </row>
    <row r="205" spans="2:106" ht="30.75" customHeight="1">
      <c r="B205" s="25"/>
      <c r="C205" s="457"/>
      <c r="D205" s="442"/>
      <c r="E205" s="94" t="s">
        <v>49</v>
      </c>
      <c r="G205" s="46">
        <f t="shared" si="300"/>
        <v>0</v>
      </c>
      <c r="H205" s="45">
        <f>F205*($H$171/$F$171)</f>
        <v>0</v>
      </c>
      <c r="I205" s="46">
        <f t="shared" si="301"/>
        <v>0</v>
      </c>
      <c r="J205" s="9"/>
      <c r="K205" s="21">
        <f t="shared" si="290"/>
        <v>0</v>
      </c>
      <c r="L205" s="21"/>
      <c r="M205" s="39"/>
      <c r="N205" s="42"/>
      <c r="O205" s="19"/>
      <c r="P205" s="19"/>
      <c r="Q205" s="330"/>
      <c r="R205" s="124"/>
      <c r="S205" s="129"/>
      <c r="T205" s="129"/>
      <c r="U205" s="129"/>
      <c r="V205" s="328"/>
      <c r="W205" s="328"/>
      <c r="X205" s="328"/>
      <c r="Y205" s="328"/>
      <c r="Z205" s="124"/>
      <c r="AA205" s="328"/>
      <c r="AB205" s="328"/>
      <c r="AC205" s="328"/>
      <c r="AD205" s="328"/>
      <c r="AE205" s="328"/>
      <c r="AF205" s="328"/>
      <c r="AG205" s="124"/>
      <c r="AH205" s="124"/>
      <c r="AI205" s="129">
        <f t="shared" si="291"/>
        <v>0</v>
      </c>
      <c r="AJ205" s="129">
        <f t="shared" si="292"/>
        <v>0</v>
      </c>
      <c r="AK205" s="129">
        <f t="shared" si="293"/>
        <v>0</v>
      </c>
      <c r="AL205" s="399">
        <f t="shared" si="294"/>
        <v>0</v>
      </c>
      <c r="AM205" s="393">
        <f t="shared" si="295"/>
        <v>0</v>
      </c>
      <c r="AN205" s="393">
        <f t="shared" si="296"/>
        <v>0</v>
      </c>
      <c r="AO205" s="393">
        <f t="shared" si="297"/>
        <v>0</v>
      </c>
      <c r="AP205" s="96">
        <f t="shared" si="298"/>
        <v>0</v>
      </c>
      <c r="AQ205" s="91">
        <f t="shared" si="299"/>
        <v>0</v>
      </c>
      <c r="AR205" s="198"/>
      <c r="AS205" s="81">
        <f>$H$175*月別販売比率!AG27</f>
        <v>3.8312906813629635</v>
      </c>
      <c r="AT205" s="21"/>
      <c r="AU205" s="81">
        <f>$H$175*月別販売比率!AL27</f>
        <v>4.6700604936183989</v>
      </c>
      <c r="AV205" s="21"/>
      <c r="AW205" s="81">
        <f>$H$175*月別販売比率!AQ27</f>
        <v>6.3987619131543454</v>
      </c>
      <c r="AX205" s="21"/>
      <c r="AY205" s="81">
        <f>$H$175*月別販売比率!AV27</f>
        <v>6.1423763354045642</v>
      </c>
      <c r="AZ205" s="21"/>
      <c r="BA205" s="81">
        <f>$H$175*月別販売比率!BA27</f>
        <v>3.8995869246457504</v>
      </c>
      <c r="BB205" s="21"/>
      <c r="BC205" s="81">
        <f>$H$175*月別販売比率!BF27</f>
        <v>5.8890000000000002</v>
      </c>
      <c r="BD205" s="21"/>
      <c r="BE205" s="245">
        <f>$H$175*月別販売比率!C43</f>
        <v>0</v>
      </c>
      <c r="BF205" s="241">
        <v>60</v>
      </c>
      <c r="BG205" s="81">
        <f>$H$175*月別販売比率!H43</f>
        <v>0</v>
      </c>
      <c r="BH205" s="21"/>
      <c r="BI205" s="81">
        <f>$H$175*月別販売比率!M43</f>
        <v>0</v>
      </c>
      <c r="BJ205" s="21"/>
      <c r="BK205" s="81">
        <f>$H$175*月別販売比率!R43</f>
        <v>0</v>
      </c>
      <c r="BL205" s="21"/>
      <c r="BM205" s="81">
        <f>$H$175*月別販売比率!W43</f>
        <v>0</v>
      </c>
      <c r="BN205" s="21"/>
      <c r="BO205" s="245">
        <f>$H$175*月別販売比率!AB43</f>
        <v>0</v>
      </c>
      <c r="BP205" s="241">
        <v>10</v>
      </c>
      <c r="BQ205" s="245">
        <f>$H$175*月別販売比率!AG43</f>
        <v>0</v>
      </c>
      <c r="BR205" s="241"/>
      <c r="BS205" s="81">
        <f>$H$175*月別販売比率!AL43</f>
        <v>0</v>
      </c>
      <c r="BT205" s="21"/>
      <c r="BU205" s="81">
        <f>$H$175*月別販売比率!AQ43</f>
        <v>0</v>
      </c>
      <c r="BV205" s="21"/>
      <c r="BW205" s="81">
        <f>$H$175*月別販売比率!AV43</f>
        <v>0</v>
      </c>
      <c r="BX205" s="21"/>
      <c r="BY205" s="245">
        <f>$H$175*月別販売比率!BA43</f>
        <v>0</v>
      </c>
      <c r="BZ205" s="241">
        <v>25</v>
      </c>
      <c r="CA205" s="81">
        <f>$H$175*月別販売比率!BF43</f>
        <v>0</v>
      </c>
      <c r="CB205" s="21"/>
      <c r="CC205" s="245">
        <f>H205*月別販売比率!$C$21</f>
        <v>0</v>
      </c>
      <c r="CD205" s="241">
        <v>25</v>
      </c>
      <c r="CE205" s="81">
        <f>H205*月別販売比率!$H$21</f>
        <v>0</v>
      </c>
      <c r="CF205" s="21"/>
      <c r="CG205" s="81">
        <f>H205*月別販売比率!$M$21</f>
        <v>0</v>
      </c>
      <c r="CH205" s="21"/>
      <c r="CI205" s="81">
        <f>H205*月別販売比率!$R$21</f>
        <v>0</v>
      </c>
      <c r="CJ205" s="21"/>
      <c r="CK205" s="81">
        <f>H205*月別販売比率!$W$21</f>
        <v>0</v>
      </c>
      <c r="CL205" s="21"/>
      <c r="CM205" s="81">
        <f>H205*月別販売比率!$AB$21</f>
        <v>0</v>
      </c>
      <c r="CN205" s="21"/>
      <c r="CO205" s="81">
        <f>H205*月別販売比率!$AG$21</f>
        <v>0</v>
      </c>
      <c r="CP205" s="21"/>
      <c r="CQ205" s="81">
        <f>H205*月別販売比率!$AL$21</f>
        <v>0</v>
      </c>
      <c r="CR205" s="21"/>
      <c r="CS205" s="81">
        <f>H205*月別販売比率!$AQ$21</f>
        <v>0</v>
      </c>
      <c r="CT205" s="21"/>
      <c r="CU205" s="81">
        <f>H205*月別販売比率!$AV$21</f>
        <v>0</v>
      </c>
      <c r="CV205" s="21"/>
      <c r="CW205" s="81">
        <f>H205*月別販売比率!$BA$21</f>
        <v>0</v>
      </c>
      <c r="CX205" s="21"/>
      <c r="CY205" s="81">
        <f>H205*月別販売比率!$BF$21</f>
        <v>0</v>
      </c>
      <c r="CZ205" s="21"/>
      <c r="DA205" s="28"/>
      <c r="DB205" s="294"/>
    </row>
    <row r="206" spans="2:106" ht="30.75" customHeight="1">
      <c r="B206" s="25"/>
      <c r="C206" s="457"/>
      <c r="D206" s="443">
        <v>3</v>
      </c>
      <c r="E206" s="99" t="s">
        <v>275</v>
      </c>
      <c r="G206" s="46">
        <f t="shared" si="300"/>
        <v>0</v>
      </c>
      <c r="H206" s="45">
        <f>F206*($H$171/$F$171)</f>
        <v>0</v>
      </c>
      <c r="I206" s="46">
        <f t="shared" si="301"/>
        <v>0</v>
      </c>
      <c r="J206" s="9"/>
      <c r="K206" s="21">
        <f t="shared" si="290"/>
        <v>0</v>
      </c>
      <c r="L206" s="21"/>
      <c r="M206" s="39"/>
      <c r="N206" s="42"/>
      <c r="O206" s="19"/>
      <c r="P206" s="19"/>
      <c r="Q206" s="330"/>
      <c r="R206" s="124"/>
      <c r="S206" s="129"/>
      <c r="T206" s="129"/>
      <c r="U206" s="129"/>
      <c r="V206" s="124"/>
      <c r="W206" s="124"/>
      <c r="X206" s="124"/>
      <c r="Y206" s="124"/>
      <c r="Z206" s="124"/>
      <c r="AA206" s="328"/>
      <c r="AB206" s="124"/>
      <c r="AC206" s="124"/>
      <c r="AD206" s="124"/>
      <c r="AE206" s="124"/>
      <c r="AF206" s="124"/>
      <c r="AG206" s="124"/>
      <c r="AH206" s="124"/>
      <c r="AI206" s="129">
        <f t="shared" si="291"/>
        <v>0</v>
      </c>
      <c r="AJ206" s="129">
        <f t="shared" si="292"/>
        <v>0</v>
      </c>
      <c r="AK206" s="129">
        <f t="shared" si="293"/>
        <v>0</v>
      </c>
      <c r="AL206" s="399">
        <f t="shared" si="294"/>
        <v>0</v>
      </c>
      <c r="AM206" s="393">
        <f t="shared" si="295"/>
        <v>0</v>
      </c>
      <c r="AN206" s="393">
        <f t="shared" si="296"/>
        <v>0</v>
      </c>
      <c r="AO206" s="393">
        <f t="shared" si="297"/>
        <v>0</v>
      </c>
      <c r="AP206" s="96">
        <f t="shared" si="298"/>
        <v>0</v>
      </c>
      <c r="AQ206" s="91">
        <f t="shared" si="299"/>
        <v>0</v>
      </c>
      <c r="AR206" s="198"/>
      <c r="AS206" s="81">
        <f>$H$176*月別販売比率!AG27</f>
        <v>2.3577173423772084</v>
      </c>
      <c r="AT206" s="21"/>
      <c r="AU206" s="81">
        <f>$H$176*月別販売比率!AL27</f>
        <v>2.8738833806882456</v>
      </c>
      <c r="AV206" s="21"/>
      <c r="AW206" s="81">
        <f>$H$176*月別販売比率!AQ27</f>
        <v>3.9376996388642129</v>
      </c>
      <c r="AX206" s="21"/>
      <c r="AY206" s="81">
        <f>$H$176*月別販売比率!AV27</f>
        <v>3.7799238987105013</v>
      </c>
      <c r="AZ206" s="21"/>
      <c r="BA206" s="81">
        <f>$H$176*月別販売比率!BA27</f>
        <v>2.3997457997820004</v>
      </c>
      <c r="BB206" s="21"/>
      <c r="BC206" s="81">
        <f>$H$176*月別販売比率!BF27</f>
        <v>3.6240000000000006</v>
      </c>
      <c r="BD206" s="21"/>
      <c r="BE206" s="245">
        <f>$H$176*月別販売比率!C43</f>
        <v>0</v>
      </c>
      <c r="BF206" s="241">
        <v>15</v>
      </c>
      <c r="BG206" s="81">
        <f>$H$176*月別販売比率!H43</f>
        <v>0</v>
      </c>
      <c r="BH206" s="21"/>
      <c r="BI206" s="81">
        <f>$H$176*月別販売比率!M43</f>
        <v>0</v>
      </c>
      <c r="BJ206" s="21"/>
      <c r="BK206" s="81">
        <f>$H$176*月別販売比率!R43</f>
        <v>0</v>
      </c>
      <c r="BL206" s="21"/>
      <c r="BM206" s="81">
        <f>$H$176*月別販売比率!W43</f>
        <v>0</v>
      </c>
      <c r="BN206" s="21"/>
      <c r="BO206" s="245">
        <f>$H$176*月別販売比率!AB43</f>
        <v>0</v>
      </c>
      <c r="BP206" s="241">
        <v>25</v>
      </c>
      <c r="BQ206" s="245">
        <f>$H$176*月別販売比率!AG43</f>
        <v>0</v>
      </c>
      <c r="BR206" s="241"/>
      <c r="BS206" s="81">
        <f>$H$176*月別販売比率!AL43</f>
        <v>0</v>
      </c>
      <c r="BT206" s="21"/>
      <c r="BU206" s="81">
        <f>$H$176*月別販売比率!AQ43</f>
        <v>0</v>
      </c>
      <c r="BV206" s="21"/>
      <c r="BW206" s="81">
        <f>$H$176*月別販売比率!AV43</f>
        <v>0</v>
      </c>
      <c r="BX206" s="21"/>
      <c r="BY206" s="245">
        <f>$H$176*月別販売比率!BA43</f>
        <v>0</v>
      </c>
      <c r="BZ206" s="241">
        <v>5</v>
      </c>
      <c r="CA206" s="81">
        <f>$H$176*月別販売比率!BF43</f>
        <v>0</v>
      </c>
      <c r="CB206" s="21"/>
      <c r="CC206" s="245">
        <f>H206*月別販売比率!$C$21</f>
        <v>0</v>
      </c>
      <c r="CD206" s="241">
        <v>5</v>
      </c>
      <c r="CE206" s="81">
        <f>H206*月別販売比率!$H$21</f>
        <v>0</v>
      </c>
      <c r="CF206" s="21"/>
      <c r="CG206" s="81">
        <f>H206*月別販売比率!$M$21</f>
        <v>0</v>
      </c>
      <c r="CH206" s="21"/>
      <c r="CI206" s="81">
        <f>H206*月別販売比率!$R$21</f>
        <v>0</v>
      </c>
      <c r="CJ206" s="21"/>
      <c r="CK206" s="81">
        <f>H206*月別販売比率!$W$21</f>
        <v>0</v>
      </c>
      <c r="CL206" s="21"/>
      <c r="CM206" s="81">
        <f>H206*月別販売比率!$AB$21</f>
        <v>0</v>
      </c>
      <c r="CN206" s="21"/>
      <c r="CO206" s="81">
        <f>H206*月別販売比率!$AG$21</f>
        <v>0</v>
      </c>
      <c r="CP206" s="21"/>
      <c r="CQ206" s="81">
        <f>H206*月別販売比率!$AL$21</f>
        <v>0</v>
      </c>
      <c r="CR206" s="21"/>
      <c r="CS206" s="81">
        <f>H206*月別販売比率!$AQ$21</f>
        <v>0</v>
      </c>
      <c r="CT206" s="21"/>
      <c r="CU206" s="81">
        <f>H206*月別販売比率!$AV$21</f>
        <v>0</v>
      </c>
      <c r="CV206" s="21"/>
      <c r="CW206" s="81">
        <f>H206*月別販売比率!$BA$21</f>
        <v>0</v>
      </c>
      <c r="CX206" s="21"/>
      <c r="CY206" s="81">
        <f>H206*月別販売比率!$BF$21</f>
        <v>0</v>
      </c>
      <c r="CZ206" s="21"/>
      <c r="DA206" s="28"/>
      <c r="DB206" s="294"/>
    </row>
    <row r="207" spans="2:106" ht="30.75" customHeight="1">
      <c r="B207" s="25"/>
      <c r="C207" s="457"/>
      <c r="D207" s="441"/>
      <c r="E207" s="99" t="s">
        <v>46</v>
      </c>
      <c r="G207" s="46">
        <f t="shared" si="300"/>
        <v>0</v>
      </c>
      <c r="H207" s="45">
        <f>F207*($H$171/$F$171)</f>
        <v>0</v>
      </c>
      <c r="I207" s="46">
        <f t="shared" si="301"/>
        <v>0</v>
      </c>
      <c r="J207" s="278"/>
      <c r="K207" s="21">
        <f t="shared" si="290"/>
        <v>0</v>
      </c>
      <c r="L207" s="79"/>
      <c r="M207" s="39"/>
      <c r="N207" s="42"/>
      <c r="O207" s="288"/>
      <c r="P207" s="288"/>
      <c r="Q207" s="331">
        <v>45631</v>
      </c>
      <c r="R207" s="124"/>
      <c r="S207" s="129"/>
      <c r="T207" s="129"/>
      <c r="U207" s="129"/>
      <c r="V207" s="124"/>
      <c r="W207" s="124"/>
      <c r="X207" s="124"/>
      <c r="Y207" s="124"/>
      <c r="Z207" s="124"/>
      <c r="AA207" s="328"/>
      <c r="AB207" s="124"/>
      <c r="AC207" s="124"/>
      <c r="AD207" s="124"/>
      <c r="AE207" s="124"/>
      <c r="AF207" s="124"/>
      <c r="AG207" s="124"/>
      <c r="AH207" s="124"/>
      <c r="AI207" s="129">
        <f t="shared" si="291"/>
        <v>0</v>
      </c>
      <c r="AJ207" s="129">
        <f t="shared" si="292"/>
        <v>0</v>
      </c>
      <c r="AK207" s="129">
        <f t="shared" si="293"/>
        <v>0</v>
      </c>
      <c r="AL207" s="399">
        <f t="shared" si="294"/>
        <v>0</v>
      </c>
      <c r="AM207" s="393">
        <f t="shared" si="295"/>
        <v>0</v>
      </c>
      <c r="AN207" s="393">
        <f t="shared" si="296"/>
        <v>0</v>
      </c>
      <c r="AO207" s="393">
        <f t="shared" si="297"/>
        <v>0</v>
      </c>
      <c r="AP207" s="96">
        <f t="shared" si="298"/>
        <v>0</v>
      </c>
      <c r="AQ207" s="91">
        <f t="shared" si="299"/>
        <v>0</v>
      </c>
      <c r="AR207" s="198"/>
      <c r="AS207" s="81">
        <f>$H$177*月別販売比率!AG27</f>
        <v>12.84513554301755</v>
      </c>
      <c r="AT207" s="21"/>
      <c r="AU207" s="81">
        <f>$H$177*月別販売比率!AL27</f>
        <v>15.657271928341258</v>
      </c>
      <c r="AV207" s="21"/>
      <c r="AW207" s="81">
        <f>$H$177*月別販売比率!AQ27</f>
        <v>21.453074412178538</v>
      </c>
      <c r="AX207" s="21"/>
      <c r="AY207" s="81">
        <f>$H$177*月別販売比率!AV27</f>
        <v>20.593492675535355</v>
      </c>
      <c r="AZ207" s="21"/>
      <c r="BA207" s="81">
        <f>$H$177*月別販売比率!BA27</f>
        <v>13.074111774529749</v>
      </c>
      <c r="BB207" s="21"/>
      <c r="BC207" s="81">
        <f>$H$177*月別販売比率!BF27</f>
        <v>19.744</v>
      </c>
      <c r="BD207" s="21"/>
      <c r="BE207" s="245">
        <f>$H$177*月別販売比率!C43</f>
        <v>0</v>
      </c>
      <c r="BF207" s="241">
        <v>60</v>
      </c>
      <c r="BG207" s="81">
        <f>$H$177*月別販売比率!H43</f>
        <v>0</v>
      </c>
      <c r="BH207" s="21"/>
      <c r="BI207" s="81">
        <f>$H$177*月別販売比率!M43</f>
        <v>0</v>
      </c>
      <c r="BJ207" s="21"/>
      <c r="BK207" s="81">
        <f>$H$177*月別販売比率!R43</f>
        <v>0</v>
      </c>
      <c r="BL207" s="21"/>
      <c r="BM207" s="81">
        <f>$H$177*月別販売比率!W43</f>
        <v>0</v>
      </c>
      <c r="BN207" s="21"/>
      <c r="BO207" s="245">
        <f>$H$177*月別販売比率!AB43</f>
        <v>0</v>
      </c>
      <c r="BP207" s="241">
        <v>150</v>
      </c>
      <c r="BQ207" s="245">
        <f>$H$177*月別販売比率!AG43</f>
        <v>0</v>
      </c>
      <c r="BR207" s="241"/>
      <c r="BS207" s="81">
        <f>$H$177*月別販売比率!AL43</f>
        <v>0</v>
      </c>
      <c r="BT207" s="21"/>
      <c r="BU207" s="81">
        <f>$H$177*月別販売比率!AQ43</f>
        <v>0</v>
      </c>
      <c r="BV207" s="21"/>
      <c r="BW207" s="81">
        <f>$H$177*月別販売比率!AV43</f>
        <v>0</v>
      </c>
      <c r="BX207" s="21"/>
      <c r="BY207" s="245">
        <f>$H$177*月別販売比率!BA43</f>
        <v>0</v>
      </c>
      <c r="BZ207" s="241">
        <v>40</v>
      </c>
      <c r="CA207" s="81">
        <f>$H$177*月別販売比率!BF43</f>
        <v>0</v>
      </c>
      <c r="CB207" s="21"/>
      <c r="CC207" s="245">
        <f>H207*月別販売比率!$C$21</f>
        <v>0</v>
      </c>
      <c r="CD207" s="241">
        <v>40</v>
      </c>
      <c r="CE207" s="81">
        <f>H207*月別販売比率!$H$21</f>
        <v>0</v>
      </c>
      <c r="CF207" s="21"/>
      <c r="CG207" s="81">
        <f>H207*月別販売比率!$M$21</f>
        <v>0</v>
      </c>
      <c r="CH207" s="21"/>
      <c r="CI207" s="81">
        <f>H207*月別販売比率!$R$21</f>
        <v>0</v>
      </c>
      <c r="CJ207" s="21"/>
      <c r="CK207" s="81">
        <f>H207*月別販売比率!$W$21</f>
        <v>0</v>
      </c>
      <c r="CL207" s="21"/>
      <c r="CM207" s="81">
        <f>H207*月別販売比率!$AB$21</f>
        <v>0</v>
      </c>
      <c r="CN207" s="21"/>
      <c r="CO207" s="81">
        <f>H207*月別販売比率!$AG$21</f>
        <v>0</v>
      </c>
      <c r="CP207" s="21"/>
      <c r="CQ207" s="81">
        <f>H207*月別販売比率!$AL$21</f>
        <v>0</v>
      </c>
      <c r="CR207" s="21"/>
      <c r="CS207" s="81">
        <f>H207*月別販売比率!$AQ$21</f>
        <v>0</v>
      </c>
      <c r="CT207" s="21"/>
      <c r="CU207" s="81">
        <f>H207*月別販売比率!$AV$21</f>
        <v>0</v>
      </c>
      <c r="CV207" s="21"/>
      <c r="CW207" s="81">
        <f>H207*月別販売比率!$BA$21</f>
        <v>0</v>
      </c>
      <c r="CX207" s="21"/>
      <c r="CY207" s="81">
        <f>H207*月別販売比率!$BF$21</f>
        <v>0</v>
      </c>
      <c r="CZ207" s="21"/>
      <c r="DA207" s="28"/>
      <c r="DB207" s="294"/>
    </row>
    <row r="208" spans="2:106" ht="30.75" customHeight="1">
      <c r="B208" s="25"/>
      <c r="C208" s="457"/>
      <c r="D208" s="441"/>
      <c r="E208" s="94" t="s">
        <v>47</v>
      </c>
      <c r="G208" s="46">
        <f t="shared" si="300"/>
        <v>0</v>
      </c>
      <c r="H208" s="45">
        <f>F208*($H$171/$F$171)</f>
        <v>0</v>
      </c>
      <c r="I208" s="46">
        <f t="shared" si="301"/>
        <v>0</v>
      </c>
      <c r="J208" s="9"/>
      <c r="K208" s="21">
        <f>SUM(L207:N207)</f>
        <v>0</v>
      </c>
      <c r="L208" s="21"/>
      <c r="M208" s="39"/>
      <c r="N208" s="42"/>
      <c r="O208" s="19"/>
      <c r="P208" s="19"/>
      <c r="Q208" s="330"/>
      <c r="R208" s="124"/>
      <c r="S208" s="345"/>
      <c r="T208" s="345"/>
      <c r="U208" s="331">
        <v>45392</v>
      </c>
      <c r="V208" s="328"/>
      <c r="W208" s="331">
        <v>45838</v>
      </c>
      <c r="X208" s="124"/>
      <c r="Y208" s="124"/>
      <c r="Z208" s="124"/>
      <c r="AA208" s="328"/>
      <c r="AB208" s="124"/>
      <c r="AC208" s="124"/>
      <c r="AD208" s="124"/>
      <c r="AE208" s="124"/>
      <c r="AF208" s="124"/>
      <c r="AG208" s="124"/>
      <c r="AH208" s="124"/>
      <c r="AI208" s="129">
        <f t="shared" si="291"/>
        <v>0</v>
      </c>
      <c r="AJ208" s="129">
        <f t="shared" si="292"/>
        <v>0</v>
      </c>
      <c r="AK208" s="129">
        <f t="shared" si="293"/>
        <v>0</v>
      </c>
      <c r="AL208" s="399">
        <f t="shared" si="294"/>
        <v>0</v>
      </c>
      <c r="AM208" s="393">
        <f t="shared" si="295"/>
        <v>0</v>
      </c>
      <c r="AN208" s="393">
        <f t="shared" si="296"/>
        <v>0</v>
      </c>
      <c r="AO208" s="393">
        <f t="shared" si="297"/>
        <v>0</v>
      </c>
      <c r="AP208" s="96">
        <f t="shared" si="298"/>
        <v>0</v>
      </c>
      <c r="AQ208" s="91">
        <f t="shared" si="299"/>
        <v>0</v>
      </c>
      <c r="AR208" s="198"/>
      <c r="AS208" s="81">
        <f>$H$178*月別販売比率!AG27</f>
        <v>8.0282097143859694</v>
      </c>
      <c r="AT208" s="21"/>
      <c r="AU208" s="81">
        <f>$H$178*月別販売比率!AL27</f>
        <v>9.7857949552132855</v>
      </c>
      <c r="AV208" s="21"/>
      <c r="AW208" s="81">
        <f>$H$178*月別販売比率!AQ27</f>
        <v>13.408171507611586</v>
      </c>
      <c r="AX208" s="21"/>
      <c r="AY208" s="81">
        <f>$H$178*月別販売比率!AV27</f>
        <v>12.870932922209599</v>
      </c>
      <c r="AZ208" s="21"/>
      <c r="BA208" s="81">
        <f>$H$178*月別販売比率!BA27</f>
        <v>8.1713198590810929</v>
      </c>
      <c r="BB208" s="21"/>
      <c r="BC208" s="81">
        <f>$H$178*月別販売比率!BF27</f>
        <v>12.340000000000002</v>
      </c>
      <c r="BD208" s="21"/>
      <c r="BE208" s="245">
        <f>$H$178*月別販売比率!C43</f>
        <v>0</v>
      </c>
      <c r="BF208" s="241">
        <v>90</v>
      </c>
      <c r="BG208" s="81">
        <f>$H$178*月別販売比率!H43</f>
        <v>0</v>
      </c>
      <c r="BH208" s="21"/>
      <c r="BI208" s="81">
        <f>$H$178*月別販売比率!M43</f>
        <v>0</v>
      </c>
      <c r="BJ208" s="21"/>
      <c r="BK208" s="81">
        <f>$H$178*月別販売比率!R43</f>
        <v>0</v>
      </c>
      <c r="BL208" s="21"/>
      <c r="BM208" s="81">
        <f>$H$178*月別販売比率!W43</f>
        <v>0</v>
      </c>
      <c r="BN208" s="21"/>
      <c r="BO208" s="245">
        <f>$H$178*月別販売比率!AB43</f>
        <v>0</v>
      </c>
      <c r="BP208" s="241">
        <v>50</v>
      </c>
      <c r="BQ208" s="245">
        <f>$H$178*月別販売比率!AG43</f>
        <v>0</v>
      </c>
      <c r="BR208" s="241"/>
      <c r="BS208" s="81">
        <f>$H$178*月別販売比率!AL43</f>
        <v>0</v>
      </c>
      <c r="BT208" s="21"/>
      <c r="BU208" s="81">
        <f>$H$178*月別販売比率!AQ43</f>
        <v>0</v>
      </c>
      <c r="BV208" s="21"/>
      <c r="BW208" s="81">
        <f>$H$178*月別販売比率!AV43</f>
        <v>0</v>
      </c>
      <c r="BX208" s="21"/>
      <c r="BY208" s="245">
        <f>$H$178*月別販売比率!BA43</f>
        <v>0</v>
      </c>
      <c r="BZ208" s="241">
        <v>50</v>
      </c>
      <c r="CA208" s="81">
        <f>$H$178*月別販売比率!BF43</f>
        <v>0</v>
      </c>
      <c r="CB208" s="21"/>
      <c r="CC208" s="245">
        <f>H208*月別販売比率!$C$21</f>
        <v>0</v>
      </c>
      <c r="CD208" s="241">
        <v>50</v>
      </c>
      <c r="CE208" s="81">
        <f>H208*月別販売比率!$H$21</f>
        <v>0</v>
      </c>
      <c r="CF208" s="21"/>
      <c r="CG208" s="81">
        <f>H208*月別販売比率!$M$21</f>
        <v>0</v>
      </c>
      <c r="CH208" s="21"/>
      <c r="CI208" s="81">
        <f>H208*月別販売比率!$R$21</f>
        <v>0</v>
      </c>
      <c r="CJ208" s="21"/>
      <c r="CK208" s="81">
        <f>H208*月別販売比率!$W$21</f>
        <v>0</v>
      </c>
      <c r="CL208" s="21"/>
      <c r="CM208" s="81">
        <f>H208*月別販売比率!$AB$21</f>
        <v>0</v>
      </c>
      <c r="CN208" s="21"/>
      <c r="CO208" s="81">
        <f>H208*月別販売比率!$AG$21</f>
        <v>0</v>
      </c>
      <c r="CP208" s="21"/>
      <c r="CQ208" s="81">
        <f>H208*月別販売比率!$AL$21</f>
        <v>0</v>
      </c>
      <c r="CR208" s="21"/>
      <c r="CS208" s="81">
        <f>H208*月別販売比率!$AQ$21</f>
        <v>0</v>
      </c>
      <c r="CT208" s="21"/>
      <c r="CU208" s="81">
        <f>H208*月別販売比率!$AV$21</f>
        <v>0</v>
      </c>
      <c r="CV208" s="21"/>
      <c r="CW208" s="81">
        <f>H208*月別販売比率!$BA$21</f>
        <v>0</v>
      </c>
      <c r="CX208" s="21"/>
      <c r="CY208" s="81">
        <f>H208*月別販売比率!$BF$21</f>
        <v>0</v>
      </c>
      <c r="CZ208" s="21"/>
      <c r="DA208" s="28"/>
      <c r="DB208" s="294"/>
    </row>
    <row r="209" spans="2:106" ht="30.75" customHeight="1">
      <c r="B209" s="25"/>
      <c r="C209" s="457"/>
      <c r="D209" s="441"/>
      <c r="E209" s="94" t="s">
        <v>51</v>
      </c>
      <c r="G209" s="46">
        <f t="shared" si="300"/>
        <v>0</v>
      </c>
      <c r="H209" s="45">
        <f>F209*($H$171/$F$171)</f>
        <v>0</v>
      </c>
      <c r="I209" s="46">
        <f t="shared" si="301"/>
        <v>0</v>
      </c>
      <c r="J209" s="9"/>
      <c r="K209" s="21">
        <f>SUM(L209:N209)</f>
        <v>0</v>
      </c>
      <c r="L209" s="21"/>
      <c r="M209" s="39"/>
      <c r="N209" s="42"/>
      <c r="O209" s="19"/>
      <c r="P209" s="19"/>
      <c r="Q209" s="330"/>
      <c r="R209" s="124"/>
      <c r="S209" s="345"/>
      <c r="T209" s="345"/>
      <c r="U209" s="331">
        <v>45392</v>
      </c>
      <c r="V209" s="328"/>
      <c r="W209" s="328"/>
      <c r="X209" s="124"/>
      <c r="Y209" s="328"/>
      <c r="Z209" s="124"/>
      <c r="AA209" s="328"/>
      <c r="AB209" s="124"/>
      <c r="AC209" s="328"/>
      <c r="AD209" s="328"/>
      <c r="AE209" s="124"/>
      <c r="AF209" s="124"/>
      <c r="AG209" s="124"/>
      <c r="AH209" s="124"/>
      <c r="AI209" s="129">
        <f t="shared" si="291"/>
        <v>0</v>
      </c>
      <c r="AJ209" s="129">
        <f t="shared" si="292"/>
        <v>0</v>
      </c>
      <c r="AK209" s="129">
        <f t="shared" si="293"/>
        <v>0</v>
      </c>
      <c r="AL209" s="399">
        <f t="shared" si="294"/>
        <v>0</v>
      </c>
      <c r="AM209" s="393">
        <f t="shared" si="295"/>
        <v>0</v>
      </c>
      <c r="AN209" s="393">
        <f t="shared" si="296"/>
        <v>0</v>
      </c>
      <c r="AO209" s="393">
        <f t="shared" si="297"/>
        <v>0</v>
      </c>
      <c r="AP209" s="96">
        <f t="shared" si="298"/>
        <v>0</v>
      </c>
      <c r="AQ209" s="91">
        <f t="shared" si="299"/>
        <v>0</v>
      </c>
      <c r="AR209" s="198"/>
      <c r="AS209" s="81">
        <f>$H$179*月別販売比率!AG27</f>
        <v>10.838083114421059</v>
      </c>
      <c r="AT209" s="21"/>
      <c r="AU209" s="81">
        <f>$H$179*月別販売比率!AL27</f>
        <v>13.210823189537937</v>
      </c>
      <c r="AV209" s="21"/>
      <c r="AW209" s="81">
        <f>$H$179*月別販売比率!AQ27</f>
        <v>18.101031535275641</v>
      </c>
      <c r="AX209" s="21"/>
      <c r="AY209" s="81">
        <f>$H$179*月別販売比率!AV27</f>
        <v>17.375759444982958</v>
      </c>
      <c r="AZ209" s="21"/>
      <c r="BA209" s="81">
        <f>$H$179*月別販売比率!BA27</f>
        <v>11.031281809759475</v>
      </c>
      <c r="BB209" s="21"/>
      <c r="BC209" s="81">
        <f>$H$179*月別販売比率!BF27</f>
        <v>16.659000000000002</v>
      </c>
      <c r="BD209" s="21"/>
      <c r="BE209" s="245">
        <f>$H$179*月別販売比率!C43</f>
        <v>0</v>
      </c>
      <c r="BF209" s="241">
        <v>75</v>
      </c>
      <c r="BG209" s="81">
        <f>$H$179*月別販売比率!H43</f>
        <v>0</v>
      </c>
      <c r="BH209" s="21"/>
      <c r="BI209" s="81">
        <f>$H$179*月別販売比率!M43</f>
        <v>0</v>
      </c>
      <c r="BJ209" s="21"/>
      <c r="BK209" s="81">
        <f>$H$179*月別販売比率!R43</f>
        <v>0</v>
      </c>
      <c r="BL209" s="21"/>
      <c r="BM209" s="81">
        <f>$H$179*月別販売比率!W43</f>
        <v>0</v>
      </c>
      <c r="BN209" s="21"/>
      <c r="BO209" s="245">
        <f>$H$179*月別販売比率!AB43</f>
        <v>0</v>
      </c>
      <c r="BP209" s="241">
        <v>110</v>
      </c>
      <c r="BQ209" s="245">
        <f>$H$179*月別販売比率!AG43</f>
        <v>0</v>
      </c>
      <c r="BR209" s="241"/>
      <c r="BS209" s="81">
        <f>$H$179*月別販売比率!AL43</f>
        <v>0</v>
      </c>
      <c r="BT209" s="21"/>
      <c r="BU209" s="81">
        <f>$H$179*月別販売比率!AQ43</f>
        <v>0</v>
      </c>
      <c r="BV209" s="21"/>
      <c r="BW209" s="81">
        <f>$H$179*月別販売比率!AV43</f>
        <v>0</v>
      </c>
      <c r="BX209" s="21"/>
      <c r="BY209" s="245">
        <f>$H$179*月別販売比率!BA43</f>
        <v>0</v>
      </c>
      <c r="BZ209" s="241">
        <v>40</v>
      </c>
      <c r="CA209" s="81">
        <f>$H$179*月別販売比率!BF43</f>
        <v>0</v>
      </c>
      <c r="CB209" s="21"/>
      <c r="CC209" s="245">
        <f>H209*月別販売比率!$C$21</f>
        <v>0</v>
      </c>
      <c r="CD209" s="241">
        <v>40</v>
      </c>
      <c r="CE209" s="81">
        <f>H209*月別販売比率!$H$21</f>
        <v>0</v>
      </c>
      <c r="CF209" s="21"/>
      <c r="CG209" s="81">
        <f>H209*月別販売比率!$M$21</f>
        <v>0</v>
      </c>
      <c r="CH209" s="21"/>
      <c r="CI209" s="81">
        <f>H209*月別販売比率!$R$21</f>
        <v>0</v>
      </c>
      <c r="CJ209" s="21"/>
      <c r="CK209" s="81">
        <f>H209*月別販売比率!$W$21</f>
        <v>0</v>
      </c>
      <c r="CL209" s="21"/>
      <c r="CM209" s="81">
        <f>H209*月別販売比率!$AB$21</f>
        <v>0</v>
      </c>
      <c r="CN209" s="21"/>
      <c r="CO209" s="81">
        <f>H209*月別販売比率!$AG$21</f>
        <v>0</v>
      </c>
      <c r="CP209" s="21"/>
      <c r="CQ209" s="81">
        <f>H209*月別販売比率!$AL$21</f>
        <v>0</v>
      </c>
      <c r="CR209" s="21"/>
      <c r="CS209" s="81">
        <f>H209*月別販売比率!$AQ$21</f>
        <v>0</v>
      </c>
      <c r="CT209" s="21"/>
      <c r="CU209" s="81">
        <f>H209*月別販売比率!$AV$21</f>
        <v>0</v>
      </c>
      <c r="CV209" s="21"/>
      <c r="CW209" s="81">
        <f>H209*月別販売比率!$BA$21</f>
        <v>0</v>
      </c>
      <c r="CX209" s="21"/>
      <c r="CY209" s="81">
        <f>H209*月別販売比率!$BF$21</f>
        <v>0</v>
      </c>
      <c r="CZ209" s="21"/>
      <c r="DA209" s="28"/>
      <c r="DB209" s="294"/>
    </row>
    <row r="210" spans="2:106" ht="30.75" customHeight="1">
      <c r="B210" s="25"/>
      <c r="C210" s="457"/>
      <c r="D210" s="441"/>
      <c r="E210" s="119" t="s">
        <v>49</v>
      </c>
      <c r="F210" s="308"/>
      <c r="G210" s="549">
        <f t="shared" si="300"/>
        <v>0</v>
      </c>
      <c r="H210" s="550">
        <f>F210*($H$171/$F$171)</f>
        <v>0</v>
      </c>
      <c r="I210" s="549">
        <f t="shared" si="301"/>
        <v>0</v>
      </c>
      <c r="J210" s="102"/>
      <c r="K210" s="107">
        <f>SUM(L210:N210)</f>
        <v>0</v>
      </c>
      <c r="L210" s="107"/>
      <c r="M210" s="79"/>
      <c r="N210" s="44"/>
      <c r="O210" s="279"/>
      <c r="P210" s="78"/>
      <c r="Q210" s="551"/>
      <c r="R210" s="198"/>
      <c r="S210" s="344"/>
      <c r="T210" s="344"/>
      <c r="U210" s="344"/>
      <c r="V210" s="541"/>
      <c r="W210" s="541"/>
      <c r="X210" s="541"/>
      <c r="Y210" s="541"/>
      <c r="Z210" s="543"/>
      <c r="AA210" s="541"/>
      <c r="AB210" s="543"/>
      <c r="AC210" s="543"/>
      <c r="AD210" s="543"/>
      <c r="AE210" s="543"/>
      <c r="AF210" s="543"/>
      <c r="AG210" s="543"/>
      <c r="AH210" s="543"/>
      <c r="AI210" s="198">
        <f t="shared" si="291"/>
        <v>0</v>
      </c>
      <c r="AJ210" s="198">
        <f t="shared" si="292"/>
        <v>0</v>
      </c>
      <c r="AK210" s="198">
        <f t="shared" si="293"/>
        <v>0</v>
      </c>
      <c r="AL210" s="402">
        <f t="shared" si="294"/>
        <v>0</v>
      </c>
      <c r="AM210" s="396">
        <f t="shared" si="295"/>
        <v>0</v>
      </c>
      <c r="AN210" s="396">
        <f t="shared" si="296"/>
        <v>0</v>
      </c>
      <c r="AO210" s="396">
        <f t="shared" si="297"/>
        <v>0</v>
      </c>
      <c r="AP210" s="199">
        <f t="shared" si="298"/>
        <v>0</v>
      </c>
      <c r="AQ210" s="194">
        <f t="shared" si="299"/>
        <v>0</v>
      </c>
      <c r="AR210" s="198"/>
      <c r="AS210" s="81">
        <f>$H$180*月別販売比率!AG27</f>
        <v>5.2183363143508803</v>
      </c>
      <c r="AT210" s="79"/>
      <c r="AU210" s="81">
        <f>$H$180*月別販売比率!AL27</f>
        <v>6.3607667208886367</v>
      </c>
      <c r="AV210" s="79"/>
      <c r="AW210" s="81">
        <f>$H$180*月別販売比率!AQ27</f>
        <v>8.7153114799475304</v>
      </c>
      <c r="AX210" s="79"/>
      <c r="AY210" s="81">
        <f>$H$180*月別販売比率!AV27</f>
        <v>8.366106399436239</v>
      </c>
      <c r="AZ210" s="79"/>
      <c r="BA210" s="81">
        <f>$H$180*月別販売比率!BA27</f>
        <v>5.3113579084027114</v>
      </c>
      <c r="BB210" s="79"/>
      <c r="BC210" s="81">
        <f>$H$180*月別販売比率!BF27</f>
        <v>8.0210000000000008</v>
      </c>
      <c r="BD210" s="79"/>
      <c r="BE210" s="245">
        <f>$H$180*月別販売比率!C43</f>
        <v>0</v>
      </c>
      <c r="BF210" s="342">
        <v>60</v>
      </c>
      <c r="BG210" s="81">
        <f>$H$180*月別販売比率!H43</f>
        <v>0</v>
      </c>
      <c r="BH210" s="79"/>
      <c r="BI210" s="81">
        <f>$H$180*月別販売比率!M43</f>
        <v>0</v>
      </c>
      <c r="BJ210" s="79"/>
      <c r="BK210" s="81">
        <f>$H$180*月別販売比率!R43</f>
        <v>0</v>
      </c>
      <c r="BL210" s="79"/>
      <c r="BM210" s="81">
        <f>$H$180*月別販売比率!W43</f>
        <v>0</v>
      </c>
      <c r="BN210" s="79"/>
      <c r="BO210" s="245">
        <f>$H$180*月別販売比率!AB43</f>
        <v>0</v>
      </c>
      <c r="BP210" s="342">
        <v>35</v>
      </c>
      <c r="BQ210" s="245">
        <f>$H$180*月別販売比率!AG43</f>
        <v>0</v>
      </c>
      <c r="BR210" s="342"/>
      <c r="BS210" s="81">
        <f>$H$180*月別販売比率!AL43</f>
        <v>0</v>
      </c>
      <c r="BT210" s="79"/>
      <c r="BU210" s="81">
        <f>$H$180*月別販売比率!AQ43</f>
        <v>0</v>
      </c>
      <c r="BV210" s="79"/>
      <c r="BW210" s="81">
        <f>$H$180*月別販売比率!AV43</f>
        <v>0</v>
      </c>
      <c r="BX210" s="79"/>
      <c r="BY210" s="245">
        <f>$H$180*月別販売比率!BA43</f>
        <v>0</v>
      </c>
      <c r="BZ210" s="342">
        <v>30</v>
      </c>
      <c r="CA210" s="81">
        <f>$H$180*月別販売比率!BF43</f>
        <v>0</v>
      </c>
      <c r="CB210" s="79"/>
      <c r="CC210" s="245">
        <f>H210*月別販売比率!$C$21</f>
        <v>0</v>
      </c>
      <c r="CD210" s="342">
        <v>30</v>
      </c>
      <c r="CE210" s="81">
        <f>H210*月別販売比率!$H$21</f>
        <v>0</v>
      </c>
      <c r="CF210" s="79"/>
      <c r="CG210" s="81">
        <f>H210*月別販売比率!$M$21</f>
        <v>0</v>
      </c>
      <c r="CH210" s="79"/>
      <c r="CI210" s="81">
        <f>H210*月別販売比率!$R$21</f>
        <v>0</v>
      </c>
      <c r="CJ210" s="79"/>
      <c r="CK210" s="81">
        <f>H210*月別販売比率!$W$21</f>
        <v>0</v>
      </c>
      <c r="CL210" s="79"/>
      <c r="CM210" s="81">
        <f>H210*月別販売比率!$AB$21</f>
        <v>0</v>
      </c>
      <c r="CN210" s="79"/>
      <c r="CO210" s="81">
        <f>H210*月別販売比率!$AG$21</f>
        <v>0</v>
      </c>
      <c r="CP210" s="79"/>
      <c r="CQ210" s="81">
        <f>H210*月別販売比率!$AL$21</f>
        <v>0</v>
      </c>
      <c r="CR210" s="79"/>
      <c r="CS210" s="81">
        <f>H210*月別販売比率!$AQ$21</f>
        <v>0</v>
      </c>
      <c r="CT210" s="79"/>
      <c r="CU210" s="81">
        <f>H210*月別販売比率!$AV$21</f>
        <v>0</v>
      </c>
      <c r="CV210" s="79"/>
      <c r="CW210" s="81">
        <f>H210*月別販売比率!$BA$21</f>
        <v>0</v>
      </c>
      <c r="CX210" s="79"/>
      <c r="CY210" s="81">
        <f>H210*月別販売比率!$BF$21</f>
        <v>0</v>
      </c>
      <c r="CZ210" s="79"/>
      <c r="DA210" s="77"/>
      <c r="DB210" s="358"/>
    </row>
    <row r="211" spans="2:106" ht="30.75" customHeight="1">
      <c r="B211" s="2">
        <v>18</v>
      </c>
      <c r="C211" s="435" t="s">
        <v>13</v>
      </c>
      <c r="D211" s="436"/>
      <c r="E211" s="445"/>
      <c r="F211" s="144">
        <f>SUM(F212:F223)</f>
        <v>494</v>
      </c>
      <c r="G211" s="145">
        <f>SUM(G212:G223)</f>
        <v>2445300</v>
      </c>
      <c r="H211" s="144">
        <v>628</v>
      </c>
      <c r="I211" s="145">
        <f t="shared" ref="I211:N211" si="302">SUM(I212:I223)</f>
        <v>3108600.0000000005</v>
      </c>
      <c r="J211" s="147">
        <f t="shared" si="302"/>
        <v>47</v>
      </c>
      <c r="K211" s="148">
        <f t="shared" si="302"/>
        <v>141</v>
      </c>
      <c r="L211" s="148">
        <f t="shared" si="302"/>
        <v>50</v>
      </c>
      <c r="M211" s="148">
        <f t="shared" si="302"/>
        <v>91</v>
      </c>
      <c r="N211" s="149">
        <f t="shared" si="302"/>
        <v>0</v>
      </c>
      <c r="O211" s="152"/>
      <c r="P211" s="152"/>
      <c r="Q211" s="152"/>
      <c r="R211" s="152"/>
      <c r="S211" s="152"/>
      <c r="T211" s="152"/>
      <c r="U211" s="152"/>
      <c r="V211" s="152"/>
      <c r="W211" s="152"/>
      <c r="X211" s="152"/>
      <c r="Y211" s="152"/>
      <c r="Z211" s="152"/>
      <c r="AA211" s="152"/>
      <c r="AB211" s="152"/>
      <c r="AC211" s="152"/>
      <c r="AD211" s="152"/>
      <c r="AE211" s="152"/>
      <c r="AF211" s="152"/>
      <c r="AG211" s="152"/>
      <c r="AH211" s="152"/>
      <c r="AI211" s="152"/>
      <c r="AJ211" s="152"/>
      <c r="AK211" s="152"/>
      <c r="AL211" s="152"/>
      <c r="AM211" s="152"/>
      <c r="AN211" s="152"/>
      <c r="AO211" s="152"/>
      <c r="AP211" s="152"/>
      <c r="AQ211" s="152"/>
      <c r="AR211" s="152"/>
      <c r="AS211" s="150">
        <f>SUM(AS212:AS223)</f>
        <v>62.8</v>
      </c>
      <c r="AT211" s="148">
        <f>SUM(AT212:AT223)</f>
        <v>150</v>
      </c>
      <c r="AU211" s="150">
        <f>SUM(AU212:AU223)</f>
        <v>56.519999999999996</v>
      </c>
      <c r="AV211" s="148"/>
      <c r="AW211" s="150">
        <f>SUM(AW212:AW223)</f>
        <v>62.8</v>
      </c>
      <c r="AX211" s="148"/>
      <c r="AY211" s="150">
        <f>SUM(AY212:AY223)</f>
        <v>38.241667813696459</v>
      </c>
      <c r="AZ211" s="148"/>
      <c r="BA211" s="150">
        <f>SUM(BA212:BA223)</f>
        <v>34.931319802769693</v>
      </c>
      <c r="BB211" s="561">
        <f>SUM(BB212:BB223)</f>
        <v>181</v>
      </c>
      <c r="BC211" s="150">
        <f>SUM(BC212:BC223)</f>
        <v>50.24</v>
      </c>
      <c r="BD211" s="148"/>
      <c r="BE211" s="150">
        <f>SUM(BE212:BE223)</f>
        <v>44.502749700747643</v>
      </c>
      <c r="BF211" s="148"/>
      <c r="BG211" s="150">
        <f>SUM(BG212:BG223)</f>
        <v>43.960000000000008</v>
      </c>
      <c r="BH211" s="148"/>
      <c r="BI211" s="150">
        <f>SUM(BI212:BI223)</f>
        <v>63.467996769654711</v>
      </c>
      <c r="BJ211" s="148"/>
      <c r="BK211" s="150">
        <f>SUM(BK212:BK223)</f>
        <v>50.24</v>
      </c>
      <c r="BL211" s="148"/>
      <c r="BM211" s="150">
        <f>SUM(BM212:BM223)</f>
        <v>47.832700366260973</v>
      </c>
      <c r="BN211" s="148"/>
      <c r="BO211" s="150">
        <f t="shared" ref="BO211:BW211" si="303">SUM(BO212:BO223)</f>
        <v>75.36</v>
      </c>
      <c r="BP211" s="150">
        <f t="shared" si="303"/>
        <v>312</v>
      </c>
      <c r="BQ211" s="150">
        <f t="shared" si="303"/>
        <v>62.8</v>
      </c>
      <c r="BR211" s="150">
        <f t="shared" si="303"/>
        <v>0</v>
      </c>
      <c r="BS211" s="150">
        <f t="shared" si="303"/>
        <v>56.519999999999996</v>
      </c>
      <c r="BT211" s="150">
        <f t="shared" si="303"/>
        <v>0</v>
      </c>
      <c r="BU211" s="150">
        <f t="shared" si="303"/>
        <v>62.8</v>
      </c>
      <c r="BV211" s="150">
        <f t="shared" si="303"/>
        <v>110</v>
      </c>
      <c r="BW211" s="150">
        <f t="shared" si="303"/>
        <v>38.241667813696459</v>
      </c>
      <c r="BX211" s="148"/>
      <c r="BY211" s="150">
        <f>SUM(BY212:BY223)</f>
        <v>34.931319802769693</v>
      </c>
      <c r="BZ211" s="148"/>
      <c r="CA211" s="150">
        <f>SUM(CA212:CA223)</f>
        <v>50.24</v>
      </c>
      <c r="CB211" s="148"/>
      <c r="CC211" s="150">
        <f>SUM(CC212:CC223)</f>
        <v>44.502749700747643</v>
      </c>
      <c r="CD211" s="148"/>
      <c r="CE211" s="150">
        <f>SUM(CE212:CE223)</f>
        <v>43.960000000000008</v>
      </c>
      <c r="CF211" s="148"/>
      <c r="CG211" s="150">
        <f>SUM(CG212:CG223)</f>
        <v>63.467996769654711</v>
      </c>
      <c r="CH211" s="148"/>
      <c r="CI211" s="150">
        <f>SUM(CI212:CI223)</f>
        <v>50.24</v>
      </c>
      <c r="CJ211" s="148">
        <f>SUM(CJ212:CJ223)</f>
        <v>368</v>
      </c>
      <c r="CK211" s="150">
        <f>SUM(CK212:CK223)</f>
        <v>47.832700366260973</v>
      </c>
      <c r="CL211" s="148"/>
      <c r="CM211" s="150">
        <f>SUM(CM212:CM223)</f>
        <v>75.36</v>
      </c>
      <c r="CN211" s="148"/>
      <c r="CO211" s="150">
        <f>SUM(CO212:CO223)</f>
        <v>62.8</v>
      </c>
      <c r="CP211" s="148"/>
      <c r="CQ211" s="150">
        <f>SUM(CQ212:CQ223)</f>
        <v>56.519999999999996</v>
      </c>
      <c r="CR211" s="148"/>
      <c r="CS211" s="150">
        <f>SUM(CS212:CS223)</f>
        <v>62.8</v>
      </c>
      <c r="CT211" s="148"/>
      <c r="CU211" s="150">
        <v>38.241667813696459</v>
      </c>
      <c r="CV211" s="148"/>
      <c r="CW211" s="150">
        <f>SUM(CW212:CW223)</f>
        <v>34.931319802769693</v>
      </c>
      <c r="CX211" s="150">
        <f>SUM(CX212:CX223)</f>
        <v>0</v>
      </c>
      <c r="CY211" s="150">
        <f>SUM(CY212:CY223)</f>
        <v>50.24</v>
      </c>
      <c r="CZ211" s="150">
        <f>SUM(CZ212:CZ223)</f>
        <v>0</v>
      </c>
      <c r="DA211" s="204"/>
      <c r="DB211" s="552"/>
    </row>
    <row r="212" spans="2:106" ht="30.75" customHeight="1">
      <c r="C212" s="446" t="s">
        <v>355</v>
      </c>
      <c r="D212" s="443">
        <v>1</v>
      </c>
      <c r="E212" s="99" t="s">
        <v>47</v>
      </c>
      <c r="F212" s="56">
        <v>66</v>
      </c>
      <c r="G212" s="46">
        <f>F212*4950</f>
        <v>326700</v>
      </c>
      <c r="H212" s="45">
        <f>F212*($H$211/$F$211)</f>
        <v>83.902834008097173</v>
      </c>
      <c r="I212" s="46">
        <f>H212*4950</f>
        <v>415319.02834008099</v>
      </c>
      <c r="J212" s="49">
        <v>0</v>
      </c>
      <c r="K212" s="39">
        <f t="shared" ref="K212:K223" si="304">SUM(L212:N212)</f>
        <v>6</v>
      </c>
      <c r="L212" s="39">
        <v>0</v>
      </c>
      <c r="M212" s="39">
        <v>6</v>
      </c>
      <c r="N212" s="42"/>
      <c r="O212" s="19"/>
      <c r="P212" s="19"/>
      <c r="Q212" s="124"/>
      <c r="R212" s="124"/>
      <c r="S212" s="124"/>
      <c r="T212" s="124"/>
      <c r="U212" s="124"/>
      <c r="V212" s="124"/>
      <c r="W212" s="124"/>
      <c r="X212" s="328"/>
      <c r="Y212" s="328"/>
      <c r="Z212" s="124"/>
      <c r="AA212" s="124"/>
      <c r="AB212" s="124"/>
      <c r="AC212" s="124"/>
      <c r="AD212" s="124"/>
      <c r="AE212" s="124"/>
      <c r="AF212" s="124"/>
      <c r="AG212" s="124"/>
      <c r="AH212" s="124"/>
      <c r="AI212" s="129">
        <f t="shared" ref="AI212:AI223" si="305">SUM(J212:K212)-CI212+CJ212</f>
        <v>67.287773279352223</v>
      </c>
      <c r="AJ212" s="129">
        <f t="shared" ref="AJ212:AJ223" si="306">AI212-CK212+CL212</f>
        <v>60.897169586693877</v>
      </c>
      <c r="AK212" s="129">
        <f t="shared" ref="AK212:AK223" si="307">AJ212-CM212+CN212</f>
        <v>50.828829505722219</v>
      </c>
      <c r="AL212" s="399">
        <f t="shared" ref="AL212:AL223" si="308">AK212-CO212+CP212</f>
        <v>42.438546104912504</v>
      </c>
      <c r="AM212" s="393">
        <f t="shared" ref="AM212:AM223" si="309">AL212-CQ212+CR212</f>
        <v>34.887291044183762</v>
      </c>
      <c r="AN212" s="393">
        <f t="shared" ref="AN212:AN223" si="310">AM212-CS212+CT212</f>
        <v>26.497007643374044</v>
      </c>
      <c r="AO212" s="393">
        <f t="shared" ref="AO212:AO223" si="311">AN212-CU212+CV212</f>
        <v>21.387796963811361</v>
      </c>
      <c r="AP212" s="96">
        <f t="shared" ref="AP212:AP223" si="312">AO212-CW212+CX212</f>
        <v>16.720859500283424</v>
      </c>
      <c r="AQ212" s="91">
        <f t="shared" ref="AQ212:AQ223" si="313">AP212-CY212+CZ212</f>
        <v>10.008632779635651</v>
      </c>
      <c r="AR212" s="198"/>
      <c r="AS212" s="245">
        <f>$H$212*月別販売比率!AG5</f>
        <v>8.390283400809718</v>
      </c>
      <c r="AT212" s="280">
        <v>60</v>
      </c>
      <c r="AU212" s="81">
        <f>$H$212*月別販売比率!AL5</f>
        <v>7.551255060728745</v>
      </c>
      <c r="AV212" s="39"/>
      <c r="AW212" s="81">
        <f>$H$212*月別販売比率!AQ5</f>
        <v>8.390283400809718</v>
      </c>
      <c r="AX212" s="39"/>
      <c r="AY212" s="81">
        <f>$H$212*月別販売比率!AV5</f>
        <v>5.1092106795626844</v>
      </c>
      <c r="AZ212" s="39"/>
      <c r="BA212" s="245">
        <f>$H$212*月別販売比率!BA5</f>
        <v>4.666937463527935</v>
      </c>
      <c r="BB212" s="280"/>
      <c r="BC212" s="81">
        <f>$H$212*月別販売比率!BF5</f>
        <v>6.7122267206477737</v>
      </c>
      <c r="BD212" s="39"/>
      <c r="BE212" s="81">
        <f>$H$212*月別販売比率!C21</f>
        <v>5.9457114984804553</v>
      </c>
      <c r="BF212" s="39"/>
      <c r="BG212" s="81">
        <f>$H$212*月別販売比率!H21</f>
        <v>5.8731983805668024</v>
      </c>
      <c r="BH212" s="39"/>
      <c r="BI212" s="81">
        <f>$H$212*月別販売比率!M21</f>
        <v>8.4795299327878766</v>
      </c>
      <c r="BJ212" s="39"/>
      <c r="BK212" s="81">
        <f>$H$212*月別販売比率!R21</f>
        <v>6.7122267206477737</v>
      </c>
      <c r="BL212" s="39"/>
      <c r="BM212" s="81">
        <f>$H$212*月別販売比率!W21</f>
        <v>6.390603692658348</v>
      </c>
      <c r="BN212" s="39"/>
      <c r="BO212" s="245">
        <f>$H$212*月別販売比率!AB21</f>
        <v>10.068340080971661</v>
      </c>
      <c r="BP212" s="280">
        <v>70</v>
      </c>
      <c r="BQ212" s="81">
        <f>$H$212*月別販売比率!AG21</f>
        <v>8.390283400809718</v>
      </c>
      <c r="BR212" s="39"/>
      <c r="BS212" s="81">
        <f>$H$212*月別販売比率!AL21</f>
        <v>7.551255060728745</v>
      </c>
      <c r="BT212" s="39"/>
      <c r="BU212" s="245">
        <f>$H$212*月別販売比率!AQ21</f>
        <v>8.390283400809718</v>
      </c>
      <c r="BV212" s="280"/>
      <c r="BW212" s="81">
        <f>$H$212*月別販売比率!AV21</f>
        <v>5.1092106795626844</v>
      </c>
      <c r="BX212" s="39"/>
      <c r="BY212" s="81">
        <f>$H$212*月別販売比率!BA21</f>
        <v>4.666937463527935</v>
      </c>
      <c r="BZ212" s="39"/>
      <c r="CA212" s="81">
        <f>$H$212*月別販売比率!BF21</f>
        <v>6.7122267206477737</v>
      </c>
      <c r="CB212" s="39"/>
      <c r="CC212" s="81">
        <f>H212*月別販売比率!$C$21</f>
        <v>5.9457114984804553</v>
      </c>
      <c r="CD212" s="39"/>
      <c r="CE212" s="81">
        <f>H212*月別販売比率!$H$21</f>
        <v>5.8731983805668024</v>
      </c>
      <c r="CF212" s="39"/>
      <c r="CG212" s="81">
        <f>H212*月別販売比率!$M$21</f>
        <v>8.4795299327878766</v>
      </c>
      <c r="CH212" s="39"/>
      <c r="CI212" s="81">
        <f>H212*月別販売比率!$R$21</f>
        <v>6.7122267206477737</v>
      </c>
      <c r="CJ212" s="39">
        <v>68</v>
      </c>
      <c r="CK212" s="81">
        <f>H212*月別販売比率!$W$21</f>
        <v>6.390603692658348</v>
      </c>
      <c r="CL212" s="39"/>
      <c r="CM212" s="81">
        <f>H212*月別販売比率!$AB$21</f>
        <v>10.068340080971661</v>
      </c>
      <c r="CN212" s="39"/>
      <c r="CO212" s="81">
        <f>H212*月別販売比率!$AG$21</f>
        <v>8.390283400809718</v>
      </c>
      <c r="CP212" s="39"/>
      <c r="CQ212" s="81">
        <f>H212*月別販売比率!$AL$21</f>
        <v>7.551255060728745</v>
      </c>
      <c r="CR212" s="39"/>
      <c r="CS212" s="81">
        <f>H212*月別販売比率!$AQ$21</f>
        <v>8.390283400809718</v>
      </c>
      <c r="CT212" s="39"/>
      <c r="CU212" s="81">
        <f>H212*月別販売比率!$AV$21</f>
        <v>5.1092106795626844</v>
      </c>
      <c r="CV212" s="39"/>
      <c r="CW212" s="81">
        <f>H212*月別販売比率!$BA$21</f>
        <v>4.666937463527935</v>
      </c>
      <c r="CX212" s="39"/>
      <c r="CY212" s="81">
        <f>H212*月別販売比率!$BF$21</f>
        <v>6.7122267206477737</v>
      </c>
      <c r="CZ212" s="39"/>
      <c r="DA212" s="28"/>
      <c r="DB212" s="294"/>
    </row>
    <row r="213" spans="2:106" ht="30.75" customHeight="1">
      <c r="C213" s="457"/>
      <c r="D213" s="441"/>
      <c r="E213" s="94" t="s">
        <v>51</v>
      </c>
      <c r="F213" s="57">
        <v>37</v>
      </c>
      <c r="G213" s="46">
        <f t="shared" ref="G213:G223" si="314">F213*4950</f>
        <v>183150</v>
      </c>
      <c r="H213" s="45">
        <f>F213*($H$211/$F$211)</f>
        <v>47.036437246963565</v>
      </c>
      <c r="I213" s="46">
        <f t="shared" ref="I213:I223" si="315">H213*4950</f>
        <v>232830.36437246966</v>
      </c>
      <c r="J213" s="9">
        <v>0</v>
      </c>
      <c r="K213" s="21">
        <f t="shared" si="304"/>
        <v>13</v>
      </c>
      <c r="L213" s="21">
        <v>6</v>
      </c>
      <c r="M213" s="21">
        <v>7</v>
      </c>
      <c r="N213" s="42"/>
      <c r="O213" s="19"/>
      <c r="P213" s="19"/>
      <c r="Q213" s="124"/>
      <c r="R213" s="124"/>
      <c r="S213" s="124"/>
      <c r="T213" s="124"/>
      <c r="U213" s="124"/>
      <c r="V213" s="124"/>
      <c r="W213" s="124"/>
      <c r="X213" s="124"/>
      <c r="Y213" s="124"/>
      <c r="Z213" s="124"/>
      <c r="AA213" s="124"/>
      <c r="AB213" s="124"/>
      <c r="AC213" s="124"/>
      <c r="AD213" s="124"/>
      <c r="AE213" s="124"/>
      <c r="AF213" s="124"/>
      <c r="AG213" s="124"/>
      <c r="AH213" s="124"/>
      <c r="AI213" s="129">
        <f t="shared" si="305"/>
        <v>9.2370850202429153</v>
      </c>
      <c r="AJ213" s="129">
        <f t="shared" si="306"/>
        <v>5.6544738592071742</v>
      </c>
      <c r="AK213" s="129">
        <f t="shared" si="307"/>
        <v>1.0101389571546271E-2</v>
      </c>
      <c r="AL213" s="399">
        <f t="shared" si="308"/>
        <v>-4.6935423351248104</v>
      </c>
      <c r="AM213" s="393">
        <f>0-CQ213+CR213</f>
        <v>15.76672064777328</v>
      </c>
      <c r="AN213" s="393">
        <f t="shared" si="310"/>
        <v>11.063076923076924</v>
      </c>
      <c r="AO213" s="393">
        <f t="shared" si="311"/>
        <v>8.1988224512008738</v>
      </c>
      <c r="AP213" s="96">
        <f t="shared" si="312"/>
        <v>5.5825090246776377</v>
      </c>
      <c r="AQ213" s="91">
        <f t="shared" si="313"/>
        <v>1.8195940449205525</v>
      </c>
      <c r="AR213" s="198"/>
      <c r="AS213" s="245">
        <f>$H$213*月別販売比率!AG5</f>
        <v>4.7036437246963567</v>
      </c>
      <c r="AT213" s="241"/>
      <c r="AU213" s="81">
        <f>$H$213*月別販売比率!AL5</f>
        <v>4.2332793522267211</v>
      </c>
      <c r="AV213" s="21"/>
      <c r="AW213" s="81">
        <f>$H$213*月別販売比率!AQ5</f>
        <v>4.7036437246963567</v>
      </c>
      <c r="AX213" s="21"/>
      <c r="AY213" s="81">
        <f>$H$213*月別販売比率!AV5</f>
        <v>2.8642544718760501</v>
      </c>
      <c r="AZ213" s="21"/>
      <c r="BA213" s="245">
        <f>$H$213*月別販売比率!BA5</f>
        <v>2.6163134265232362</v>
      </c>
      <c r="BB213" s="241"/>
      <c r="BC213" s="81">
        <f>$H$213*月別販売比率!BF5</f>
        <v>3.7629149797570851</v>
      </c>
      <c r="BD213" s="21"/>
      <c r="BE213" s="81">
        <f>$H$213*月別販売比率!C21</f>
        <v>3.3332019006632856</v>
      </c>
      <c r="BF213" s="21"/>
      <c r="BG213" s="81">
        <f>$H$213*月別販売比率!H21</f>
        <v>3.29255060728745</v>
      </c>
      <c r="BH213" s="21"/>
      <c r="BI213" s="81">
        <f>$H$213*月別販売比率!M21</f>
        <v>4.753675871411386</v>
      </c>
      <c r="BJ213" s="21"/>
      <c r="BK213" s="81">
        <f>$H$213*月別販売比率!R21</f>
        <v>3.7629149797570851</v>
      </c>
      <c r="BL213" s="21"/>
      <c r="BM213" s="81">
        <f>$H$213*月別販売比率!W21</f>
        <v>3.5826111610357407</v>
      </c>
      <c r="BN213" s="21"/>
      <c r="BO213" s="245">
        <f>$H$213*月別販売比率!AB21</f>
        <v>5.6443724696356279</v>
      </c>
      <c r="BP213" s="241">
        <v>18</v>
      </c>
      <c r="BQ213" s="81">
        <f>$H$213*月別販売比率!AG21</f>
        <v>4.7036437246963567</v>
      </c>
      <c r="BR213" s="21"/>
      <c r="BS213" s="81">
        <f>$H$213*月別販売比率!AL21</f>
        <v>4.2332793522267211</v>
      </c>
      <c r="BT213" s="21"/>
      <c r="BU213" s="245">
        <f>$H$213*月別販売比率!AQ21</f>
        <v>4.7036437246963567</v>
      </c>
      <c r="BV213" s="241"/>
      <c r="BW213" s="81">
        <f>$H$213*月別販売比率!AV21</f>
        <v>2.8642544718760501</v>
      </c>
      <c r="BX213" s="21"/>
      <c r="BY213" s="81">
        <f>$H$213*月別販売比率!BA21</f>
        <v>2.6163134265232362</v>
      </c>
      <c r="BZ213" s="21"/>
      <c r="CA213" s="81">
        <f>$H$213*月別販売比率!BF21</f>
        <v>3.7629149797570851</v>
      </c>
      <c r="CB213" s="21"/>
      <c r="CC213" s="81">
        <f>H213*月別販売比率!$C$21</f>
        <v>3.3332019006632856</v>
      </c>
      <c r="CD213" s="21"/>
      <c r="CE213" s="81">
        <f>H213*月別販売比率!$H$21</f>
        <v>3.29255060728745</v>
      </c>
      <c r="CF213" s="21"/>
      <c r="CG213" s="81">
        <f>H213*月別販売比率!$M$21</f>
        <v>4.753675871411386</v>
      </c>
      <c r="CH213" s="21"/>
      <c r="CI213" s="81">
        <f>H213*月別販売比率!$R$21</f>
        <v>3.7629149797570851</v>
      </c>
      <c r="CJ213" s="21"/>
      <c r="CK213" s="81">
        <f>H213*月別販売比率!$W$21</f>
        <v>3.5826111610357407</v>
      </c>
      <c r="CL213" s="21"/>
      <c r="CM213" s="81">
        <f>H213*月別販売比率!$AB$21</f>
        <v>5.6443724696356279</v>
      </c>
      <c r="CN213" s="21"/>
      <c r="CO213" s="81">
        <f>H213*月別販売比率!$AG$21</f>
        <v>4.7036437246963567</v>
      </c>
      <c r="CP213" s="21"/>
      <c r="CQ213" s="81">
        <f>H213*月別販売比率!$AL$21</f>
        <v>4.2332793522267211</v>
      </c>
      <c r="CR213" s="21">
        <v>20</v>
      </c>
      <c r="CS213" s="81">
        <f>H213*月別販売比率!$AQ$21</f>
        <v>4.7036437246963567</v>
      </c>
      <c r="CT213" s="21"/>
      <c r="CU213" s="81">
        <f>H213*月別販売比率!$AV$21</f>
        <v>2.8642544718760501</v>
      </c>
      <c r="CV213" s="21"/>
      <c r="CW213" s="81">
        <f>H213*月別販売比率!$BA$21</f>
        <v>2.6163134265232362</v>
      </c>
      <c r="CX213" s="21"/>
      <c r="CY213" s="81">
        <f>H213*月別販売比率!$BF$21</f>
        <v>3.7629149797570851</v>
      </c>
      <c r="CZ213" s="21"/>
      <c r="DA213" s="28"/>
      <c r="DB213" s="294"/>
    </row>
    <row r="214" spans="2:106" ht="30.75" customHeight="1">
      <c r="C214" s="457"/>
      <c r="D214" s="441"/>
      <c r="E214" s="94" t="s">
        <v>49</v>
      </c>
      <c r="F214" s="57">
        <v>19</v>
      </c>
      <c r="G214" s="46">
        <f t="shared" si="314"/>
        <v>94050</v>
      </c>
      <c r="H214" s="45">
        <f>F214*($H$211/$F$211)</f>
        <v>24.153846153846153</v>
      </c>
      <c r="I214" s="46">
        <f t="shared" si="315"/>
        <v>119561.53846153845</v>
      </c>
      <c r="J214" s="9">
        <v>17</v>
      </c>
      <c r="K214" s="21">
        <f t="shared" si="304"/>
        <v>30</v>
      </c>
      <c r="L214" s="21">
        <v>10</v>
      </c>
      <c r="M214" s="21">
        <v>20</v>
      </c>
      <c r="N214" s="42"/>
      <c r="O214" s="19"/>
      <c r="P214" s="19"/>
      <c r="Q214" s="124"/>
      <c r="R214" s="124"/>
      <c r="S214" s="124"/>
      <c r="T214" s="124"/>
      <c r="U214" s="124"/>
      <c r="V214" s="124"/>
      <c r="W214" s="124"/>
      <c r="X214" s="328"/>
      <c r="Y214" s="328"/>
      <c r="Z214" s="124"/>
      <c r="AA214" s="124"/>
      <c r="AB214" s="124"/>
      <c r="AC214" s="124"/>
      <c r="AD214" s="124"/>
      <c r="AE214" s="124"/>
      <c r="AF214" s="124"/>
      <c r="AG214" s="124"/>
      <c r="AH214" s="124"/>
      <c r="AI214" s="129">
        <f t="shared" si="305"/>
        <v>45.067692307692305</v>
      </c>
      <c r="AJ214" s="129">
        <f t="shared" si="306"/>
        <v>43.227973062836114</v>
      </c>
      <c r="AK214" s="129">
        <f t="shared" si="307"/>
        <v>40.329511524374574</v>
      </c>
      <c r="AL214" s="399">
        <f t="shared" si="308"/>
        <v>37.914126908989957</v>
      </c>
      <c r="AM214" s="393">
        <f t="shared" si="309"/>
        <v>35.7402807551438</v>
      </c>
      <c r="AN214" s="393">
        <f t="shared" si="310"/>
        <v>33.324896139759183</v>
      </c>
      <c r="AO214" s="393">
        <f t="shared" si="311"/>
        <v>31.854062762309319</v>
      </c>
      <c r="AP214" s="96">
        <f t="shared" si="312"/>
        <v>30.510550462202794</v>
      </c>
      <c r="AQ214" s="91">
        <f t="shared" si="313"/>
        <v>28.578242769895102</v>
      </c>
      <c r="AR214" s="198"/>
      <c r="AS214" s="245">
        <f>$H$214*月別販売比率!AG5</f>
        <v>2.4153846153846157</v>
      </c>
      <c r="AT214" s="241">
        <v>10</v>
      </c>
      <c r="AU214" s="81">
        <f>$H$214*月別販売比率!AL5</f>
        <v>2.1738461538461538</v>
      </c>
      <c r="AV214" s="21"/>
      <c r="AW214" s="81">
        <f>$H$214*月別販売比率!AQ5</f>
        <v>2.4153846153846157</v>
      </c>
      <c r="AX214" s="21"/>
      <c r="AY214" s="81">
        <f>$H$214*月別販売比率!AV5</f>
        <v>1.4708333774498634</v>
      </c>
      <c r="AZ214" s="21"/>
      <c r="BA214" s="245">
        <f>$H$214*月別販売比率!BA5</f>
        <v>1.3435123001065266</v>
      </c>
      <c r="BB214" s="241"/>
      <c r="BC214" s="81">
        <f>$H$214*月別販売比率!BF5</f>
        <v>1.9323076923076923</v>
      </c>
      <c r="BD214" s="21"/>
      <c r="BE214" s="81">
        <f>$H$214*月別販売比率!C21</f>
        <v>1.7116442192595249</v>
      </c>
      <c r="BF214" s="21"/>
      <c r="BG214" s="81">
        <f>$H$214*月別販売比率!H21</f>
        <v>1.6907692307692308</v>
      </c>
      <c r="BH214" s="21"/>
      <c r="BI214" s="81">
        <f>$H$214*月別販売比率!M21</f>
        <v>2.4410767988328734</v>
      </c>
      <c r="BJ214" s="21"/>
      <c r="BK214" s="81">
        <f>$H$214*月別販売比率!R21</f>
        <v>1.9323076923076923</v>
      </c>
      <c r="BL214" s="21"/>
      <c r="BM214" s="81">
        <f>$H$214*月別販売比率!W21</f>
        <v>1.839719244856191</v>
      </c>
      <c r="BN214" s="21"/>
      <c r="BO214" s="245">
        <f>$H$214*月別販売比率!AB21</f>
        <v>2.8984615384615382</v>
      </c>
      <c r="BP214" s="241">
        <v>36</v>
      </c>
      <c r="BQ214" s="81">
        <f>$H$214*月別販売比率!AG21</f>
        <v>2.4153846153846157</v>
      </c>
      <c r="BR214" s="21"/>
      <c r="BS214" s="81">
        <f>$H$214*月別販売比率!AL21</f>
        <v>2.1738461538461538</v>
      </c>
      <c r="BT214" s="21"/>
      <c r="BU214" s="245">
        <f>$H$214*月別販売比率!AQ21</f>
        <v>2.4153846153846157</v>
      </c>
      <c r="BV214" s="241"/>
      <c r="BW214" s="81">
        <f>$H$214*月別販売比率!AV21</f>
        <v>1.4708333774498634</v>
      </c>
      <c r="BX214" s="21"/>
      <c r="BY214" s="81">
        <f>$H$214*月別販売比率!BA21</f>
        <v>1.3435123001065266</v>
      </c>
      <c r="BZ214" s="21"/>
      <c r="CA214" s="81">
        <f>$H$214*月別販売比率!BF21</f>
        <v>1.9323076923076923</v>
      </c>
      <c r="CB214" s="21"/>
      <c r="CC214" s="81">
        <f>H214*月別販売比率!$C$21</f>
        <v>1.7116442192595249</v>
      </c>
      <c r="CD214" s="21"/>
      <c r="CE214" s="81">
        <f>H214*月別販売比率!$H$21</f>
        <v>1.6907692307692308</v>
      </c>
      <c r="CF214" s="21"/>
      <c r="CG214" s="81">
        <f>H214*月別販売比率!$M$21</f>
        <v>2.4410767988328734</v>
      </c>
      <c r="CH214" s="21"/>
      <c r="CI214" s="81">
        <f>H214*月別販売比率!$R$21</f>
        <v>1.9323076923076923</v>
      </c>
      <c r="CJ214" s="21"/>
      <c r="CK214" s="81">
        <f>H214*月別販売比率!$W$21</f>
        <v>1.839719244856191</v>
      </c>
      <c r="CL214" s="21"/>
      <c r="CM214" s="81">
        <f>H214*月別販売比率!$AB$21</f>
        <v>2.8984615384615382</v>
      </c>
      <c r="CN214" s="21"/>
      <c r="CO214" s="81">
        <f>H214*月別販売比率!$AG$21</f>
        <v>2.4153846153846157</v>
      </c>
      <c r="CP214" s="21"/>
      <c r="CQ214" s="81">
        <f>H214*月別販売比率!$AL$21</f>
        <v>2.1738461538461538</v>
      </c>
      <c r="CR214" s="21"/>
      <c r="CS214" s="81">
        <f>H214*月別販売比率!$AQ$21</f>
        <v>2.4153846153846157</v>
      </c>
      <c r="CT214" s="21"/>
      <c r="CU214" s="81">
        <f>H214*月別販売比率!$AV$21</f>
        <v>1.4708333774498634</v>
      </c>
      <c r="CV214" s="21"/>
      <c r="CW214" s="81">
        <f>H214*月別販売比率!$BA$21</f>
        <v>1.3435123001065266</v>
      </c>
      <c r="CX214" s="21"/>
      <c r="CY214" s="81">
        <f>H214*月別販売比率!$BF$21</f>
        <v>1.9323076923076923</v>
      </c>
      <c r="CZ214" s="21"/>
      <c r="DA214" s="28"/>
      <c r="DB214" s="294"/>
    </row>
    <row r="215" spans="2:106" ht="30.75" customHeight="1">
      <c r="C215" s="457"/>
      <c r="D215" s="442"/>
      <c r="E215" s="94" t="s">
        <v>50</v>
      </c>
      <c r="F215" s="57">
        <v>10</v>
      </c>
      <c r="G215" s="46">
        <f t="shared" si="314"/>
        <v>49500</v>
      </c>
      <c r="H215" s="45">
        <f>F215*($H$211/$F$211)</f>
        <v>12.712550607287449</v>
      </c>
      <c r="I215" s="46">
        <f t="shared" si="315"/>
        <v>62927.125506072873</v>
      </c>
      <c r="J215" s="9">
        <v>19</v>
      </c>
      <c r="K215" s="21">
        <f t="shared" si="304"/>
        <v>34</v>
      </c>
      <c r="L215" s="21">
        <v>12</v>
      </c>
      <c r="M215" s="21">
        <v>22</v>
      </c>
      <c r="N215" s="42"/>
      <c r="O215" s="19"/>
      <c r="P215" s="19"/>
      <c r="Q215" s="124"/>
      <c r="R215" s="124"/>
      <c r="S215" s="124"/>
      <c r="T215" s="124"/>
      <c r="U215" s="124"/>
      <c r="V215" s="124"/>
      <c r="W215" s="124"/>
      <c r="X215" s="124"/>
      <c r="Y215" s="124"/>
      <c r="Z215" s="124"/>
      <c r="AA215" s="124"/>
      <c r="AB215" s="124"/>
      <c r="AC215" s="124"/>
      <c r="AD215" s="124"/>
      <c r="AE215" s="124"/>
      <c r="AF215" s="124"/>
      <c r="AG215" s="124"/>
      <c r="AH215" s="124"/>
      <c r="AI215" s="129">
        <f t="shared" si="305"/>
        <v>51.982995951417003</v>
      </c>
      <c r="AJ215" s="129">
        <f t="shared" si="306"/>
        <v>51.014722664650584</v>
      </c>
      <c r="AK215" s="129">
        <f t="shared" si="307"/>
        <v>49.489216591776092</v>
      </c>
      <c r="AL215" s="399">
        <f t="shared" si="308"/>
        <v>48.217961531047344</v>
      </c>
      <c r="AM215" s="393">
        <f t="shared" si="309"/>
        <v>47.073831976391475</v>
      </c>
      <c r="AN215" s="393">
        <f t="shared" si="310"/>
        <v>45.802576915662726</v>
      </c>
      <c r="AO215" s="393">
        <f t="shared" si="311"/>
        <v>45.028454085425956</v>
      </c>
      <c r="AP215" s="96">
        <f t="shared" si="312"/>
        <v>44.321342348527786</v>
      </c>
      <c r="AQ215" s="91">
        <f t="shared" si="313"/>
        <v>43.304338299944789</v>
      </c>
      <c r="AR215" s="198"/>
      <c r="AS215" s="245">
        <f>$H$215*月別販売比率!AG5</f>
        <v>1.2712550607287449</v>
      </c>
      <c r="AT215" s="241"/>
      <c r="AU215" s="81">
        <f>$H$215*月別販売比率!AL5</f>
        <v>1.1441295546558703</v>
      </c>
      <c r="AV215" s="21"/>
      <c r="AW215" s="81">
        <f>$H$215*月別販売比率!AQ5</f>
        <v>1.2712550607287449</v>
      </c>
      <c r="AX215" s="21"/>
      <c r="AY215" s="81">
        <f>$H$215*月別販売比率!AV5</f>
        <v>0.77412283023677031</v>
      </c>
      <c r="AZ215" s="21"/>
      <c r="BA215" s="245">
        <f>$H$215*月別販売比率!BA5</f>
        <v>0.70711173689817186</v>
      </c>
      <c r="BB215" s="241"/>
      <c r="BC215" s="81">
        <f>$H$215*月別販売比率!BF5</f>
        <v>1.0170040485829959</v>
      </c>
      <c r="BD215" s="21"/>
      <c r="BE215" s="81">
        <f>$H$215*月別販売比率!C21</f>
        <v>0.90086537855764459</v>
      </c>
      <c r="BF215" s="21"/>
      <c r="BG215" s="81">
        <f>$H$215*月別販売比率!H21</f>
        <v>0.88987854251012155</v>
      </c>
      <c r="BH215" s="21"/>
      <c r="BI215" s="81">
        <f>$H$215*月別販売比率!M21</f>
        <v>1.2847772625436176</v>
      </c>
      <c r="BJ215" s="21"/>
      <c r="BK215" s="81">
        <f>$H$215*月別販売比率!R21</f>
        <v>1.0170040485829959</v>
      </c>
      <c r="BL215" s="21"/>
      <c r="BM215" s="81">
        <f>$H$215*月別販売比率!W21</f>
        <v>0.96827328676641633</v>
      </c>
      <c r="BN215" s="21"/>
      <c r="BO215" s="245">
        <f>$H$215*月別販売比率!AB21</f>
        <v>1.5255060728744938</v>
      </c>
      <c r="BP215" s="241"/>
      <c r="BQ215" s="81">
        <f>$H$215*月別販売比率!AG21</f>
        <v>1.2712550607287449</v>
      </c>
      <c r="BR215" s="21"/>
      <c r="BS215" s="81">
        <f>$H$215*月別販売比率!AL21</f>
        <v>1.1441295546558703</v>
      </c>
      <c r="BT215" s="21"/>
      <c r="BU215" s="245">
        <f>$H$215*月別販売比率!AQ21</f>
        <v>1.2712550607287449</v>
      </c>
      <c r="BV215" s="241"/>
      <c r="BW215" s="81">
        <f>$H$215*月別販売比率!AV21</f>
        <v>0.77412283023677031</v>
      </c>
      <c r="BX215" s="21"/>
      <c r="BY215" s="81">
        <f>$H$215*月別販売比率!BA21</f>
        <v>0.70711173689817186</v>
      </c>
      <c r="BZ215" s="21"/>
      <c r="CA215" s="81">
        <f>$H$215*月別販売比率!BF21</f>
        <v>1.0170040485829959</v>
      </c>
      <c r="CB215" s="21"/>
      <c r="CC215" s="81">
        <f>H215*月別販売比率!$C$21</f>
        <v>0.90086537855764459</v>
      </c>
      <c r="CD215" s="21"/>
      <c r="CE215" s="81">
        <f>H215*月別販売比率!$H$21</f>
        <v>0.88987854251012155</v>
      </c>
      <c r="CF215" s="21"/>
      <c r="CG215" s="81">
        <f>H215*月別販売比率!$M$21</f>
        <v>1.2847772625436176</v>
      </c>
      <c r="CH215" s="21"/>
      <c r="CI215" s="81">
        <f>H215*月別販売比率!$R$21</f>
        <v>1.0170040485829959</v>
      </c>
      <c r="CJ215" s="21"/>
      <c r="CK215" s="81">
        <f>H215*月別販売比率!$W$21</f>
        <v>0.96827328676641633</v>
      </c>
      <c r="CL215" s="21"/>
      <c r="CM215" s="81">
        <f>H215*月別販売比率!$AB$21</f>
        <v>1.5255060728744938</v>
      </c>
      <c r="CN215" s="21"/>
      <c r="CO215" s="81">
        <f>H215*月別販売比率!$AG$21</f>
        <v>1.2712550607287449</v>
      </c>
      <c r="CP215" s="21"/>
      <c r="CQ215" s="81">
        <f>H215*月別販売比率!$AL$21</f>
        <v>1.1441295546558703</v>
      </c>
      <c r="CR215" s="21"/>
      <c r="CS215" s="81">
        <f>H215*月別販売比率!$AQ$21</f>
        <v>1.2712550607287449</v>
      </c>
      <c r="CT215" s="21"/>
      <c r="CU215" s="81">
        <f>H215*月別販売比率!$AV$21</f>
        <v>0.77412283023677031</v>
      </c>
      <c r="CV215" s="21"/>
      <c r="CW215" s="81">
        <f>H215*月別販売比率!$BA$21</f>
        <v>0.70711173689817186</v>
      </c>
      <c r="CX215" s="21"/>
      <c r="CY215" s="81">
        <f>H215*月別販売比率!$BF$21</f>
        <v>1.0170040485829959</v>
      </c>
      <c r="CZ215" s="21"/>
      <c r="DA215" s="28"/>
      <c r="DB215" s="294"/>
    </row>
    <row r="216" spans="2:106" ht="30.75" customHeight="1">
      <c r="B216" s="25"/>
      <c r="C216" s="457"/>
      <c r="D216" s="441">
        <v>2</v>
      </c>
      <c r="E216" s="94" t="s">
        <v>47</v>
      </c>
      <c r="F216" s="57">
        <v>87</v>
      </c>
      <c r="G216" s="46">
        <f t="shared" si="314"/>
        <v>430650</v>
      </c>
      <c r="H216" s="45">
        <f>F216*($H$211/$F$211)</f>
        <v>110.59919028340082</v>
      </c>
      <c r="I216" s="46">
        <f t="shared" si="315"/>
        <v>547465.99190283404</v>
      </c>
      <c r="J216" s="9">
        <v>0</v>
      </c>
      <c r="K216" s="21">
        <f t="shared" si="304"/>
        <v>0</v>
      </c>
      <c r="L216" s="21">
        <v>0</v>
      </c>
      <c r="M216" s="21">
        <v>0</v>
      </c>
      <c r="N216" s="42"/>
      <c r="O216" s="19"/>
      <c r="P216" s="19"/>
      <c r="Q216" s="124"/>
      <c r="R216" s="124"/>
      <c r="S216" s="328"/>
      <c r="T216" s="328"/>
      <c r="U216" s="328"/>
      <c r="V216" s="328"/>
      <c r="W216" s="328"/>
      <c r="X216" s="328"/>
      <c r="Y216" s="328"/>
      <c r="Z216" s="124"/>
      <c r="AA216" s="124"/>
      <c r="AB216" s="124"/>
      <c r="AC216" s="124"/>
      <c r="AD216" s="124"/>
      <c r="AE216" s="124"/>
      <c r="AF216" s="124"/>
      <c r="AG216" s="331"/>
      <c r="AH216" s="331"/>
      <c r="AI216" s="129">
        <f t="shared" si="305"/>
        <v>63.152064777327936</v>
      </c>
      <c r="AJ216" s="129">
        <f t="shared" si="306"/>
        <v>54.728087182460115</v>
      </c>
      <c r="AK216" s="129">
        <f t="shared" si="307"/>
        <v>41.45618434845202</v>
      </c>
      <c r="AL216" s="399">
        <f t="shared" si="308"/>
        <v>30.396265320111937</v>
      </c>
      <c r="AM216" s="393">
        <f t="shared" si="309"/>
        <v>40.442338194605867</v>
      </c>
      <c r="AN216" s="393">
        <f t="shared" si="310"/>
        <v>29.382419166265784</v>
      </c>
      <c r="AO216" s="393">
        <f t="shared" si="311"/>
        <v>22.647550543205881</v>
      </c>
      <c r="AP216" s="96">
        <f t="shared" si="312"/>
        <v>16.495678432191784</v>
      </c>
      <c r="AQ216" s="91">
        <f t="shared" si="313"/>
        <v>7.6477432095197191</v>
      </c>
      <c r="AR216" s="198"/>
      <c r="AS216" s="245">
        <f>$H$216*月別販売比率!AG5</f>
        <v>11.059919028340083</v>
      </c>
      <c r="AT216" s="241"/>
      <c r="AU216" s="81">
        <f>$H$216*月別販売比率!AL5</f>
        <v>9.9539271255060733</v>
      </c>
      <c r="AV216" s="21"/>
      <c r="AW216" s="81">
        <f>$H$216*月別販売比率!AQ5</f>
        <v>11.059919028340083</v>
      </c>
      <c r="AX216" s="21"/>
      <c r="AY216" s="81">
        <f>$H$216*月別販売比率!AV5</f>
        <v>6.734868623059902</v>
      </c>
      <c r="AZ216" s="21"/>
      <c r="BA216" s="245">
        <f>$H$216*月別販売比率!BA5</f>
        <v>6.1518721110140966</v>
      </c>
      <c r="BB216" s="241">
        <v>50</v>
      </c>
      <c r="BC216" s="81">
        <f>$H$216*月別販売比率!BF5</f>
        <v>8.8479352226720653</v>
      </c>
      <c r="BD216" s="21"/>
      <c r="BE216" s="81">
        <f>$H$216*月別販売比率!C21</f>
        <v>7.8375287934515088</v>
      </c>
      <c r="BF216" s="21"/>
      <c r="BG216" s="81">
        <f>$H$216*月別販売比率!H21</f>
        <v>7.7419433198380583</v>
      </c>
      <c r="BH216" s="21"/>
      <c r="BI216" s="81">
        <f>$H$216*月別販売比率!M21</f>
        <v>11.177562184129474</v>
      </c>
      <c r="BJ216" s="21"/>
      <c r="BK216" s="81">
        <f>$H$216*月別販売比率!R21</f>
        <v>8.8479352226720653</v>
      </c>
      <c r="BL216" s="21"/>
      <c r="BM216" s="81">
        <f>$H$216*月別販売比率!W21</f>
        <v>8.4239775948678233</v>
      </c>
      <c r="BN216" s="21"/>
      <c r="BO216" s="245">
        <f>$H$216*月別販売比率!AB21</f>
        <v>13.271902834008097</v>
      </c>
      <c r="BP216" s="241">
        <v>70</v>
      </c>
      <c r="BQ216" s="81">
        <f>$H$216*月別販売比率!AG21</f>
        <v>11.059919028340083</v>
      </c>
      <c r="BR216" s="21"/>
      <c r="BS216" s="81">
        <f>$H$216*月別販売比率!AL21</f>
        <v>9.9539271255060733</v>
      </c>
      <c r="BT216" s="21"/>
      <c r="BU216" s="245">
        <f>$H$216*月別販売比率!AQ21</f>
        <v>11.059919028340083</v>
      </c>
      <c r="BV216" s="241"/>
      <c r="BW216" s="81">
        <f>$H$216*月別販売比率!AV21</f>
        <v>6.734868623059902</v>
      </c>
      <c r="BX216" s="21"/>
      <c r="BY216" s="81">
        <f>$H$216*月別販売比率!BA21</f>
        <v>6.1518721110140966</v>
      </c>
      <c r="BZ216" s="21"/>
      <c r="CA216" s="81">
        <f>$H$216*月別販売比率!BF21</f>
        <v>8.8479352226720653</v>
      </c>
      <c r="CB216" s="21"/>
      <c r="CC216" s="81">
        <f>H216*月別販売比率!$C$21</f>
        <v>7.8375287934515088</v>
      </c>
      <c r="CD216" s="21"/>
      <c r="CE216" s="81">
        <f>H216*月別販売比率!$H$21</f>
        <v>7.7419433198380583</v>
      </c>
      <c r="CF216" s="21"/>
      <c r="CG216" s="81">
        <f>H216*月別販売比率!$M$21</f>
        <v>11.177562184129474</v>
      </c>
      <c r="CH216" s="21"/>
      <c r="CI216" s="81">
        <f>H216*月別販売比率!$R$21</f>
        <v>8.8479352226720653</v>
      </c>
      <c r="CJ216" s="21">
        <v>72</v>
      </c>
      <c r="CK216" s="81">
        <f>H216*月別販売比率!$W$21</f>
        <v>8.4239775948678233</v>
      </c>
      <c r="CL216" s="21"/>
      <c r="CM216" s="81">
        <f>H216*月別販売比率!$AB$21</f>
        <v>13.271902834008097</v>
      </c>
      <c r="CN216" s="21"/>
      <c r="CO216" s="81">
        <f>H216*月別販売比率!$AG$21</f>
        <v>11.059919028340083</v>
      </c>
      <c r="CP216" s="21"/>
      <c r="CQ216" s="81">
        <f>H216*月別販売比率!$AL$21</f>
        <v>9.9539271255060733</v>
      </c>
      <c r="CR216" s="21">
        <v>20</v>
      </c>
      <c r="CS216" s="81">
        <f>H216*月別販売比率!$AQ$21</f>
        <v>11.059919028340083</v>
      </c>
      <c r="CT216" s="21"/>
      <c r="CU216" s="81">
        <f>H216*月別販売比率!$AV$21</f>
        <v>6.734868623059902</v>
      </c>
      <c r="CV216" s="21"/>
      <c r="CW216" s="81">
        <f>H216*月別販売比率!$BA$21</f>
        <v>6.1518721110140966</v>
      </c>
      <c r="CX216" s="21"/>
      <c r="CY216" s="81">
        <f>H216*月別販売比率!$BF$21</f>
        <v>8.8479352226720653</v>
      </c>
      <c r="CZ216" s="21"/>
      <c r="DA216" s="28"/>
      <c r="DB216" s="294"/>
    </row>
    <row r="217" spans="2:106" ht="30.75" customHeight="1">
      <c r="B217" s="25"/>
      <c r="C217" s="457"/>
      <c r="D217" s="441"/>
      <c r="E217" s="94" t="s">
        <v>51</v>
      </c>
      <c r="F217" s="57">
        <v>58</v>
      </c>
      <c r="G217" s="46">
        <f t="shared" si="314"/>
        <v>287100</v>
      </c>
      <c r="H217" s="45">
        <f>F217*($H$211/$F$211)</f>
        <v>73.732793522267201</v>
      </c>
      <c r="I217" s="46">
        <f t="shared" si="315"/>
        <v>364977.32793522265</v>
      </c>
      <c r="J217" s="9">
        <v>0</v>
      </c>
      <c r="K217" s="21">
        <f t="shared" si="304"/>
        <v>0</v>
      </c>
      <c r="L217" s="21">
        <v>0</v>
      </c>
      <c r="M217" s="21">
        <v>0</v>
      </c>
      <c r="N217" s="42"/>
      <c r="O217" s="19"/>
      <c r="P217" s="19"/>
      <c r="Q217" s="124"/>
      <c r="R217" s="124"/>
      <c r="S217" s="124"/>
      <c r="T217" s="124"/>
      <c r="U217" s="124"/>
      <c r="V217" s="124"/>
      <c r="W217" s="124"/>
      <c r="X217" s="124"/>
      <c r="Y217" s="124"/>
      <c r="Z217" s="124"/>
      <c r="AA217" s="124"/>
      <c r="AB217" s="124"/>
      <c r="AC217" s="124"/>
      <c r="AD217" s="124"/>
      <c r="AE217" s="124"/>
      <c r="AF217" s="124"/>
      <c r="AG217" s="124"/>
      <c r="AH217" s="124"/>
      <c r="AI217" s="129">
        <f t="shared" si="305"/>
        <v>7.1013765182186237</v>
      </c>
      <c r="AJ217" s="129">
        <f t="shared" si="306"/>
        <v>1.4853914549734091</v>
      </c>
      <c r="AK217" s="129">
        <f t="shared" si="307"/>
        <v>-7.3625437676986545</v>
      </c>
      <c r="AL217" s="399">
        <f t="shared" si="308"/>
        <v>-14.735823119925374</v>
      </c>
      <c r="AM217" s="393">
        <f>0-CQ217+CR217</f>
        <v>43.364048582995949</v>
      </c>
      <c r="AN217" s="393">
        <f t="shared" si="310"/>
        <v>35.990769230769232</v>
      </c>
      <c r="AO217" s="393">
        <f t="shared" si="311"/>
        <v>31.500856815395963</v>
      </c>
      <c r="AP217" s="96">
        <f t="shared" si="312"/>
        <v>27.399608741386565</v>
      </c>
      <c r="AQ217" s="91">
        <f t="shared" si="313"/>
        <v>21.500985259605187</v>
      </c>
      <c r="AR217" s="198"/>
      <c r="AS217" s="245">
        <f>$H$217*月別販売比率!AG5</f>
        <v>7.3732793522267208</v>
      </c>
      <c r="AT217" s="241"/>
      <c r="AU217" s="81">
        <f>$H$217*月別販売比率!AL5</f>
        <v>6.6359514170040477</v>
      </c>
      <c r="AV217" s="21"/>
      <c r="AW217" s="81">
        <f>$H$217*月別販売比率!AQ5</f>
        <v>7.3732793522267208</v>
      </c>
      <c r="AX217" s="21"/>
      <c r="AY217" s="81">
        <f>$H$217*月別販売比率!AV5</f>
        <v>4.4899124153732677</v>
      </c>
      <c r="AZ217" s="21"/>
      <c r="BA217" s="245">
        <f>$H$217*月別販売比率!BA5</f>
        <v>4.1012480740093968</v>
      </c>
      <c r="BB217" s="241">
        <v>15</v>
      </c>
      <c r="BC217" s="81">
        <f>$H$217*月別販売比率!BF5</f>
        <v>5.8986234817813763</v>
      </c>
      <c r="BD217" s="21"/>
      <c r="BE217" s="81">
        <f>$H$217*月別販売比率!C21</f>
        <v>5.2250191956343386</v>
      </c>
      <c r="BF217" s="21"/>
      <c r="BG217" s="81">
        <f>$H$217*月別販売比率!H21</f>
        <v>5.1612955465587049</v>
      </c>
      <c r="BH217" s="21"/>
      <c r="BI217" s="81">
        <f>$H$217*月別販売比率!M21</f>
        <v>7.451708122752982</v>
      </c>
      <c r="BJ217" s="21"/>
      <c r="BK217" s="81">
        <f>$H$217*月別販売比率!R21</f>
        <v>5.8986234817813763</v>
      </c>
      <c r="BL217" s="21"/>
      <c r="BM217" s="81">
        <f>$H$217*月別販売比率!W21</f>
        <v>5.6159850632452146</v>
      </c>
      <c r="BN217" s="21"/>
      <c r="BO217" s="245">
        <f>$H$217*月別販売比率!AB21</f>
        <v>8.8479352226720636</v>
      </c>
      <c r="BP217" s="241">
        <v>10</v>
      </c>
      <c r="BQ217" s="81">
        <f>$H$217*月別販売比率!AG21</f>
        <v>7.3732793522267208</v>
      </c>
      <c r="BR217" s="21"/>
      <c r="BS217" s="81">
        <f>$H$217*月別販売比率!AL21</f>
        <v>6.6359514170040477</v>
      </c>
      <c r="BT217" s="21"/>
      <c r="BU217" s="245">
        <f>$H$217*月別販売比率!AQ21</f>
        <v>7.3732793522267208</v>
      </c>
      <c r="BV217" s="241">
        <v>30</v>
      </c>
      <c r="BW217" s="81">
        <f>$H$217*月別販売比率!AV21</f>
        <v>4.4899124153732677</v>
      </c>
      <c r="BX217" s="21"/>
      <c r="BY217" s="81">
        <f>$H$217*月別販売比率!BA21</f>
        <v>4.1012480740093968</v>
      </c>
      <c r="BZ217" s="21"/>
      <c r="CA217" s="81">
        <f>$H$217*月別販売比率!BF21</f>
        <v>5.8986234817813763</v>
      </c>
      <c r="CB217" s="21"/>
      <c r="CC217" s="81">
        <f>H217*月別販売比率!$C$21</f>
        <v>5.2250191956343386</v>
      </c>
      <c r="CD217" s="21"/>
      <c r="CE217" s="81">
        <f>H217*月別販売比率!$H$21</f>
        <v>5.1612955465587049</v>
      </c>
      <c r="CF217" s="21"/>
      <c r="CG217" s="81">
        <f>H217*月別販売比率!$M$21</f>
        <v>7.451708122752982</v>
      </c>
      <c r="CH217" s="21"/>
      <c r="CI217" s="81">
        <f>H217*月別販売比率!$R$21</f>
        <v>5.8986234817813763</v>
      </c>
      <c r="CJ217" s="21">
        <v>13</v>
      </c>
      <c r="CK217" s="81">
        <f>H217*月別販売比率!$W$21</f>
        <v>5.6159850632452146</v>
      </c>
      <c r="CL217" s="21"/>
      <c r="CM217" s="81">
        <f>H217*月別販売比率!$AB$21</f>
        <v>8.8479352226720636</v>
      </c>
      <c r="CN217" s="21"/>
      <c r="CO217" s="81">
        <f>H217*月別販売比率!$AG$21</f>
        <v>7.3732793522267208</v>
      </c>
      <c r="CP217" s="21"/>
      <c r="CQ217" s="81">
        <f>H217*月別販売比率!$AL$21</f>
        <v>6.6359514170040477</v>
      </c>
      <c r="CR217" s="21">
        <v>50</v>
      </c>
      <c r="CS217" s="81">
        <f>H217*月別販売比率!$AQ$21</f>
        <v>7.3732793522267208</v>
      </c>
      <c r="CT217" s="21"/>
      <c r="CU217" s="81">
        <f>H217*月別販売比率!$AV$21</f>
        <v>4.4899124153732677</v>
      </c>
      <c r="CV217" s="21"/>
      <c r="CW217" s="81">
        <f>H217*月別販売比率!$BA$21</f>
        <v>4.1012480740093968</v>
      </c>
      <c r="CX217" s="21"/>
      <c r="CY217" s="81">
        <f>H217*月別販売比率!$BF$21</f>
        <v>5.8986234817813763</v>
      </c>
      <c r="CZ217" s="21"/>
      <c r="DA217" s="28"/>
      <c r="DB217" s="294"/>
    </row>
    <row r="218" spans="2:106" ht="30.75" customHeight="1">
      <c r="B218" s="25"/>
      <c r="C218" s="457"/>
      <c r="D218" s="441"/>
      <c r="E218" s="94" t="s">
        <v>49</v>
      </c>
      <c r="F218" s="57">
        <v>15</v>
      </c>
      <c r="G218" s="46">
        <f t="shared" si="314"/>
        <v>74250</v>
      </c>
      <c r="H218" s="45">
        <f>F218*($H$211/$F$211)</f>
        <v>19.068825910931174</v>
      </c>
      <c r="I218" s="46">
        <f t="shared" si="315"/>
        <v>94390.688259109316</v>
      </c>
      <c r="J218" s="9">
        <v>1</v>
      </c>
      <c r="K218" s="21">
        <f t="shared" si="304"/>
        <v>24</v>
      </c>
      <c r="L218" s="21">
        <v>6</v>
      </c>
      <c r="M218" s="21">
        <v>18</v>
      </c>
      <c r="N218" s="42"/>
      <c r="O218" s="19"/>
      <c r="P218" s="19"/>
      <c r="Q218" s="124"/>
      <c r="R218" s="124"/>
      <c r="S218" s="328"/>
      <c r="T218" s="328"/>
      <c r="U218" s="328"/>
      <c r="V218" s="328"/>
      <c r="W218" s="328"/>
      <c r="X218" s="328"/>
      <c r="Y218" s="328"/>
      <c r="Z218" s="124"/>
      <c r="AA218" s="124"/>
      <c r="AB218" s="124"/>
      <c r="AC218" s="124"/>
      <c r="AD218" s="124"/>
      <c r="AE218" s="124"/>
      <c r="AF218" s="124"/>
      <c r="AG218" s="124"/>
      <c r="AH218" s="124"/>
      <c r="AI218" s="129">
        <f t="shared" si="305"/>
        <v>23.474493927125508</v>
      </c>
      <c r="AJ218" s="129">
        <f t="shared" si="306"/>
        <v>22.022083996975883</v>
      </c>
      <c r="AK218" s="129">
        <f t="shared" si="307"/>
        <v>19.733824887664142</v>
      </c>
      <c r="AL218" s="399">
        <f t="shared" si="308"/>
        <v>17.826942296571023</v>
      </c>
      <c r="AM218" s="393">
        <f t="shared" si="309"/>
        <v>16.110747964587219</v>
      </c>
      <c r="AN218" s="393">
        <f t="shared" si="310"/>
        <v>14.203865373494102</v>
      </c>
      <c r="AO218" s="393">
        <f t="shared" si="311"/>
        <v>13.042681128138947</v>
      </c>
      <c r="AP218" s="96">
        <f t="shared" si="312"/>
        <v>11.982013522791689</v>
      </c>
      <c r="AQ218" s="91">
        <f t="shared" si="313"/>
        <v>10.456507449917195</v>
      </c>
      <c r="AR218" s="198"/>
      <c r="AS218" s="245">
        <f>$H$218*月別販売比率!AG5</f>
        <v>1.9068825910931175</v>
      </c>
      <c r="AT218" s="241"/>
      <c r="AU218" s="81">
        <f>$H$218*月別販売比率!AL5</f>
        <v>1.7161943319838056</v>
      </c>
      <c r="AV218" s="21"/>
      <c r="AW218" s="81">
        <f>$H$218*月別販売比率!AQ5</f>
        <v>1.9068825910931175</v>
      </c>
      <c r="AX218" s="21"/>
      <c r="AY218" s="81">
        <f>$H$218*月別販売比率!AV5</f>
        <v>1.1611842453551555</v>
      </c>
      <c r="AZ218" s="21"/>
      <c r="BA218" s="245">
        <f>$H$218*月別販売比率!BA5</f>
        <v>1.0606676053472579</v>
      </c>
      <c r="BB218" s="241">
        <v>5</v>
      </c>
      <c r="BC218" s="81">
        <f>$H$218*月別販売比率!BF5</f>
        <v>1.525506072874494</v>
      </c>
      <c r="BD218" s="21"/>
      <c r="BE218" s="81">
        <f>$H$218*月別販売比率!C21</f>
        <v>1.351298067836467</v>
      </c>
      <c r="BF218" s="21"/>
      <c r="BG218" s="81">
        <f>$H$218*月別販売比率!H21</f>
        <v>1.3348178137651823</v>
      </c>
      <c r="BH218" s="21"/>
      <c r="BI218" s="81">
        <f>$H$218*月別販売比率!M21</f>
        <v>1.9271658938154266</v>
      </c>
      <c r="BJ218" s="21"/>
      <c r="BK218" s="81">
        <f>$H$218*月別販売比率!R21</f>
        <v>1.525506072874494</v>
      </c>
      <c r="BL218" s="21"/>
      <c r="BM218" s="81">
        <f>$H$218*月別販売比率!W21</f>
        <v>1.4524099301496245</v>
      </c>
      <c r="BN218" s="21"/>
      <c r="BO218" s="245">
        <f>$H$218*月別販売比率!AB21</f>
        <v>2.288259109311741</v>
      </c>
      <c r="BP218" s="241">
        <v>3</v>
      </c>
      <c r="BQ218" s="81">
        <f>$H$218*月別販売比率!AG21</f>
        <v>1.9068825910931175</v>
      </c>
      <c r="BR218" s="21"/>
      <c r="BS218" s="81">
        <f>$H$218*月別販売比率!AL21</f>
        <v>1.7161943319838056</v>
      </c>
      <c r="BT218" s="21"/>
      <c r="BU218" s="245">
        <f>$H$218*月別販売比率!AQ21</f>
        <v>1.9068825910931175</v>
      </c>
      <c r="BV218" s="241"/>
      <c r="BW218" s="81">
        <f>$H$218*月別販売比率!AV21</f>
        <v>1.1611842453551555</v>
      </c>
      <c r="BX218" s="21"/>
      <c r="BY218" s="81">
        <f>$H$218*月別販売比率!BA21</f>
        <v>1.0606676053472579</v>
      </c>
      <c r="BZ218" s="21"/>
      <c r="CA218" s="81">
        <f>$H$218*月別販売比率!BF21</f>
        <v>1.525506072874494</v>
      </c>
      <c r="CB218" s="21"/>
      <c r="CC218" s="81">
        <f>H218*月別販売比率!$C$21</f>
        <v>1.351298067836467</v>
      </c>
      <c r="CD218" s="21"/>
      <c r="CE218" s="81">
        <f>H218*月別販売比率!$H$21</f>
        <v>1.3348178137651823</v>
      </c>
      <c r="CF218" s="21"/>
      <c r="CG218" s="81">
        <f>H218*月別販売比率!$M$21</f>
        <v>1.9271658938154266</v>
      </c>
      <c r="CH218" s="21"/>
      <c r="CI218" s="81">
        <f>H218*月別販売比率!$R$21</f>
        <v>1.525506072874494</v>
      </c>
      <c r="CJ218" s="21"/>
      <c r="CK218" s="81">
        <f>H218*月別販売比率!$W$21</f>
        <v>1.4524099301496245</v>
      </c>
      <c r="CL218" s="21"/>
      <c r="CM218" s="81">
        <f>H218*月別販売比率!$AB$21</f>
        <v>2.288259109311741</v>
      </c>
      <c r="CN218" s="21"/>
      <c r="CO218" s="81">
        <f>H218*月別販売比率!$AG$21</f>
        <v>1.9068825910931175</v>
      </c>
      <c r="CP218" s="21"/>
      <c r="CQ218" s="81">
        <f>H218*月別販売比率!$AL$21</f>
        <v>1.7161943319838056</v>
      </c>
      <c r="CR218" s="21"/>
      <c r="CS218" s="81">
        <f>H218*月別販売比率!$AQ$21</f>
        <v>1.9068825910931175</v>
      </c>
      <c r="CT218" s="21"/>
      <c r="CU218" s="81">
        <f>H218*月別販売比率!$AV$21</f>
        <v>1.1611842453551555</v>
      </c>
      <c r="CV218" s="21"/>
      <c r="CW218" s="81">
        <f>H218*月別販売比率!$BA$21</f>
        <v>1.0606676053472579</v>
      </c>
      <c r="CX218" s="21"/>
      <c r="CY218" s="81">
        <f>H218*月別販売比率!$BF$21</f>
        <v>1.525506072874494</v>
      </c>
      <c r="CZ218" s="21"/>
      <c r="DA218" s="28"/>
      <c r="DB218" s="294"/>
    </row>
    <row r="219" spans="2:106" ht="30.75" customHeight="1">
      <c r="B219" s="25"/>
      <c r="C219" s="457"/>
      <c r="D219" s="442"/>
      <c r="E219" s="94" t="s">
        <v>50</v>
      </c>
      <c r="F219" s="57">
        <v>12</v>
      </c>
      <c r="G219" s="46">
        <f t="shared" si="314"/>
        <v>59400</v>
      </c>
      <c r="H219" s="45">
        <f>F219*($H$211/$F$211)</f>
        <v>15.25506072874494</v>
      </c>
      <c r="I219" s="46">
        <f t="shared" si="315"/>
        <v>75512.550607287456</v>
      </c>
      <c r="J219" s="9">
        <v>10</v>
      </c>
      <c r="K219" s="21">
        <f t="shared" si="304"/>
        <v>22</v>
      </c>
      <c r="L219" s="21">
        <v>9</v>
      </c>
      <c r="M219" s="21">
        <v>13</v>
      </c>
      <c r="N219" s="42"/>
      <c r="O219" s="19"/>
      <c r="P219" s="19"/>
      <c r="Q219" s="124"/>
      <c r="R219" s="124"/>
      <c r="S219" s="124"/>
      <c r="T219" s="124"/>
      <c r="U219" s="124"/>
      <c r="V219" s="124"/>
      <c r="W219" s="124"/>
      <c r="X219" s="124"/>
      <c r="Y219" s="124"/>
      <c r="Z219" s="124"/>
      <c r="AA219" s="124"/>
      <c r="AB219" s="124"/>
      <c r="AC219" s="124"/>
      <c r="AD219" s="124"/>
      <c r="AE219" s="124"/>
      <c r="AF219" s="124"/>
      <c r="AG219" s="124"/>
      <c r="AH219" s="124"/>
      <c r="AI219" s="129">
        <f t="shared" si="305"/>
        <v>30.779595141700405</v>
      </c>
      <c r="AJ219" s="129">
        <f t="shared" si="306"/>
        <v>29.617667197580705</v>
      </c>
      <c r="AK219" s="129">
        <f t="shared" si="307"/>
        <v>27.787059910131312</v>
      </c>
      <c r="AL219" s="399">
        <f t="shared" si="308"/>
        <v>26.26155383725682</v>
      </c>
      <c r="AM219" s="393">
        <f t="shared" si="309"/>
        <v>24.888598371669776</v>
      </c>
      <c r="AN219" s="393">
        <f t="shared" si="310"/>
        <v>23.36309229879528</v>
      </c>
      <c r="AO219" s="393">
        <f t="shared" si="311"/>
        <v>22.434144902511157</v>
      </c>
      <c r="AP219" s="96">
        <f t="shared" si="312"/>
        <v>21.585610818233352</v>
      </c>
      <c r="AQ219" s="91">
        <f t="shared" si="313"/>
        <v>20.365205959933757</v>
      </c>
      <c r="AR219" s="198"/>
      <c r="AS219" s="245">
        <f>$H$219*月別販売比率!AG5</f>
        <v>1.525506072874494</v>
      </c>
      <c r="AT219" s="241"/>
      <c r="AU219" s="81">
        <f>$H$219*月別販売比率!AL5</f>
        <v>1.3729554655870446</v>
      </c>
      <c r="AV219" s="21"/>
      <c r="AW219" s="81">
        <f>$H$219*月別販売比率!AQ5</f>
        <v>1.525506072874494</v>
      </c>
      <c r="AX219" s="21"/>
      <c r="AY219" s="81">
        <f>$H$219*月別販売比率!AV5</f>
        <v>0.92894739628412437</v>
      </c>
      <c r="AZ219" s="21"/>
      <c r="BA219" s="245">
        <f>$H$219*月別販売比率!BA5</f>
        <v>0.84853408427780641</v>
      </c>
      <c r="BB219" s="241"/>
      <c r="BC219" s="81">
        <f>$H$219*月別販売比率!BF5</f>
        <v>1.2204048582995952</v>
      </c>
      <c r="BD219" s="21"/>
      <c r="BE219" s="81">
        <f>$H$219*月別販売比率!C21</f>
        <v>1.0810384542691738</v>
      </c>
      <c r="BF219" s="21"/>
      <c r="BG219" s="81">
        <f>$H$219*月別販売比率!H21</f>
        <v>1.0678542510121458</v>
      </c>
      <c r="BH219" s="21"/>
      <c r="BI219" s="81">
        <f>$H$219*月別販売比率!M21</f>
        <v>1.5417327150523412</v>
      </c>
      <c r="BJ219" s="21"/>
      <c r="BK219" s="81">
        <f>$H$219*月別販売比率!R21</f>
        <v>1.2204048582995952</v>
      </c>
      <c r="BL219" s="21"/>
      <c r="BM219" s="81">
        <f>$H$219*月別販売比率!W21</f>
        <v>1.1619279441196997</v>
      </c>
      <c r="BN219" s="21"/>
      <c r="BO219" s="245">
        <f>$H$219*月別販売比率!AB21</f>
        <v>1.8306072874493928</v>
      </c>
      <c r="BP219" s="241"/>
      <c r="BQ219" s="81">
        <f>$H$219*月別販売比率!AG21</f>
        <v>1.525506072874494</v>
      </c>
      <c r="BR219" s="21"/>
      <c r="BS219" s="81">
        <f>$H$219*月別販売比率!AL21</f>
        <v>1.3729554655870446</v>
      </c>
      <c r="BT219" s="21"/>
      <c r="BU219" s="245">
        <f>$H$219*月別販売比率!AQ21</f>
        <v>1.525506072874494</v>
      </c>
      <c r="BV219" s="241"/>
      <c r="BW219" s="81">
        <f>$H$219*月別販売比率!AV21</f>
        <v>0.92894739628412437</v>
      </c>
      <c r="BX219" s="21"/>
      <c r="BY219" s="81">
        <f>$H$219*月別販売比率!BA21</f>
        <v>0.84853408427780641</v>
      </c>
      <c r="BZ219" s="21"/>
      <c r="CA219" s="81">
        <f>$H$219*月別販売比率!BF21</f>
        <v>1.2204048582995952</v>
      </c>
      <c r="CB219" s="21"/>
      <c r="CC219" s="81">
        <f>H219*月別販売比率!$C$21</f>
        <v>1.0810384542691738</v>
      </c>
      <c r="CD219" s="21"/>
      <c r="CE219" s="81">
        <f>H219*月別販売比率!$H$21</f>
        <v>1.0678542510121458</v>
      </c>
      <c r="CF219" s="21"/>
      <c r="CG219" s="81">
        <f>H219*月別販売比率!$M$21</f>
        <v>1.5417327150523412</v>
      </c>
      <c r="CH219" s="21"/>
      <c r="CI219" s="81">
        <f>H219*月別販売比率!$R$21</f>
        <v>1.2204048582995952</v>
      </c>
      <c r="CJ219" s="21"/>
      <c r="CK219" s="81">
        <f>H219*月別販売比率!$W$21</f>
        <v>1.1619279441196997</v>
      </c>
      <c r="CL219" s="21"/>
      <c r="CM219" s="81">
        <f>H219*月別販売比率!$AB$21</f>
        <v>1.8306072874493928</v>
      </c>
      <c r="CN219" s="21"/>
      <c r="CO219" s="81">
        <f>H219*月別販売比率!$AG$21</f>
        <v>1.525506072874494</v>
      </c>
      <c r="CP219" s="21"/>
      <c r="CQ219" s="81">
        <f>H219*月別販売比率!$AL$21</f>
        <v>1.3729554655870446</v>
      </c>
      <c r="CR219" s="21"/>
      <c r="CS219" s="81">
        <f>H219*月別販売比率!$AQ$21</f>
        <v>1.525506072874494</v>
      </c>
      <c r="CT219" s="21"/>
      <c r="CU219" s="81">
        <f>H219*月別販売比率!$AV$21</f>
        <v>0.92894739628412437</v>
      </c>
      <c r="CV219" s="21"/>
      <c r="CW219" s="81">
        <f>H219*月別販売比率!$BA$21</f>
        <v>0.84853408427780641</v>
      </c>
      <c r="CX219" s="21"/>
      <c r="CY219" s="81">
        <f>H219*月別販売比率!$BF$21</f>
        <v>1.2204048582995952</v>
      </c>
      <c r="CZ219" s="21"/>
      <c r="DA219" s="28"/>
      <c r="DB219" s="294"/>
    </row>
    <row r="220" spans="2:106" ht="30.75" customHeight="1">
      <c r="C220" s="457"/>
      <c r="D220" s="441">
        <v>3</v>
      </c>
      <c r="E220" s="94" t="s">
        <v>47</v>
      </c>
      <c r="F220" s="57">
        <v>59</v>
      </c>
      <c r="G220" s="46">
        <f t="shared" si="314"/>
        <v>292050</v>
      </c>
      <c r="H220" s="45">
        <f>F220*($H$211/$F$211)</f>
        <v>75.004048582995949</v>
      </c>
      <c r="I220" s="46">
        <f t="shared" si="315"/>
        <v>371270.04048582993</v>
      </c>
      <c r="J220" s="9">
        <v>0</v>
      </c>
      <c r="K220" s="21">
        <f t="shared" si="304"/>
        <v>0</v>
      </c>
      <c r="L220" s="21">
        <v>0</v>
      </c>
      <c r="M220" s="21">
        <v>0</v>
      </c>
      <c r="N220" s="42"/>
      <c r="O220" s="320">
        <v>45583</v>
      </c>
      <c r="P220" s="289"/>
      <c r="Q220" s="328"/>
      <c r="R220" s="328"/>
      <c r="S220" s="328"/>
      <c r="T220" s="328"/>
      <c r="U220" s="328"/>
      <c r="V220" s="328"/>
      <c r="W220" s="328"/>
      <c r="X220" s="328"/>
      <c r="Y220" s="328"/>
      <c r="Z220" s="124"/>
      <c r="AA220" s="124"/>
      <c r="AB220" s="328"/>
      <c r="AC220" s="331">
        <v>46006</v>
      </c>
      <c r="AD220" s="328"/>
      <c r="AE220" s="328"/>
      <c r="AF220" s="328"/>
      <c r="AG220" s="331"/>
      <c r="AH220" s="331"/>
      <c r="AI220" s="129">
        <f t="shared" si="305"/>
        <v>63.999676113360323</v>
      </c>
      <c r="AJ220" s="129">
        <f t="shared" si="306"/>
        <v>58.286863721438465</v>
      </c>
      <c r="AK220" s="129">
        <f t="shared" si="307"/>
        <v>49.286377891478949</v>
      </c>
      <c r="AL220" s="399">
        <f t="shared" si="308"/>
        <v>41.785973033179353</v>
      </c>
      <c r="AM220" s="393">
        <f t="shared" si="309"/>
        <v>35.03560866070972</v>
      </c>
      <c r="AN220" s="393">
        <f t="shared" si="310"/>
        <v>27.535203802410123</v>
      </c>
      <c r="AO220" s="393">
        <f t="shared" si="311"/>
        <v>22.967879104013178</v>
      </c>
      <c r="AP220" s="96">
        <f t="shared" si="312"/>
        <v>18.795919856313965</v>
      </c>
      <c r="AQ220" s="91">
        <f t="shared" si="313"/>
        <v>12.795595969674288</v>
      </c>
      <c r="AR220" s="198"/>
      <c r="AS220" s="245">
        <f>$H$220*月別販売比率!AG5</f>
        <v>7.5004048582995955</v>
      </c>
      <c r="AT220" s="241">
        <v>35</v>
      </c>
      <c r="AU220" s="81">
        <f>$H$220*月別販売比率!AL5</f>
        <v>6.7503643724696349</v>
      </c>
      <c r="AV220" s="21"/>
      <c r="AW220" s="81">
        <f>$H$220*月別販売比率!AQ5</f>
        <v>7.5004048582995955</v>
      </c>
      <c r="AX220" s="21"/>
      <c r="AY220" s="81">
        <f>$H$220*月別販売比率!AV5</f>
        <v>4.5673246983969449</v>
      </c>
      <c r="AZ220" s="21"/>
      <c r="BA220" s="245">
        <f>$H$220*月別販売比率!BA5</f>
        <v>4.1719592476992142</v>
      </c>
      <c r="BB220" s="241">
        <v>41</v>
      </c>
      <c r="BC220" s="81">
        <f>$H$220*月別販売比率!BF5</f>
        <v>6.0003238866396762</v>
      </c>
      <c r="BD220" s="21"/>
      <c r="BE220" s="81">
        <f>$H$220*月別販売比率!C21</f>
        <v>5.3151057334901033</v>
      </c>
      <c r="BF220" s="21"/>
      <c r="BG220" s="81">
        <f>$H$220*月別販売比率!H21</f>
        <v>5.2502834008097166</v>
      </c>
      <c r="BH220" s="21"/>
      <c r="BI220" s="81">
        <f>$H$220*月別販売比率!M21</f>
        <v>7.5801858490073437</v>
      </c>
      <c r="BJ220" s="21"/>
      <c r="BK220" s="81">
        <f>$H$220*月別販売比率!R21</f>
        <v>6.0003238866396762</v>
      </c>
      <c r="BL220" s="21"/>
      <c r="BM220" s="81">
        <f>$H$220*月別販売比率!W21</f>
        <v>5.7128123919218563</v>
      </c>
      <c r="BN220" s="21"/>
      <c r="BO220" s="245">
        <f>$H$220*月別販売比率!AB21</f>
        <v>9.0004858299595139</v>
      </c>
      <c r="BP220" s="241">
        <v>35</v>
      </c>
      <c r="BQ220" s="81">
        <f>$H$220*月別販売比率!AG21</f>
        <v>7.5004048582995955</v>
      </c>
      <c r="BR220" s="21"/>
      <c r="BS220" s="81">
        <f>$H$220*月別販売比率!AL21</f>
        <v>6.7503643724696349</v>
      </c>
      <c r="BT220" s="21"/>
      <c r="BU220" s="245">
        <f>$H$220*月別販売比率!AQ21</f>
        <v>7.5004048582995955</v>
      </c>
      <c r="BV220" s="241">
        <v>35</v>
      </c>
      <c r="BW220" s="81">
        <f>$H$220*月別販売比率!AV21</f>
        <v>4.5673246983969449</v>
      </c>
      <c r="BX220" s="21"/>
      <c r="BY220" s="81">
        <f>$H$220*月別販売比率!BA21</f>
        <v>4.1719592476992142</v>
      </c>
      <c r="BZ220" s="21"/>
      <c r="CA220" s="81">
        <f>$H$220*月別販売比率!BF21</f>
        <v>6.0003238866396762</v>
      </c>
      <c r="CB220" s="21"/>
      <c r="CC220" s="81">
        <f>H220*月別販売比率!$C$21</f>
        <v>5.3151057334901033</v>
      </c>
      <c r="CD220" s="21"/>
      <c r="CE220" s="81">
        <f>H220*月別販売比率!$H$21</f>
        <v>5.2502834008097166</v>
      </c>
      <c r="CF220" s="21"/>
      <c r="CG220" s="81">
        <f>H220*月別販売比率!$M$21</f>
        <v>7.5801858490073437</v>
      </c>
      <c r="CH220" s="21"/>
      <c r="CI220" s="81">
        <f>H220*月別販売比率!$R$21</f>
        <v>6.0003238866396762</v>
      </c>
      <c r="CJ220" s="21">
        <v>70</v>
      </c>
      <c r="CK220" s="81">
        <f>H220*月別販売比率!$W$21</f>
        <v>5.7128123919218563</v>
      </c>
      <c r="CL220" s="21"/>
      <c r="CM220" s="81">
        <f>H220*月別販売比率!$AB$21</f>
        <v>9.0004858299595139</v>
      </c>
      <c r="CN220" s="21"/>
      <c r="CO220" s="81">
        <f>H220*月別販売比率!$AG$21</f>
        <v>7.5004048582995955</v>
      </c>
      <c r="CP220" s="21"/>
      <c r="CQ220" s="81">
        <f>H220*月別販売比率!$AL$21</f>
        <v>6.7503643724696349</v>
      </c>
      <c r="CR220" s="21"/>
      <c r="CS220" s="81">
        <f>H220*月別販売比率!$AQ$21</f>
        <v>7.5004048582995955</v>
      </c>
      <c r="CT220" s="21"/>
      <c r="CU220" s="81">
        <f>H220*月別販売比率!$AV$21</f>
        <v>4.5673246983969449</v>
      </c>
      <c r="CV220" s="21"/>
      <c r="CW220" s="81">
        <f>H220*月別販売比率!$BA$21</f>
        <v>4.1719592476992142</v>
      </c>
      <c r="CX220" s="21"/>
      <c r="CY220" s="81">
        <f>H220*月別販売比率!$BF$21</f>
        <v>6.0003238866396762</v>
      </c>
      <c r="CZ220" s="21"/>
      <c r="DA220" s="28"/>
      <c r="DB220" s="294"/>
    </row>
    <row r="221" spans="2:106" ht="30.75" customHeight="1">
      <c r="C221" s="457"/>
      <c r="D221" s="441"/>
      <c r="E221" s="94" t="s">
        <v>51</v>
      </c>
      <c r="F221" s="57">
        <v>71</v>
      </c>
      <c r="G221" s="46">
        <f t="shared" si="314"/>
        <v>351450</v>
      </c>
      <c r="H221" s="45">
        <f>F221*($H$211/$F$211)</f>
        <v>90.259109311740886</v>
      </c>
      <c r="I221" s="46">
        <f t="shared" si="315"/>
        <v>446782.59109311737</v>
      </c>
      <c r="J221" s="9">
        <v>0</v>
      </c>
      <c r="K221" s="21">
        <f t="shared" si="304"/>
        <v>0</v>
      </c>
      <c r="L221" s="21">
        <v>0</v>
      </c>
      <c r="M221" s="21">
        <v>0</v>
      </c>
      <c r="N221" s="42"/>
      <c r="O221" s="321"/>
      <c r="P221" s="19"/>
      <c r="Q221" s="124"/>
      <c r="R221" s="124"/>
      <c r="S221" s="328"/>
      <c r="T221" s="328"/>
      <c r="U221" s="328"/>
      <c r="V221" s="328"/>
      <c r="W221" s="328"/>
      <c r="X221" s="328"/>
      <c r="Y221" s="328"/>
      <c r="Z221" s="124"/>
      <c r="AA221" s="124"/>
      <c r="AB221" s="328"/>
      <c r="AC221" s="331">
        <v>46006</v>
      </c>
      <c r="AD221" s="330"/>
      <c r="AE221" s="330"/>
      <c r="AF221" s="328"/>
      <c r="AG221" s="331"/>
      <c r="AH221" s="331"/>
      <c r="AI221" s="129">
        <f t="shared" si="305"/>
        <v>72.779271255060735</v>
      </c>
      <c r="AJ221" s="129">
        <f t="shared" si="306"/>
        <v>65.90453091901918</v>
      </c>
      <c r="AK221" s="129">
        <f t="shared" si="307"/>
        <v>55.073437801610275</v>
      </c>
      <c r="AL221" s="399">
        <f t="shared" si="308"/>
        <v>46.047526870436187</v>
      </c>
      <c r="AM221" s="393">
        <f t="shared" si="309"/>
        <v>37.924207032379506</v>
      </c>
      <c r="AN221" s="393">
        <f t="shared" si="310"/>
        <v>28.898296101205418</v>
      </c>
      <c r="AO221" s="393">
        <f t="shared" si="311"/>
        <v>23.40202400652435</v>
      </c>
      <c r="AP221" s="96">
        <f t="shared" si="312"/>
        <v>18.381530674547328</v>
      </c>
      <c r="AQ221" s="91">
        <f t="shared" si="313"/>
        <v>11.160801929608056</v>
      </c>
      <c r="AR221" s="198"/>
      <c r="AS221" s="245">
        <f>$H$221*月別販売比率!AG5</f>
        <v>9.0259109311740886</v>
      </c>
      <c r="AT221" s="241"/>
      <c r="AU221" s="81">
        <f>$H$221*月別販売比率!AL5</f>
        <v>8.1233198380566787</v>
      </c>
      <c r="AV221" s="21"/>
      <c r="AW221" s="81">
        <f>$H$221*月別販売比率!AQ5</f>
        <v>9.0259109311740886</v>
      </c>
      <c r="AX221" s="21"/>
      <c r="AY221" s="81">
        <f>$H$221*月別販売比率!AV5</f>
        <v>5.4962720946810686</v>
      </c>
      <c r="AZ221" s="21"/>
      <c r="BA221" s="245">
        <f>$H$221*月別販売比率!BA5</f>
        <v>5.0204933319770202</v>
      </c>
      <c r="BB221" s="241">
        <v>45</v>
      </c>
      <c r="BC221" s="81">
        <f>$H$221*月別販売比率!BF5</f>
        <v>7.2207287449392714</v>
      </c>
      <c r="BD221" s="21"/>
      <c r="BE221" s="81">
        <f>$H$221*月別販売比率!C21</f>
        <v>6.3961441877592771</v>
      </c>
      <c r="BF221" s="21"/>
      <c r="BG221" s="81">
        <f>$H$221*月別販売比率!H21</f>
        <v>6.3181376518218624</v>
      </c>
      <c r="BH221" s="21"/>
      <c r="BI221" s="81">
        <f>$H$221*月別販売比率!M21</f>
        <v>9.1219185640596852</v>
      </c>
      <c r="BJ221" s="21"/>
      <c r="BK221" s="81">
        <f>$H$221*月別販売比率!R21</f>
        <v>7.2207287449392714</v>
      </c>
      <c r="BL221" s="21"/>
      <c r="BM221" s="81">
        <f>$H$221*月別販売比率!W21</f>
        <v>6.8747403360415555</v>
      </c>
      <c r="BN221" s="21"/>
      <c r="BO221" s="245">
        <f>$H$221*月別販売比率!AB21</f>
        <v>10.831093117408907</v>
      </c>
      <c r="BP221" s="241">
        <v>45</v>
      </c>
      <c r="BQ221" s="81">
        <f>$H$221*月別販売比率!AG21</f>
        <v>9.0259109311740886</v>
      </c>
      <c r="BR221" s="21"/>
      <c r="BS221" s="81">
        <f>$H$221*月別販売比率!AL21</f>
        <v>8.1233198380566787</v>
      </c>
      <c r="BT221" s="21"/>
      <c r="BU221" s="245">
        <f>$H$221*月別販売比率!AQ21</f>
        <v>9.0259109311740886</v>
      </c>
      <c r="BV221" s="241">
        <v>25</v>
      </c>
      <c r="BW221" s="81">
        <f>$H$221*月別販売比率!AV21</f>
        <v>5.4962720946810686</v>
      </c>
      <c r="BX221" s="21"/>
      <c r="BY221" s="81">
        <f>$H$221*月別販売比率!BA21</f>
        <v>5.0204933319770202</v>
      </c>
      <c r="BZ221" s="21"/>
      <c r="CA221" s="81">
        <f>$H$221*月別販売比率!BF21</f>
        <v>7.2207287449392714</v>
      </c>
      <c r="CB221" s="21"/>
      <c r="CC221" s="81">
        <f>H221*月別販売比率!$C$21</f>
        <v>6.3961441877592771</v>
      </c>
      <c r="CD221" s="21"/>
      <c r="CE221" s="81">
        <f>H221*月別販売比率!$H$21</f>
        <v>6.3181376518218624</v>
      </c>
      <c r="CF221" s="21"/>
      <c r="CG221" s="81">
        <f>H221*月別販売比率!$M$21</f>
        <v>9.1219185640596852</v>
      </c>
      <c r="CH221" s="21"/>
      <c r="CI221" s="81">
        <f>H221*月別販売比率!$R$21</f>
        <v>7.2207287449392714</v>
      </c>
      <c r="CJ221" s="21">
        <v>80</v>
      </c>
      <c r="CK221" s="81">
        <f>H221*月別販売比率!$W$21</f>
        <v>6.8747403360415555</v>
      </c>
      <c r="CL221" s="21"/>
      <c r="CM221" s="81">
        <f>H221*月別販売比率!$AB$21</f>
        <v>10.831093117408907</v>
      </c>
      <c r="CN221" s="21"/>
      <c r="CO221" s="81">
        <f>H221*月別販売比率!$AG$21</f>
        <v>9.0259109311740886</v>
      </c>
      <c r="CP221" s="21"/>
      <c r="CQ221" s="81">
        <f>H221*月別販売比率!$AL$21</f>
        <v>8.1233198380566787</v>
      </c>
      <c r="CR221" s="21"/>
      <c r="CS221" s="81">
        <f>H221*月別販売比率!$AQ$21</f>
        <v>9.0259109311740886</v>
      </c>
      <c r="CT221" s="21"/>
      <c r="CU221" s="81">
        <f>H221*月別販売比率!$AV$21</f>
        <v>5.4962720946810686</v>
      </c>
      <c r="CV221" s="21"/>
      <c r="CW221" s="81">
        <f>H221*月別販売比率!$BA$21</f>
        <v>5.0204933319770202</v>
      </c>
      <c r="CX221" s="21"/>
      <c r="CY221" s="81">
        <f>H221*月別販売比率!$BF$21</f>
        <v>7.2207287449392714</v>
      </c>
      <c r="CZ221" s="21"/>
      <c r="DA221" s="28"/>
      <c r="DB221" s="294"/>
    </row>
    <row r="222" spans="2:106" ht="30.75" customHeight="1">
      <c r="C222" s="457"/>
      <c r="D222" s="441"/>
      <c r="E222" s="94" t="s">
        <v>49</v>
      </c>
      <c r="F222" s="56">
        <v>45</v>
      </c>
      <c r="G222" s="46">
        <f t="shared" si="314"/>
        <v>222750</v>
      </c>
      <c r="H222" s="45">
        <f>F222*($H$211/$F$211)</f>
        <v>57.206477732793523</v>
      </c>
      <c r="I222" s="46">
        <f t="shared" si="315"/>
        <v>283172.06477732793</v>
      </c>
      <c r="J222" s="49">
        <v>0</v>
      </c>
      <c r="K222" s="21">
        <f t="shared" si="304"/>
        <v>0</v>
      </c>
      <c r="L222" s="21">
        <v>0</v>
      </c>
      <c r="M222" s="21">
        <v>0</v>
      </c>
      <c r="N222" s="42"/>
      <c r="O222" s="322" t="s">
        <v>326</v>
      </c>
      <c r="P222" s="19"/>
      <c r="Q222" s="124"/>
      <c r="R222" s="124"/>
      <c r="S222" s="328"/>
      <c r="T222" s="328"/>
      <c r="U222" s="328"/>
      <c r="V222" s="328"/>
      <c r="W222" s="328"/>
      <c r="X222" s="328"/>
      <c r="Y222" s="328"/>
      <c r="Z222" s="124"/>
      <c r="AA222" s="124"/>
      <c r="AB222" s="328"/>
      <c r="AC222" s="331">
        <v>46006</v>
      </c>
      <c r="AD222" s="330"/>
      <c r="AE222" s="328"/>
      <c r="AF222" s="328"/>
      <c r="AG222" s="331"/>
      <c r="AH222" s="331"/>
      <c r="AI222" s="129">
        <f t="shared" si="305"/>
        <v>50.423481781376516</v>
      </c>
      <c r="AJ222" s="129">
        <f t="shared" si="306"/>
        <v>46.06625199092764</v>
      </c>
      <c r="AK222" s="129">
        <f t="shared" si="307"/>
        <v>39.201474662992418</v>
      </c>
      <c r="AL222" s="399">
        <f t="shared" si="308"/>
        <v>33.480826889713065</v>
      </c>
      <c r="AM222" s="393">
        <f t="shared" si="309"/>
        <v>28.33224389376165</v>
      </c>
      <c r="AN222" s="393">
        <f t="shared" si="310"/>
        <v>22.611596120482297</v>
      </c>
      <c r="AO222" s="393">
        <f t="shared" si="311"/>
        <v>19.128043384416831</v>
      </c>
      <c r="AP222" s="96">
        <f t="shared" si="312"/>
        <v>15.946040568375057</v>
      </c>
      <c r="AQ222" s="91">
        <f t="shared" si="313"/>
        <v>11.369522349751575</v>
      </c>
      <c r="AR222" s="198"/>
      <c r="AS222" s="245">
        <f>$H$222*月別販売比率!AG5</f>
        <v>5.720647773279353</v>
      </c>
      <c r="AT222" s="241">
        <v>45</v>
      </c>
      <c r="AU222" s="81">
        <f>$H$222*月別販売比率!AL5</f>
        <v>5.1485829959514167</v>
      </c>
      <c r="AV222" s="21"/>
      <c r="AW222" s="81">
        <f>$H$222*月別販売比率!AQ5</f>
        <v>5.720647773279353</v>
      </c>
      <c r="AX222" s="21"/>
      <c r="AY222" s="81">
        <f>$H$222*月別販売比率!AV5</f>
        <v>3.4835527360654663</v>
      </c>
      <c r="AZ222" s="21"/>
      <c r="BA222" s="245">
        <f>$H$222*月別販売比率!BA5</f>
        <v>3.1820028160417739</v>
      </c>
      <c r="BB222" s="241">
        <v>25</v>
      </c>
      <c r="BC222" s="81">
        <f>$H$222*月別販売比率!BF5</f>
        <v>4.5765182186234821</v>
      </c>
      <c r="BD222" s="21"/>
      <c r="BE222" s="81">
        <f>$H$222*月別販売比率!C21</f>
        <v>4.053894203509401</v>
      </c>
      <c r="BF222" s="21"/>
      <c r="BG222" s="81">
        <f>$H$222*月別販売比率!H21</f>
        <v>4.0044534412955466</v>
      </c>
      <c r="BH222" s="21"/>
      <c r="BI222" s="81">
        <f>$H$222*月別販売比率!M21</f>
        <v>5.7814976814462797</v>
      </c>
      <c r="BJ222" s="21"/>
      <c r="BK222" s="81">
        <f>$H$222*月別販売比率!R21</f>
        <v>4.5765182186234821</v>
      </c>
      <c r="BL222" s="21"/>
      <c r="BM222" s="81">
        <f>$H$222*月別販売比率!W21</f>
        <v>4.3572297904488737</v>
      </c>
      <c r="BN222" s="21"/>
      <c r="BO222" s="245">
        <f>$H$222*月別販売比率!AB21</f>
        <v>6.8647773279352222</v>
      </c>
      <c r="BP222" s="241">
        <v>15</v>
      </c>
      <c r="BQ222" s="81">
        <f>$H$222*月別販売比率!AG21</f>
        <v>5.720647773279353</v>
      </c>
      <c r="BR222" s="21"/>
      <c r="BS222" s="81">
        <f>$H$222*月別販売比率!AL21</f>
        <v>5.1485829959514167</v>
      </c>
      <c r="BT222" s="21"/>
      <c r="BU222" s="245">
        <f>$H$222*月別販売比率!AQ21</f>
        <v>5.720647773279353</v>
      </c>
      <c r="BV222" s="241">
        <v>10</v>
      </c>
      <c r="BW222" s="81">
        <f>$H$222*月別販売比率!AV21</f>
        <v>3.4835527360654663</v>
      </c>
      <c r="BX222" s="21"/>
      <c r="BY222" s="81">
        <f>$H$222*月別販売比率!BA21</f>
        <v>3.1820028160417739</v>
      </c>
      <c r="BZ222" s="21"/>
      <c r="CA222" s="81">
        <f>$H$222*月別販売比率!BF21</f>
        <v>4.5765182186234821</v>
      </c>
      <c r="CB222" s="21"/>
      <c r="CC222" s="81">
        <f>H222*月別販売比率!$C$21</f>
        <v>4.053894203509401</v>
      </c>
      <c r="CD222" s="21"/>
      <c r="CE222" s="81">
        <f>H222*月別販売比率!$H$21</f>
        <v>4.0044534412955466</v>
      </c>
      <c r="CF222" s="21"/>
      <c r="CG222" s="81">
        <f>H222*月別販売比率!$M$21</f>
        <v>5.7814976814462797</v>
      </c>
      <c r="CH222" s="21"/>
      <c r="CI222" s="81">
        <f>H222*月別販売比率!$R$21</f>
        <v>4.5765182186234821</v>
      </c>
      <c r="CJ222" s="21">
        <v>55</v>
      </c>
      <c r="CK222" s="81">
        <f>H222*月別販売比率!$W$21</f>
        <v>4.3572297904488737</v>
      </c>
      <c r="CL222" s="21"/>
      <c r="CM222" s="81">
        <f>H222*月別販売比率!$AB$21</f>
        <v>6.8647773279352222</v>
      </c>
      <c r="CN222" s="21"/>
      <c r="CO222" s="81">
        <f>H222*月別販売比率!$AG$21</f>
        <v>5.720647773279353</v>
      </c>
      <c r="CP222" s="21"/>
      <c r="CQ222" s="81">
        <f>H222*月別販売比率!$AL$21</f>
        <v>5.1485829959514167</v>
      </c>
      <c r="CR222" s="21"/>
      <c r="CS222" s="81">
        <f>H222*月別販売比率!$AQ$21</f>
        <v>5.720647773279353</v>
      </c>
      <c r="CT222" s="21"/>
      <c r="CU222" s="81">
        <f>H222*月別販売比率!$AV$21</f>
        <v>3.4835527360654663</v>
      </c>
      <c r="CV222" s="21"/>
      <c r="CW222" s="81">
        <f>H222*月別販売比率!$BA$21</f>
        <v>3.1820028160417739</v>
      </c>
      <c r="CX222" s="21"/>
      <c r="CY222" s="81">
        <f>H222*月別販売比率!$BF$21</f>
        <v>4.5765182186234821</v>
      </c>
      <c r="CZ222" s="21"/>
      <c r="DA222" s="28"/>
      <c r="DB222" s="294"/>
    </row>
    <row r="223" spans="2:106" ht="30.75" customHeight="1">
      <c r="C223" s="457"/>
      <c r="D223" s="441"/>
      <c r="E223" s="119" t="s">
        <v>50</v>
      </c>
      <c r="F223" s="58">
        <v>15</v>
      </c>
      <c r="G223" s="53">
        <f t="shared" si="314"/>
        <v>74250</v>
      </c>
      <c r="H223" s="52">
        <f>F223*($H$211/$F$211)</f>
        <v>19.068825910931174</v>
      </c>
      <c r="I223" s="53">
        <f t="shared" si="315"/>
        <v>94390.688259109316</v>
      </c>
      <c r="J223" s="113">
        <v>0</v>
      </c>
      <c r="K223" s="79">
        <f t="shared" si="304"/>
        <v>12</v>
      </c>
      <c r="L223" s="107">
        <v>7</v>
      </c>
      <c r="M223" s="107">
        <v>5</v>
      </c>
      <c r="N223" s="44"/>
      <c r="O223" s="313"/>
      <c r="P223" s="123"/>
      <c r="Q223" s="238"/>
      <c r="R223" s="238"/>
      <c r="S223" s="238"/>
      <c r="T223" s="238"/>
      <c r="U223" s="238"/>
      <c r="V223" s="238"/>
      <c r="W223" s="238"/>
      <c r="X223" s="238"/>
      <c r="Y223" s="238"/>
      <c r="Z223" s="238"/>
      <c r="AA223" s="238"/>
      <c r="AB223" s="329"/>
      <c r="AC223" s="331">
        <v>46006</v>
      </c>
      <c r="AD223" s="330"/>
      <c r="AE223" s="330"/>
      <c r="AF223" s="330"/>
      <c r="AG223" s="330"/>
      <c r="AH223" s="330"/>
      <c r="AI223" s="238">
        <f t="shared" si="305"/>
        <v>20.474493927125508</v>
      </c>
      <c r="AJ223" s="238">
        <f t="shared" si="306"/>
        <v>19.022083996975883</v>
      </c>
      <c r="AK223" s="238">
        <f t="shared" si="307"/>
        <v>16.733824887664142</v>
      </c>
      <c r="AL223" s="401">
        <f t="shared" si="308"/>
        <v>14.826942296571024</v>
      </c>
      <c r="AM223" s="395">
        <f t="shared" si="309"/>
        <v>13.110747964587219</v>
      </c>
      <c r="AN223" s="395">
        <f t="shared" si="310"/>
        <v>11.203865373494102</v>
      </c>
      <c r="AO223" s="395">
        <f t="shared" si="311"/>
        <v>10.042681128138947</v>
      </c>
      <c r="AP223" s="403">
        <f t="shared" si="312"/>
        <v>8.9820135227916893</v>
      </c>
      <c r="AQ223" s="90">
        <f t="shared" si="313"/>
        <v>7.4565074499171953</v>
      </c>
      <c r="AR223" s="238"/>
      <c r="AS223" s="301">
        <f>$H$223*月別販売比率!AG5</f>
        <v>1.9068825910931175</v>
      </c>
      <c r="AT223" s="302"/>
      <c r="AU223" s="282">
        <f>$H$223*月別販売比率!AL5</f>
        <v>1.7161943319838056</v>
      </c>
      <c r="AV223" s="103"/>
      <c r="AW223" s="282">
        <f>$H$223*月別販売比率!AQ5</f>
        <v>1.9068825910931175</v>
      </c>
      <c r="AX223" s="103"/>
      <c r="AY223" s="282">
        <f>$H$223*月別販売比率!AV5</f>
        <v>1.1611842453551555</v>
      </c>
      <c r="AZ223" s="103"/>
      <c r="BA223" s="301">
        <f>$H$223*月別販売比率!BA5</f>
        <v>1.0606676053472579</v>
      </c>
      <c r="BB223" s="302"/>
      <c r="BC223" s="282">
        <f>$H$223*月別販売比率!BF5</f>
        <v>1.525506072874494</v>
      </c>
      <c r="BD223" s="103"/>
      <c r="BE223" s="282">
        <f>$H$223*月別販売比率!C21</f>
        <v>1.351298067836467</v>
      </c>
      <c r="BF223" s="103"/>
      <c r="BG223" s="282">
        <f>$H$223*月別販売比率!H21</f>
        <v>1.3348178137651823</v>
      </c>
      <c r="BH223" s="103"/>
      <c r="BI223" s="282">
        <f>$H$223*月別販売比率!M21</f>
        <v>1.9271658938154266</v>
      </c>
      <c r="BJ223" s="117"/>
      <c r="BK223" s="282">
        <f>$H$223*月別販売比率!R21</f>
        <v>1.525506072874494</v>
      </c>
      <c r="BL223" s="103"/>
      <c r="BM223" s="282">
        <f>$H$223*月別販売比率!W21</f>
        <v>1.4524099301496245</v>
      </c>
      <c r="BN223" s="103"/>
      <c r="BO223" s="301">
        <f>$H$223*月別販売比率!AB21</f>
        <v>2.288259109311741</v>
      </c>
      <c r="BP223" s="302">
        <v>10</v>
      </c>
      <c r="BQ223" s="282">
        <f>$H$223*月別販売比率!AG21</f>
        <v>1.9068825910931175</v>
      </c>
      <c r="BR223" s="103"/>
      <c r="BS223" s="282">
        <f>$H$223*月別販売比率!AL21</f>
        <v>1.7161943319838056</v>
      </c>
      <c r="BT223" s="103"/>
      <c r="BU223" s="301">
        <f>$H$223*月別販売比率!AQ21</f>
        <v>1.9068825910931175</v>
      </c>
      <c r="BV223" s="302">
        <v>10</v>
      </c>
      <c r="BW223" s="282">
        <f>$H$223*月別販売比率!AV21</f>
        <v>1.1611842453551555</v>
      </c>
      <c r="BX223" s="103"/>
      <c r="BY223" s="282">
        <f>$H$223*月別販売比率!BA21</f>
        <v>1.0606676053472579</v>
      </c>
      <c r="BZ223" s="103"/>
      <c r="CA223" s="282">
        <f>$H$223*月別販売比率!BF21</f>
        <v>1.525506072874494</v>
      </c>
      <c r="CB223" s="103"/>
      <c r="CC223" s="282">
        <f>H223*月別販売比率!$C$21</f>
        <v>1.351298067836467</v>
      </c>
      <c r="CD223" s="103"/>
      <c r="CE223" s="282">
        <f>H223*月別販売比率!$H$21</f>
        <v>1.3348178137651823</v>
      </c>
      <c r="CF223" s="103"/>
      <c r="CG223" s="282">
        <f>H223*月別販売比率!$M$21</f>
        <v>1.9271658938154266</v>
      </c>
      <c r="CH223" s="103"/>
      <c r="CI223" s="282">
        <f>H223*月別販売比率!$R$21</f>
        <v>1.525506072874494</v>
      </c>
      <c r="CJ223" s="103">
        <v>10</v>
      </c>
      <c r="CK223" s="282">
        <f>H223*月別販売比率!$W$21</f>
        <v>1.4524099301496245</v>
      </c>
      <c r="CL223" s="103"/>
      <c r="CM223" s="282">
        <f>H223*月別販売比率!$AB$21</f>
        <v>2.288259109311741</v>
      </c>
      <c r="CN223" s="103"/>
      <c r="CO223" s="282">
        <f>H223*月別販売比率!$AG$21</f>
        <v>1.9068825910931175</v>
      </c>
      <c r="CP223" s="103"/>
      <c r="CQ223" s="282">
        <f>H223*月別販売比率!$AL$21</f>
        <v>1.7161943319838056</v>
      </c>
      <c r="CR223" s="103"/>
      <c r="CS223" s="282">
        <f>H223*月別販売比率!$AQ$21</f>
        <v>1.9068825910931175</v>
      </c>
      <c r="CT223" s="103"/>
      <c r="CU223" s="282">
        <f>H223*月別販売比率!$AV$21</f>
        <v>1.1611842453551555</v>
      </c>
      <c r="CV223" s="103"/>
      <c r="CW223" s="282">
        <f>H223*月別販売比率!$BA$21</f>
        <v>1.0606676053472579</v>
      </c>
      <c r="CX223" s="103"/>
      <c r="CY223" s="282">
        <f>H223*月別販売比率!$BF$21</f>
        <v>1.525506072874494</v>
      </c>
      <c r="CZ223" s="103"/>
      <c r="DA223" s="303"/>
      <c r="DB223" s="300"/>
    </row>
    <row r="224" spans="2:106" ht="30.6" customHeight="1">
      <c r="B224" s="2">
        <v>19</v>
      </c>
      <c r="C224" s="556" t="s">
        <v>510</v>
      </c>
      <c r="D224" s="557"/>
      <c r="E224" s="558"/>
      <c r="F224" s="144">
        <f>SUM(F225:F236)</f>
        <v>0</v>
      </c>
      <c r="G224" s="145">
        <f>SUM(G225:G236)</f>
        <v>0</v>
      </c>
      <c r="H224" s="144"/>
      <c r="I224" s="145">
        <f>SUM(I225:I236)</f>
        <v>0</v>
      </c>
      <c r="J224" s="147">
        <f>SUM(J226:J236)</f>
        <v>0</v>
      </c>
      <c r="K224" s="148">
        <f>SUM(K226:K236)</f>
        <v>0</v>
      </c>
      <c r="L224" s="148">
        <f>SUM(L226:L236)</f>
        <v>0</v>
      </c>
      <c r="M224" s="148">
        <f>SUM(M225:M236)</f>
        <v>0</v>
      </c>
      <c r="N224" s="149">
        <f>SUM(N225:N236)</f>
        <v>0</v>
      </c>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6">
        <f>SUM(AS225:AS236)</f>
        <v>0</v>
      </c>
      <c r="AT224" s="134">
        <f>SUM(AT225:AT236)</f>
        <v>0</v>
      </c>
      <c r="AU224" s="136">
        <f>SUM(AU225:AU236)</f>
        <v>0</v>
      </c>
      <c r="AV224" s="134">
        <f>SUM(AV225:AV236)</f>
        <v>0</v>
      </c>
      <c r="AW224" s="136">
        <f>SUM(AW225:AW236)</f>
        <v>0</v>
      </c>
      <c r="AX224" s="134">
        <f>SUM(AX225:AX236)</f>
        <v>0</v>
      </c>
      <c r="AY224" s="136">
        <f>SUM(AY225:AY236)</f>
        <v>0</v>
      </c>
      <c r="AZ224" s="134">
        <f>SUM(AZ225:AZ236)</f>
        <v>0</v>
      </c>
      <c r="BA224" s="136">
        <f>SUM(BA225:BA236)</f>
        <v>0</v>
      </c>
      <c r="BB224" s="134">
        <f>SUM(BB225:BB236)</f>
        <v>0</v>
      </c>
      <c r="BC224" s="136">
        <f>SUM(BC225:BC236)</f>
        <v>0</v>
      </c>
      <c r="BD224" s="134">
        <f>SUM(BD225:BD236)</f>
        <v>0</v>
      </c>
      <c r="BE224" s="136">
        <f>SUM(BE225:BE236)</f>
        <v>0</v>
      </c>
      <c r="BF224" s="134">
        <f>SUM(BF225:BF236)</f>
        <v>795</v>
      </c>
      <c r="BG224" s="136">
        <f>SUM(BG225:BG236)</f>
        <v>0</v>
      </c>
      <c r="BH224" s="134">
        <f>SUM(BH225:BH236)</f>
        <v>0</v>
      </c>
      <c r="BI224" s="136">
        <f>SUM(BI225:BI236)</f>
        <v>0</v>
      </c>
      <c r="BJ224" s="134">
        <f>SUM(BJ225:BJ236)</f>
        <v>0</v>
      </c>
      <c r="BK224" s="136">
        <f>SUM(BK225:BK236)</f>
        <v>0</v>
      </c>
      <c r="BL224" s="134">
        <f>SUM(BL225:BL236)</f>
        <v>0</v>
      </c>
      <c r="BM224" s="136">
        <f>SUM(BM225:BM236)</f>
        <v>0</v>
      </c>
      <c r="BN224" s="134">
        <f>SUM(BN225:BN236)</f>
        <v>0</v>
      </c>
      <c r="BO224" s="136">
        <f>SUM(BO225:BO236)</f>
        <v>0</v>
      </c>
      <c r="BP224" s="134">
        <f>SUM(BP225:BP236)</f>
        <v>845</v>
      </c>
      <c r="BQ224" s="136">
        <f>SUM(BQ225:BQ236)</f>
        <v>0</v>
      </c>
      <c r="BR224" s="134">
        <f>SUM(BR225:BR236)</f>
        <v>0</v>
      </c>
      <c r="BS224" s="136">
        <f>SUM(BS225:BS236)</f>
        <v>0</v>
      </c>
      <c r="BT224" s="134">
        <f>SUM(BT225:BT236)</f>
        <v>0</v>
      </c>
      <c r="BU224" s="136">
        <f>SUM(BU225:BU236)</f>
        <v>0</v>
      </c>
      <c r="BV224" s="134">
        <f>SUM(BV225:BV236)</f>
        <v>0</v>
      </c>
      <c r="BW224" s="136">
        <f>SUM(BW225:BW236)</f>
        <v>0</v>
      </c>
      <c r="BX224" s="134">
        <f>SUM(BX225:BX236)</f>
        <v>0</v>
      </c>
      <c r="BY224" s="136">
        <f>SUM(BY225:BY236)</f>
        <v>0</v>
      </c>
      <c r="BZ224" s="134">
        <f>SUM(BZ225:BZ236)</f>
        <v>420</v>
      </c>
      <c r="CA224" s="136">
        <f>SUM(CA225:CA236)</f>
        <v>0</v>
      </c>
      <c r="CB224" s="134">
        <f>SUM(CB225:CB236)</f>
        <v>0</v>
      </c>
      <c r="CC224" s="136">
        <f>SUM(CC225:CC236)</f>
        <v>0</v>
      </c>
      <c r="CD224" s="134">
        <f>SUM(CD225:CD236)</f>
        <v>420</v>
      </c>
      <c r="CE224" s="136">
        <f>SUM(CE225:CE236)</f>
        <v>0</v>
      </c>
      <c r="CF224" s="134">
        <f>SUM(CF225:CF236)</f>
        <v>0</v>
      </c>
      <c r="CG224" s="136">
        <f>SUM(CG225:CG236)</f>
        <v>0</v>
      </c>
      <c r="CH224" s="134">
        <f>SUM(CH225:CH236)</f>
        <v>0</v>
      </c>
      <c r="CI224" s="136">
        <f>SUM(CI225:CI236)</f>
        <v>0</v>
      </c>
      <c r="CJ224" s="134">
        <f>SUM(CJ225:CJ236)</f>
        <v>0</v>
      </c>
      <c r="CK224" s="136">
        <f>SUM(CK225:CK236)</f>
        <v>0</v>
      </c>
      <c r="CL224" s="134">
        <f>SUM(CL225:CL236)</f>
        <v>0</v>
      </c>
      <c r="CM224" s="136">
        <f>SUM(CM225:CM236)</f>
        <v>0</v>
      </c>
      <c r="CN224" s="134">
        <f>SUM(CN225:CN236)</f>
        <v>0</v>
      </c>
      <c r="CO224" s="136">
        <f>SUM(CO225:CO236)</f>
        <v>0</v>
      </c>
      <c r="CP224" s="134">
        <f>SUM(CP225:CP236)</f>
        <v>0</v>
      </c>
      <c r="CQ224" s="136">
        <f>SUM(CQ225:CQ236)</f>
        <v>0</v>
      </c>
      <c r="CR224" s="134">
        <f>SUM(CR225:CR236)</f>
        <v>0</v>
      </c>
      <c r="CS224" s="136">
        <f>SUM(CS225:CS236)</f>
        <v>0</v>
      </c>
      <c r="CT224" s="134">
        <f>SUM(CT225:CT236)</f>
        <v>0</v>
      </c>
      <c r="CU224" s="136">
        <v>65.156981784482824</v>
      </c>
      <c r="CV224" s="134">
        <f>SUM(CV225:CV236)</f>
        <v>0</v>
      </c>
      <c r="CW224" s="136">
        <f>SUM(CW225:CW236)</f>
        <v>0</v>
      </c>
      <c r="CX224" s="134">
        <f>SUM(CX225:CX236)</f>
        <v>0</v>
      </c>
      <c r="CY224" s="136">
        <f>SUM(CY225:CY236)</f>
        <v>0</v>
      </c>
      <c r="CZ224" s="134">
        <f>SUM(CZ225:CZ236)</f>
        <v>0</v>
      </c>
      <c r="DA224" s="141"/>
      <c r="DB224" s="293"/>
    </row>
    <row r="225" spans="2:106" ht="30.75" customHeight="1">
      <c r="B225" s="25"/>
      <c r="C225" s="553"/>
      <c r="D225" s="494">
        <v>1</v>
      </c>
      <c r="E225" s="99" t="s">
        <v>287</v>
      </c>
      <c r="F225" s="572"/>
      <c r="G225" s="46">
        <f>F225*3080</f>
        <v>0</v>
      </c>
      <c r="H225" s="45">
        <f>F225*($H$171/$F$171)</f>
        <v>0</v>
      </c>
      <c r="I225" s="46">
        <f>H225*3080</f>
        <v>0</v>
      </c>
      <c r="J225" s="310"/>
      <c r="K225" s="39">
        <f>SUM(L225:N225)</f>
        <v>0</v>
      </c>
      <c r="L225" s="39"/>
      <c r="M225" s="39"/>
      <c r="N225" s="42"/>
      <c r="O225" s="304"/>
      <c r="P225" s="304"/>
      <c r="Q225" s="333">
        <v>45631</v>
      </c>
      <c r="R225" s="129"/>
      <c r="S225" s="345"/>
      <c r="T225" s="345"/>
      <c r="U225" s="333">
        <v>45392</v>
      </c>
      <c r="V225" s="129"/>
      <c r="W225" s="129"/>
      <c r="X225" s="129"/>
      <c r="Y225" s="129"/>
      <c r="Z225" s="129"/>
      <c r="AA225" s="129"/>
      <c r="AB225" s="129"/>
      <c r="AC225" s="345"/>
      <c r="AD225" s="345"/>
      <c r="AE225" s="129"/>
      <c r="AF225" s="129"/>
      <c r="AG225" s="129"/>
      <c r="AH225" s="129"/>
      <c r="AI225" s="129">
        <f>SUM(J225:K225)-CI225+CJ225</f>
        <v>0</v>
      </c>
      <c r="AJ225" s="129">
        <f t="shared" ref="AJ225:AJ236" si="316">AI225-CK225+CL225</f>
        <v>0</v>
      </c>
      <c r="AK225" s="129">
        <f t="shared" ref="AK225:AK236" si="317">AJ225-CM225+CN225</f>
        <v>0</v>
      </c>
      <c r="AL225" s="399">
        <f t="shared" ref="AL225:AL236" si="318">AK225-CO225+CP225</f>
        <v>0</v>
      </c>
      <c r="AM225" s="393">
        <f t="shared" ref="AM225:AM236" si="319">AL225-CQ225+CR225</f>
        <v>0</v>
      </c>
      <c r="AN225" s="393">
        <f t="shared" ref="AN225:AN236" si="320">AM225-CS225+CT225</f>
        <v>0</v>
      </c>
      <c r="AO225" s="393">
        <f t="shared" ref="AO225:AO236" si="321">AN225-CU225+CV225</f>
        <v>0</v>
      </c>
      <c r="AP225" s="96">
        <f t="shared" ref="AP225:AP236" si="322">AO225-CW225+CX225</f>
        <v>0</v>
      </c>
      <c r="AQ225" s="91">
        <f t="shared" ref="AQ225:AQ236" si="323">AP225-CY225+CZ225</f>
        <v>0</v>
      </c>
      <c r="AR225" s="129"/>
      <c r="AS225" s="41">
        <f>$H$172*月別販売比率!AG58</f>
        <v>0</v>
      </c>
      <c r="AT225" s="39"/>
      <c r="AU225" s="41">
        <f>$H$172*月別販売比率!AL58</f>
        <v>0</v>
      </c>
      <c r="AV225" s="39"/>
      <c r="AW225" s="41">
        <f>$H$172*月別販売比率!AQ58</f>
        <v>0</v>
      </c>
      <c r="AX225" s="39"/>
      <c r="AY225" s="41">
        <f>$H$172*月別販売比率!AV58</f>
        <v>0</v>
      </c>
      <c r="AZ225" s="39"/>
      <c r="BA225" s="41">
        <f>$H$172*月別販売比率!BA58</f>
        <v>0</v>
      </c>
      <c r="BB225" s="39"/>
      <c r="BC225" s="41">
        <f>$H$172*月別販売比率!BF58</f>
        <v>0</v>
      </c>
      <c r="BD225" s="39"/>
      <c r="BE225" s="283">
        <f>$H$172*月別販売比率!C74</f>
        <v>0</v>
      </c>
      <c r="BF225" s="280">
        <v>60</v>
      </c>
      <c r="BG225" s="41">
        <f>$H$172*月別販売比率!H74</f>
        <v>0</v>
      </c>
      <c r="BH225" s="39"/>
      <c r="BI225" s="41">
        <f>$H$172*月別販売比率!M74</f>
        <v>0</v>
      </c>
      <c r="BJ225" s="39"/>
      <c r="BK225" s="41">
        <f>$H$172*月別販売比率!R74</f>
        <v>0</v>
      </c>
      <c r="BL225" s="39"/>
      <c r="BM225" s="41">
        <f>$H$172*月別販売比率!W74</f>
        <v>0</v>
      </c>
      <c r="BN225" s="39"/>
      <c r="BO225" s="283">
        <f>$H$172*月別販売比率!AB74</f>
        <v>0</v>
      </c>
      <c r="BP225" s="280">
        <v>100</v>
      </c>
      <c r="BQ225" s="283">
        <f>$H$172*月別販売比率!AG74</f>
        <v>0</v>
      </c>
      <c r="BR225" s="280"/>
      <c r="BS225" s="41">
        <f>$H$172*月別販売比率!AL74</f>
        <v>0</v>
      </c>
      <c r="BT225" s="39"/>
      <c r="BU225" s="41">
        <f>$H$172*月別販売比率!AQ74</f>
        <v>0</v>
      </c>
      <c r="BV225" s="39"/>
      <c r="BW225" s="41">
        <f>$H$172*月別販売比率!AV74</f>
        <v>0</v>
      </c>
      <c r="BX225" s="39"/>
      <c r="BY225" s="283">
        <f>$H$172*月別販売比率!BA74</f>
        <v>0</v>
      </c>
      <c r="BZ225" s="280">
        <v>30</v>
      </c>
      <c r="CA225" s="41">
        <f>$H$172*月別販売比率!BF74</f>
        <v>0</v>
      </c>
      <c r="CB225" s="39"/>
      <c r="CC225" s="283">
        <f>H225*月別販売比率!$C$21</f>
        <v>0</v>
      </c>
      <c r="CD225" s="280">
        <v>30</v>
      </c>
      <c r="CE225" s="41">
        <f>H225*月別販売比率!$H$21</f>
        <v>0</v>
      </c>
      <c r="CF225" s="39"/>
      <c r="CG225" s="41">
        <f>H225*月別販売比率!$M$21</f>
        <v>0</v>
      </c>
      <c r="CH225" s="39"/>
      <c r="CI225" s="41">
        <f>H225*月別販売比率!$R$21</f>
        <v>0</v>
      </c>
      <c r="CJ225" s="39"/>
      <c r="CK225" s="41">
        <f>H225*月別販売比率!$W$21</f>
        <v>0</v>
      </c>
      <c r="CL225" s="39"/>
      <c r="CM225" s="41">
        <f>H225*月別販売比率!$AB$21</f>
        <v>0</v>
      </c>
      <c r="CN225" s="39"/>
      <c r="CO225" s="41">
        <f>H225*月別販売比率!$AG$21</f>
        <v>0</v>
      </c>
      <c r="CP225" s="39"/>
      <c r="CQ225" s="41">
        <f>H225*月別販売比率!$AL$21</f>
        <v>0</v>
      </c>
      <c r="CR225" s="39"/>
      <c r="CS225" s="41">
        <f>H225*月別販売比率!$AQ$21</f>
        <v>0</v>
      </c>
      <c r="CT225" s="39"/>
      <c r="CU225" s="41">
        <f>H225*月別販売比率!$AV$21</f>
        <v>0</v>
      </c>
      <c r="CV225" s="39"/>
      <c r="CW225" s="41">
        <f>H225*月別販売比率!$BA$21</f>
        <v>0</v>
      </c>
      <c r="CX225" s="39"/>
      <c r="CY225" s="41">
        <f>H225*月別販売比率!$BF$21</f>
        <v>0</v>
      </c>
      <c r="CZ225" s="39"/>
      <c r="DA225" s="50"/>
      <c r="DB225" s="295"/>
    </row>
    <row r="226" spans="2:106" ht="30.75" customHeight="1">
      <c r="B226" s="25"/>
      <c r="C226" s="554"/>
      <c r="D226" s="494"/>
      <c r="E226" s="99" t="s">
        <v>286</v>
      </c>
      <c r="F226" s="572"/>
      <c r="G226" s="46">
        <f t="shared" ref="G226:G236" si="324">F226*3080</f>
        <v>0</v>
      </c>
      <c r="H226" s="45">
        <f>F226*($H$171/$F$171)</f>
        <v>0</v>
      </c>
      <c r="I226" s="46">
        <f t="shared" ref="I226:I236" si="325">H226*3080</f>
        <v>0</v>
      </c>
      <c r="J226" s="49"/>
      <c r="K226" s="39">
        <f t="shared" ref="K226:K236" si="326">SUM(L226:N226)</f>
        <v>0</v>
      </c>
      <c r="L226" s="39"/>
      <c r="M226" s="39"/>
      <c r="N226" s="42"/>
      <c r="O226" s="43"/>
      <c r="P226" s="43"/>
      <c r="Q226" s="335"/>
      <c r="R226" s="129"/>
      <c r="S226" s="345"/>
      <c r="T226" s="345"/>
      <c r="U226" s="333">
        <v>45392</v>
      </c>
      <c r="V226" s="129"/>
      <c r="W226" s="129"/>
      <c r="X226" s="129"/>
      <c r="Y226" s="345"/>
      <c r="Z226" s="129"/>
      <c r="AA226" s="345"/>
      <c r="AB226" s="345"/>
      <c r="AC226" s="345"/>
      <c r="AD226" s="335"/>
      <c r="AE226" s="335"/>
      <c r="AF226" s="335"/>
      <c r="AG226" s="335"/>
      <c r="AH226" s="335"/>
      <c r="AI226" s="129">
        <f t="shared" ref="AI226:AI236" si="327">SUM(J226:K226)-CI226+CJ226</f>
        <v>0</v>
      </c>
      <c r="AJ226" s="129">
        <f t="shared" si="316"/>
        <v>0</v>
      </c>
      <c r="AK226" s="129">
        <f t="shared" si="317"/>
        <v>0</v>
      </c>
      <c r="AL226" s="399">
        <f t="shared" si="318"/>
        <v>0</v>
      </c>
      <c r="AM226" s="393">
        <f t="shared" si="319"/>
        <v>0</v>
      </c>
      <c r="AN226" s="393">
        <f t="shared" si="320"/>
        <v>0</v>
      </c>
      <c r="AO226" s="393">
        <f t="shared" si="321"/>
        <v>0</v>
      </c>
      <c r="AP226" s="96">
        <f t="shared" si="322"/>
        <v>0</v>
      </c>
      <c r="AQ226" s="91">
        <f t="shared" si="323"/>
        <v>0</v>
      </c>
      <c r="AR226" s="129"/>
      <c r="AS226" s="41">
        <f>$H$173*月別販売比率!AG58</f>
        <v>0</v>
      </c>
      <c r="AT226" s="39"/>
      <c r="AU226" s="41">
        <f>$H$173*月別販売比率!AL58</f>
        <v>0</v>
      </c>
      <c r="AV226" s="39"/>
      <c r="AW226" s="41">
        <f>$H$173*月別販売比率!AQ58</f>
        <v>0</v>
      </c>
      <c r="AX226" s="39"/>
      <c r="AY226" s="41">
        <f>$H$173*月別販売比率!AV58</f>
        <v>0</v>
      </c>
      <c r="AZ226" s="39"/>
      <c r="BA226" s="41">
        <f>$H$173*月別販売比率!BA58</f>
        <v>0</v>
      </c>
      <c r="BB226" s="39"/>
      <c r="BC226" s="41">
        <f>$H$173*月別販売比率!BF58</f>
        <v>0</v>
      </c>
      <c r="BD226" s="39"/>
      <c r="BE226" s="283">
        <f>$H$173*月別販売比率!C74</f>
        <v>0</v>
      </c>
      <c r="BF226" s="280">
        <v>90</v>
      </c>
      <c r="BG226" s="41">
        <f>$H$173*月別販売比率!H74</f>
        <v>0</v>
      </c>
      <c r="BH226" s="39"/>
      <c r="BI226" s="41">
        <f>$H$173*月別販売比率!M74</f>
        <v>0</v>
      </c>
      <c r="BJ226" s="39"/>
      <c r="BK226" s="41">
        <f>$H$173*月別販売比率!R74</f>
        <v>0</v>
      </c>
      <c r="BL226" s="39"/>
      <c r="BM226" s="41">
        <f>$H$173*月別販売比率!W74</f>
        <v>0</v>
      </c>
      <c r="BN226" s="39"/>
      <c r="BO226" s="283">
        <f>$H$173*月別販売比率!AB74</f>
        <v>0</v>
      </c>
      <c r="BP226" s="280">
        <v>15</v>
      </c>
      <c r="BQ226" s="283">
        <f>$H$173*月別販売比率!AG74</f>
        <v>0</v>
      </c>
      <c r="BR226" s="280"/>
      <c r="BS226" s="41">
        <f>$H$173*月別販売比率!AL74</f>
        <v>0</v>
      </c>
      <c r="BT226" s="39"/>
      <c r="BU226" s="41">
        <f>$H$173*月別販売比率!AQ74</f>
        <v>0</v>
      </c>
      <c r="BV226" s="39"/>
      <c r="BW226" s="41">
        <f>$H$173*月別販売比率!AV74</f>
        <v>0</v>
      </c>
      <c r="BX226" s="39"/>
      <c r="BY226" s="283">
        <f>$H$173*月別販売比率!BA74</f>
        <v>0</v>
      </c>
      <c r="BZ226" s="280">
        <v>40</v>
      </c>
      <c r="CA226" s="41">
        <f>$H$173*月別販売比率!BF74</f>
        <v>0</v>
      </c>
      <c r="CB226" s="39"/>
      <c r="CC226" s="283">
        <f>H226*月別販売比率!$C$21</f>
        <v>0</v>
      </c>
      <c r="CD226" s="280">
        <v>40</v>
      </c>
      <c r="CE226" s="41">
        <f>H226*月別販売比率!$H$21</f>
        <v>0</v>
      </c>
      <c r="CF226" s="39"/>
      <c r="CG226" s="41">
        <f>H226*月別販売比率!$M$21</f>
        <v>0</v>
      </c>
      <c r="CH226" s="39"/>
      <c r="CI226" s="41">
        <f>H226*月別販売比率!$R$21</f>
        <v>0</v>
      </c>
      <c r="CJ226" s="39"/>
      <c r="CK226" s="41">
        <f>H226*月別販売比率!$W$21</f>
        <v>0</v>
      </c>
      <c r="CL226" s="39"/>
      <c r="CM226" s="41">
        <f>H226*月別販売比率!$AB$21</f>
        <v>0</v>
      </c>
      <c r="CN226" s="39"/>
      <c r="CO226" s="41">
        <f>H226*月別販売比率!$AG$21</f>
        <v>0</v>
      </c>
      <c r="CP226" s="39"/>
      <c r="CQ226" s="41">
        <f>H226*月別販売比率!$AL$21</f>
        <v>0</v>
      </c>
      <c r="CR226" s="39"/>
      <c r="CS226" s="41">
        <f>H226*月別販売比率!$AQ$21</f>
        <v>0</v>
      </c>
      <c r="CT226" s="39"/>
      <c r="CU226" s="41">
        <f>H226*月別販売比率!$AV$21</f>
        <v>0</v>
      </c>
      <c r="CV226" s="39"/>
      <c r="CW226" s="41">
        <f>H226*月別販売比率!$BA$21</f>
        <v>0</v>
      </c>
      <c r="CX226" s="39"/>
      <c r="CY226" s="41">
        <f>H226*月別販売比率!$BF$21</f>
        <v>0</v>
      </c>
      <c r="CZ226" s="39"/>
      <c r="DA226" s="50"/>
      <c r="DB226" s="295"/>
    </row>
    <row r="227" spans="2:106" ht="30.75" customHeight="1">
      <c r="B227" s="25"/>
      <c r="C227" s="555"/>
      <c r="D227" s="494"/>
      <c r="E227" s="99" t="s">
        <v>285</v>
      </c>
      <c r="F227" s="572"/>
      <c r="G227" s="46">
        <f t="shared" si="324"/>
        <v>0</v>
      </c>
      <c r="H227" s="45">
        <f>F227*($H$171/$F$171)</f>
        <v>0</v>
      </c>
      <c r="I227" s="46">
        <f t="shared" si="325"/>
        <v>0</v>
      </c>
      <c r="J227" s="49"/>
      <c r="K227" s="39">
        <f t="shared" si="326"/>
        <v>0</v>
      </c>
      <c r="L227" s="39"/>
      <c r="M227" s="39"/>
      <c r="N227" s="42"/>
      <c r="O227" s="43"/>
      <c r="P227" s="43"/>
      <c r="Q227" s="335"/>
      <c r="R227" s="129"/>
      <c r="S227" s="345"/>
      <c r="T227" s="345"/>
      <c r="U227" s="333">
        <v>45392</v>
      </c>
      <c r="V227" s="129"/>
      <c r="W227" s="129"/>
      <c r="X227" s="129"/>
      <c r="Y227" s="129"/>
      <c r="Z227" s="129"/>
      <c r="AA227" s="345"/>
      <c r="AB227" s="129"/>
      <c r="AC227" s="345"/>
      <c r="AD227" s="345"/>
      <c r="AE227" s="129"/>
      <c r="AF227" s="129"/>
      <c r="AG227" s="129"/>
      <c r="AH227" s="129"/>
      <c r="AI227" s="129">
        <f t="shared" si="327"/>
        <v>0</v>
      </c>
      <c r="AJ227" s="129">
        <f t="shared" si="316"/>
        <v>0</v>
      </c>
      <c r="AK227" s="129">
        <f t="shared" si="317"/>
        <v>0</v>
      </c>
      <c r="AL227" s="399">
        <f t="shared" si="318"/>
        <v>0</v>
      </c>
      <c r="AM227" s="393">
        <f t="shared" si="319"/>
        <v>0</v>
      </c>
      <c r="AN227" s="393">
        <f t="shared" si="320"/>
        <v>0</v>
      </c>
      <c r="AO227" s="393">
        <f t="shared" si="321"/>
        <v>0</v>
      </c>
      <c r="AP227" s="96">
        <f t="shared" si="322"/>
        <v>0</v>
      </c>
      <c r="AQ227" s="91">
        <f t="shared" si="323"/>
        <v>0</v>
      </c>
      <c r="AR227" s="129"/>
      <c r="AS227" s="41">
        <f>$H$174*月別販売比率!AG58</f>
        <v>0</v>
      </c>
      <c r="AT227" s="39"/>
      <c r="AU227" s="41">
        <f>$H$174*月別販売比率!AL58</f>
        <v>0</v>
      </c>
      <c r="AV227" s="39"/>
      <c r="AW227" s="41">
        <f>$H$174*月別販売比率!AQ58</f>
        <v>0</v>
      </c>
      <c r="AX227" s="39"/>
      <c r="AY227" s="41">
        <f>$H$174*月別販売比率!AV58</f>
        <v>0</v>
      </c>
      <c r="AZ227" s="39"/>
      <c r="BA227" s="41">
        <f>$H$174*月別販売比率!BA58</f>
        <v>0</v>
      </c>
      <c r="BB227" s="39"/>
      <c r="BC227" s="41">
        <f>$H$174*月別販売比率!BF58</f>
        <v>0</v>
      </c>
      <c r="BD227" s="39"/>
      <c r="BE227" s="283">
        <f>$H$174*月別販売比率!C74</f>
        <v>0</v>
      </c>
      <c r="BF227" s="280">
        <v>75</v>
      </c>
      <c r="BG227" s="41">
        <f>$H$174*月別販売比率!H74</f>
        <v>0</v>
      </c>
      <c r="BH227" s="39"/>
      <c r="BI227" s="41">
        <f>$H$174*月別販売比率!M74</f>
        <v>0</v>
      </c>
      <c r="BJ227" s="39"/>
      <c r="BK227" s="41">
        <f>$H$174*月別販売比率!R74</f>
        <v>0</v>
      </c>
      <c r="BL227" s="39"/>
      <c r="BM227" s="41">
        <f>$H$174*月別販売比率!W74</f>
        <v>0</v>
      </c>
      <c r="BN227" s="39"/>
      <c r="BO227" s="283">
        <f>$H$174*月別販売比率!AB74</f>
        <v>0</v>
      </c>
      <c r="BP227" s="280">
        <v>65</v>
      </c>
      <c r="BQ227" s="283">
        <f>$H$174*月別販売比率!AG74</f>
        <v>0</v>
      </c>
      <c r="BR227" s="280"/>
      <c r="BS227" s="41">
        <f>$H$174*月別販売比率!AL74</f>
        <v>0</v>
      </c>
      <c r="BT227" s="39"/>
      <c r="BU227" s="41">
        <f>$H$174*月別販売比率!AQ74</f>
        <v>0</v>
      </c>
      <c r="BV227" s="39"/>
      <c r="BW227" s="41">
        <f>$H$174*月別販売比率!AV74</f>
        <v>0</v>
      </c>
      <c r="BX227" s="39"/>
      <c r="BY227" s="283">
        <f>$H$174*月別販売比率!BA74</f>
        <v>0</v>
      </c>
      <c r="BZ227" s="280">
        <v>35</v>
      </c>
      <c r="CA227" s="41">
        <f>$H$174*月別販売比率!BF74</f>
        <v>0</v>
      </c>
      <c r="CB227" s="39"/>
      <c r="CC227" s="283">
        <f>H227*月別販売比率!$C$21</f>
        <v>0</v>
      </c>
      <c r="CD227" s="280">
        <v>35</v>
      </c>
      <c r="CE227" s="41">
        <f>H227*月別販売比率!$H$21</f>
        <v>0</v>
      </c>
      <c r="CF227" s="39"/>
      <c r="CG227" s="41">
        <f>H227*月別販売比率!$M$21</f>
        <v>0</v>
      </c>
      <c r="CH227" s="39"/>
      <c r="CI227" s="41">
        <f>H227*月別販売比率!$R$21</f>
        <v>0</v>
      </c>
      <c r="CJ227" s="39"/>
      <c r="CK227" s="41">
        <f>H227*月別販売比率!$W$21</f>
        <v>0</v>
      </c>
      <c r="CL227" s="39"/>
      <c r="CM227" s="41">
        <f>H227*月別販売比率!$AB$21</f>
        <v>0</v>
      </c>
      <c r="CN227" s="39"/>
      <c r="CO227" s="41">
        <f>H227*月別販売比率!$AG$21</f>
        <v>0</v>
      </c>
      <c r="CP227" s="39"/>
      <c r="CQ227" s="41">
        <f>H227*月別販売比率!$AL$21</f>
        <v>0</v>
      </c>
      <c r="CR227" s="39"/>
      <c r="CS227" s="41">
        <f>H227*月別販売比率!$AQ$21</f>
        <v>0</v>
      </c>
      <c r="CT227" s="39"/>
      <c r="CU227" s="41">
        <f>H227*月別販売比率!$AV$21</f>
        <v>0</v>
      </c>
      <c r="CV227" s="39"/>
      <c r="CW227" s="41">
        <f>H227*月別販売比率!$BA$21</f>
        <v>0</v>
      </c>
      <c r="CX227" s="39"/>
      <c r="CY227" s="41">
        <f>H227*月別販売比率!$BF$21</f>
        <v>0</v>
      </c>
      <c r="CZ227" s="39"/>
      <c r="DA227" s="50"/>
      <c r="DB227" s="295"/>
    </row>
    <row r="228" spans="2:106" ht="30.75" customHeight="1">
      <c r="B228" s="25"/>
      <c r="C228" s="555"/>
      <c r="D228" s="494"/>
      <c r="E228" s="99" t="s">
        <v>284</v>
      </c>
      <c r="F228" s="572"/>
      <c r="G228" s="46">
        <f t="shared" si="324"/>
        <v>0</v>
      </c>
      <c r="H228" s="45">
        <f>F228*($H$171/$F$171)</f>
        <v>0</v>
      </c>
      <c r="I228" s="46">
        <f t="shared" si="325"/>
        <v>0</v>
      </c>
      <c r="J228" s="310"/>
      <c r="K228" s="39">
        <f t="shared" si="326"/>
        <v>0</v>
      </c>
      <c r="L228" s="39"/>
      <c r="M228" s="39"/>
      <c r="N228" s="42"/>
      <c r="O228" s="43"/>
      <c r="P228" s="43"/>
      <c r="Q228" s="335"/>
      <c r="R228" s="129"/>
      <c r="S228" s="345"/>
      <c r="T228" s="345"/>
      <c r="U228" s="333"/>
      <c r="V228" s="129"/>
      <c r="W228" s="129"/>
      <c r="X228" s="129"/>
      <c r="Y228" s="129"/>
      <c r="Z228" s="129"/>
      <c r="AA228" s="345"/>
      <c r="AB228" s="129"/>
      <c r="AC228" s="345"/>
      <c r="AD228" s="345"/>
      <c r="AE228" s="129"/>
      <c r="AF228" s="129"/>
      <c r="AG228" s="129"/>
      <c r="AH228" s="129"/>
      <c r="AI228" s="129">
        <f t="shared" si="327"/>
        <v>0</v>
      </c>
      <c r="AJ228" s="129">
        <f t="shared" si="316"/>
        <v>0</v>
      </c>
      <c r="AK228" s="129">
        <f t="shared" si="317"/>
        <v>0</v>
      </c>
      <c r="AL228" s="399">
        <f t="shared" si="318"/>
        <v>0</v>
      </c>
      <c r="AM228" s="393">
        <f t="shared" si="319"/>
        <v>0</v>
      </c>
      <c r="AN228" s="393">
        <f t="shared" si="320"/>
        <v>0</v>
      </c>
      <c r="AO228" s="393">
        <f t="shared" si="321"/>
        <v>0</v>
      </c>
      <c r="AP228" s="96">
        <f t="shared" si="322"/>
        <v>0</v>
      </c>
      <c r="AQ228" s="91">
        <f t="shared" si="323"/>
        <v>0</v>
      </c>
      <c r="AR228" s="129"/>
      <c r="AS228" s="41"/>
      <c r="AT228" s="39"/>
      <c r="AU228" s="41"/>
      <c r="AV228" s="39"/>
      <c r="AW228" s="41"/>
      <c r="AX228" s="39"/>
      <c r="AY228" s="41"/>
      <c r="AZ228" s="39"/>
      <c r="BA228" s="41"/>
      <c r="BB228" s="39"/>
      <c r="BC228" s="41"/>
      <c r="BD228" s="39"/>
      <c r="BE228" s="283"/>
      <c r="BF228" s="280"/>
      <c r="BG228" s="41"/>
      <c r="BH228" s="39"/>
      <c r="BI228" s="41"/>
      <c r="BJ228" s="39"/>
      <c r="BK228" s="41"/>
      <c r="BL228" s="39"/>
      <c r="BM228" s="41"/>
      <c r="BN228" s="39"/>
      <c r="BO228" s="283"/>
      <c r="BP228" s="280"/>
      <c r="BQ228" s="283"/>
      <c r="BR228" s="280"/>
      <c r="BS228" s="41"/>
      <c r="BT228" s="39"/>
      <c r="BU228" s="41"/>
      <c r="BV228" s="39"/>
      <c r="BW228" s="41"/>
      <c r="BX228" s="39"/>
      <c r="BY228" s="283"/>
      <c r="BZ228" s="280"/>
      <c r="CA228" s="41"/>
      <c r="CB228" s="39"/>
      <c r="CC228" s="283"/>
      <c r="CD228" s="280"/>
      <c r="CE228" s="41"/>
      <c r="CF228" s="39"/>
      <c r="CG228" s="41"/>
      <c r="CH228" s="39"/>
      <c r="CI228" s="41">
        <f>H228*月別販売比率!$R$21</f>
        <v>0</v>
      </c>
      <c r="CJ228" s="39"/>
      <c r="CK228" s="41">
        <f>H228*月別販売比率!$W$21</f>
        <v>0</v>
      </c>
      <c r="CL228" s="39"/>
      <c r="CM228" s="41">
        <f>H228*月別販売比率!$AB$21</f>
        <v>0</v>
      </c>
      <c r="CN228" s="39"/>
      <c r="CO228" s="41">
        <f>H228*月別販売比率!$AG$21</f>
        <v>0</v>
      </c>
      <c r="CP228" s="39"/>
      <c r="CQ228" s="41">
        <f>H228*月別販売比率!$AL$21</f>
        <v>0</v>
      </c>
      <c r="CR228" s="39"/>
      <c r="CS228" s="41">
        <f>H228*月別販売比率!$AQ$21</f>
        <v>0</v>
      </c>
      <c r="CT228" s="39"/>
      <c r="CU228" s="41">
        <f>H228*月別販売比率!$AV$21</f>
        <v>0</v>
      </c>
      <c r="CV228" s="39"/>
      <c r="CW228" s="41">
        <f>H228*月別販売比率!$BA$21</f>
        <v>0</v>
      </c>
      <c r="CX228" s="39"/>
      <c r="CY228" s="41">
        <f>H228*月別販売比率!$BF$21</f>
        <v>0</v>
      </c>
      <c r="CZ228" s="39"/>
      <c r="DA228" s="50"/>
      <c r="DB228" s="295"/>
    </row>
    <row r="229" spans="2:106" ht="30.75" customHeight="1">
      <c r="B229" s="25"/>
      <c r="C229" s="555"/>
      <c r="D229" s="494">
        <v>2</v>
      </c>
      <c r="E229" s="99" t="s">
        <v>287</v>
      </c>
      <c r="F229" s="572"/>
      <c r="G229" s="46">
        <f t="shared" si="324"/>
        <v>0</v>
      </c>
      <c r="H229" s="45">
        <f>F229*($H$171/$F$171)</f>
        <v>0</v>
      </c>
      <c r="I229" s="46">
        <f t="shared" si="325"/>
        <v>0</v>
      </c>
      <c r="J229" s="310"/>
      <c r="K229" s="39">
        <f t="shared" si="326"/>
        <v>0</v>
      </c>
      <c r="L229" s="39"/>
      <c r="M229" s="39"/>
      <c r="N229" s="42"/>
      <c r="O229" s="304"/>
      <c r="P229" s="304"/>
      <c r="Q229" s="333">
        <v>45631</v>
      </c>
      <c r="R229" s="129"/>
      <c r="S229" s="129"/>
      <c r="T229" s="129"/>
      <c r="U229" s="129"/>
      <c r="V229" s="129"/>
      <c r="W229" s="129"/>
      <c r="X229" s="129"/>
      <c r="Y229" s="129"/>
      <c r="Z229" s="129"/>
      <c r="AA229" s="345"/>
      <c r="AB229" s="129"/>
      <c r="AC229" s="129"/>
      <c r="AD229" s="129"/>
      <c r="AE229" s="129"/>
      <c r="AF229" s="129"/>
      <c r="AG229" s="129"/>
      <c r="AH229" s="129"/>
      <c r="AI229" s="129">
        <f t="shared" si="327"/>
        <v>0</v>
      </c>
      <c r="AJ229" s="129">
        <f t="shared" si="316"/>
        <v>0</v>
      </c>
      <c r="AK229" s="129">
        <f t="shared" si="317"/>
        <v>0</v>
      </c>
      <c r="AL229" s="399">
        <f t="shared" si="318"/>
        <v>0</v>
      </c>
      <c r="AM229" s="393">
        <f t="shared" si="319"/>
        <v>0</v>
      </c>
      <c r="AN229" s="393">
        <f t="shared" si="320"/>
        <v>0</v>
      </c>
      <c r="AO229" s="393">
        <f t="shared" si="321"/>
        <v>0</v>
      </c>
      <c r="AP229" s="96">
        <f t="shared" si="322"/>
        <v>0</v>
      </c>
      <c r="AQ229" s="91">
        <f t="shared" si="323"/>
        <v>0</v>
      </c>
      <c r="AR229" s="129"/>
      <c r="AS229" s="41">
        <f>$H$177*月別販売比率!AG53</f>
        <v>0</v>
      </c>
      <c r="AT229" s="39"/>
      <c r="AU229" s="41">
        <f>$H$177*月別販売比率!AL53</f>
        <v>0</v>
      </c>
      <c r="AV229" s="39"/>
      <c r="AW229" s="41">
        <f>$H$177*月別販売比率!AQ53</f>
        <v>0</v>
      </c>
      <c r="AX229" s="39"/>
      <c r="AY229" s="41">
        <f>$H$177*月別販売比率!AV53</f>
        <v>0</v>
      </c>
      <c r="AZ229" s="39"/>
      <c r="BA229" s="41">
        <f>$H$177*月別販売比率!BA53</f>
        <v>0</v>
      </c>
      <c r="BB229" s="39"/>
      <c r="BC229" s="41">
        <f>$H$177*月別販売比率!BF53</f>
        <v>0</v>
      </c>
      <c r="BD229" s="39"/>
      <c r="BE229" s="283">
        <f>$H$177*月別販売比率!C69</f>
        <v>0</v>
      </c>
      <c r="BF229" s="280">
        <v>60</v>
      </c>
      <c r="BG229" s="41">
        <f>$H$177*月別販売比率!H69</f>
        <v>0</v>
      </c>
      <c r="BH229" s="39"/>
      <c r="BI229" s="41">
        <f>$H$177*月別販売比率!M69</f>
        <v>0</v>
      </c>
      <c r="BJ229" s="39"/>
      <c r="BK229" s="41">
        <f>$H$177*月別販売比率!R69</f>
        <v>0</v>
      </c>
      <c r="BL229" s="39"/>
      <c r="BM229" s="41">
        <f>$H$177*月別販売比率!W69</f>
        <v>0</v>
      </c>
      <c r="BN229" s="39"/>
      <c r="BO229" s="283">
        <f>$H$177*月別販売比率!AB69</f>
        <v>0</v>
      </c>
      <c r="BP229" s="280">
        <v>150</v>
      </c>
      <c r="BQ229" s="283">
        <f>$H$177*月別販売比率!AG69</f>
        <v>0</v>
      </c>
      <c r="BR229" s="280"/>
      <c r="BS229" s="41">
        <f>$H$177*月別販売比率!AL69</f>
        <v>0</v>
      </c>
      <c r="BT229" s="39"/>
      <c r="BU229" s="41">
        <f>$H$177*月別販売比率!AQ69</f>
        <v>0</v>
      </c>
      <c r="BV229" s="39"/>
      <c r="BW229" s="41">
        <f>$H$177*月別販売比率!AV69</f>
        <v>0</v>
      </c>
      <c r="BX229" s="39"/>
      <c r="BY229" s="283">
        <f>$H$177*月別販売比率!BA69</f>
        <v>0</v>
      </c>
      <c r="BZ229" s="280">
        <v>40</v>
      </c>
      <c r="CA229" s="41">
        <f>$H$177*月別販売比率!BF69</f>
        <v>0</v>
      </c>
      <c r="CB229" s="39"/>
      <c r="CC229" s="283">
        <f>H229*月別販売比率!$C$21</f>
        <v>0</v>
      </c>
      <c r="CD229" s="280">
        <v>40</v>
      </c>
      <c r="CE229" s="41">
        <f>H229*月別販売比率!$H$21</f>
        <v>0</v>
      </c>
      <c r="CF229" s="39"/>
      <c r="CG229" s="41">
        <f>H229*月別販売比率!$M$21</f>
        <v>0</v>
      </c>
      <c r="CH229" s="39"/>
      <c r="CI229" s="41">
        <f>H229*月別販売比率!$R$21</f>
        <v>0</v>
      </c>
      <c r="CJ229" s="39"/>
      <c r="CK229" s="41">
        <f>H229*月別販売比率!$W$21</f>
        <v>0</v>
      </c>
      <c r="CL229" s="39"/>
      <c r="CM229" s="41">
        <f>H229*月別販売比率!$AB$21</f>
        <v>0</v>
      </c>
      <c r="CN229" s="39"/>
      <c r="CO229" s="41">
        <f>H229*月別販売比率!$AG$21</f>
        <v>0</v>
      </c>
      <c r="CP229" s="39"/>
      <c r="CQ229" s="41">
        <f>H229*月別販売比率!$AL$21</f>
        <v>0</v>
      </c>
      <c r="CR229" s="39"/>
      <c r="CS229" s="41">
        <f>H229*月別販売比率!$AQ$21</f>
        <v>0</v>
      </c>
      <c r="CT229" s="39"/>
      <c r="CU229" s="41">
        <f>H229*月別販売比率!$AV$21</f>
        <v>0</v>
      </c>
      <c r="CV229" s="39"/>
      <c r="CW229" s="41">
        <f>H229*月別販売比率!$BA$21</f>
        <v>0</v>
      </c>
      <c r="CX229" s="39"/>
      <c r="CY229" s="41">
        <f>H229*月別販売比率!$BF$21</f>
        <v>0</v>
      </c>
      <c r="CZ229" s="39"/>
      <c r="DA229" s="50"/>
      <c r="DB229" s="295"/>
    </row>
    <row r="230" spans="2:106" ht="30.75" customHeight="1">
      <c r="B230" s="25"/>
      <c r="C230" s="555"/>
      <c r="D230" s="494"/>
      <c r="E230" s="99" t="s">
        <v>286</v>
      </c>
      <c r="F230" s="572"/>
      <c r="G230" s="46">
        <f t="shared" si="324"/>
        <v>0</v>
      </c>
      <c r="H230" s="45">
        <f>F230*($H$171/$F$171)</f>
        <v>0</v>
      </c>
      <c r="I230" s="46">
        <f t="shared" si="325"/>
        <v>0</v>
      </c>
      <c r="J230" s="49"/>
      <c r="K230" s="39">
        <f t="shared" si="326"/>
        <v>0</v>
      </c>
      <c r="L230" s="39"/>
      <c r="M230" s="39"/>
      <c r="N230" s="42"/>
      <c r="O230" s="43"/>
      <c r="P230" s="43"/>
      <c r="Q230" s="335"/>
      <c r="R230" s="129"/>
      <c r="S230" s="345"/>
      <c r="T230" s="345"/>
      <c r="U230" s="333">
        <v>45392</v>
      </c>
      <c r="V230" s="345"/>
      <c r="W230" s="333">
        <v>45838</v>
      </c>
      <c r="X230" s="129"/>
      <c r="Y230" s="129"/>
      <c r="Z230" s="129"/>
      <c r="AA230" s="345"/>
      <c r="AB230" s="129"/>
      <c r="AC230" s="129"/>
      <c r="AD230" s="129"/>
      <c r="AE230" s="129"/>
      <c r="AF230" s="129"/>
      <c r="AG230" s="129"/>
      <c r="AH230" s="129"/>
      <c r="AI230" s="129">
        <f t="shared" si="327"/>
        <v>0</v>
      </c>
      <c r="AJ230" s="129">
        <f t="shared" si="316"/>
        <v>0</v>
      </c>
      <c r="AK230" s="129">
        <f t="shared" si="317"/>
        <v>0</v>
      </c>
      <c r="AL230" s="399">
        <f t="shared" si="318"/>
        <v>0</v>
      </c>
      <c r="AM230" s="393">
        <f t="shared" si="319"/>
        <v>0</v>
      </c>
      <c r="AN230" s="393">
        <f t="shared" si="320"/>
        <v>0</v>
      </c>
      <c r="AO230" s="393">
        <f t="shared" si="321"/>
        <v>0</v>
      </c>
      <c r="AP230" s="96">
        <f t="shared" si="322"/>
        <v>0</v>
      </c>
      <c r="AQ230" s="91">
        <f t="shared" si="323"/>
        <v>0</v>
      </c>
      <c r="AR230" s="129"/>
      <c r="AS230" s="41">
        <f>$H$178*月別販売比率!AG53</f>
        <v>0</v>
      </c>
      <c r="AT230" s="39"/>
      <c r="AU230" s="41">
        <f>$H$178*月別販売比率!AL53</f>
        <v>0</v>
      </c>
      <c r="AV230" s="39"/>
      <c r="AW230" s="41">
        <f>$H$178*月別販売比率!AQ53</f>
        <v>0</v>
      </c>
      <c r="AX230" s="39"/>
      <c r="AY230" s="41">
        <f>$H$178*月別販売比率!AV53</f>
        <v>0</v>
      </c>
      <c r="AZ230" s="39"/>
      <c r="BA230" s="41">
        <f>$H$178*月別販売比率!BA53</f>
        <v>0</v>
      </c>
      <c r="BB230" s="39"/>
      <c r="BC230" s="41">
        <f>$H$178*月別販売比率!BF53</f>
        <v>0</v>
      </c>
      <c r="BD230" s="39"/>
      <c r="BE230" s="283">
        <f>$H$178*月別販売比率!C69</f>
        <v>0</v>
      </c>
      <c r="BF230" s="280">
        <v>90</v>
      </c>
      <c r="BG230" s="41">
        <f>$H$178*月別販売比率!H69</f>
        <v>0</v>
      </c>
      <c r="BH230" s="39"/>
      <c r="BI230" s="41">
        <f>$H$178*月別販売比率!M69</f>
        <v>0</v>
      </c>
      <c r="BJ230" s="39"/>
      <c r="BK230" s="41">
        <f>$H$178*月別販売比率!R69</f>
        <v>0</v>
      </c>
      <c r="BL230" s="39"/>
      <c r="BM230" s="41">
        <f>$H$178*月別販売比率!W69</f>
        <v>0</v>
      </c>
      <c r="BN230" s="39"/>
      <c r="BO230" s="283">
        <f>$H$178*月別販売比率!AB69</f>
        <v>0</v>
      </c>
      <c r="BP230" s="280">
        <v>50</v>
      </c>
      <c r="BQ230" s="283">
        <f>$H$178*月別販売比率!AG69</f>
        <v>0</v>
      </c>
      <c r="BR230" s="280"/>
      <c r="BS230" s="41">
        <f>$H$178*月別販売比率!AL69</f>
        <v>0</v>
      </c>
      <c r="BT230" s="39"/>
      <c r="BU230" s="41">
        <f>$H$178*月別販売比率!AQ69</f>
        <v>0</v>
      </c>
      <c r="BV230" s="39"/>
      <c r="BW230" s="41">
        <f>$H$178*月別販売比率!AV69</f>
        <v>0</v>
      </c>
      <c r="BX230" s="39"/>
      <c r="BY230" s="283">
        <f>$H$178*月別販売比率!BA69</f>
        <v>0</v>
      </c>
      <c r="BZ230" s="280">
        <v>50</v>
      </c>
      <c r="CA230" s="41">
        <f>$H$178*月別販売比率!BF69</f>
        <v>0</v>
      </c>
      <c r="CB230" s="39"/>
      <c r="CC230" s="283">
        <f>H230*月別販売比率!$C$21</f>
        <v>0</v>
      </c>
      <c r="CD230" s="280">
        <v>50</v>
      </c>
      <c r="CE230" s="41">
        <f>H230*月別販売比率!$H$21</f>
        <v>0</v>
      </c>
      <c r="CF230" s="39"/>
      <c r="CG230" s="41">
        <f>H230*月別販売比率!$M$21</f>
        <v>0</v>
      </c>
      <c r="CH230" s="39"/>
      <c r="CI230" s="41">
        <f>H230*月別販売比率!$R$21</f>
        <v>0</v>
      </c>
      <c r="CJ230" s="39"/>
      <c r="CK230" s="41">
        <f>H230*月別販売比率!$W$21</f>
        <v>0</v>
      </c>
      <c r="CL230" s="39"/>
      <c r="CM230" s="41">
        <f>H230*月別販売比率!$AB$21</f>
        <v>0</v>
      </c>
      <c r="CN230" s="39"/>
      <c r="CO230" s="41">
        <f>H230*月別販売比率!$AG$21</f>
        <v>0</v>
      </c>
      <c r="CP230" s="39"/>
      <c r="CQ230" s="41">
        <f>H230*月別販売比率!$AL$21</f>
        <v>0</v>
      </c>
      <c r="CR230" s="39"/>
      <c r="CS230" s="41">
        <f>H230*月別販売比率!$AQ$21</f>
        <v>0</v>
      </c>
      <c r="CT230" s="39"/>
      <c r="CU230" s="41">
        <f>H230*月別販売比率!$AV$21</f>
        <v>0</v>
      </c>
      <c r="CV230" s="39"/>
      <c r="CW230" s="41">
        <f>H230*月別販売比率!$BA$21</f>
        <v>0</v>
      </c>
      <c r="CX230" s="39"/>
      <c r="CY230" s="41">
        <f>H230*月別販売比率!$BF$21</f>
        <v>0</v>
      </c>
      <c r="CZ230" s="39"/>
      <c r="DA230" s="50"/>
      <c r="DB230" s="295"/>
    </row>
    <row r="231" spans="2:106" ht="30.75" customHeight="1">
      <c r="B231" s="25"/>
      <c r="C231" s="555"/>
      <c r="D231" s="494"/>
      <c r="E231" s="99" t="s">
        <v>285</v>
      </c>
      <c r="F231" s="572"/>
      <c r="G231" s="46">
        <f t="shared" si="324"/>
        <v>0</v>
      </c>
      <c r="H231" s="45">
        <f>F231*($H$171/$F$171)</f>
        <v>0</v>
      </c>
      <c r="I231" s="46">
        <f t="shared" si="325"/>
        <v>0</v>
      </c>
      <c r="J231" s="49"/>
      <c r="K231" s="39">
        <f t="shared" si="326"/>
        <v>0</v>
      </c>
      <c r="L231" s="39"/>
      <c r="M231" s="39"/>
      <c r="N231" s="42"/>
      <c r="O231" s="43"/>
      <c r="P231" s="43"/>
      <c r="Q231" s="335"/>
      <c r="R231" s="129"/>
      <c r="S231" s="345"/>
      <c r="T231" s="345"/>
      <c r="U231" s="333">
        <v>45392</v>
      </c>
      <c r="V231" s="345"/>
      <c r="W231" s="345"/>
      <c r="X231" s="129"/>
      <c r="Y231" s="345"/>
      <c r="Z231" s="129"/>
      <c r="AA231" s="345"/>
      <c r="AB231" s="129"/>
      <c r="AC231" s="345"/>
      <c r="AD231" s="345"/>
      <c r="AE231" s="129"/>
      <c r="AF231" s="129"/>
      <c r="AG231" s="129"/>
      <c r="AH231" s="129"/>
      <c r="AI231" s="129">
        <f t="shared" si="327"/>
        <v>0</v>
      </c>
      <c r="AJ231" s="129">
        <f t="shared" si="316"/>
        <v>0</v>
      </c>
      <c r="AK231" s="129">
        <f t="shared" si="317"/>
        <v>0</v>
      </c>
      <c r="AL231" s="399">
        <f t="shared" si="318"/>
        <v>0</v>
      </c>
      <c r="AM231" s="393">
        <f t="shared" si="319"/>
        <v>0</v>
      </c>
      <c r="AN231" s="393">
        <f t="shared" si="320"/>
        <v>0</v>
      </c>
      <c r="AO231" s="393">
        <f t="shared" si="321"/>
        <v>0</v>
      </c>
      <c r="AP231" s="96">
        <f t="shared" si="322"/>
        <v>0</v>
      </c>
      <c r="AQ231" s="91">
        <f t="shared" si="323"/>
        <v>0</v>
      </c>
      <c r="AR231" s="129"/>
      <c r="AS231" s="41">
        <f>$H$179*月別販売比率!AG53</f>
        <v>0</v>
      </c>
      <c r="AT231" s="39"/>
      <c r="AU231" s="41">
        <f>$H$179*月別販売比率!AL53</f>
        <v>0</v>
      </c>
      <c r="AV231" s="39"/>
      <c r="AW231" s="41">
        <f>$H$179*月別販売比率!AQ53</f>
        <v>0</v>
      </c>
      <c r="AX231" s="39"/>
      <c r="AY231" s="41">
        <f>$H$179*月別販売比率!AV53</f>
        <v>0</v>
      </c>
      <c r="AZ231" s="39"/>
      <c r="BA231" s="41">
        <f>$H$179*月別販売比率!BA53</f>
        <v>0</v>
      </c>
      <c r="BB231" s="39"/>
      <c r="BC231" s="41">
        <f>$H$179*月別販売比率!BF53</f>
        <v>0</v>
      </c>
      <c r="BD231" s="39"/>
      <c r="BE231" s="283">
        <f>$H$179*月別販売比率!C69</f>
        <v>0</v>
      </c>
      <c r="BF231" s="280">
        <v>75</v>
      </c>
      <c r="BG231" s="41">
        <f>$H$179*月別販売比率!H69</f>
        <v>0</v>
      </c>
      <c r="BH231" s="39"/>
      <c r="BI231" s="41">
        <f>$H$179*月別販売比率!M69</f>
        <v>0</v>
      </c>
      <c r="BJ231" s="39"/>
      <c r="BK231" s="41">
        <f>$H$179*月別販売比率!R69</f>
        <v>0</v>
      </c>
      <c r="BL231" s="39"/>
      <c r="BM231" s="41">
        <f>$H$179*月別販売比率!W69</f>
        <v>0</v>
      </c>
      <c r="BN231" s="39"/>
      <c r="BO231" s="283">
        <f>$H$179*月別販売比率!AB69</f>
        <v>0</v>
      </c>
      <c r="BP231" s="280">
        <v>110</v>
      </c>
      <c r="BQ231" s="283">
        <f>$H$179*月別販売比率!AG69</f>
        <v>0</v>
      </c>
      <c r="BR231" s="280"/>
      <c r="BS231" s="41">
        <f>$H$179*月別販売比率!AL69</f>
        <v>0</v>
      </c>
      <c r="BT231" s="39"/>
      <c r="BU231" s="41">
        <f>$H$179*月別販売比率!AQ69</f>
        <v>0</v>
      </c>
      <c r="BV231" s="39"/>
      <c r="BW231" s="41">
        <f>$H$179*月別販売比率!AV69</f>
        <v>0</v>
      </c>
      <c r="BX231" s="39"/>
      <c r="BY231" s="283">
        <f>$H$179*月別販売比率!BA69</f>
        <v>0</v>
      </c>
      <c r="BZ231" s="280">
        <v>40</v>
      </c>
      <c r="CA231" s="41">
        <f>$H$179*月別販売比率!BF69</f>
        <v>0</v>
      </c>
      <c r="CB231" s="39"/>
      <c r="CC231" s="283">
        <f>H231*月別販売比率!$C$21</f>
        <v>0</v>
      </c>
      <c r="CD231" s="280">
        <v>40</v>
      </c>
      <c r="CE231" s="41">
        <f>H231*月別販売比率!$H$21</f>
        <v>0</v>
      </c>
      <c r="CF231" s="39"/>
      <c r="CG231" s="41">
        <f>H231*月別販売比率!$M$21</f>
        <v>0</v>
      </c>
      <c r="CH231" s="39"/>
      <c r="CI231" s="41">
        <f>H231*月別販売比率!$R$21</f>
        <v>0</v>
      </c>
      <c r="CJ231" s="39"/>
      <c r="CK231" s="41">
        <f>H231*月別販売比率!$W$21</f>
        <v>0</v>
      </c>
      <c r="CL231" s="39"/>
      <c r="CM231" s="41">
        <f>H231*月別販売比率!$AB$21</f>
        <v>0</v>
      </c>
      <c r="CN231" s="39"/>
      <c r="CO231" s="41">
        <f>H231*月別販売比率!$AG$21</f>
        <v>0</v>
      </c>
      <c r="CP231" s="39"/>
      <c r="CQ231" s="41">
        <f>H231*月別販売比率!$AL$21</f>
        <v>0</v>
      </c>
      <c r="CR231" s="39"/>
      <c r="CS231" s="41">
        <f>H231*月別販売比率!$AQ$21</f>
        <v>0</v>
      </c>
      <c r="CT231" s="39"/>
      <c r="CU231" s="41">
        <f>H231*月別販売比率!$AV$21</f>
        <v>0</v>
      </c>
      <c r="CV231" s="39"/>
      <c r="CW231" s="41">
        <f>H231*月別販売比率!$BA$21</f>
        <v>0</v>
      </c>
      <c r="CX231" s="39"/>
      <c r="CY231" s="41">
        <f>H231*月別販売比率!$BF$21</f>
        <v>0</v>
      </c>
      <c r="CZ231" s="39"/>
      <c r="DA231" s="50"/>
      <c r="DB231" s="295"/>
    </row>
    <row r="232" spans="2:106" ht="30.75" customHeight="1">
      <c r="B232" s="25"/>
      <c r="C232" s="555"/>
      <c r="D232" s="494"/>
      <c r="E232" s="99" t="s">
        <v>284</v>
      </c>
      <c r="F232" s="572"/>
      <c r="G232" s="46">
        <f t="shared" si="324"/>
        <v>0</v>
      </c>
      <c r="H232" s="45">
        <f>F232*($H$171/$F$171)</f>
        <v>0</v>
      </c>
      <c r="I232" s="46">
        <f t="shared" si="325"/>
        <v>0</v>
      </c>
      <c r="J232" s="49"/>
      <c r="K232" s="39">
        <f t="shared" si="326"/>
        <v>0</v>
      </c>
      <c r="L232" s="39"/>
      <c r="M232" s="39"/>
      <c r="N232" s="42"/>
      <c r="O232" s="43"/>
      <c r="P232" s="43"/>
      <c r="Q232" s="335"/>
      <c r="R232" s="129"/>
      <c r="S232" s="129"/>
      <c r="T232" s="129"/>
      <c r="U232" s="129"/>
      <c r="V232" s="345"/>
      <c r="W232" s="345"/>
      <c r="X232" s="345"/>
      <c r="Y232" s="345"/>
      <c r="Z232" s="129"/>
      <c r="AA232" s="345"/>
      <c r="AB232" s="345"/>
      <c r="AC232" s="345"/>
      <c r="AD232" s="345"/>
      <c r="AE232" s="345"/>
      <c r="AF232" s="345"/>
      <c r="AG232" s="129"/>
      <c r="AH232" s="129"/>
      <c r="AI232" s="129">
        <f t="shared" si="327"/>
        <v>0</v>
      </c>
      <c r="AJ232" s="129">
        <f t="shared" si="316"/>
        <v>0</v>
      </c>
      <c r="AK232" s="129">
        <f t="shared" si="317"/>
        <v>0</v>
      </c>
      <c r="AL232" s="399">
        <f t="shared" si="318"/>
        <v>0</v>
      </c>
      <c r="AM232" s="393">
        <f t="shared" si="319"/>
        <v>0</v>
      </c>
      <c r="AN232" s="393">
        <f t="shared" si="320"/>
        <v>0</v>
      </c>
      <c r="AO232" s="393">
        <f t="shared" si="321"/>
        <v>0</v>
      </c>
      <c r="AP232" s="96">
        <f t="shared" si="322"/>
        <v>0</v>
      </c>
      <c r="AQ232" s="91">
        <f t="shared" si="323"/>
        <v>0</v>
      </c>
      <c r="AR232" s="129"/>
      <c r="AS232" s="41">
        <f>$H$175*月別販売比率!AG58</f>
        <v>0</v>
      </c>
      <c r="AT232" s="39"/>
      <c r="AU232" s="41">
        <f>$H$175*月別販売比率!AL58</f>
        <v>0</v>
      </c>
      <c r="AV232" s="39"/>
      <c r="AW232" s="41">
        <f>$H$175*月別販売比率!AQ58</f>
        <v>0</v>
      </c>
      <c r="AX232" s="39"/>
      <c r="AY232" s="41">
        <f>$H$175*月別販売比率!AV58</f>
        <v>0</v>
      </c>
      <c r="AZ232" s="39"/>
      <c r="BA232" s="41">
        <f>$H$175*月別販売比率!BA58</f>
        <v>0</v>
      </c>
      <c r="BB232" s="39"/>
      <c r="BC232" s="41">
        <f>$H$175*月別販売比率!BF58</f>
        <v>0</v>
      </c>
      <c r="BD232" s="39"/>
      <c r="BE232" s="283">
        <f>$H$175*月別販売比率!C74</f>
        <v>0</v>
      </c>
      <c r="BF232" s="280">
        <v>60</v>
      </c>
      <c r="BG232" s="41">
        <f>$H$175*月別販売比率!H74</f>
        <v>0</v>
      </c>
      <c r="BH232" s="39"/>
      <c r="BI232" s="41">
        <f>$H$175*月別販売比率!M74</f>
        <v>0</v>
      </c>
      <c r="BJ232" s="39"/>
      <c r="BK232" s="41">
        <f>$H$175*月別販売比率!R74</f>
        <v>0</v>
      </c>
      <c r="BL232" s="39"/>
      <c r="BM232" s="41">
        <f>$H$175*月別販売比率!W74</f>
        <v>0</v>
      </c>
      <c r="BN232" s="39"/>
      <c r="BO232" s="283">
        <f>$H$175*月別販売比率!AB74</f>
        <v>0</v>
      </c>
      <c r="BP232" s="280">
        <v>10</v>
      </c>
      <c r="BQ232" s="283">
        <f>$H$175*月別販売比率!AG74</f>
        <v>0</v>
      </c>
      <c r="BR232" s="280"/>
      <c r="BS232" s="41">
        <f>$H$175*月別販売比率!AL74</f>
        <v>0</v>
      </c>
      <c r="BT232" s="39"/>
      <c r="BU232" s="41">
        <f>$H$175*月別販売比率!AQ74</f>
        <v>0</v>
      </c>
      <c r="BV232" s="39"/>
      <c r="BW232" s="41">
        <f>$H$175*月別販売比率!AV74</f>
        <v>0</v>
      </c>
      <c r="BX232" s="39"/>
      <c r="BY232" s="283">
        <f>$H$175*月別販売比率!BA74</f>
        <v>0</v>
      </c>
      <c r="BZ232" s="280">
        <v>25</v>
      </c>
      <c r="CA232" s="41">
        <f>$H$175*月別販売比率!BF74</f>
        <v>0</v>
      </c>
      <c r="CB232" s="39"/>
      <c r="CC232" s="283">
        <f>H232*月別販売比率!$C$21</f>
        <v>0</v>
      </c>
      <c r="CD232" s="280">
        <v>25</v>
      </c>
      <c r="CE232" s="41">
        <f>H232*月別販売比率!$H$21</f>
        <v>0</v>
      </c>
      <c r="CF232" s="39"/>
      <c r="CG232" s="41">
        <f>H232*月別販売比率!$M$21</f>
        <v>0</v>
      </c>
      <c r="CH232" s="39"/>
      <c r="CI232" s="41">
        <f>H232*月別販売比率!$R$21</f>
        <v>0</v>
      </c>
      <c r="CJ232" s="39"/>
      <c r="CK232" s="41">
        <f>H232*月別販売比率!$W$21</f>
        <v>0</v>
      </c>
      <c r="CL232" s="39"/>
      <c r="CM232" s="41">
        <f>H232*月別販売比率!$AB$21</f>
        <v>0</v>
      </c>
      <c r="CN232" s="39"/>
      <c r="CO232" s="41">
        <f>H232*月別販売比率!$AG$21</f>
        <v>0</v>
      </c>
      <c r="CP232" s="39"/>
      <c r="CQ232" s="41">
        <f>H232*月別販売比率!$AL$21</f>
        <v>0</v>
      </c>
      <c r="CR232" s="39"/>
      <c r="CS232" s="41">
        <f>H232*月別販売比率!$AQ$21</f>
        <v>0</v>
      </c>
      <c r="CT232" s="39"/>
      <c r="CU232" s="41">
        <f>H232*月別販売比率!$AV$21</f>
        <v>0</v>
      </c>
      <c r="CV232" s="39"/>
      <c r="CW232" s="41">
        <f>H232*月別販売比率!$BA$21</f>
        <v>0</v>
      </c>
      <c r="CX232" s="39"/>
      <c r="CY232" s="41">
        <f>H232*月別販売比率!$BF$21</f>
        <v>0</v>
      </c>
      <c r="CZ232" s="39"/>
      <c r="DA232" s="50"/>
      <c r="DB232" s="295"/>
    </row>
    <row r="233" spans="2:106" ht="30.75" customHeight="1">
      <c r="B233" s="25"/>
      <c r="C233" s="555"/>
      <c r="D233" s="494">
        <v>3</v>
      </c>
      <c r="E233" s="99" t="s">
        <v>287</v>
      </c>
      <c r="F233" s="572"/>
      <c r="G233" s="46">
        <f t="shared" si="324"/>
        <v>0</v>
      </c>
      <c r="H233" s="45">
        <f>F233*($H$171/$F$171)</f>
        <v>0</v>
      </c>
      <c r="I233" s="46">
        <f t="shared" si="325"/>
        <v>0</v>
      </c>
      <c r="J233" s="310"/>
      <c r="K233" s="39">
        <f t="shared" si="326"/>
        <v>0</v>
      </c>
      <c r="L233" s="39"/>
      <c r="M233" s="39"/>
      <c r="N233" s="42"/>
      <c r="O233" s="304"/>
      <c r="P233" s="304"/>
      <c r="Q233" s="333">
        <v>45631</v>
      </c>
      <c r="R233" s="129"/>
      <c r="S233" s="129"/>
      <c r="T233" s="129"/>
      <c r="U233" s="129"/>
      <c r="V233" s="129"/>
      <c r="W233" s="129"/>
      <c r="X233" s="129"/>
      <c r="Y233" s="129"/>
      <c r="Z233" s="129"/>
      <c r="AA233" s="345"/>
      <c r="AB233" s="129"/>
      <c r="AC233" s="129"/>
      <c r="AD233" s="129"/>
      <c r="AE233" s="129"/>
      <c r="AF233" s="129"/>
      <c r="AG233" s="129"/>
      <c r="AH233" s="129"/>
      <c r="AI233" s="129">
        <f t="shared" si="327"/>
        <v>0</v>
      </c>
      <c r="AJ233" s="129">
        <f t="shared" si="316"/>
        <v>0</v>
      </c>
      <c r="AK233" s="129">
        <f t="shared" si="317"/>
        <v>0</v>
      </c>
      <c r="AL233" s="399">
        <f t="shared" si="318"/>
        <v>0</v>
      </c>
      <c r="AM233" s="393">
        <f t="shared" si="319"/>
        <v>0</v>
      </c>
      <c r="AN233" s="393">
        <f t="shared" si="320"/>
        <v>0</v>
      </c>
      <c r="AO233" s="393">
        <f t="shared" si="321"/>
        <v>0</v>
      </c>
      <c r="AP233" s="96">
        <f t="shared" si="322"/>
        <v>0</v>
      </c>
      <c r="AQ233" s="91">
        <f t="shared" si="323"/>
        <v>0</v>
      </c>
      <c r="AR233" s="129"/>
      <c r="AS233" s="41">
        <f>$H$177*月別販売比率!AG58</f>
        <v>0</v>
      </c>
      <c r="AT233" s="39"/>
      <c r="AU233" s="41">
        <f>$H$177*月別販売比率!AL58</f>
        <v>0</v>
      </c>
      <c r="AV233" s="39"/>
      <c r="AW233" s="41">
        <f>$H$177*月別販売比率!AQ58</f>
        <v>0</v>
      </c>
      <c r="AX233" s="39"/>
      <c r="AY233" s="41">
        <f>$H$177*月別販売比率!AV58</f>
        <v>0</v>
      </c>
      <c r="AZ233" s="39"/>
      <c r="BA233" s="41">
        <f>$H$177*月別販売比率!BA58</f>
        <v>0</v>
      </c>
      <c r="BB233" s="39"/>
      <c r="BC233" s="41">
        <f>$H$177*月別販売比率!BF58</f>
        <v>0</v>
      </c>
      <c r="BD233" s="39"/>
      <c r="BE233" s="283">
        <f>$H$177*月別販売比率!C74</f>
        <v>0</v>
      </c>
      <c r="BF233" s="280">
        <v>60</v>
      </c>
      <c r="BG233" s="41">
        <f>$H$177*月別販売比率!H74</f>
        <v>0</v>
      </c>
      <c r="BH233" s="39"/>
      <c r="BI233" s="41">
        <f>$H$177*月別販売比率!M74</f>
        <v>0</v>
      </c>
      <c r="BJ233" s="39"/>
      <c r="BK233" s="41">
        <f>$H$177*月別販売比率!R74</f>
        <v>0</v>
      </c>
      <c r="BL233" s="39"/>
      <c r="BM233" s="41">
        <f>$H$177*月別販売比率!W74</f>
        <v>0</v>
      </c>
      <c r="BN233" s="39"/>
      <c r="BO233" s="283">
        <f>$H$177*月別販売比率!AB74</f>
        <v>0</v>
      </c>
      <c r="BP233" s="280">
        <v>150</v>
      </c>
      <c r="BQ233" s="283">
        <f>$H$177*月別販売比率!AG74</f>
        <v>0</v>
      </c>
      <c r="BR233" s="280"/>
      <c r="BS233" s="41">
        <f>$H$177*月別販売比率!AL74</f>
        <v>0</v>
      </c>
      <c r="BT233" s="39"/>
      <c r="BU233" s="41">
        <f>$H$177*月別販売比率!AQ74</f>
        <v>0</v>
      </c>
      <c r="BV233" s="39"/>
      <c r="BW233" s="41">
        <f>$H$177*月別販売比率!AV74</f>
        <v>0</v>
      </c>
      <c r="BX233" s="39"/>
      <c r="BY233" s="283">
        <f>$H$177*月別販売比率!BA74</f>
        <v>0</v>
      </c>
      <c r="BZ233" s="280">
        <v>40</v>
      </c>
      <c r="CA233" s="41">
        <f>$H$177*月別販売比率!BF74</f>
        <v>0</v>
      </c>
      <c r="CB233" s="39"/>
      <c r="CC233" s="283">
        <f>H233*月別販売比率!$C$21</f>
        <v>0</v>
      </c>
      <c r="CD233" s="280">
        <v>40</v>
      </c>
      <c r="CE233" s="41">
        <f>H233*月別販売比率!$H$21</f>
        <v>0</v>
      </c>
      <c r="CF233" s="39"/>
      <c r="CG233" s="41">
        <f>H233*月別販売比率!$M$21</f>
        <v>0</v>
      </c>
      <c r="CH233" s="39"/>
      <c r="CI233" s="41">
        <f>H233*月別販売比率!$R$21</f>
        <v>0</v>
      </c>
      <c r="CJ233" s="39"/>
      <c r="CK233" s="41">
        <f>H233*月別販売比率!$W$21</f>
        <v>0</v>
      </c>
      <c r="CL233" s="39"/>
      <c r="CM233" s="41">
        <f>H233*月別販売比率!$AB$21</f>
        <v>0</v>
      </c>
      <c r="CN233" s="39"/>
      <c r="CO233" s="41">
        <f>H233*月別販売比率!$AG$21</f>
        <v>0</v>
      </c>
      <c r="CP233" s="39"/>
      <c r="CQ233" s="41">
        <f>H233*月別販売比率!$AL$21</f>
        <v>0</v>
      </c>
      <c r="CR233" s="39"/>
      <c r="CS233" s="41">
        <f>H233*月別販売比率!$AQ$21</f>
        <v>0</v>
      </c>
      <c r="CT233" s="39"/>
      <c r="CU233" s="41">
        <f>H233*月別販売比率!$AV$21</f>
        <v>0</v>
      </c>
      <c r="CV233" s="39"/>
      <c r="CW233" s="41">
        <f>H233*月別販売比率!$BA$21</f>
        <v>0</v>
      </c>
      <c r="CX233" s="39"/>
      <c r="CY233" s="41">
        <f>H233*月別販売比率!$BF$21</f>
        <v>0</v>
      </c>
      <c r="CZ233" s="39"/>
      <c r="DA233" s="50"/>
      <c r="DB233" s="295"/>
    </row>
    <row r="234" spans="2:106" ht="30.75" customHeight="1">
      <c r="B234" s="25"/>
      <c r="C234" s="555"/>
      <c r="D234" s="494"/>
      <c r="E234" s="99" t="s">
        <v>286</v>
      </c>
      <c r="F234" s="572"/>
      <c r="G234" s="46">
        <f t="shared" si="324"/>
        <v>0</v>
      </c>
      <c r="H234" s="45">
        <f>F234*($H$171/$F$171)</f>
        <v>0</v>
      </c>
      <c r="I234" s="46">
        <f t="shared" si="325"/>
        <v>0</v>
      </c>
      <c r="J234" s="49"/>
      <c r="K234" s="39">
        <f t="shared" si="326"/>
        <v>0</v>
      </c>
      <c r="L234" s="39"/>
      <c r="M234" s="39"/>
      <c r="N234" s="42"/>
      <c r="O234" s="43"/>
      <c r="P234" s="43"/>
      <c r="Q234" s="335"/>
      <c r="R234" s="129"/>
      <c r="S234" s="345"/>
      <c r="T234" s="345"/>
      <c r="U234" s="333">
        <v>45392</v>
      </c>
      <c r="V234" s="345"/>
      <c r="W234" s="333">
        <v>45838</v>
      </c>
      <c r="X234" s="129"/>
      <c r="Y234" s="129"/>
      <c r="Z234" s="129"/>
      <c r="AA234" s="345"/>
      <c r="AB234" s="129"/>
      <c r="AC234" s="129"/>
      <c r="AD234" s="129"/>
      <c r="AE234" s="129"/>
      <c r="AF234" s="129"/>
      <c r="AG234" s="129"/>
      <c r="AH234" s="129"/>
      <c r="AI234" s="129">
        <f t="shared" si="327"/>
        <v>0</v>
      </c>
      <c r="AJ234" s="129">
        <f t="shared" si="316"/>
        <v>0</v>
      </c>
      <c r="AK234" s="129">
        <f t="shared" si="317"/>
        <v>0</v>
      </c>
      <c r="AL234" s="399">
        <f t="shared" si="318"/>
        <v>0</v>
      </c>
      <c r="AM234" s="393">
        <f t="shared" si="319"/>
        <v>0</v>
      </c>
      <c r="AN234" s="393">
        <f t="shared" si="320"/>
        <v>0</v>
      </c>
      <c r="AO234" s="393">
        <f t="shared" si="321"/>
        <v>0</v>
      </c>
      <c r="AP234" s="96">
        <f t="shared" si="322"/>
        <v>0</v>
      </c>
      <c r="AQ234" s="91">
        <f t="shared" si="323"/>
        <v>0</v>
      </c>
      <c r="AR234" s="129"/>
      <c r="AS234" s="41">
        <f>$H$178*月別販売比率!AG58</f>
        <v>0</v>
      </c>
      <c r="AT234" s="39"/>
      <c r="AU234" s="41">
        <f>$H$178*月別販売比率!AL58</f>
        <v>0</v>
      </c>
      <c r="AV234" s="39"/>
      <c r="AW234" s="41">
        <f>$H$178*月別販売比率!AQ58</f>
        <v>0</v>
      </c>
      <c r="AX234" s="39"/>
      <c r="AY234" s="41">
        <f>$H$178*月別販売比率!AV58</f>
        <v>0</v>
      </c>
      <c r="AZ234" s="39"/>
      <c r="BA234" s="41">
        <f>$H$178*月別販売比率!BA58</f>
        <v>0</v>
      </c>
      <c r="BB234" s="39"/>
      <c r="BC234" s="41">
        <f>$H$178*月別販売比率!BF58</f>
        <v>0</v>
      </c>
      <c r="BD234" s="39"/>
      <c r="BE234" s="283">
        <f>$H$178*月別販売比率!C74</f>
        <v>0</v>
      </c>
      <c r="BF234" s="280">
        <v>90</v>
      </c>
      <c r="BG234" s="41">
        <f>$H$178*月別販売比率!H74</f>
        <v>0</v>
      </c>
      <c r="BH234" s="39"/>
      <c r="BI234" s="41">
        <f>$H$178*月別販売比率!M74</f>
        <v>0</v>
      </c>
      <c r="BJ234" s="39"/>
      <c r="BK234" s="41">
        <f>$H$178*月別販売比率!R74</f>
        <v>0</v>
      </c>
      <c r="BL234" s="39"/>
      <c r="BM234" s="41">
        <f>$H$178*月別販売比率!W74</f>
        <v>0</v>
      </c>
      <c r="BN234" s="39"/>
      <c r="BO234" s="283">
        <f>$H$178*月別販売比率!AB74</f>
        <v>0</v>
      </c>
      <c r="BP234" s="280">
        <v>50</v>
      </c>
      <c r="BQ234" s="283">
        <f>$H$178*月別販売比率!AG74</f>
        <v>0</v>
      </c>
      <c r="BR234" s="280"/>
      <c r="BS234" s="41">
        <f>$H$178*月別販売比率!AL74</f>
        <v>0</v>
      </c>
      <c r="BT234" s="39"/>
      <c r="BU234" s="41">
        <f>$H$178*月別販売比率!AQ74</f>
        <v>0</v>
      </c>
      <c r="BV234" s="39"/>
      <c r="BW234" s="41">
        <f>$H$178*月別販売比率!AV74</f>
        <v>0</v>
      </c>
      <c r="BX234" s="39"/>
      <c r="BY234" s="283">
        <f>$H$178*月別販売比率!BA74</f>
        <v>0</v>
      </c>
      <c r="BZ234" s="280">
        <v>50</v>
      </c>
      <c r="CA234" s="41">
        <f>$H$178*月別販売比率!BF74</f>
        <v>0</v>
      </c>
      <c r="CB234" s="39"/>
      <c r="CC234" s="283">
        <f>H234*月別販売比率!$C$21</f>
        <v>0</v>
      </c>
      <c r="CD234" s="280">
        <v>50</v>
      </c>
      <c r="CE234" s="41">
        <f>H234*月別販売比率!$H$21</f>
        <v>0</v>
      </c>
      <c r="CF234" s="39"/>
      <c r="CG234" s="41">
        <f>H234*月別販売比率!$M$21</f>
        <v>0</v>
      </c>
      <c r="CH234" s="39"/>
      <c r="CI234" s="41">
        <f>H234*月別販売比率!$R$21</f>
        <v>0</v>
      </c>
      <c r="CJ234" s="39"/>
      <c r="CK234" s="41">
        <f>H234*月別販売比率!$W$21</f>
        <v>0</v>
      </c>
      <c r="CL234" s="39"/>
      <c r="CM234" s="41">
        <f>H234*月別販売比率!$AB$21</f>
        <v>0</v>
      </c>
      <c r="CN234" s="39"/>
      <c r="CO234" s="41">
        <f>H234*月別販売比率!$AG$21</f>
        <v>0</v>
      </c>
      <c r="CP234" s="39"/>
      <c r="CQ234" s="41">
        <f>H234*月別販売比率!$AL$21</f>
        <v>0</v>
      </c>
      <c r="CR234" s="39"/>
      <c r="CS234" s="41">
        <f>H234*月別販売比率!$AQ$21</f>
        <v>0</v>
      </c>
      <c r="CT234" s="39"/>
      <c r="CU234" s="41">
        <f>H234*月別販売比率!$AV$21</f>
        <v>0</v>
      </c>
      <c r="CV234" s="39"/>
      <c r="CW234" s="41">
        <f>H234*月別販売比率!$BA$21</f>
        <v>0</v>
      </c>
      <c r="CX234" s="39"/>
      <c r="CY234" s="41">
        <f>H234*月別販売比率!$BF$21</f>
        <v>0</v>
      </c>
      <c r="CZ234" s="39"/>
      <c r="DA234" s="50"/>
      <c r="DB234" s="295"/>
    </row>
    <row r="235" spans="2:106" ht="30.75" customHeight="1">
      <c r="B235" s="25"/>
      <c r="C235" s="555"/>
      <c r="D235" s="494"/>
      <c r="E235" s="99" t="s">
        <v>285</v>
      </c>
      <c r="F235" s="572"/>
      <c r="G235" s="46">
        <f t="shared" si="324"/>
        <v>0</v>
      </c>
      <c r="H235" s="45">
        <f>F235*($H$171/$F$171)</f>
        <v>0</v>
      </c>
      <c r="I235" s="46">
        <f t="shared" si="325"/>
        <v>0</v>
      </c>
      <c r="J235" s="49"/>
      <c r="K235" s="39">
        <f t="shared" si="326"/>
        <v>0</v>
      </c>
      <c r="L235" s="39"/>
      <c r="M235" s="39"/>
      <c r="N235" s="42"/>
      <c r="O235" s="43"/>
      <c r="P235" s="43"/>
      <c r="Q235" s="335"/>
      <c r="R235" s="129"/>
      <c r="S235" s="345"/>
      <c r="T235" s="345"/>
      <c r="U235" s="333">
        <v>45392</v>
      </c>
      <c r="V235" s="345"/>
      <c r="W235" s="345"/>
      <c r="X235" s="129"/>
      <c r="Y235" s="345"/>
      <c r="Z235" s="129"/>
      <c r="AA235" s="345"/>
      <c r="AB235" s="129"/>
      <c r="AC235" s="345"/>
      <c r="AD235" s="345"/>
      <c r="AE235" s="129"/>
      <c r="AF235" s="129"/>
      <c r="AG235" s="129"/>
      <c r="AH235" s="129"/>
      <c r="AI235" s="129">
        <f t="shared" si="327"/>
        <v>0</v>
      </c>
      <c r="AJ235" s="129">
        <f t="shared" si="316"/>
        <v>0</v>
      </c>
      <c r="AK235" s="129">
        <f t="shared" si="317"/>
        <v>0</v>
      </c>
      <c r="AL235" s="399">
        <f t="shared" si="318"/>
        <v>0</v>
      </c>
      <c r="AM235" s="393">
        <f t="shared" si="319"/>
        <v>0</v>
      </c>
      <c r="AN235" s="393">
        <f t="shared" si="320"/>
        <v>0</v>
      </c>
      <c r="AO235" s="393">
        <f t="shared" si="321"/>
        <v>0</v>
      </c>
      <c r="AP235" s="96">
        <f t="shared" si="322"/>
        <v>0</v>
      </c>
      <c r="AQ235" s="91">
        <f t="shared" si="323"/>
        <v>0</v>
      </c>
      <c r="AR235" s="129"/>
      <c r="AS235" s="41">
        <f>$H$179*月別販売比率!AG58</f>
        <v>0</v>
      </c>
      <c r="AT235" s="39"/>
      <c r="AU235" s="41">
        <f>$H$179*月別販売比率!AL58</f>
        <v>0</v>
      </c>
      <c r="AV235" s="39"/>
      <c r="AW235" s="41">
        <f>$H$179*月別販売比率!AQ58</f>
        <v>0</v>
      </c>
      <c r="AX235" s="39"/>
      <c r="AY235" s="41">
        <f>$H$179*月別販売比率!AV58</f>
        <v>0</v>
      </c>
      <c r="AZ235" s="39"/>
      <c r="BA235" s="41">
        <f>$H$179*月別販売比率!BA58</f>
        <v>0</v>
      </c>
      <c r="BB235" s="39"/>
      <c r="BC235" s="41">
        <f>$H$179*月別販売比率!BF58</f>
        <v>0</v>
      </c>
      <c r="BD235" s="39"/>
      <c r="BE235" s="283">
        <f>$H$179*月別販売比率!C74</f>
        <v>0</v>
      </c>
      <c r="BF235" s="280">
        <v>75</v>
      </c>
      <c r="BG235" s="41">
        <f>$H$179*月別販売比率!H74</f>
        <v>0</v>
      </c>
      <c r="BH235" s="39"/>
      <c r="BI235" s="41">
        <f>$H$179*月別販売比率!M74</f>
        <v>0</v>
      </c>
      <c r="BJ235" s="39"/>
      <c r="BK235" s="41">
        <f>$H$179*月別販売比率!R74</f>
        <v>0</v>
      </c>
      <c r="BL235" s="39"/>
      <c r="BM235" s="41">
        <f>$H$179*月別販売比率!W74</f>
        <v>0</v>
      </c>
      <c r="BN235" s="39"/>
      <c r="BO235" s="283">
        <f>$H$179*月別販売比率!AB74</f>
        <v>0</v>
      </c>
      <c r="BP235" s="280">
        <v>110</v>
      </c>
      <c r="BQ235" s="283">
        <f>$H$179*月別販売比率!AG74</f>
        <v>0</v>
      </c>
      <c r="BR235" s="280"/>
      <c r="BS235" s="41">
        <f>$H$179*月別販売比率!AL74</f>
        <v>0</v>
      </c>
      <c r="BT235" s="39"/>
      <c r="BU235" s="41">
        <f>$H$179*月別販売比率!AQ74</f>
        <v>0</v>
      </c>
      <c r="BV235" s="39"/>
      <c r="BW235" s="41">
        <f>$H$179*月別販売比率!AV74</f>
        <v>0</v>
      </c>
      <c r="BX235" s="39"/>
      <c r="BY235" s="283">
        <f>$H$179*月別販売比率!BA74</f>
        <v>0</v>
      </c>
      <c r="BZ235" s="280">
        <v>40</v>
      </c>
      <c r="CA235" s="41">
        <f>$H$179*月別販売比率!BF74</f>
        <v>0</v>
      </c>
      <c r="CB235" s="39"/>
      <c r="CC235" s="283">
        <f>H235*月別販売比率!$C$21</f>
        <v>0</v>
      </c>
      <c r="CD235" s="280">
        <v>40</v>
      </c>
      <c r="CE235" s="41">
        <f>H235*月別販売比率!$H$21</f>
        <v>0</v>
      </c>
      <c r="CF235" s="39"/>
      <c r="CG235" s="41">
        <f>H235*月別販売比率!$M$21</f>
        <v>0</v>
      </c>
      <c r="CH235" s="39"/>
      <c r="CI235" s="41">
        <f>H235*月別販売比率!$R$21</f>
        <v>0</v>
      </c>
      <c r="CJ235" s="39"/>
      <c r="CK235" s="41">
        <f>H235*月別販売比率!$W$21</f>
        <v>0</v>
      </c>
      <c r="CL235" s="39"/>
      <c r="CM235" s="41">
        <f>H235*月別販売比率!$AB$21</f>
        <v>0</v>
      </c>
      <c r="CN235" s="39"/>
      <c r="CO235" s="41">
        <f>H235*月別販売比率!$AG$21</f>
        <v>0</v>
      </c>
      <c r="CP235" s="39"/>
      <c r="CQ235" s="41">
        <f>H235*月別販売比率!$AL$21</f>
        <v>0</v>
      </c>
      <c r="CR235" s="39"/>
      <c r="CS235" s="41">
        <f>H235*月別販売比率!$AQ$21</f>
        <v>0</v>
      </c>
      <c r="CT235" s="39"/>
      <c r="CU235" s="41">
        <f>H235*月別販売比率!$AV$21</f>
        <v>0</v>
      </c>
      <c r="CV235" s="39"/>
      <c r="CW235" s="41">
        <f>H235*月別販売比率!$BA$21</f>
        <v>0</v>
      </c>
      <c r="CX235" s="39"/>
      <c r="CY235" s="41">
        <f>H235*月別販売比率!$BF$21</f>
        <v>0</v>
      </c>
      <c r="CZ235" s="39"/>
      <c r="DA235" s="50"/>
      <c r="DB235" s="295"/>
    </row>
    <row r="236" spans="2:106" ht="30.75" customHeight="1">
      <c r="B236" s="25"/>
      <c r="C236" s="555"/>
      <c r="D236" s="495"/>
      <c r="E236" s="122" t="s">
        <v>284</v>
      </c>
      <c r="F236" s="573"/>
      <c r="G236" s="53">
        <f t="shared" si="324"/>
        <v>0</v>
      </c>
      <c r="H236" s="52">
        <f>F236*($H$171/$F$171)</f>
        <v>0</v>
      </c>
      <c r="I236" s="53">
        <f t="shared" si="325"/>
        <v>0</v>
      </c>
      <c r="J236" s="127"/>
      <c r="K236" s="103">
        <f t="shared" si="326"/>
        <v>0</v>
      </c>
      <c r="L236" s="103"/>
      <c r="M236" s="103"/>
      <c r="N236" s="117"/>
      <c r="O236" s="313"/>
      <c r="P236" s="123"/>
      <c r="Q236" s="332"/>
      <c r="R236" s="238"/>
      <c r="S236" s="329"/>
      <c r="T236" s="329"/>
      <c r="U236" s="329"/>
      <c r="V236" s="329"/>
      <c r="W236" s="329"/>
      <c r="X236" s="329"/>
      <c r="Y236" s="329"/>
      <c r="Z236" s="238"/>
      <c r="AA236" s="329"/>
      <c r="AB236" s="238"/>
      <c r="AC236" s="238"/>
      <c r="AD236" s="238"/>
      <c r="AE236" s="238"/>
      <c r="AF236" s="238"/>
      <c r="AG236" s="238"/>
      <c r="AH236" s="238"/>
      <c r="AI236" s="238">
        <f t="shared" si="327"/>
        <v>0</v>
      </c>
      <c r="AJ236" s="238">
        <f t="shared" si="316"/>
        <v>0</v>
      </c>
      <c r="AK236" s="238">
        <f t="shared" si="317"/>
        <v>0</v>
      </c>
      <c r="AL236" s="401">
        <f t="shared" si="318"/>
        <v>0</v>
      </c>
      <c r="AM236" s="395">
        <f t="shared" si="319"/>
        <v>0</v>
      </c>
      <c r="AN236" s="395">
        <f t="shared" si="320"/>
        <v>0</v>
      </c>
      <c r="AO236" s="395">
        <f t="shared" si="321"/>
        <v>0</v>
      </c>
      <c r="AP236" s="403">
        <f t="shared" si="322"/>
        <v>0</v>
      </c>
      <c r="AQ236" s="90">
        <f t="shared" si="323"/>
        <v>0</v>
      </c>
      <c r="AR236" s="238"/>
      <c r="AS236" s="282">
        <f>$H$180*月別販売比率!AG58</f>
        <v>0</v>
      </c>
      <c r="AT236" s="103"/>
      <c r="AU236" s="282">
        <f>$H$180*月別販売比率!AL58</f>
        <v>0</v>
      </c>
      <c r="AV236" s="103"/>
      <c r="AW236" s="282">
        <f>$H$180*月別販売比率!AQ58</f>
        <v>0</v>
      </c>
      <c r="AX236" s="103"/>
      <c r="AY236" s="282">
        <f>$H$180*月別販売比率!AV58</f>
        <v>0</v>
      </c>
      <c r="AZ236" s="103"/>
      <c r="BA236" s="282">
        <f>$H$180*月別販売比率!BA58</f>
        <v>0</v>
      </c>
      <c r="BB236" s="103"/>
      <c r="BC236" s="282">
        <f>$H$180*月別販売比率!BF58</f>
        <v>0</v>
      </c>
      <c r="BD236" s="103"/>
      <c r="BE236" s="301">
        <f>$H$180*月別販売比率!C74</f>
        <v>0</v>
      </c>
      <c r="BF236" s="302">
        <v>60</v>
      </c>
      <c r="BG236" s="282">
        <f>$H$180*月別販売比率!H74</f>
        <v>0</v>
      </c>
      <c r="BH236" s="103"/>
      <c r="BI236" s="282">
        <f>$H$180*月別販売比率!M74</f>
        <v>0</v>
      </c>
      <c r="BJ236" s="103"/>
      <c r="BK236" s="282">
        <f>$H$180*月別販売比率!R74</f>
        <v>0</v>
      </c>
      <c r="BL236" s="103"/>
      <c r="BM236" s="282">
        <f>$H$180*月別販売比率!W74</f>
        <v>0</v>
      </c>
      <c r="BN236" s="103"/>
      <c r="BO236" s="301">
        <f>$H$180*月別販売比率!AB74</f>
        <v>0</v>
      </c>
      <c r="BP236" s="302">
        <v>35</v>
      </c>
      <c r="BQ236" s="301">
        <f>$H$180*月別販売比率!AG74</f>
        <v>0</v>
      </c>
      <c r="BR236" s="302"/>
      <c r="BS236" s="282">
        <f>$H$180*月別販売比率!AL74</f>
        <v>0</v>
      </c>
      <c r="BT236" s="103"/>
      <c r="BU236" s="282">
        <f>$H$180*月別販売比率!AQ74</f>
        <v>0</v>
      </c>
      <c r="BV236" s="103"/>
      <c r="BW236" s="282">
        <f>$H$180*月別販売比率!AV74</f>
        <v>0</v>
      </c>
      <c r="BX236" s="103"/>
      <c r="BY236" s="301">
        <f>$H$180*月別販売比率!BA74</f>
        <v>0</v>
      </c>
      <c r="BZ236" s="302">
        <v>30</v>
      </c>
      <c r="CA236" s="282">
        <f>$H$180*月別販売比率!BF74</f>
        <v>0</v>
      </c>
      <c r="CB236" s="103"/>
      <c r="CC236" s="301">
        <f>H236*月別販売比率!$C$21</f>
        <v>0</v>
      </c>
      <c r="CD236" s="302">
        <v>30</v>
      </c>
      <c r="CE236" s="282">
        <f>H236*月別販売比率!$H$21</f>
        <v>0</v>
      </c>
      <c r="CF236" s="103"/>
      <c r="CG236" s="282">
        <f>H236*月別販売比率!$M$21</f>
        <v>0</v>
      </c>
      <c r="CH236" s="103"/>
      <c r="CI236" s="282">
        <f>H236*月別販売比率!$R$21</f>
        <v>0</v>
      </c>
      <c r="CJ236" s="103"/>
      <c r="CK236" s="282">
        <f>H236*月別販売比率!$W$21</f>
        <v>0</v>
      </c>
      <c r="CL236" s="103"/>
      <c r="CM236" s="282">
        <f>H236*月別販売比率!$AB$21</f>
        <v>0</v>
      </c>
      <c r="CN236" s="103"/>
      <c r="CO236" s="282">
        <f>H236*月別販売比率!$AG$21</f>
        <v>0</v>
      </c>
      <c r="CP236" s="103"/>
      <c r="CQ236" s="282">
        <f>H236*月別販売比率!$AL$21</f>
        <v>0</v>
      </c>
      <c r="CR236" s="103"/>
      <c r="CS236" s="282">
        <f>H236*月別販売比率!$AQ$21</f>
        <v>0</v>
      </c>
      <c r="CT236" s="103"/>
      <c r="CU236" s="282">
        <f>H236*月別販売比率!$AV$21</f>
        <v>0</v>
      </c>
      <c r="CV236" s="103"/>
      <c r="CW236" s="282">
        <f>H236*月別販売比率!$BA$21</f>
        <v>0</v>
      </c>
      <c r="CX236" s="103"/>
      <c r="CY236" s="282">
        <f>H236*月別販売比率!$BF$21</f>
        <v>0</v>
      </c>
      <c r="CZ236" s="103"/>
      <c r="DA236" s="303"/>
      <c r="DB236" s="300"/>
    </row>
    <row r="237" spans="2:106" ht="30.6" customHeight="1">
      <c r="B237" s="2">
        <v>20</v>
      </c>
      <c r="C237" s="556" t="s">
        <v>520</v>
      </c>
      <c r="D237" s="557"/>
      <c r="E237" s="558"/>
      <c r="F237" s="144">
        <f>SUM(F244:F252)</f>
        <v>0</v>
      </c>
      <c r="G237" s="145">
        <f>SUM(G244:G252)</f>
        <v>0</v>
      </c>
      <c r="H237" s="144"/>
      <c r="I237" s="145">
        <f>SUM(I244:I252)</f>
        <v>0</v>
      </c>
      <c r="J237" s="147">
        <f>SUM(J245:J252)</f>
        <v>0</v>
      </c>
      <c r="K237" s="148">
        <f>SUM(K245:K252)</f>
        <v>0</v>
      </c>
      <c r="L237" s="148">
        <f>SUM(L245:L252)</f>
        <v>0</v>
      </c>
      <c r="M237" s="148">
        <f>SUM(M244:M252)</f>
        <v>0</v>
      </c>
      <c r="N237" s="149">
        <f>SUM(N244:N252)</f>
        <v>0</v>
      </c>
      <c r="O237" s="152"/>
      <c r="P237" s="152"/>
      <c r="Q237" s="152"/>
      <c r="R237" s="152"/>
      <c r="S237" s="152"/>
      <c r="T237" s="152"/>
      <c r="U237" s="152"/>
      <c r="V237" s="152"/>
      <c r="W237" s="152"/>
      <c r="X237" s="152"/>
      <c r="Y237" s="152"/>
      <c r="Z237" s="152"/>
      <c r="AA237" s="152"/>
      <c r="AB237" s="152"/>
      <c r="AC237" s="152"/>
      <c r="AD237" s="152"/>
      <c r="AE237" s="152"/>
      <c r="AF237" s="152"/>
      <c r="AG237" s="152"/>
      <c r="AH237" s="152"/>
      <c r="AI237" s="152"/>
      <c r="AJ237" s="152"/>
      <c r="AK237" s="152"/>
      <c r="AL237" s="152"/>
      <c r="AM237" s="152"/>
      <c r="AN237" s="152"/>
      <c r="AO237" s="152"/>
      <c r="AP237" s="152"/>
      <c r="AQ237" s="152"/>
      <c r="AR237" s="152"/>
      <c r="AS237" s="150">
        <f>SUM(AS244:AS252)</f>
        <v>0</v>
      </c>
      <c r="AT237" s="148">
        <f>SUM(AT244:AT252)</f>
        <v>0</v>
      </c>
      <c r="AU237" s="150">
        <f>SUM(AU244:AU252)</f>
        <v>0</v>
      </c>
      <c r="AV237" s="148">
        <f>SUM(AV244:AV252)</f>
        <v>0</v>
      </c>
      <c r="AW237" s="150">
        <f>SUM(AW244:AW252)</f>
        <v>0</v>
      </c>
      <c r="AX237" s="148">
        <f>SUM(AX244:AX252)</f>
        <v>0</v>
      </c>
      <c r="AY237" s="150">
        <f>SUM(AY244:AY252)</f>
        <v>0</v>
      </c>
      <c r="AZ237" s="148">
        <f>SUM(AZ244:AZ252)</f>
        <v>0</v>
      </c>
      <c r="BA237" s="150">
        <f>SUM(BA244:BA252)</f>
        <v>0</v>
      </c>
      <c r="BB237" s="148">
        <f>SUM(BB244:BB252)</f>
        <v>0</v>
      </c>
      <c r="BC237" s="150">
        <f>SUM(BC244:BC252)</f>
        <v>0</v>
      </c>
      <c r="BD237" s="148">
        <f>SUM(BD244:BD252)</f>
        <v>0</v>
      </c>
      <c r="BE237" s="150">
        <f>SUM(BE244:BE252)</f>
        <v>0</v>
      </c>
      <c r="BF237" s="148">
        <f>SUM(BF244:BF252)</f>
        <v>585</v>
      </c>
      <c r="BG237" s="150">
        <f>SUM(BG244:BG252)</f>
        <v>0</v>
      </c>
      <c r="BH237" s="148">
        <f>SUM(BH244:BH252)</f>
        <v>0</v>
      </c>
      <c r="BI237" s="150">
        <f>SUM(BI244:BI252)</f>
        <v>0</v>
      </c>
      <c r="BJ237" s="148">
        <f>SUM(BJ244:BJ252)</f>
        <v>0</v>
      </c>
      <c r="BK237" s="150">
        <f>SUM(BK244:BK252)</f>
        <v>0</v>
      </c>
      <c r="BL237" s="148">
        <f>SUM(BL244:BL252)</f>
        <v>0</v>
      </c>
      <c r="BM237" s="150">
        <f>SUM(BM244:BM252)</f>
        <v>0</v>
      </c>
      <c r="BN237" s="148">
        <f>SUM(BN244:BN252)</f>
        <v>0</v>
      </c>
      <c r="BO237" s="150">
        <f>SUM(BO244:BO252)</f>
        <v>0</v>
      </c>
      <c r="BP237" s="148">
        <f>SUM(BP244:BP252)</f>
        <v>560</v>
      </c>
      <c r="BQ237" s="150">
        <f>SUM(BQ244:BQ252)</f>
        <v>0</v>
      </c>
      <c r="BR237" s="148">
        <f>SUM(BR244:BR252)</f>
        <v>0</v>
      </c>
      <c r="BS237" s="150">
        <f>SUM(BS244:BS252)</f>
        <v>0</v>
      </c>
      <c r="BT237" s="148">
        <f>SUM(BT244:BT252)</f>
        <v>0</v>
      </c>
      <c r="BU237" s="150">
        <f>SUM(BU244:BU252)</f>
        <v>0</v>
      </c>
      <c r="BV237" s="148">
        <f>SUM(BV244:BV252)</f>
        <v>0</v>
      </c>
      <c r="BW237" s="150">
        <f>SUM(BW244:BW252)</f>
        <v>0</v>
      </c>
      <c r="BX237" s="148">
        <f>SUM(BX244:BX252)</f>
        <v>0</v>
      </c>
      <c r="BY237" s="150">
        <f>SUM(BY244:BY252)</f>
        <v>0</v>
      </c>
      <c r="BZ237" s="148">
        <f>SUM(BZ244:BZ252)</f>
        <v>295</v>
      </c>
      <c r="CA237" s="150">
        <f>SUM(CA244:CA252)</f>
        <v>0</v>
      </c>
      <c r="CB237" s="148">
        <f>SUM(CB244:CB252)</f>
        <v>0</v>
      </c>
      <c r="CC237" s="150">
        <f>SUM(CC244:CC252)</f>
        <v>0</v>
      </c>
      <c r="CD237" s="148">
        <f>SUM(CD244:CD252)</f>
        <v>295</v>
      </c>
      <c r="CE237" s="150">
        <f>SUM(CE244:CE252)</f>
        <v>0</v>
      </c>
      <c r="CF237" s="148">
        <f>SUM(CF244:CF252)</f>
        <v>0</v>
      </c>
      <c r="CG237" s="150">
        <f>SUM(CG244:CG252)</f>
        <v>0</v>
      </c>
      <c r="CH237" s="148">
        <f>SUM(CH244:CH252)</f>
        <v>0</v>
      </c>
      <c r="CI237" s="150">
        <f>SUM(CI244:CI252)</f>
        <v>0</v>
      </c>
      <c r="CJ237" s="148">
        <f>SUM(CJ244:CJ252)</f>
        <v>0</v>
      </c>
      <c r="CK237" s="150">
        <f>SUM(CK244:CK252)</f>
        <v>0</v>
      </c>
      <c r="CL237" s="148">
        <f>SUM(CL244:CL252)</f>
        <v>0</v>
      </c>
      <c r="CM237" s="150">
        <f>SUM(CM244:CM252)</f>
        <v>0</v>
      </c>
      <c r="CN237" s="148">
        <f>SUM(CN244:CN252)</f>
        <v>0</v>
      </c>
      <c r="CO237" s="150">
        <f>SUM(CO244:CO252)</f>
        <v>0</v>
      </c>
      <c r="CP237" s="148">
        <f>SUM(CP244:CP252)</f>
        <v>0</v>
      </c>
      <c r="CQ237" s="150">
        <f>SUM(CQ244:CQ252)</f>
        <v>0</v>
      </c>
      <c r="CR237" s="148">
        <f>SUM(CR244:CR252)</f>
        <v>0</v>
      </c>
      <c r="CS237" s="150">
        <f>SUM(CS244:CS252)</f>
        <v>0</v>
      </c>
      <c r="CT237" s="148">
        <f>SUM(CT244:CT252)</f>
        <v>0</v>
      </c>
      <c r="CU237" s="150">
        <v>65.156981784482824</v>
      </c>
      <c r="CV237" s="148">
        <f>SUM(CV244:CV252)</f>
        <v>0</v>
      </c>
      <c r="CW237" s="150">
        <f>SUM(CW244:CW252)</f>
        <v>0</v>
      </c>
      <c r="CX237" s="148">
        <f>SUM(CX244:CX252)</f>
        <v>0</v>
      </c>
      <c r="CY237" s="150">
        <f>SUM(CY244:CY252)</f>
        <v>0</v>
      </c>
      <c r="CZ237" s="148">
        <f>SUM(CZ244:CZ252)</f>
        <v>0</v>
      </c>
      <c r="DA237" s="204"/>
      <c r="DB237" s="552"/>
    </row>
    <row r="238" spans="2:106" ht="30.6" customHeight="1">
      <c r="C238" s="446"/>
      <c r="D238" s="443">
        <v>1</v>
      </c>
      <c r="E238" s="99" t="s">
        <v>275</v>
      </c>
      <c r="F238" s="562"/>
      <c r="G238" s="5">
        <f t="shared" ref="G238:G243" si="328">F238*3080</f>
        <v>0</v>
      </c>
      <c r="H238" s="45">
        <f t="shared" ref="H238" si="329">F238*($H$171/$F$171)</f>
        <v>0</v>
      </c>
      <c r="I238" s="5">
        <f>H238*3080</f>
        <v>0</v>
      </c>
      <c r="J238" s="563"/>
      <c r="K238" s="564">
        <f>SUM(L238:N238)</f>
        <v>0</v>
      </c>
      <c r="L238" s="565"/>
      <c r="M238" s="564"/>
      <c r="N238" s="566"/>
      <c r="O238" s="138"/>
      <c r="P238" s="138"/>
      <c r="Q238" s="138">
        <v>45631</v>
      </c>
      <c r="R238" s="138"/>
      <c r="S238" s="138"/>
      <c r="T238" s="138"/>
      <c r="U238" s="138">
        <v>45392</v>
      </c>
      <c r="V238" s="138"/>
      <c r="W238" s="138"/>
      <c r="X238" s="138"/>
      <c r="Y238" s="138"/>
      <c r="Z238" s="138"/>
      <c r="AA238" s="138"/>
      <c r="AB238" s="138"/>
      <c r="AC238" s="138"/>
      <c r="AD238" s="138"/>
      <c r="AE238" s="138"/>
      <c r="AF238" s="138"/>
      <c r="AG238" s="138"/>
      <c r="AH238" s="138"/>
      <c r="AI238" s="138">
        <f>SUM(J238:K238)-CI238+CJ238</f>
        <v>0</v>
      </c>
      <c r="AJ238" s="138">
        <f t="shared" ref="AJ238:AJ252" si="330">AI238-CK238+CL238</f>
        <v>0</v>
      </c>
      <c r="AK238" s="138">
        <f t="shared" ref="AK238:AK252" si="331">AJ238-CM238+CN238</f>
        <v>0</v>
      </c>
      <c r="AL238" s="138">
        <f t="shared" ref="AL238:AL252" si="332">AK238-CO238+CP238</f>
        <v>0</v>
      </c>
      <c r="AM238" s="138">
        <f t="shared" ref="AM238:AM252" si="333">AL238-CQ238+CR238</f>
        <v>0</v>
      </c>
      <c r="AN238" s="138">
        <f t="shared" ref="AN238:AN252" si="334">AM238-CS238+CT238</f>
        <v>0</v>
      </c>
      <c r="AO238" s="138">
        <f t="shared" ref="AO238:AO252" si="335">AN238-CU238+CV238</f>
        <v>0</v>
      </c>
      <c r="AP238" s="138">
        <f t="shared" ref="AP238:AP252" si="336">AO238-CW238+CX238</f>
        <v>0</v>
      </c>
      <c r="AQ238" s="138">
        <f t="shared" ref="AQ238:AQ252" si="337">AP238-CY238+CZ238</f>
        <v>0</v>
      </c>
      <c r="AR238" s="559"/>
      <c r="AS238" s="560">
        <f>$H$172*月別販売比率!AG71</f>
        <v>0</v>
      </c>
      <c r="AT238" s="134"/>
      <c r="AU238" s="560">
        <f>$H$172*月別販売比率!AL71</f>
        <v>0</v>
      </c>
      <c r="AV238" s="134"/>
      <c r="AW238" s="560">
        <f>$H$172*月別販売比率!AQ71</f>
        <v>0</v>
      </c>
      <c r="AX238" s="134"/>
      <c r="AY238" s="560">
        <f>$H$172*月別販売比率!AV71</f>
        <v>0</v>
      </c>
      <c r="AZ238" s="134"/>
      <c r="BA238" s="560">
        <f>$H$172*月別販売比率!BA71</f>
        <v>0</v>
      </c>
      <c r="BB238" s="134"/>
      <c r="BC238" s="560">
        <f>$H$172*月別販売比率!BF71</f>
        <v>0</v>
      </c>
      <c r="BD238" s="134"/>
      <c r="BE238" s="560">
        <f>$H$172*月別販売比率!C87</f>
        <v>0</v>
      </c>
      <c r="BF238" s="134">
        <v>60</v>
      </c>
      <c r="BG238" s="560">
        <f>$H$172*月別販売比率!H87</f>
        <v>0</v>
      </c>
      <c r="BH238" s="134"/>
      <c r="BI238" s="560">
        <f>$H$172*月別販売比率!M87</f>
        <v>0</v>
      </c>
      <c r="BJ238" s="134"/>
      <c r="BK238" s="560">
        <f>$H$172*月別販売比率!R87</f>
        <v>0</v>
      </c>
      <c r="BL238" s="134"/>
      <c r="BM238" s="560">
        <f>$H$172*月別販売比率!W87</f>
        <v>0</v>
      </c>
      <c r="BN238" s="134"/>
      <c r="BO238" s="560">
        <f>$H$172*月別販売比率!AB87</f>
        <v>0</v>
      </c>
      <c r="BP238" s="134">
        <v>100</v>
      </c>
      <c r="BQ238" s="560">
        <f>$H$172*月別販売比率!AG87</f>
        <v>0</v>
      </c>
      <c r="BR238" s="134"/>
      <c r="BS238" s="560">
        <f>$H$172*月別販売比率!AL87</f>
        <v>0</v>
      </c>
      <c r="BT238" s="134"/>
      <c r="BU238" s="560">
        <f>$H$172*月別販売比率!AQ87</f>
        <v>0</v>
      </c>
      <c r="BV238" s="134"/>
      <c r="BW238" s="560">
        <f>$H$172*月別販売比率!AV87</f>
        <v>0</v>
      </c>
      <c r="BX238" s="134"/>
      <c r="BY238" s="560">
        <f>$H$172*月別販売比率!BA87</f>
        <v>0</v>
      </c>
      <c r="BZ238" s="134">
        <v>30</v>
      </c>
      <c r="CA238" s="560">
        <f>$H$172*月別販売比率!BF87</f>
        <v>0</v>
      </c>
      <c r="CB238" s="134"/>
      <c r="CC238" s="560">
        <f>H238*月別販売比率!$C$21</f>
        <v>0</v>
      </c>
      <c r="CD238" s="134">
        <v>30</v>
      </c>
      <c r="CE238" s="560">
        <f>H238*月別販売比率!$H$21</f>
        <v>0</v>
      </c>
      <c r="CF238" s="134"/>
      <c r="CG238" s="560">
        <f>H238*月別販売比率!$M$21</f>
        <v>0</v>
      </c>
      <c r="CH238" s="134"/>
      <c r="CI238" s="567">
        <f>H238*月別販売比率!$R$21</f>
        <v>0</v>
      </c>
      <c r="CJ238" s="564"/>
      <c r="CK238" s="567">
        <f>H238*月別販売比率!$W$21</f>
        <v>0</v>
      </c>
      <c r="CL238" s="564"/>
      <c r="CM238" s="567">
        <f>H238*月別販売比率!$AB$21</f>
        <v>0</v>
      </c>
      <c r="CN238" s="564"/>
      <c r="CO238" s="567">
        <f>H238*月別販売比率!$AG$21</f>
        <v>0</v>
      </c>
      <c r="CP238" s="564"/>
      <c r="CQ238" s="567">
        <f>H238*月別販売比率!$AL$21</f>
        <v>0</v>
      </c>
      <c r="CR238" s="564"/>
      <c r="CS238" s="567">
        <f>H238*月別販売比率!$AQ$21</f>
        <v>0</v>
      </c>
      <c r="CT238" s="564"/>
      <c r="CU238" s="567">
        <f>H238*月別販売比率!$AV$21</f>
        <v>0</v>
      </c>
      <c r="CV238" s="564"/>
      <c r="CW238" s="567">
        <f>H238*月別販売比率!$BA$21</f>
        <v>0</v>
      </c>
      <c r="CX238" s="564"/>
      <c r="CY238" s="567">
        <f>H238*月別販売比率!$BF$21</f>
        <v>0</v>
      </c>
      <c r="CZ238" s="564"/>
      <c r="DA238" s="568"/>
      <c r="DB238" s="569"/>
    </row>
    <row r="239" spans="2:106" ht="30.6" customHeight="1">
      <c r="C239" s="457"/>
      <c r="D239" s="441"/>
      <c r="E239" s="99" t="s">
        <v>46</v>
      </c>
      <c r="F239" s="562"/>
      <c r="G239" s="5">
        <f t="shared" si="328"/>
        <v>0</v>
      </c>
      <c r="H239" s="45">
        <f>F239*($H$171/$F$171)</f>
        <v>0</v>
      </c>
      <c r="I239" s="5">
        <f t="shared" ref="I239:I243" si="338">H239*3080</f>
        <v>0</v>
      </c>
      <c r="J239" s="563"/>
      <c r="K239" s="564">
        <f t="shared" ref="K239:K249" si="339">SUM(L239:N239)</f>
        <v>0</v>
      </c>
      <c r="L239" s="565"/>
      <c r="M239" s="564"/>
      <c r="N239" s="566"/>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f t="shared" ref="AI239:AI243" si="340">SUM(J239:K239)-CI239+CJ239</f>
        <v>0</v>
      </c>
      <c r="AJ239" s="138">
        <f t="shared" si="330"/>
        <v>0</v>
      </c>
      <c r="AK239" s="138">
        <f t="shared" si="331"/>
        <v>0</v>
      </c>
      <c r="AL239" s="138">
        <f t="shared" si="332"/>
        <v>0</v>
      </c>
      <c r="AM239" s="138">
        <f t="shared" si="333"/>
        <v>0</v>
      </c>
      <c r="AN239" s="138">
        <f t="shared" si="334"/>
        <v>0</v>
      </c>
      <c r="AO239" s="138">
        <f t="shared" si="335"/>
        <v>0</v>
      </c>
      <c r="AP239" s="138">
        <f t="shared" si="336"/>
        <v>0</v>
      </c>
      <c r="AQ239" s="138">
        <f t="shared" si="337"/>
        <v>0</v>
      </c>
      <c r="AR239" s="559"/>
      <c r="AS239" s="560"/>
      <c r="AT239" s="134"/>
      <c r="AU239" s="560"/>
      <c r="AV239" s="134"/>
      <c r="AW239" s="560"/>
      <c r="AX239" s="134"/>
      <c r="AY239" s="560"/>
      <c r="AZ239" s="134"/>
      <c r="BA239" s="560"/>
      <c r="BB239" s="134"/>
      <c r="BC239" s="560"/>
      <c r="BD239" s="134"/>
      <c r="BE239" s="560"/>
      <c r="BF239" s="134"/>
      <c r="BG239" s="560"/>
      <c r="BH239" s="134"/>
      <c r="BI239" s="560"/>
      <c r="BJ239" s="134"/>
      <c r="BK239" s="560"/>
      <c r="BL239" s="134"/>
      <c r="BM239" s="560"/>
      <c r="BN239" s="134"/>
      <c r="BO239" s="560"/>
      <c r="BP239" s="134"/>
      <c r="BQ239" s="560"/>
      <c r="BR239" s="134"/>
      <c r="BS239" s="560"/>
      <c r="BT239" s="134"/>
      <c r="BU239" s="560"/>
      <c r="BV239" s="134"/>
      <c r="BW239" s="560"/>
      <c r="BX239" s="134"/>
      <c r="BY239" s="560"/>
      <c r="BZ239" s="134"/>
      <c r="CA239" s="560"/>
      <c r="CB239" s="134"/>
      <c r="CC239" s="560"/>
      <c r="CD239" s="134"/>
      <c r="CE239" s="560"/>
      <c r="CF239" s="134"/>
      <c r="CG239" s="560"/>
      <c r="CH239" s="134"/>
      <c r="CI239" s="567">
        <f>H239*月別販売比率!$R$21</f>
        <v>0</v>
      </c>
      <c r="CJ239" s="564"/>
      <c r="CK239" s="567">
        <f>H239*月別販売比率!$W$21</f>
        <v>0</v>
      </c>
      <c r="CL239" s="564"/>
      <c r="CM239" s="567">
        <f>H239*月別販売比率!$AB$21</f>
        <v>0</v>
      </c>
      <c r="CN239" s="564"/>
      <c r="CO239" s="567">
        <f>H239*月別販売比率!$AG$21</f>
        <v>0</v>
      </c>
      <c r="CP239" s="564"/>
      <c r="CQ239" s="567">
        <f>H239*月別販売比率!$AL$21</f>
        <v>0</v>
      </c>
      <c r="CR239" s="564"/>
      <c r="CS239" s="567">
        <f>H239*月別販売比率!$AQ$21</f>
        <v>0</v>
      </c>
      <c r="CT239" s="564"/>
      <c r="CU239" s="567">
        <f>H239*月別販売比率!$AV$21</f>
        <v>0</v>
      </c>
      <c r="CV239" s="564"/>
      <c r="CW239" s="567">
        <f>H239*月別販売比率!$BA$21</f>
        <v>0</v>
      </c>
      <c r="CX239" s="564"/>
      <c r="CY239" s="567">
        <f>H239*月別販売比率!$BF$21</f>
        <v>0</v>
      </c>
      <c r="CZ239" s="564"/>
      <c r="DA239" s="568"/>
      <c r="DB239" s="569"/>
    </row>
    <row r="240" spans="2:106" ht="30.6" customHeight="1">
      <c r="C240" s="457"/>
      <c r="D240" s="441"/>
      <c r="E240" s="94" t="s">
        <v>47</v>
      </c>
      <c r="F240" s="562"/>
      <c r="G240" s="5">
        <f t="shared" si="328"/>
        <v>0</v>
      </c>
      <c r="H240" s="45">
        <f t="shared" ref="H240:H243" si="341">F240*($H$171/$F$171)</f>
        <v>0</v>
      </c>
      <c r="I240" s="5">
        <f t="shared" si="338"/>
        <v>0</v>
      </c>
      <c r="J240" s="563"/>
      <c r="K240" s="564">
        <f t="shared" si="339"/>
        <v>0</v>
      </c>
      <c r="L240" s="565"/>
      <c r="M240" s="564"/>
      <c r="N240" s="566"/>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f t="shared" si="340"/>
        <v>0</v>
      </c>
      <c r="AJ240" s="138">
        <f t="shared" si="330"/>
        <v>0</v>
      </c>
      <c r="AK240" s="138">
        <f t="shared" si="331"/>
        <v>0</v>
      </c>
      <c r="AL240" s="138">
        <f t="shared" si="332"/>
        <v>0</v>
      </c>
      <c r="AM240" s="138">
        <f t="shared" si="333"/>
        <v>0</v>
      </c>
      <c r="AN240" s="138">
        <f t="shared" si="334"/>
        <v>0</v>
      </c>
      <c r="AO240" s="138">
        <f t="shared" si="335"/>
        <v>0</v>
      </c>
      <c r="AP240" s="138">
        <f t="shared" si="336"/>
        <v>0</v>
      </c>
      <c r="AQ240" s="138">
        <f t="shared" si="337"/>
        <v>0</v>
      </c>
      <c r="AR240" s="559"/>
      <c r="AS240" s="560"/>
      <c r="AT240" s="134"/>
      <c r="AU240" s="560"/>
      <c r="AV240" s="134"/>
      <c r="AW240" s="560"/>
      <c r="AX240" s="134"/>
      <c r="AY240" s="560"/>
      <c r="AZ240" s="134"/>
      <c r="BA240" s="560"/>
      <c r="BB240" s="134"/>
      <c r="BC240" s="560"/>
      <c r="BD240" s="134"/>
      <c r="BE240" s="560"/>
      <c r="BF240" s="134"/>
      <c r="BG240" s="560"/>
      <c r="BH240" s="134"/>
      <c r="BI240" s="560"/>
      <c r="BJ240" s="134"/>
      <c r="BK240" s="560"/>
      <c r="BL240" s="134"/>
      <c r="BM240" s="560"/>
      <c r="BN240" s="134"/>
      <c r="BO240" s="560"/>
      <c r="BP240" s="134"/>
      <c r="BQ240" s="560"/>
      <c r="BR240" s="134"/>
      <c r="BS240" s="560"/>
      <c r="BT240" s="134"/>
      <c r="BU240" s="560"/>
      <c r="BV240" s="134"/>
      <c r="BW240" s="560"/>
      <c r="BX240" s="134"/>
      <c r="BY240" s="560"/>
      <c r="BZ240" s="134"/>
      <c r="CA240" s="560"/>
      <c r="CB240" s="134"/>
      <c r="CC240" s="560"/>
      <c r="CD240" s="134"/>
      <c r="CE240" s="560"/>
      <c r="CF240" s="134"/>
      <c r="CG240" s="560"/>
      <c r="CH240" s="134"/>
      <c r="CI240" s="567">
        <f>H240*月別販売比率!$R$21</f>
        <v>0</v>
      </c>
      <c r="CJ240" s="564"/>
      <c r="CK240" s="567">
        <f>H240*月別販売比率!$W$21</f>
        <v>0</v>
      </c>
      <c r="CL240" s="564"/>
      <c r="CM240" s="567">
        <f>H240*月別販売比率!$AB$21</f>
        <v>0</v>
      </c>
      <c r="CN240" s="564"/>
      <c r="CO240" s="567">
        <f>H240*月別販売比率!$AG$21</f>
        <v>0</v>
      </c>
      <c r="CP240" s="564"/>
      <c r="CQ240" s="567">
        <f>H240*月別販売比率!$AL$21</f>
        <v>0</v>
      </c>
      <c r="CR240" s="564"/>
      <c r="CS240" s="567">
        <f>H240*月別販売比率!$AQ$21</f>
        <v>0</v>
      </c>
      <c r="CT240" s="564"/>
      <c r="CU240" s="567">
        <f>H240*月別販売比率!$AV$21</f>
        <v>0</v>
      </c>
      <c r="CV240" s="564"/>
      <c r="CW240" s="567">
        <f>H240*月別販売比率!$BA$21</f>
        <v>0</v>
      </c>
      <c r="CX240" s="564"/>
      <c r="CY240" s="567">
        <f>H240*月別販売比率!$BF$21</f>
        <v>0</v>
      </c>
      <c r="CZ240" s="564"/>
      <c r="DA240" s="568"/>
      <c r="DB240" s="569"/>
    </row>
    <row r="241" spans="2:106" ht="30.6" customHeight="1">
      <c r="C241" s="457"/>
      <c r="D241" s="441"/>
      <c r="E241" s="94" t="s">
        <v>51</v>
      </c>
      <c r="F241" s="562"/>
      <c r="G241" s="5">
        <f t="shared" si="328"/>
        <v>0</v>
      </c>
      <c r="H241" s="45">
        <f t="shared" si="341"/>
        <v>0</v>
      </c>
      <c r="I241" s="5">
        <f t="shared" si="338"/>
        <v>0</v>
      </c>
      <c r="J241" s="563"/>
      <c r="K241" s="564">
        <f t="shared" si="339"/>
        <v>0</v>
      </c>
      <c r="L241" s="565"/>
      <c r="M241" s="564"/>
      <c r="N241" s="566"/>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f t="shared" si="340"/>
        <v>0</v>
      </c>
      <c r="AJ241" s="138">
        <f t="shared" si="330"/>
        <v>0</v>
      </c>
      <c r="AK241" s="138">
        <f t="shared" si="331"/>
        <v>0</v>
      </c>
      <c r="AL241" s="138">
        <f t="shared" si="332"/>
        <v>0</v>
      </c>
      <c r="AM241" s="138">
        <f t="shared" si="333"/>
        <v>0</v>
      </c>
      <c r="AN241" s="138">
        <f t="shared" si="334"/>
        <v>0</v>
      </c>
      <c r="AO241" s="138">
        <f t="shared" si="335"/>
        <v>0</v>
      </c>
      <c r="AP241" s="138">
        <f t="shared" si="336"/>
        <v>0</v>
      </c>
      <c r="AQ241" s="138">
        <f t="shared" si="337"/>
        <v>0</v>
      </c>
      <c r="AR241" s="559"/>
      <c r="AS241" s="560"/>
      <c r="AT241" s="134"/>
      <c r="AU241" s="560"/>
      <c r="AV241" s="134"/>
      <c r="AW241" s="560"/>
      <c r="AX241" s="134"/>
      <c r="AY241" s="560"/>
      <c r="AZ241" s="134"/>
      <c r="BA241" s="560"/>
      <c r="BB241" s="134"/>
      <c r="BC241" s="560"/>
      <c r="BD241" s="134"/>
      <c r="BE241" s="560"/>
      <c r="BF241" s="134"/>
      <c r="BG241" s="560"/>
      <c r="BH241" s="134"/>
      <c r="BI241" s="560"/>
      <c r="BJ241" s="134"/>
      <c r="BK241" s="560"/>
      <c r="BL241" s="134"/>
      <c r="BM241" s="560"/>
      <c r="BN241" s="134"/>
      <c r="BO241" s="560"/>
      <c r="BP241" s="134"/>
      <c r="BQ241" s="560"/>
      <c r="BR241" s="134"/>
      <c r="BS241" s="560"/>
      <c r="BT241" s="134"/>
      <c r="BU241" s="560"/>
      <c r="BV241" s="134"/>
      <c r="BW241" s="560"/>
      <c r="BX241" s="134"/>
      <c r="BY241" s="560"/>
      <c r="BZ241" s="134"/>
      <c r="CA241" s="560"/>
      <c r="CB241" s="134"/>
      <c r="CC241" s="560"/>
      <c r="CD241" s="134"/>
      <c r="CE241" s="560"/>
      <c r="CF241" s="134"/>
      <c r="CG241" s="560"/>
      <c r="CH241" s="134"/>
      <c r="CI241" s="567">
        <f>H241*月別販売比率!$R$21</f>
        <v>0</v>
      </c>
      <c r="CJ241" s="564"/>
      <c r="CK241" s="567">
        <f>H241*月別販売比率!$W$21</f>
        <v>0</v>
      </c>
      <c r="CL241" s="564"/>
      <c r="CM241" s="567">
        <f>H241*月別販売比率!$AB$21</f>
        <v>0</v>
      </c>
      <c r="CN241" s="564"/>
      <c r="CO241" s="567">
        <f>H241*月別販売比率!$AG$21</f>
        <v>0</v>
      </c>
      <c r="CP241" s="564"/>
      <c r="CQ241" s="567">
        <f>H241*月別販売比率!$AL$21</f>
        <v>0</v>
      </c>
      <c r="CR241" s="564"/>
      <c r="CS241" s="567">
        <f>H241*月別販売比率!$AQ$21</f>
        <v>0</v>
      </c>
      <c r="CT241" s="564"/>
      <c r="CU241" s="567">
        <f>H241*月別販売比率!$AV$21</f>
        <v>0</v>
      </c>
      <c r="CV241" s="564"/>
      <c r="CW241" s="567">
        <f>H241*月別販売比率!$BA$21</f>
        <v>0</v>
      </c>
      <c r="CX241" s="564"/>
      <c r="CY241" s="567">
        <f>H241*月別販売比率!$BF$21</f>
        <v>0</v>
      </c>
      <c r="CZ241" s="564"/>
      <c r="DA241" s="568"/>
      <c r="DB241" s="569"/>
    </row>
    <row r="242" spans="2:106" ht="30.6" customHeight="1">
      <c r="C242" s="457"/>
      <c r="D242" s="442"/>
      <c r="E242" s="94" t="s">
        <v>49</v>
      </c>
      <c r="F242" s="562"/>
      <c r="G242" s="5">
        <f t="shared" si="328"/>
        <v>0</v>
      </c>
      <c r="H242" s="45">
        <f t="shared" si="341"/>
        <v>0</v>
      </c>
      <c r="I242" s="5">
        <f t="shared" si="338"/>
        <v>0</v>
      </c>
      <c r="J242" s="563"/>
      <c r="K242" s="564">
        <f t="shared" si="339"/>
        <v>0</v>
      </c>
      <c r="L242" s="565"/>
      <c r="M242" s="564"/>
      <c r="N242" s="566"/>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f t="shared" si="340"/>
        <v>0</v>
      </c>
      <c r="AJ242" s="138">
        <f t="shared" si="330"/>
        <v>0</v>
      </c>
      <c r="AK242" s="138">
        <f t="shared" si="331"/>
        <v>0</v>
      </c>
      <c r="AL242" s="138">
        <f t="shared" si="332"/>
        <v>0</v>
      </c>
      <c r="AM242" s="138">
        <f t="shared" si="333"/>
        <v>0</v>
      </c>
      <c r="AN242" s="138">
        <f t="shared" si="334"/>
        <v>0</v>
      </c>
      <c r="AO242" s="138">
        <f t="shared" si="335"/>
        <v>0</v>
      </c>
      <c r="AP242" s="138">
        <f t="shared" si="336"/>
        <v>0</v>
      </c>
      <c r="AQ242" s="138">
        <f t="shared" si="337"/>
        <v>0</v>
      </c>
      <c r="AR242" s="559"/>
      <c r="AS242" s="560"/>
      <c r="AT242" s="134"/>
      <c r="AU242" s="560"/>
      <c r="AV242" s="134"/>
      <c r="AW242" s="560"/>
      <c r="AX242" s="134"/>
      <c r="AY242" s="560"/>
      <c r="AZ242" s="134"/>
      <c r="BA242" s="560"/>
      <c r="BB242" s="134"/>
      <c r="BC242" s="560"/>
      <c r="BD242" s="134"/>
      <c r="BE242" s="560"/>
      <c r="BF242" s="134"/>
      <c r="BG242" s="560"/>
      <c r="BH242" s="134"/>
      <c r="BI242" s="560"/>
      <c r="BJ242" s="134"/>
      <c r="BK242" s="560"/>
      <c r="BL242" s="134"/>
      <c r="BM242" s="560"/>
      <c r="BN242" s="134"/>
      <c r="BO242" s="560"/>
      <c r="BP242" s="134"/>
      <c r="BQ242" s="560"/>
      <c r="BR242" s="134"/>
      <c r="BS242" s="560"/>
      <c r="BT242" s="134"/>
      <c r="BU242" s="560"/>
      <c r="BV242" s="134"/>
      <c r="BW242" s="560"/>
      <c r="BX242" s="134"/>
      <c r="BY242" s="560"/>
      <c r="BZ242" s="134"/>
      <c r="CA242" s="560"/>
      <c r="CB242" s="134"/>
      <c r="CC242" s="560"/>
      <c r="CD242" s="134"/>
      <c r="CE242" s="560"/>
      <c r="CF242" s="134"/>
      <c r="CG242" s="560"/>
      <c r="CH242" s="134"/>
      <c r="CI242" s="567">
        <f>H242*月別販売比率!$R$21</f>
        <v>0</v>
      </c>
      <c r="CJ242" s="564"/>
      <c r="CK242" s="567">
        <f>H242*月別販売比率!$W$21</f>
        <v>0</v>
      </c>
      <c r="CL242" s="564"/>
      <c r="CM242" s="567">
        <f>H242*月別販売比率!$AB$21</f>
        <v>0</v>
      </c>
      <c r="CN242" s="564"/>
      <c r="CO242" s="567">
        <f>H242*月別販売比率!$AG$21</f>
        <v>0</v>
      </c>
      <c r="CP242" s="564"/>
      <c r="CQ242" s="567">
        <f>H242*月別販売比率!$AL$21</f>
        <v>0</v>
      </c>
      <c r="CR242" s="564"/>
      <c r="CS242" s="567">
        <f>H242*月別販売比率!$AQ$21</f>
        <v>0</v>
      </c>
      <c r="CT242" s="564"/>
      <c r="CU242" s="567">
        <f>H242*月別販売比率!$AV$21</f>
        <v>0</v>
      </c>
      <c r="CV242" s="564"/>
      <c r="CW242" s="567">
        <f>H242*月別販売比率!$BA$21</f>
        <v>0</v>
      </c>
      <c r="CX242" s="564"/>
      <c r="CY242" s="567">
        <f>H242*月別販売比率!$BF$21</f>
        <v>0</v>
      </c>
      <c r="CZ242" s="564"/>
      <c r="DA242" s="568"/>
      <c r="DB242" s="569"/>
    </row>
    <row r="243" spans="2:106" ht="30.6" customHeight="1">
      <c r="C243" s="457"/>
      <c r="D243" s="443">
        <v>2</v>
      </c>
      <c r="E243" s="99" t="s">
        <v>275</v>
      </c>
      <c r="F243" s="562"/>
      <c r="G243" s="5">
        <f t="shared" si="328"/>
        <v>0</v>
      </c>
      <c r="H243" s="45">
        <f t="shared" si="341"/>
        <v>0</v>
      </c>
      <c r="I243" s="5">
        <f t="shared" si="338"/>
        <v>0</v>
      </c>
      <c r="J243" s="563"/>
      <c r="K243" s="564">
        <f t="shared" si="339"/>
        <v>0</v>
      </c>
      <c r="L243" s="565"/>
      <c r="M243" s="564"/>
      <c r="N243" s="566"/>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f t="shared" si="340"/>
        <v>0</v>
      </c>
      <c r="AJ243" s="138">
        <f t="shared" si="330"/>
        <v>0</v>
      </c>
      <c r="AK243" s="138">
        <f t="shared" si="331"/>
        <v>0</v>
      </c>
      <c r="AL243" s="138">
        <f t="shared" si="332"/>
        <v>0</v>
      </c>
      <c r="AM243" s="138">
        <f t="shared" si="333"/>
        <v>0</v>
      </c>
      <c r="AN243" s="138">
        <f t="shared" si="334"/>
        <v>0</v>
      </c>
      <c r="AO243" s="138">
        <f t="shared" si="335"/>
        <v>0</v>
      </c>
      <c r="AP243" s="138">
        <f t="shared" si="336"/>
        <v>0</v>
      </c>
      <c r="AQ243" s="138">
        <f t="shared" si="337"/>
        <v>0</v>
      </c>
      <c r="AR243" s="559"/>
      <c r="AS243" s="560"/>
      <c r="AT243" s="134"/>
      <c r="AU243" s="560"/>
      <c r="AV243" s="134"/>
      <c r="AW243" s="560"/>
      <c r="AX243" s="134"/>
      <c r="AY243" s="560"/>
      <c r="AZ243" s="134"/>
      <c r="BA243" s="560"/>
      <c r="BB243" s="134"/>
      <c r="BC243" s="560"/>
      <c r="BD243" s="134"/>
      <c r="BE243" s="560"/>
      <c r="BF243" s="134"/>
      <c r="BG243" s="560"/>
      <c r="BH243" s="134"/>
      <c r="BI243" s="560"/>
      <c r="BJ243" s="134"/>
      <c r="BK243" s="560"/>
      <c r="BL243" s="134"/>
      <c r="BM243" s="560"/>
      <c r="BN243" s="134"/>
      <c r="BO243" s="560"/>
      <c r="BP243" s="134"/>
      <c r="BQ243" s="560"/>
      <c r="BR243" s="134"/>
      <c r="BS243" s="560"/>
      <c r="BT243" s="134"/>
      <c r="BU243" s="560"/>
      <c r="BV243" s="134"/>
      <c r="BW243" s="560"/>
      <c r="BX243" s="134"/>
      <c r="BY243" s="560"/>
      <c r="BZ243" s="134"/>
      <c r="CA243" s="560"/>
      <c r="CB243" s="134"/>
      <c r="CC243" s="560"/>
      <c r="CD243" s="134"/>
      <c r="CE243" s="560"/>
      <c r="CF243" s="134"/>
      <c r="CG243" s="560"/>
      <c r="CH243" s="134"/>
      <c r="CI243" s="567">
        <f>H243*月別販売比率!$R$21</f>
        <v>0</v>
      </c>
      <c r="CJ243" s="564"/>
      <c r="CK243" s="567">
        <f>H243*月別販売比率!$W$21</f>
        <v>0</v>
      </c>
      <c r="CL243" s="564"/>
      <c r="CM243" s="567">
        <f>H243*月別販売比率!$AB$21</f>
        <v>0</v>
      </c>
      <c r="CN243" s="564"/>
      <c r="CO243" s="567">
        <f>H243*月別販売比率!$AG$21</f>
        <v>0</v>
      </c>
      <c r="CP243" s="564"/>
      <c r="CQ243" s="567">
        <f>H243*月別販売比率!$AL$21</f>
        <v>0</v>
      </c>
      <c r="CR243" s="564"/>
      <c r="CS243" s="567">
        <f>H243*月別販売比率!$AQ$21</f>
        <v>0</v>
      </c>
      <c r="CT243" s="564"/>
      <c r="CU243" s="567">
        <f>H243*月別販売比率!$AV$21</f>
        <v>0</v>
      </c>
      <c r="CV243" s="564"/>
      <c r="CW243" s="567">
        <f>H243*月別販売比率!$BA$21</f>
        <v>0</v>
      </c>
      <c r="CX243" s="564"/>
      <c r="CY243" s="567">
        <f>H243*月別販売比率!$BF$21</f>
        <v>0</v>
      </c>
      <c r="CZ243" s="564"/>
      <c r="DA243" s="568"/>
      <c r="DB243" s="569"/>
    </row>
    <row r="244" spans="2:106" ht="30.75" customHeight="1">
      <c r="B244" s="25"/>
      <c r="C244" s="457"/>
      <c r="D244" s="441"/>
      <c r="E244" s="99" t="s">
        <v>46</v>
      </c>
      <c r="G244" s="46">
        <f>F244*3080</f>
        <v>0</v>
      </c>
      <c r="H244" s="45">
        <f>F244*($H$171/$F$171)</f>
        <v>0</v>
      </c>
      <c r="I244" s="46">
        <f>H244*3080</f>
        <v>0</v>
      </c>
      <c r="J244" s="279"/>
      <c r="K244" s="39">
        <f t="shared" si="339"/>
        <v>0</v>
      </c>
      <c r="L244" s="79"/>
      <c r="M244" s="39"/>
      <c r="N244" s="42"/>
      <c r="O244" s="288"/>
      <c r="P244" s="288"/>
      <c r="Q244" s="331">
        <v>45631</v>
      </c>
      <c r="R244" s="124"/>
      <c r="S244" s="345"/>
      <c r="T244" s="345"/>
      <c r="U244" s="331">
        <v>45392</v>
      </c>
      <c r="V244" s="124"/>
      <c r="W244" s="124"/>
      <c r="X244" s="124"/>
      <c r="Y244" s="124"/>
      <c r="Z244" s="124"/>
      <c r="AA244" s="124"/>
      <c r="AB244" s="124"/>
      <c r="AC244" s="328"/>
      <c r="AD244" s="328"/>
      <c r="AE244" s="124"/>
      <c r="AF244" s="124"/>
      <c r="AG244" s="124"/>
      <c r="AH244" s="124"/>
      <c r="AI244" s="129">
        <f t="shared" ref="AI244:AI252" si="342">SUM(J244:K244)-CI244+CJ244</f>
        <v>0</v>
      </c>
      <c r="AJ244" s="129">
        <f t="shared" si="330"/>
        <v>0</v>
      </c>
      <c r="AK244" s="129">
        <f t="shared" si="331"/>
        <v>0</v>
      </c>
      <c r="AL244" s="399">
        <f t="shared" si="332"/>
        <v>0</v>
      </c>
      <c r="AM244" s="393">
        <f t="shared" si="333"/>
        <v>0</v>
      </c>
      <c r="AN244" s="393">
        <f t="shared" si="334"/>
        <v>0</v>
      </c>
      <c r="AO244" s="393">
        <f t="shared" si="335"/>
        <v>0</v>
      </c>
      <c r="AP244" s="96">
        <f t="shared" si="336"/>
        <v>0</v>
      </c>
      <c r="AQ244" s="91">
        <f t="shared" si="337"/>
        <v>0</v>
      </c>
      <c r="AR244" s="198"/>
      <c r="AS244" s="81">
        <f>$H$172*月別販売比率!AG69</f>
        <v>0</v>
      </c>
      <c r="AT244" s="39"/>
      <c r="AU244" s="81">
        <f>$H$172*月別販売比率!AL69</f>
        <v>0</v>
      </c>
      <c r="AV244" s="39"/>
      <c r="AW244" s="81">
        <f>$H$172*月別販売比率!AQ69</f>
        <v>0</v>
      </c>
      <c r="AX244" s="39"/>
      <c r="AY244" s="81">
        <f>$H$172*月別販売比率!AV69</f>
        <v>0</v>
      </c>
      <c r="AZ244" s="39"/>
      <c r="BA244" s="81">
        <f>$H$172*月別販売比率!BA69</f>
        <v>0</v>
      </c>
      <c r="BB244" s="39"/>
      <c r="BC244" s="81">
        <f>$H$172*月別販売比率!BF69</f>
        <v>0</v>
      </c>
      <c r="BD244" s="39"/>
      <c r="BE244" s="245">
        <f>$H$172*月別販売比率!C85</f>
        <v>0</v>
      </c>
      <c r="BF244" s="280">
        <v>60</v>
      </c>
      <c r="BG244" s="81">
        <f>$H$172*月別販売比率!H85</f>
        <v>0</v>
      </c>
      <c r="BH244" s="39"/>
      <c r="BI244" s="81">
        <f>$H$172*月別販売比率!M85</f>
        <v>0</v>
      </c>
      <c r="BJ244" s="39"/>
      <c r="BK244" s="81">
        <f>$H$172*月別販売比率!R85</f>
        <v>0</v>
      </c>
      <c r="BL244" s="39"/>
      <c r="BM244" s="81">
        <f>$H$172*月別販売比率!W85</f>
        <v>0</v>
      </c>
      <c r="BN244" s="39"/>
      <c r="BO244" s="245">
        <f>$H$172*月別販売比率!AB85</f>
        <v>0</v>
      </c>
      <c r="BP244" s="280">
        <v>100</v>
      </c>
      <c r="BQ244" s="245">
        <f>$H$172*月別販売比率!AG85</f>
        <v>0</v>
      </c>
      <c r="BR244" s="280"/>
      <c r="BS244" s="81">
        <f>$H$172*月別販売比率!AL85</f>
        <v>0</v>
      </c>
      <c r="BT244" s="39"/>
      <c r="BU244" s="81">
        <f>$H$172*月別販売比率!AQ85</f>
        <v>0</v>
      </c>
      <c r="BV244" s="39"/>
      <c r="BW244" s="81">
        <f>$H$172*月別販売比率!AV85</f>
        <v>0</v>
      </c>
      <c r="BX244" s="39"/>
      <c r="BY244" s="245">
        <f>$H$172*月別販売比率!BA85</f>
        <v>0</v>
      </c>
      <c r="BZ244" s="280">
        <v>30</v>
      </c>
      <c r="CA244" s="81">
        <f>$H$172*月別販売比率!BF85</f>
        <v>0</v>
      </c>
      <c r="CB244" s="39"/>
      <c r="CC244" s="245">
        <f>H244*月別販売比率!$C$21</f>
        <v>0</v>
      </c>
      <c r="CD244" s="280">
        <v>30</v>
      </c>
      <c r="CE244" s="81">
        <f>H244*月別販売比率!$H$21</f>
        <v>0</v>
      </c>
      <c r="CF244" s="39"/>
      <c r="CG244" s="81">
        <f>H244*月別販売比率!$M$21</f>
        <v>0</v>
      </c>
      <c r="CH244" s="39"/>
      <c r="CI244" s="570">
        <f>H244*月別販売比率!$R$21</f>
        <v>0</v>
      </c>
      <c r="CJ244" s="571"/>
      <c r="CK244" s="570">
        <f>H244*月別販売比率!$W$21</f>
        <v>0</v>
      </c>
      <c r="CL244" s="571"/>
      <c r="CM244" s="570">
        <f>H244*月別販売比率!$AB$21</f>
        <v>0</v>
      </c>
      <c r="CN244" s="571"/>
      <c r="CO244" s="570">
        <f>H244*月別販売比率!$AG$21</f>
        <v>0</v>
      </c>
      <c r="CP244" s="571"/>
      <c r="CQ244" s="570">
        <f>H244*月別販売比率!$AL$21</f>
        <v>0</v>
      </c>
      <c r="CR244" s="571"/>
      <c r="CS244" s="570">
        <f>H244*月別販売比率!$AQ$21</f>
        <v>0</v>
      </c>
      <c r="CT244" s="571"/>
      <c r="CU244" s="570">
        <f>H244*月別販売比率!$AV$21</f>
        <v>0</v>
      </c>
      <c r="CV244" s="571"/>
      <c r="CW244" s="570">
        <f>H244*月別販売比率!$BA$21</f>
        <v>0</v>
      </c>
      <c r="CX244" s="571"/>
      <c r="CY244" s="570">
        <f>H244*月別販売比率!$BF$21</f>
        <v>0</v>
      </c>
      <c r="CZ244" s="571"/>
      <c r="DA244" s="568"/>
      <c r="DB244" s="569"/>
    </row>
    <row r="245" spans="2:106" ht="30.75" customHeight="1">
      <c r="B245" s="25"/>
      <c r="C245" s="457"/>
      <c r="D245" s="441"/>
      <c r="E245" s="94" t="s">
        <v>47</v>
      </c>
      <c r="G245" s="46">
        <f t="shared" ref="G245:G252" si="343">F245*3080</f>
        <v>0</v>
      </c>
      <c r="H245" s="45">
        <f>F245*($H$171/$F$171)</f>
        <v>0</v>
      </c>
      <c r="I245" s="46">
        <f t="shared" ref="I245:I252" si="344">H245*3080</f>
        <v>0</v>
      </c>
      <c r="J245" s="49"/>
      <c r="K245" s="39">
        <f t="shared" si="339"/>
        <v>0</v>
      </c>
      <c r="L245" s="39"/>
      <c r="M245" s="39"/>
      <c r="N245" s="42"/>
      <c r="O245" s="19"/>
      <c r="P245" s="19"/>
      <c r="Q245" s="330"/>
      <c r="R245" s="124"/>
      <c r="S245" s="345"/>
      <c r="T245" s="345"/>
      <c r="U245" s="331">
        <v>45392</v>
      </c>
      <c r="V245" s="124"/>
      <c r="W245" s="124"/>
      <c r="X245" s="124"/>
      <c r="Y245" s="328"/>
      <c r="Z245" s="124"/>
      <c r="AA245" s="328"/>
      <c r="AB245" s="328"/>
      <c r="AC245" s="328"/>
      <c r="AD245" s="330"/>
      <c r="AE245" s="330"/>
      <c r="AF245" s="330"/>
      <c r="AG245" s="330"/>
      <c r="AH245" s="330"/>
      <c r="AI245" s="129">
        <f t="shared" si="342"/>
        <v>0</v>
      </c>
      <c r="AJ245" s="129">
        <f t="shared" si="330"/>
        <v>0</v>
      </c>
      <c r="AK245" s="129">
        <f t="shared" si="331"/>
        <v>0</v>
      </c>
      <c r="AL245" s="399">
        <f t="shared" si="332"/>
        <v>0</v>
      </c>
      <c r="AM245" s="393">
        <f t="shared" si="333"/>
        <v>0</v>
      </c>
      <c r="AN245" s="393">
        <f t="shared" si="334"/>
        <v>0</v>
      </c>
      <c r="AO245" s="393">
        <f t="shared" si="335"/>
        <v>0</v>
      </c>
      <c r="AP245" s="96">
        <f t="shared" si="336"/>
        <v>0</v>
      </c>
      <c r="AQ245" s="91">
        <f t="shared" si="337"/>
        <v>0</v>
      </c>
      <c r="AR245" s="198"/>
      <c r="AS245" s="81">
        <f>$H$173*月別販売比率!AG69</f>
        <v>0</v>
      </c>
      <c r="AT245" s="21"/>
      <c r="AU245" s="81">
        <f>$H$173*月別販売比率!AL69</f>
        <v>0</v>
      </c>
      <c r="AV245" s="21"/>
      <c r="AW245" s="81">
        <f>$H$173*月別販売比率!AQ69</f>
        <v>0</v>
      </c>
      <c r="AX245" s="21"/>
      <c r="AY245" s="81">
        <f>$H$173*月別販売比率!AV69</f>
        <v>0</v>
      </c>
      <c r="AZ245" s="21"/>
      <c r="BA245" s="81">
        <f>$H$173*月別販売比率!BA69</f>
        <v>0</v>
      </c>
      <c r="BB245" s="21"/>
      <c r="BC245" s="81">
        <f>$H$173*月別販売比率!BF69</f>
        <v>0</v>
      </c>
      <c r="BD245" s="21"/>
      <c r="BE245" s="245">
        <f>$H$173*月別販売比率!C85</f>
        <v>0</v>
      </c>
      <c r="BF245" s="241">
        <v>90</v>
      </c>
      <c r="BG245" s="81">
        <f>$H$173*月別販売比率!H85</f>
        <v>0</v>
      </c>
      <c r="BH245" s="21"/>
      <c r="BI245" s="81">
        <f>$H$173*月別販売比率!M85</f>
        <v>0</v>
      </c>
      <c r="BJ245" s="21"/>
      <c r="BK245" s="81">
        <f>$H$173*月別販売比率!R85</f>
        <v>0</v>
      </c>
      <c r="BL245" s="21"/>
      <c r="BM245" s="81">
        <f>$H$173*月別販売比率!W85</f>
        <v>0</v>
      </c>
      <c r="BN245" s="21"/>
      <c r="BO245" s="245">
        <f>$H$173*月別販売比率!AB85</f>
        <v>0</v>
      </c>
      <c r="BP245" s="241">
        <v>15</v>
      </c>
      <c r="BQ245" s="245">
        <f>$H$173*月別販売比率!AG85</f>
        <v>0</v>
      </c>
      <c r="BR245" s="241"/>
      <c r="BS245" s="81">
        <f>$H$173*月別販売比率!AL85</f>
        <v>0</v>
      </c>
      <c r="BT245" s="21"/>
      <c r="BU245" s="81">
        <f>$H$173*月別販売比率!AQ85</f>
        <v>0</v>
      </c>
      <c r="BV245" s="21"/>
      <c r="BW245" s="81">
        <f>$H$173*月別販売比率!AV85</f>
        <v>0</v>
      </c>
      <c r="BX245" s="21"/>
      <c r="BY245" s="245">
        <f>$H$173*月別販売比率!BA85</f>
        <v>0</v>
      </c>
      <c r="BZ245" s="241">
        <v>40</v>
      </c>
      <c r="CA245" s="81">
        <f>$H$173*月別販売比率!BF85</f>
        <v>0</v>
      </c>
      <c r="CB245" s="21"/>
      <c r="CC245" s="245">
        <f>H245*月別販売比率!$C$21</f>
        <v>0</v>
      </c>
      <c r="CD245" s="241">
        <v>40</v>
      </c>
      <c r="CE245" s="81">
        <f>H245*月別販売比率!$H$21</f>
        <v>0</v>
      </c>
      <c r="CF245" s="21"/>
      <c r="CG245" s="81">
        <f>H245*月別販売比率!$M$21</f>
        <v>0</v>
      </c>
      <c r="CH245" s="21"/>
      <c r="CI245" s="81">
        <f>H245*月別販売比率!$R$21</f>
        <v>0</v>
      </c>
      <c r="CJ245" s="21"/>
      <c r="CK245" s="81">
        <f>H245*月別販売比率!$W$21</f>
        <v>0</v>
      </c>
      <c r="CL245" s="21"/>
      <c r="CM245" s="81">
        <f>H245*月別販売比率!$AB$21</f>
        <v>0</v>
      </c>
      <c r="CN245" s="21"/>
      <c r="CO245" s="81">
        <f>H245*月別販売比率!$AG$21</f>
        <v>0</v>
      </c>
      <c r="CP245" s="21"/>
      <c r="CQ245" s="81">
        <f>H245*月別販売比率!$AL$21</f>
        <v>0</v>
      </c>
      <c r="CR245" s="21"/>
      <c r="CS245" s="81">
        <f>H245*月別販売比率!$AQ$21</f>
        <v>0</v>
      </c>
      <c r="CT245" s="21"/>
      <c r="CU245" s="81">
        <f>H245*月別販売比率!$AV$21</f>
        <v>0</v>
      </c>
      <c r="CV245" s="21"/>
      <c r="CW245" s="81">
        <f>H245*月別販売比率!$BA$21</f>
        <v>0</v>
      </c>
      <c r="CX245" s="21"/>
      <c r="CY245" s="81">
        <f>H245*月別販売比率!$BF$21</f>
        <v>0</v>
      </c>
      <c r="CZ245" s="21"/>
      <c r="DA245" s="28"/>
      <c r="DB245" s="294"/>
    </row>
    <row r="246" spans="2:106" ht="30.75" customHeight="1">
      <c r="B246" s="25"/>
      <c r="C246" s="457"/>
      <c r="D246" s="441"/>
      <c r="E246" s="94" t="s">
        <v>51</v>
      </c>
      <c r="G246" s="46">
        <f t="shared" si="343"/>
        <v>0</v>
      </c>
      <c r="H246" s="45">
        <f>F246*($H$171/$F$171)</f>
        <v>0</v>
      </c>
      <c r="I246" s="46">
        <f t="shared" si="344"/>
        <v>0</v>
      </c>
      <c r="J246" s="9"/>
      <c r="K246" s="21">
        <f t="shared" si="339"/>
        <v>0</v>
      </c>
      <c r="L246" s="21"/>
      <c r="M246" s="39"/>
      <c r="N246" s="42"/>
      <c r="O246" s="19"/>
      <c r="P246" s="19"/>
      <c r="Q246" s="330"/>
      <c r="R246" s="124"/>
      <c r="S246" s="345"/>
      <c r="T246" s="345"/>
      <c r="U246" s="331">
        <v>45392</v>
      </c>
      <c r="V246" s="124"/>
      <c r="W246" s="124"/>
      <c r="X246" s="124"/>
      <c r="Y246" s="124"/>
      <c r="Z246" s="124"/>
      <c r="AA246" s="328"/>
      <c r="AB246" s="124"/>
      <c r="AC246" s="328"/>
      <c r="AD246" s="328"/>
      <c r="AE246" s="124"/>
      <c r="AF246" s="124"/>
      <c r="AG246" s="124"/>
      <c r="AH246" s="124"/>
      <c r="AI246" s="129">
        <f t="shared" si="342"/>
        <v>0</v>
      </c>
      <c r="AJ246" s="129">
        <f t="shared" si="330"/>
        <v>0</v>
      </c>
      <c r="AK246" s="129">
        <f t="shared" si="331"/>
        <v>0</v>
      </c>
      <c r="AL246" s="399">
        <f t="shared" si="332"/>
        <v>0</v>
      </c>
      <c r="AM246" s="393">
        <f t="shared" si="333"/>
        <v>0</v>
      </c>
      <c r="AN246" s="393">
        <f t="shared" si="334"/>
        <v>0</v>
      </c>
      <c r="AO246" s="393">
        <f t="shared" si="335"/>
        <v>0</v>
      </c>
      <c r="AP246" s="96">
        <f t="shared" si="336"/>
        <v>0</v>
      </c>
      <c r="AQ246" s="91">
        <f t="shared" si="337"/>
        <v>0</v>
      </c>
      <c r="AR246" s="198"/>
      <c r="AS246" s="81">
        <f>$H$174*月別販売比率!AG69</f>
        <v>0</v>
      </c>
      <c r="AT246" s="21"/>
      <c r="AU246" s="81">
        <f>$H$174*月別販売比率!AL69</f>
        <v>0</v>
      </c>
      <c r="AV246" s="21"/>
      <c r="AW246" s="81">
        <f>$H$174*月別販売比率!AQ69</f>
        <v>0</v>
      </c>
      <c r="AX246" s="21"/>
      <c r="AY246" s="81">
        <f>$H$174*月別販売比率!AV69</f>
        <v>0</v>
      </c>
      <c r="AZ246" s="21"/>
      <c r="BA246" s="81">
        <f>$H$174*月別販売比率!BA69</f>
        <v>0</v>
      </c>
      <c r="BB246" s="21"/>
      <c r="BC246" s="81">
        <f>$H$174*月別販売比率!BF69</f>
        <v>0</v>
      </c>
      <c r="BD246" s="21"/>
      <c r="BE246" s="245">
        <f>$H$174*月別販売比率!C85</f>
        <v>0</v>
      </c>
      <c r="BF246" s="241">
        <v>75</v>
      </c>
      <c r="BG246" s="81">
        <f>$H$174*月別販売比率!H85</f>
        <v>0</v>
      </c>
      <c r="BH246" s="21"/>
      <c r="BI246" s="81">
        <f>$H$174*月別販売比率!M85</f>
        <v>0</v>
      </c>
      <c r="BJ246" s="21"/>
      <c r="BK246" s="81">
        <f>$H$174*月別販売比率!R85</f>
        <v>0</v>
      </c>
      <c r="BL246" s="21"/>
      <c r="BM246" s="81">
        <f>$H$174*月別販売比率!W85</f>
        <v>0</v>
      </c>
      <c r="BN246" s="21"/>
      <c r="BO246" s="245">
        <f>$H$174*月別販売比率!AB85</f>
        <v>0</v>
      </c>
      <c r="BP246" s="241">
        <v>65</v>
      </c>
      <c r="BQ246" s="245">
        <f>$H$174*月別販売比率!AG85</f>
        <v>0</v>
      </c>
      <c r="BR246" s="241"/>
      <c r="BS246" s="81">
        <f>$H$174*月別販売比率!AL85</f>
        <v>0</v>
      </c>
      <c r="BT246" s="21"/>
      <c r="BU246" s="81">
        <f>$H$174*月別販売比率!AQ85</f>
        <v>0</v>
      </c>
      <c r="BV246" s="21"/>
      <c r="BW246" s="81">
        <f>$H$174*月別販売比率!AV85</f>
        <v>0</v>
      </c>
      <c r="BX246" s="21"/>
      <c r="BY246" s="245">
        <f>$H$174*月別販売比率!BA85</f>
        <v>0</v>
      </c>
      <c r="BZ246" s="241">
        <v>35</v>
      </c>
      <c r="CA246" s="81">
        <f>$H$174*月別販売比率!BF85</f>
        <v>0</v>
      </c>
      <c r="CB246" s="21"/>
      <c r="CC246" s="245">
        <f>H246*月別販売比率!$C$21</f>
        <v>0</v>
      </c>
      <c r="CD246" s="241">
        <v>35</v>
      </c>
      <c r="CE246" s="81">
        <f>H246*月別販売比率!$H$21</f>
        <v>0</v>
      </c>
      <c r="CF246" s="21"/>
      <c r="CG246" s="81">
        <f>H246*月別販売比率!$M$21</f>
        <v>0</v>
      </c>
      <c r="CH246" s="21"/>
      <c r="CI246" s="81">
        <f>H246*月別販売比率!$R$21</f>
        <v>0</v>
      </c>
      <c r="CJ246" s="21"/>
      <c r="CK246" s="81">
        <f>H246*月別販売比率!$W$21</f>
        <v>0</v>
      </c>
      <c r="CL246" s="21"/>
      <c r="CM246" s="81">
        <f>H246*月別販売比率!$AB$21</f>
        <v>0</v>
      </c>
      <c r="CN246" s="21"/>
      <c r="CO246" s="81">
        <f>H246*月別販売比率!$AG$21</f>
        <v>0</v>
      </c>
      <c r="CP246" s="21"/>
      <c r="CQ246" s="81">
        <f>H246*月別販売比率!$AL$21</f>
        <v>0</v>
      </c>
      <c r="CR246" s="21"/>
      <c r="CS246" s="81">
        <f>H246*月別販売比率!$AQ$21</f>
        <v>0</v>
      </c>
      <c r="CT246" s="21"/>
      <c r="CU246" s="81">
        <f>H246*月別販売比率!$AV$21</f>
        <v>0</v>
      </c>
      <c r="CV246" s="21"/>
      <c r="CW246" s="81">
        <f>H246*月別販売比率!$BA$21</f>
        <v>0</v>
      </c>
      <c r="CX246" s="21"/>
      <c r="CY246" s="81">
        <f>H246*月別販売比率!$BF$21</f>
        <v>0</v>
      </c>
      <c r="CZ246" s="21"/>
      <c r="DA246" s="28"/>
      <c r="DB246" s="294"/>
    </row>
    <row r="247" spans="2:106" ht="30.75" customHeight="1">
      <c r="B247" s="25"/>
      <c r="C247" s="457"/>
      <c r="D247" s="442"/>
      <c r="E247" s="94" t="s">
        <v>49</v>
      </c>
      <c r="G247" s="46">
        <f t="shared" si="343"/>
        <v>0</v>
      </c>
      <c r="H247" s="45">
        <f>F247*($H$171/$F$171)</f>
        <v>0</v>
      </c>
      <c r="I247" s="46">
        <f t="shared" si="344"/>
        <v>0</v>
      </c>
      <c r="J247" s="9"/>
      <c r="K247" s="21">
        <f t="shared" si="339"/>
        <v>0</v>
      </c>
      <c r="L247" s="21"/>
      <c r="M247" s="39"/>
      <c r="N247" s="42"/>
      <c r="O247" s="19"/>
      <c r="P247" s="19"/>
      <c r="Q247" s="330"/>
      <c r="R247" s="124"/>
      <c r="S247" s="129"/>
      <c r="T247" s="129"/>
      <c r="U247" s="129"/>
      <c r="V247" s="328"/>
      <c r="W247" s="328"/>
      <c r="X247" s="328"/>
      <c r="Y247" s="328"/>
      <c r="Z247" s="124"/>
      <c r="AA247" s="328"/>
      <c r="AB247" s="328"/>
      <c r="AC247" s="328"/>
      <c r="AD247" s="328"/>
      <c r="AE247" s="328"/>
      <c r="AF247" s="328"/>
      <c r="AG247" s="124"/>
      <c r="AH247" s="124"/>
      <c r="AI247" s="129">
        <f t="shared" si="342"/>
        <v>0</v>
      </c>
      <c r="AJ247" s="129">
        <f t="shared" si="330"/>
        <v>0</v>
      </c>
      <c r="AK247" s="129">
        <f t="shared" si="331"/>
        <v>0</v>
      </c>
      <c r="AL247" s="399">
        <f t="shared" si="332"/>
        <v>0</v>
      </c>
      <c r="AM247" s="393">
        <f t="shared" si="333"/>
        <v>0</v>
      </c>
      <c r="AN247" s="393">
        <f t="shared" si="334"/>
        <v>0</v>
      </c>
      <c r="AO247" s="393">
        <f t="shared" si="335"/>
        <v>0</v>
      </c>
      <c r="AP247" s="96">
        <f t="shared" si="336"/>
        <v>0</v>
      </c>
      <c r="AQ247" s="91">
        <f t="shared" si="337"/>
        <v>0</v>
      </c>
      <c r="AR247" s="198"/>
      <c r="AS247" s="81">
        <f>$H$175*月別販売比率!AG69</f>
        <v>0</v>
      </c>
      <c r="AT247" s="21"/>
      <c r="AU247" s="81">
        <f>$H$175*月別販売比率!AL69</f>
        <v>0</v>
      </c>
      <c r="AV247" s="21"/>
      <c r="AW247" s="81">
        <f>$H$175*月別販売比率!AQ69</f>
        <v>0</v>
      </c>
      <c r="AX247" s="21"/>
      <c r="AY247" s="81">
        <f>$H$175*月別販売比率!AV69</f>
        <v>0</v>
      </c>
      <c r="AZ247" s="21"/>
      <c r="BA247" s="81">
        <f>$H$175*月別販売比率!BA69</f>
        <v>0</v>
      </c>
      <c r="BB247" s="21"/>
      <c r="BC247" s="81">
        <f>$H$175*月別販売比率!BF69</f>
        <v>0</v>
      </c>
      <c r="BD247" s="21"/>
      <c r="BE247" s="245">
        <f>$H$175*月別販売比率!C85</f>
        <v>0</v>
      </c>
      <c r="BF247" s="241">
        <v>60</v>
      </c>
      <c r="BG247" s="81">
        <f>$H$175*月別販売比率!H85</f>
        <v>0</v>
      </c>
      <c r="BH247" s="21"/>
      <c r="BI247" s="81">
        <f>$H$175*月別販売比率!M85</f>
        <v>0</v>
      </c>
      <c r="BJ247" s="21"/>
      <c r="BK247" s="81">
        <f>$H$175*月別販売比率!R85</f>
        <v>0</v>
      </c>
      <c r="BL247" s="21"/>
      <c r="BM247" s="81">
        <f>$H$175*月別販売比率!W85</f>
        <v>0</v>
      </c>
      <c r="BN247" s="21"/>
      <c r="BO247" s="245">
        <f>$H$175*月別販売比率!AB85</f>
        <v>0</v>
      </c>
      <c r="BP247" s="241">
        <v>10</v>
      </c>
      <c r="BQ247" s="245">
        <f>$H$175*月別販売比率!AG85</f>
        <v>0</v>
      </c>
      <c r="BR247" s="241"/>
      <c r="BS247" s="81">
        <f>$H$175*月別販売比率!AL85</f>
        <v>0</v>
      </c>
      <c r="BT247" s="21"/>
      <c r="BU247" s="81">
        <f>$H$175*月別販売比率!AQ85</f>
        <v>0</v>
      </c>
      <c r="BV247" s="21"/>
      <c r="BW247" s="81">
        <f>$H$175*月別販売比率!AV85</f>
        <v>0</v>
      </c>
      <c r="BX247" s="21"/>
      <c r="BY247" s="245">
        <f>$H$175*月別販売比率!BA85</f>
        <v>0</v>
      </c>
      <c r="BZ247" s="241">
        <v>25</v>
      </c>
      <c r="CA247" s="81">
        <f>$H$175*月別販売比率!BF85</f>
        <v>0</v>
      </c>
      <c r="CB247" s="21"/>
      <c r="CC247" s="245">
        <f>H247*月別販売比率!$C$21</f>
        <v>0</v>
      </c>
      <c r="CD247" s="241">
        <v>25</v>
      </c>
      <c r="CE247" s="81">
        <f>H247*月別販売比率!$H$21</f>
        <v>0</v>
      </c>
      <c r="CF247" s="21"/>
      <c r="CG247" s="81">
        <f>H247*月別販売比率!$M$21</f>
        <v>0</v>
      </c>
      <c r="CH247" s="21"/>
      <c r="CI247" s="81">
        <f>H247*月別販売比率!$R$21</f>
        <v>0</v>
      </c>
      <c r="CJ247" s="21"/>
      <c r="CK247" s="81">
        <f>H247*月別販売比率!$W$21</f>
        <v>0</v>
      </c>
      <c r="CL247" s="21"/>
      <c r="CM247" s="81">
        <f>H247*月別販売比率!$AB$21</f>
        <v>0</v>
      </c>
      <c r="CN247" s="21"/>
      <c r="CO247" s="81">
        <f>H247*月別販売比率!$AG$21</f>
        <v>0</v>
      </c>
      <c r="CP247" s="21"/>
      <c r="CQ247" s="81">
        <f>H247*月別販売比率!$AL$21</f>
        <v>0</v>
      </c>
      <c r="CR247" s="21"/>
      <c r="CS247" s="81">
        <f>H247*月別販売比率!$AQ$21</f>
        <v>0</v>
      </c>
      <c r="CT247" s="21"/>
      <c r="CU247" s="81">
        <f>H247*月別販売比率!$AV$21</f>
        <v>0</v>
      </c>
      <c r="CV247" s="21"/>
      <c r="CW247" s="81">
        <f>H247*月別販売比率!$BA$21</f>
        <v>0</v>
      </c>
      <c r="CX247" s="21"/>
      <c r="CY247" s="81">
        <f>H247*月別販売比率!$BF$21</f>
        <v>0</v>
      </c>
      <c r="CZ247" s="21"/>
      <c r="DA247" s="28"/>
      <c r="DB247" s="294"/>
    </row>
    <row r="248" spans="2:106" ht="30.75" customHeight="1">
      <c r="B248" s="25"/>
      <c r="C248" s="457"/>
      <c r="D248" s="443">
        <v>3</v>
      </c>
      <c r="E248" s="99" t="s">
        <v>275</v>
      </c>
      <c r="G248" s="46">
        <f t="shared" si="343"/>
        <v>0</v>
      </c>
      <c r="H248" s="45">
        <f>F248*($H$171/$F$171)</f>
        <v>0</v>
      </c>
      <c r="I248" s="46">
        <f t="shared" si="344"/>
        <v>0</v>
      </c>
      <c r="J248" s="9"/>
      <c r="K248" s="21">
        <f t="shared" si="339"/>
        <v>0</v>
      </c>
      <c r="L248" s="21"/>
      <c r="M248" s="39"/>
      <c r="N248" s="42"/>
      <c r="O248" s="19"/>
      <c r="P248" s="19"/>
      <c r="Q248" s="330"/>
      <c r="R248" s="124"/>
      <c r="S248" s="129"/>
      <c r="T248" s="129"/>
      <c r="U248" s="129"/>
      <c r="V248" s="124"/>
      <c r="W248" s="124"/>
      <c r="X248" s="124"/>
      <c r="Y248" s="124"/>
      <c r="Z248" s="124"/>
      <c r="AA248" s="328"/>
      <c r="AB248" s="124"/>
      <c r="AC248" s="124"/>
      <c r="AD248" s="124"/>
      <c r="AE248" s="124"/>
      <c r="AF248" s="124"/>
      <c r="AG248" s="124"/>
      <c r="AH248" s="124"/>
      <c r="AI248" s="129">
        <f t="shared" si="342"/>
        <v>0</v>
      </c>
      <c r="AJ248" s="129">
        <f t="shared" si="330"/>
        <v>0</v>
      </c>
      <c r="AK248" s="129">
        <f t="shared" si="331"/>
        <v>0</v>
      </c>
      <c r="AL248" s="399">
        <f t="shared" si="332"/>
        <v>0</v>
      </c>
      <c r="AM248" s="393">
        <f t="shared" si="333"/>
        <v>0</v>
      </c>
      <c r="AN248" s="393">
        <f t="shared" si="334"/>
        <v>0</v>
      </c>
      <c r="AO248" s="393">
        <f t="shared" si="335"/>
        <v>0</v>
      </c>
      <c r="AP248" s="96">
        <f t="shared" si="336"/>
        <v>0</v>
      </c>
      <c r="AQ248" s="91">
        <f t="shared" si="337"/>
        <v>0</v>
      </c>
      <c r="AR248" s="198"/>
      <c r="AS248" s="81">
        <f>$H$176*月別販売比率!AG69</f>
        <v>0</v>
      </c>
      <c r="AT248" s="21"/>
      <c r="AU248" s="81">
        <f>$H$176*月別販売比率!AL69</f>
        <v>0</v>
      </c>
      <c r="AV248" s="21"/>
      <c r="AW248" s="81">
        <f>$H$176*月別販売比率!AQ69</f>
        <v>0</v>
      </c>
      <c r="AX248" s="21"/>
      <c r="AY248" s="81">
        <f>$H$176*月別販売比率!AV69</f>
        <v>0</v>
      </c>
      <c r="AZ248" s="21"/>
      <c r="BA248" s="81">
        <f>$H$176*月別販売比率!BA69</f>
        <v>0</v>
      </c>
      <c r="BB248" s="21"/>
      <c r="BC248" s="81">
        <f>$H$176*月別販売比率!BF69</f>
        <v>0</v>
      </c>
      <c r="BD248" s="21"/>
      <c r="BE248" s="245">
        <f>$H$176*月別販売比率!C85</f>
        <v>0</v>
      </c>
      <c r="BF248" s="241">
        <v>15</v>
      </c>
      <c r="BG248" s="81">
        <f>$H$176*月別販売比率!H85</f>
        <v>0</v>
      </c>
      <c r="BH248" s="21"/>
      <c r="BI248" s="81">
        <f>$H$176*月別販売比率!M85</f>
        <v>0</v>
      </c>
      <c r="BJ248" s="21"/>
      <c r="BK248" s="81">
        <f>$H$176*月別販売比率!R85</f>
        <v>0</v>
      </c>
      <c r="BL248" s="21"/>
      <c r="BM248" s="81">
        <f>$H$176*月別販売比率!W85</f>
        <v>0</v>
      </c>
      <c r="BN248" s="21"/>
      <c r="BO248" s="245">
        <f>$H$176*月別販売比率!AB85</f>
        <v>0</v>
      </c>
      <c r="BP248" s="241">
        <v>25</v>
      </c>
      <c r="BQ248" s="245">
        <f>$H$176*月別販売比率!AG85</f>
        <v>0</v>
      </c>
      <c r="BR248" s="241"/>
      <c r="BS248" s="81">
        <f>$H$176*月別販売比率!AL85</f>
        <v>0</v>
      </c>
      <c r="BT248" s="21"/>
      <c r="BU248" s="81">
        <f>$H$176*月別販売比率!AQ85</f>
        <v>0</v>
      </c>
      <c r="BV248" s="21"/>
      <c r="BW248" s="81">
        <f>$H$176*月別販売比率!AV85</f>
        <v>0</v>
      </c>
      <c r="BX248" s="21"/>
      <c r="BY248" s="245">
        <f>$H$176*月別販売比率!BA85</f>
        <v>0</v>
      </c>
      <c r="BZ248" s="241">
        <v>5</v>
      </c>
      <c r="CA248" s="81">
        <f>$H$176*月別販売比率!BF85</f>
        <v>0</v>
      </c>
      <c r="CB248" s="21"/>
      <c r="CC248" s="245">
        <f>H248*月別販売比率!$C$21</f>
        <v>0</v>
      </c>
      <c r="CD248" s="241">
        <v>5</v>
      </c>
      <c r="CE248" s="81">
        <f>H248*月別販売比率!$H$21</f>
        <v>0</v>
      </c>
      <c r="CF248" s="21"/>
      <c r="CG248" s="81">
        <f>H248*月別販売比率!$M$21</f>
        <v>0</v>
      </c>
      <c r="CH248" s="21"/>
      <c r="CI248" s="81">
        <f>H248*月別販売比率!$R$21</f>
        <v>0</v>
      </c>
      <c r="CJ248" s="21"/>
      <c r="CK248" s="81">
        <f>H248*月別販売比率!$W$21</f>
        <v>0</v>
      </c>
      <c r="CL248" s="21"/>
      <c r="CM248" s="81">
        <f>H248*月別販売比率!$AB$21</f>
        <v>0</v>
      </c>
      <c r="CN248" s="21"/>
      <c r="CO248" s="81">
        <f>H248*月別販売比率!$AG$21</f>
        <v>0</v>
      </c>
      <c r="CP248" s="21"/>
      <c r="CQ248" s="81">
        <f>H248*月別販売比率!$AL$21</f>
        <v>0</v>
      </c>
      <c r="CR248" s="21"/>
      <c r="CS248" s="81">
        <f>H248*月別販売比率!$AQ$21</f>
        <v>0</v>
      </c>
      <c r="CT248" s="21"/>
      <c r="CU248" s="81">
        <f>H248*月別販売比率!$AV$21</f>
        <v>0</v>
      </c>
      <c r="CV248" s="21"/>
      <c r="CW248" s="81">
        <f>H248*月別販売比率!$BA$21</f>
        <v>0</v>
      </c>
      <c r="CX248" s="21"/>
      <c r="CY248" s="81">
        <f>H248*月別販売比率!$BF$21</f>
        <v>0</v>
      </c>
      <c r="CZ248" s="21"/>
      <c r="DA248" s="28"/>
      <c r="DB248" s="294"/>
    </row>
    <row r="249" spans="2:106" ht="30.75" customHeight="1">
      <c r="B249" s="25"/>
      <c r="C249" s="457"/>
      <c r="D249" s="441"/>
      <c r="E249" s="99" t="s">
        <v>46</v>
      </c>
      <c r="G249" s="46">
        <f t="shared" si="343"/>
        <v>0</v>
      </c>
      <c r="H249" s="45">
        <f>F249*($H$171/$F$171)</f>
        <v>0</v>
      </c>
      <c r="I249" s="46">
        <f t="shared" si="344"/>
        <v>0</v>
      </c>
      <c r="J249" s="278"/>
      <c r="K249" s="21">
        <f t="shared" si="339"/>
        <v>0</v>
      </c>
      <c r="L249" s="79"/>
      <c r="M249" s="39"/>
      <c r="N249" s="42"/>
      <c r="O249" s="288"/>
      <c r="P249" s="288"/>
      <c r="Q249" s="331">
        <v>45631</v>
      </c>
      <c r="R249" s="124"/>
      <c r="S249" s="129"/>
      <c r="T249" s="129"/>
      <c r="U249" s="129"/>
      <c r="V249" s="124"/>
      <c r="W249" s="124"/>
      <c r="X249" s="124"/>
      <c r="Y249" s="124"/>
      <c r="Z249" s="124"/>
      <c r="AA249" s="328"/>
      <c r="AB249" s="124"/>
      <c r="AC249" s="124"/>
      <c r="AD249" s="124"/>
      <c r="AE249" s="124"/>
      <c r="AF249" s="124"/>
      <c r="AG249" s="124"/>
      <c r="AH249" s="124"/>
      <c r="AI249" s="129">
        <f t="shared" si="342"/>
        <v>0</v>
      </c>
      <c r="AJ249" s="129">
        <f t="shared" si="330"/>
        <v>0</v>
      </c>
      <c r="AK249" s="129">
        <f t="shared" si="331"/>
        <v>0</v>
      </c>
      <c r="AL249" s="399">
        <f t="shared" si="332"/>
        <v>0</v>
      </c>
      <c r="AM249" s="393">
        <f t="shared" si="333"/>
        <v>0</v>
      </c>
      <c r="AN249" s="393">
        <f t="shared" si="334"/>
        <v>0</v>
      </c>
      <c r="AO249" s="393">
        <f t="shared" si="335"/>
        <v>0</v>
      </c>
      <c r="AP249" s="96">
        <f t="shared" si="336"/>
        <v>0</v>
      </c>
      <c r="AQ249" s="91">
        <f t="shared" si="337"/>
        <v>0</v>
      </c>
      <c r="AR249" s="198"/>
      <c r="AS249" s="81">
        <f>$H$177*月別販売比率!AG69</f>
        <v>0</v>
      </c>
      <c r="AT249" s="21"/>
      <c r="AU249" s="81">
        <f>$H$177*月別販売比率!AL69</f>
        <v>0</v>
      </c>
      <c r="AV249" s="21"/>
      <c r="AW249" s="81">
        <f>$H$177*月別販売比率!AQ69</f>
        <v>0</v>
      </c>
      <c r="AX249" s="21"/>
      <c r="AY249" s="81">
        <f>$H$177*月別販売比率!AV69</f>
        <v>0</v>
      </c>
      <c r="AZ249" s="21"/>
      <c r="BA249" s="81">
        <f>$H$177*月別販売比率!BA69</f>
        <v>0</v>
      </c>
      <c r="BB249" s="21"/>
      <c r="BC249" s="81">
        <f>$H$177*月別販売比率!BF69</f>
        <v>0</v>
      </c>
      <c r="BD249" s="21"/>
      <c r="BE249" s="245">
        <f>$H$177*月別販売比率!C85</f>
        <v>0</v>
      </c>
      <c r="BF249" s="241">
        <v>60</v>
      </c>
      <c r="BG249" s="81">
        <f>$H$177*月別販売比率!H85</f>
        <v>0</v>
      </c>
      <c r="BH249" s="21"/>
      <c r="BI249" s="81">
        <f>$H$177*月別販売比率!M85</f>
        <v>0</v>
      </c>
      <c r="BJ249" s="21"/>
      <c r="BK249" s="81">
        <f>$H$177*月別販売比率!R85</f>
        <v>0</v>
      </c>
      <c r="BL249" s="21"/>
      <c r="BM249" s="81">
        <f>$H$177*月別販売比率!W85</f>
        <v>0</v>
      </c>
      <c r="BN249" s="21"/>
      <c r="BO249" s="245">
        <f>$H$177*月別販売比率!AB85</f>
        <v>0</v>
      </c>
      <c r="BP249" s="241">
        <v>150</v>
      </c>
      <c r="BQ249" s="245">
        <f>$H$177*月別販売比率!AG85</f>
        <v>0</v>
      </c>
      <c r="BR249" s="241"/>
      <c r="BS249" s="81">
        <f>$H$177*月別販売比率!AL85</f>
        <v>0</v>
      </c>
      <c r="BT249" s="21"/>
      <c r="BU249" s="81">
        <f>$H$177*月別販売比率!AQ85</f>
        <v>0</v>
      </c>
      <c r="BV249" s="21"/>
      <c r="BW249" s="81">
        <f>$H$177*月別販売比率!AV85</f>
        <v>0</v>
      </c>
      <c r="BX249" s="21"/>
      <c r="BY249" s="245">
        <f>$H$177*月別販売比率!BA85</f>
        <v>0</v>
      </c>
      <c r="BZ249" s="241">
        <v>40</v>
      </c>
      <c r="CA249" s="81">
        <f>$H$177*月別販売比率!BF85</f>
        <v>0</v>
      </c>
      <c r="CB249" s="21"/>
      <c r="CC249" s="245">
        <f>H249*月別販売比率!$C$21</f>
        <v>0</v>
      </c>
      <c r="CD249" s="241">
        <v>40</v>
      </c>
      <c r="CE249" s="81">
        <f>H249*月別販売比率!$H$21</f>
        <v>0</v>
      </c>
      <c r="CF249" s="21"/>
      <c r="CG249" s="81">
        <f>H249*月別販売比率!$M$21</f>
        <v>0</v>
      </c>
      <c r="CH249" s="21"/>
      <c r="CI249" s="81">
        <f>H249*月別販売比率!$R$21</f>
        <v>0</v>
      </c>
      <c r="CJ249" s="21"/>
      <c r="CK249" s="81">
        <f>H249*月別販売比率!$W$21</f>
        <v>0</v>
      </c>
      <c r="CL249" s="21"/>
      <c r="CM249" s="81">
        <f>H249*月別販売比率!$AB$21</f>
        <v>0</v>
      </c>
      <c r="CN249" s="21"/>
      <c r="CO249" s="81">
        <f>H249*月別販売比率!$AG$21</f>
        <v>0</v>
      </c>
      <c r="CP249" s="21"/>
      <c r="CQ249" s="81">
        <f>H249*月別販売比率!$AL$21</f>
        <v>0</v>
      </c>
      <c r="CR249" s="21"/>
      <c r="CS249" s="81">
        <f>H249*月別販売比率!$AQ$21</f>
        <v>0</v>
      </c>
      <c r="CT249" s="21"/>
      <c r="CU249" s="81">
        <f>H249*月別販売比率!$AV$21</f>
        <v>0</v>
      </c>
      <c r="CV249" s="21"/>
      <c r="CW249" s="81">
        <f>H249*月別販売比率!$BA$21</f>
        <v>0</v>
      </c>
      <c r="CX249" s="21"/>
      <c r="CY249" s="81">
        <f>H249*月別販売比率!$BF$21</f>
        <v>0</v>
      </c>
      <c r="CZ249" s="21"/>
      <c r="DA249" s="28"/>
      <c r="DB249" s="294"/>
    </row>
    <row r="250" spans="2:106" ht="30.75" customHeight="1">
      <c r="B250" s="25"/>
      <c r="C250" s="457"/>
      <c r="D250" s="441"/>
      <c r="E250" s="94" t="s">
        <v>47</v>
      </c>
      <c r="G250" s="46">
        <f t="shared" si="343"/>
        <v>0</v>
      </c>
      <c r="H250" s="45">
        <f>F250*($H$171/$F$171)</f>
        <v>0</v>
      </c>
      <c r="I250" s="46">
        <f t="shared" si="344"/>
        <v>0</v>
      </c>
      <c r="J250" s="9"/>
      <c r="K250" s="21">
        <f>SUM(L249:N249)</f>
        <v>0</v>
      </c>
      <c r="L250" s="21"/>
      <c r="M250" s="39"/>
      <c r="N250" s="42"/>
      <c r="O250" s="19"/>
      <c r="P250" s="19"/>
      <c r="Q250" s="330"/>
      <c r="R250" s="124"/>
      <c r="S250" s="345"/>
      <c r="T250" s="345"/>
      <c r="U250" s="331">
        <v>45392</v>
      </c>
      <c r="V250" s="328"/>
      <c r="W250" s="331">
        <v>45838</v>
      </c>
      <c r="X250" s="124"/>
      <c r="Y250" s="124"/>
      <c r="Z250" s="124"/>
      <c r="AA250" s="328"/>
      <c r="AB250" s="124"/>
      <c r="AC250" s="124"/>
      <c r="AD250" s="124"/>
      <c r="AE250" s="124"/>
      <c r="AF250" s="124"/>
      <c r="AG250" s="124"/>
      <c r="AH250" s="124"/>
      <c r="AI250" s="129">
        <f t="shared" si="342"/>
        <v>0</v>
      </c>
      <c r="AJ250" s="129">
        <f t="shared" si="330"/>
        <v>0</v>
      </c>
      <c r="AK250" s="129">
        <f t="shared" si="331"/>
        <v>0</v>
      </c>
      <c r="AL250" s="399">
        <f t="shared" si="332"/>
        <v>0</v>
      </c>
      <c r="AM250" s="393">
        <f t="shared" si="333"/>
        <v>0</v>
      </c>
      <c r="AN250" s="393">
        <f t="shared" si="334"/>
        <v>0</v>
      </c>
      <c r="AO250" s="393">
        <f t="shared" si="335"/>
        <v>0</v>
      </c>
      <c r="AP250" s="96">
        <f t="shared" si="336"/>
        <v>0</v>
      </c>
      <c r="AQ250" s="91">
        <f t="shared" si="337"/>
        <v>0</v>
      </c>
      <c r="AR250" s="198"/>
      <c r="AS250" s="81">
        <f>$H$178*月別販売比率!AG69</f>
        <v>0</v>
      </c>
      <c r="AT250" s="21"/>
      <c r="AU250" s="81">
        <f>$H$178*月別販売比率!AL69</f>
        <v>0</v>
      </c>
      <c r="AV250" s="21"/>
      <c r="AW250" s="81">
        <f>$H$178*月別販売比率!AQ69</f>
        <v>0</v>
      </c>
      <c r="AX250" s="21"/>
      <c r="AY250" s="81">
        <f>$H$178*月別販売比率!AV69</f>
        <v>0</v>
      </c>
      <c r="AZ250" s="21"/>
      <c r="BA250" s="81">
        <f>$H$178*月別販売比率!BA69</f>
        <v>0</v>
      </c>
      <c r="BB250" s="21"/>
      <c r="BC250" s="81">
        <f>$H$178*月別販売比率!BF69</f>
        <v>0</v>
      </c>
      <c r="BD250" s="21"/>
      <c r="BE250" s="245">
        <f>$H$178*月別販売比率!C85</f>
        <v>0</v>
      </c>
      <c r="BF250" s="241">
        <v>90</v>
      </c>
      <c r="BG250" s="81">
        <f>$H$178*月別販売比率!H85</f>
        <v>0</v>
      </c>
      <c r="BH250" s="21"/>
      <c r="BI250" s="81">
        <f>$H$178*月別販売比率!M85</f>
        <v>0</v>
      </c>
      <c r="BJ250" s="21"/>
      <c r="BK250" s="81">
        <f>$H$178*月別販売比率!R85</f>
        <v>0</v>
      </c>
      <c r="BL250" s="21"/>
      <c r="BM250" s="81">
        <f>$H$178*月別販売比率!W85</f>
        <v>0</v>
      </c>
      <c r="BN250" s="21"/>
      <c r="BO250" s="245">
        <f>$H$178*月別販売比率!AB85</f>
        <v>0</v>
      </c>
      <c r="BP250" s="241">
        <v>50</v>
      </c>
      <c r="BQ250" s="245">
        <f>$H$178*月別販売比率!AG85</f>
        <v>0</v>
      </c>
      <c r="BR250" s="241"/>
      <c r="BS250" s="81">
        <f>$H$178*月別販売比率!AL85</f>
        <v>0</v>
      </c>
      <c r="BT250" s="21"/>
      <c r="BU250" s="81">
        <f>$H$178*月別販売比率!AQ85</f>
        <v>0</v>
      </c>
      <c r="BV250" s="21"/>
      <c r="BW250" s="81">
        <f>$H$178*月別販売比率!AV85</f>
        <v>0</v>
      </c>
      <c r="BX250" s="21"/>
      <c r="BY250" s="245">
        <f>$H$178*月別販売比率!BA85</f>
        <v>0</v>
      </c>
      <c r="BZ250" s="241">
        <v>50</v>
      </c>
      <c r="CA250" s="81">
        <f>$H$178*月別販売比率!BF85</f>
        <v>0</v>
      </c>
      <c r="CB250" s="21"/>
      <c r="CC250" s="245">
        <f>H250*月別販売比率!$C$21</f>
        <v>0</v>
      </c>
      <c r="CD250" s="241">
        <v>50</v>
      </c>
      <c r="CE250" s="81">
        <f>H250*月別販売比率!$H$21</f>
        <v>0</v>
      </c>
      <c r="CF250" s="21"/>
      <c r="CG250" s="81">
        <f>H250*月別販売比率!$M$21</f>
        <v>0</v>
      </c>
      <c r="CH250" s="21"/>
      <c r="CI250" s="81">
        <f>H250*月別販売比率!$R$21</f>
        <v>0</v>
      </c>
      <c r="CJ250" s="21"/>
      <c r="CK250" s="81">
        <f>H250*月別販売比率!$W$21</f>
        <v>0</v>
      </c>
      <c r="CL250" s="21"/>
      <c r="CM250" s="81">
        <f>H250*月別販売比率!$AB$21</f>
        <v>0</v>
      </c>
      <c r="CN250" s="21"/>
      <c r="CO250" s="81">
        <f>H250*月別販売比率!$AG$21</f>
        <v>0</v>
      </c>
      <c r="CP250" s="21"/>
      <c r="CQ250" s="81">
        <f>H250*月別販売比率!$AL$21</f>
        <v>0</v>
      </c>
      <c r="CR250" s="21"/>
      <c r="CS250" s="81">
        <f>H250*月別販売比率!$AQ$21</f>
        <v>0</v>
      </c>
      <c r="CT250" s="21"/>
      <c r="CU250" s="81">
        <f>H250*月別販売比率!$AV$21</f>
        <v>0</v>
      </c>
      <c r="CV250" s="21"/>
      <c r="CW250" s="81">
        <f>H250*月別販売比率!$BA$21</f>
        <v>0</v>
      </c>
      <c r="CX250" s="21"/>
      <c r="CY250" s="81">
        <f>H250*月別販売比率!$BF$21</f>
        <v>0</v>
      </c>
      <c r="CZ250" s="21"/>
      <c r="DA250" s="28"/>
      <c r="DB250" s="294"/>
    </row>
    <row r="251" spans="2:106" ht="30.75" customHeight="1">
      <c r="B251" s="25"/>
      <c r="C251" s="457"/>
      <c r="D251" s="441"/>
      <c r="E251" s="94" t="s">
        <v>51</v>
      </c>
      <c r="G251" s="46">
        <f t="shared" si="343"/>
        <v>0</v>
      </c>
      <c r="H251" s="45">
        <f>F251*($H$171/$F$171)</f>
        <v>0</v>
      </c>
      <c r="I251" s="46">
        <f t="shared" si="344"/>
        <v>0</v>
      </c>
      <c r="J251" s="9"/>
      <c r="K251" s="21">
        <f>SUM(L251:N251)</f>
        <v>0</v>
      </c>
      <c r="L251" s="21"/>
      <c r="M251" s="39"/>
      <c r="N251" s="42"/>
      <c r="O251" s="19"/>
      <c r="P251" s="19"/>
      <c r="Q251" s="330"/>
      <c r="R251" s="124"/>
      <c r="S251" s="345"/>
      <c r="T251" s="345"/>
      <c r="U251" s="331">
        <v>45392</v>
      </c>
      <c r="V251" s="328"/>
      <c r="W251" s="328"/>
      <c r="X251" s="124"/>
      <c r="Y251" s="328"/>
      <c r="Z251" s="124"/>
      <c r="AA251" s="328"/>
      <c r="AB251" s="124"/>
      <c r="AC251" s="328"/>
      <c r="AD251" s="328"/>
      <c r="AE251" s="124"/>
      <c r="AF251" s="124"/>
      <c r="AG251" s="124"/>
      <c r="AH251" s="124"/>
      <c r="AI251" s="129">
        <f t="shared" si="342"/>
        <v>0</v>
      </c>
      <c r="AJ251" s="129">
        <f t="shared" si="330"/>
        <v>0</v>
      </c>
      <c r="AK251" s="129">
        <f t="shared" si="331"/>
        <v>0</v>
      </c>
      <c r="AL251" s="399">
        <f t="shared" si="332"/>
        <v>0</v>
      </c>
      <c r="AM251" s="393">
        <f t="shared" si="333"/>
        <v>0</v>
      </c>
      <c r="AN251" s="393">
        <f t="shared" si="334"/>
        <v>0</v>
      </c>
      <c r="AO251" s="393">
        <f t="shared" si="335"/>
        <v>0</v>
      </c>
      <c r="AP251" s="96">
        <f t="shared" si="336"/>
        <v>0</v>
      </c>
      <c r="AQ251" s="91">
        <f t="shared" si="337"/>
        <v>0</v>
      </c>
      <c r="AR251" s="198"/>
      <c r="AS251" s="81">
        <f>$H$179*月別販売比率!AG69</f>
        <v>0</v>
      </c>
      <c r="AT251" s="21"/>
      <c r="AU251" s="81">
        <f>$H$179*月別販売比率!AL69</f>
        <v>0</v>
      </c>
      <c r="AV251" s="21"/>
      <c r="AW251" s="81">
        <f>$H$179*月別販売比率!AQ69</f>
        <v>0</v>
      </c>
      <c r="AX251" s="21"/>
      <c r="AY251" s="81">
        <f>$H$179*月別販売比率!AV69</f>
        <v>0</v>
      </c>
      <c r="AZ251" s="21"/>
      <c r="BA251" s="81">
        <f>$H$179*月別販売比率!BA69</f>
        <v>0</v>
      </c>
      <c r="BB251" s="21"/>
      <c r="BC251" s="81">
        <f>$H$179*月別販売比率!BF69</f>
        <v>0</v>
      </c>
      <c r="BD251" s="21"/>
      <c r="BE251" s="245">
        <f>$H$179*月別販売比率!C85</f>
        <v>0</v>
      </c>
      <c r="BF251" s="241">
        <v>75</v>
      </c>
      <c r="BG251" s="81">
        <f>$H$179*月別販売比率!H85</f>
        <v>0</v>
      </c>
      <c r="BH251" s="21"/>
      <c r="BI251" s="81">
        <f>$H$179*月別販売比率!M85</f>
        <v>0</v>
      </c>
      <c r="BJ251" s="21"/>
      <c r="BK251" s="81">
        <f>$H$179*月別販売比率!R85</f>
        <v>0</v>
      </c>
      <c r="BL251" s="21"/>
      <c r="BM251" s="81">
        <f>$H$179*月別販売比率!W85</f>
        <v>0</v>
      </c>
      <c r="BN251" s="21"/>
      <c r="BO251" s="245">
        <f>$H$179*月別販売比率!AB85</f>
        <v>0</v>
      </c>
      <c r="BP251" s="241">
        <v>110</v>
      </c>
      <c r="BQ251" s="245">
        <f>$H$179*月別販売比率!AG85</f>
        <v>0</v>
      </c>
      <c r="BR251" s="241"/>
      <c r="BS251" s="81">
        <f>$H$179*月別販売比率!AL85</f>
        <v>0</v>
      </c>
      <c r="BT251" s="21"/>
      <c r="BU251" s="81">
        <f>$H$179*月別販売比率!AQ85</f>
        <v>0</v>
      </c>
      <c r="BV251" s="21"/>
      <c r="BW251" s="81">
        <f>$H$179*月別販売比率!AV85</f>
        <v>0</v>
      </c>
      <c r="BX251" s="21"/>
      <c r="BY251" s="245">
        <f>$H$179*月別販売比率!BA85</f>
        <v>0</v>
      </c>
      <c r="BZ251" s="241">
        <v>40</v>
      </c>
      <c r="CA251" s="81">
        <f>$H$179*月別販売比率!BF85</f>
        <v>0</v>
      </c>
      <c r="CB251" s="21"/>
      <c r="CC251" s="245">
        <f>H251*月別販売比率!$C$21</f>
        <v>0</v>
      </c>
      <c r="CD251" s="241">
        <v>40</v>
      </c>
      <c r="CE251" s="81">
        <f>H251*月別販売比率!$H$21</f>
        <v>0</v>
      </c>
      <c r="CF251" s="21"/>
      <c r="CG251" s="81">
        <f>H251*月別販売比率!$M$21</f>
        <v>0</v>
      </c>
      <c r="CH251" s="21"/>
      <c r="CI251" s="81">
        <f>H251*月別販売比率!$R$21</f>
        <v>0</v>
      </c>
      <c r="CJ251" s="21"/>
      <c r="CK251" s="81">
        <f>H251*月別販売比率!$W$21</f>
        <v>0</v>
      </c>
      <c r="CL251" s="21"/>
      <c r="CM251" s="81">
        <f>H251*月別販売比率!$AB$21</f>
        <v>0</v>
      </c>
      <c r="CN251" s="21"/>
      <c r="CO251" s="81">
        <f>H251*月別販売比率!$AG$21</f>
        <v>0</v>
      </c>
      <c r="CP251" s="21"/>
      <c r="CQ251" s="81">
        <f>H251*月別販売比率!$AL$21</f>
        <v>0</v>
      </c>
      <c r="CR251" s="21"/>
      <c r="CS251" s="81">
        <f>H251*月別販売比率!$AQ$21</f>
        <v>0</v>
      </c>
      <c r="CT251" s="21"/>
      <c r="CU251" s="81">
        <f>H251*月別販売比率!$AV$21</f>
        <v>0</v>
      </c>
      <c r="CV251" s="21"/>
      <c r="CW251" s="81">
        <f>H251*月別販売比率!$BA$21</f>
        <v>0</v>
      </c>
      <c r="CX251" s="21"/>
      <c r="CY251" s="81">
        <f>H251*月別販売比率!$BF$21</f>
        <v>0</v>
      </c>
      <c r="CZ251" s="21"/>
      <c r="DA251" s="28"/>
      <c r="DB251" s="294"/>
    </row>
    <row r="252" spans="2:106" ht="30.75" customHeight="1">
      <c r="B252" s="25"/>
      <c r="C252" s="457"/>
      <c r="D252" s="441"/>
      <c r="E252" s="119" t="s">
        <v>49</v>
      </c>
      <c r="F252" s="308"/>
      <c r="G252" s="549">
        <f t="shared" si="343"/>
        <v>0</v>
      </c>
      <c r="H252" s="550">
        <f>F252*($H$171/$F$171)</f>
        <v>0</v>
      </c>
      <c r="I252" s="549">
        <f t="shared" si="344"/>
        <v>0</v>
      </c>
      <c r="J252" s="102"/>
      <c r="K252" s="107">
        <f>SUM(L252:N252)</f>
        <v>0</v>
      </c>
      <c r="L252" s="107"/>
      <c r="M252" s="79"/>
      <c r="N252" s="44"/>
      <c r="O252" s="279"/>
      <c r="P252" s="78"/>
      <c r="Q252" s="551"/>
      <c r="R252" s="198"/>
      <c r="S252" s="344"/>
      <c r="T252" s="344"/>
      <c r="U252" s="344"/>
      <c r="V252" s="541"/>
      <c r="W252" s="541"/>
      <c r="X252" s="541"/>
      <c r="Y252" s="541"/>
      <c r="Z252" s="543"/>
      <c r="AA252" s="541"/>
      <c r="AB252" s="543"/>
      <c r="AC252" s="543"/>
      <c r="AD252" s="543"/>
      <c r="AE252" s="543"/>
      <c r="AF252" s="543"/>
      <c r="AG252" s="543"/>
      <c r="AH252" s="543"/>
      <c r="AI252" s="198">
        <f t="shared" si="342"/>
        <v>0</v>
      </c>
      <c r="AJ252" s="198">
        <f t="shared" si="330"/>
        <v>0</v>
      </c>
      <c r="AK252" s="198">
        <f t="shared" si="331"/>
        <v>0</v>
      </c>
      <c r="AL252" s="402">
        <f t="shared" si="332"/>
        <v>0</v>
      </c>
      <c r="AM252" s="396">
        <f t="shared" si="333"/>
        <v>0</v>
      </c>
      <c r="AN252" s="396">
        <f t="shared" si="334"/>
        <v>0</v>
      </c>
      <c r="AO252" s="396">
        <f t="shared" si="335"/>
        <v>0</v>
      </c>
      <c r="AP252" s="199">
        <f t="shared" si="336"/>
        <v>0</v>
      </c>
      <c r="AQ252" s="194">
        <f t="shared" si="337"/>
        <v>0</v>
      </c>
      <c r="AR252" s="198"/>
      <c r="AS252" s="81">
        <f>$H$180*月別販売比率!AG69</f>
        <v>0</v>
      </c>
      <c r="AT252" s="79"/>
      <c r="AU252" s="81">
        <f>$H$180*月別販売比率!AL69</f>
        <v>0</v>
      </c>
      <c r="AV252" s="79"/>
      <c r="AW252" s="81">
        <f>$H$180*月別販売比率!AQ69</f>
        <v>0</v>
      </c>
      <c r="AX252" s="79"/>
      <c r="AY252" s="81">
        <f>$H$180*月別販売比率!AV69</f>
        <v>0</v>
      </c>
      <c r="AZ252" s="79"/>
      <c r="BA252" s="81">
        <f>$H$180*月別販売比率!BA69</f>
        <v>0</v>
      </c>
      <c r="BB252" s="79"/>
      <c r="BC252" s="81">
        <f>$H$180*月別販売比率!BF69</f>
        <v>0</v>
      </c>
      <c r="BD252" s="79"/>
      <c r="BE252" s="245">
        <f>$H$180*月別販売比率!C85</f>
        <v>0</v>
      </c>
      <c r="BF252" s="342">
        <v>60</v>
      </c>
      <c r="BG252" s="81">
        <f>$H$180*月別販売比率!H85</f>
        <v>0</v>
      </c>
      <c r="BH252" s="79"/>
      <c r="BI252" s="81">
        <f>$H$180*月別販売比率!M85</f>
        <v>0</v>
      </c>
      <c r="BJ252" s="79"/>
      <c r="BK252" s="81">
        <f>$H$180*月別販売比率!R85</f>
        <v>0</v>
      </c>
      <c r="BL252" s="79"/>
      <c r="BM252" s="81">
        <f>$H$180*月別販売比率!W85</f>
        <v>0</v>
      </c>
      <c r="BN252" s="79"/>
      <c r="BO252" s="245">
        <f>$H$180*月別販売比率!AB85</f>
        <v>0</v>
      </c>
      <c r="BP252" s="342">
        <v>35</v>
      </c>
      <c r="BQ252" s="245">
        <f>$H$180*月別販売比率!AG85</f>
        <v>0</v>
      </c>
      <c r="BR252" s="342"/>
      <c r="BS252" s="81">
        <f>$H$180*月別販売比率!AL85</f>
        <v>0</v>
      </c>
      <c r="BT252" s="79"/>
      <c r="BU252" s="81">
        <f>$H$180*月別販売比率!AQ85</f>
        <v>0</v>
      </c>
      <c r="BV252" s="79"/>
      <c r="BW252" s="81">
        <f>$H$180*月別販売比率!AV85</f>
        <v>0</v>
      </c>
      <c r="BX252" s="79"/>
      <c r="BY252" s="245">
        <f>$H$180*月別販売比率!BA85</f>
        <v>0</v>
      </c>
      <c r="BZ252" s="342">
        <v>30</v>
      </c>
      <c r="CA252" s="81">
        <f>$H$180*月別販売比率!BF85</f>
        <v>0</v>
      </c>
      <c r="CB252" s="79"/>
      <c r="CC252" s="245">
        <f>H252*月別販売比率!$C$21</f>
        <v>0</v>
      </c>
      <c r="CD252" s="342">
        <v>30</v>
      </c>
      <c r="CE252" s="81">
        <f>H252*月別販売比率!$H$21</f>
        <v>0</v>
      </c>
      <c r="CF252" s="79"/>
      <c r="CG252" s="81">
        <f>H252*月別販売比率!$M$21</f>
        <v>0</v>
      </c>
      <c r="CH252" s="79"/>
      <c r="CI252" s="81">
        <f>H252*月別販売比率!$R$21</f>
        <v>0</v>
      </c>
      <c r="CJ252" s="79"/>
      <c r="CK252" s="81">
        <f>H252*月別販売比率!$W$21</f>
        <v>0</v>
      </c>
      <c r="CL252" s="79"/>
      <c r="CM252" s="81">
        <f>H252*月別販売比率!$AB$21</f>
        <v>0</v>
      </c>
      <c r="CN252" s="79"/>
      <c r="CO252" s="81">
        <f>H252*月別販売比率!$AG$21</f>
        <v>0</v>
      </c>
      <c r="CP252" s="79"/>
      <c r="CQ252" s="81">
        <f>H252*月別販売比率!$AL$21</f>
        <v>0</v>
      </c>
      <c r="CR252" s="79"/>
      <c r="CS252" s="81">
        <f>H252*月別販売比率!$AQ$21</f>
        <v>0</v>
      </c>
      <c r="CT252" s="79"/>
      <c r="CU252" s="81">
        <f>H252*月別販売比率!$AV$21</f>
        <v>0</v>
      </c>
      <c r="CV252" s="79"/>
      <c r="CW252" s="81">
        <f>H252*月別販売比率!$BA$21</f>
        <v>0</v>
      </c>
      <c r="CX252" s="79"/>
      <c r="CY252" s="81">
        <f>H252*月別販売比率!$BF$21</f>
        <v>0</v>
      </c>
      <c r="CZ252" s="79"/>
      <c r="DA252" s="77"/>
      <c r="DB252" s="358"/>
    </row>
    <row r="253" spans="2:106" ht="30.6" customHeight="1">
      <c r="B253" s="2">
        <v>21</v>
      </c>
      <c r="C253" s="556" t="s">
        <v>521</v>
      </c>
      <c r="D253" s="557"/>
      <c r="E253" s="558"/>
      <c r="F253" s="144">
        <f>SUM(F254:F257)</f>
        <v>0</v>
      </c>
      <c r="G253" s="145">
        <f>SUM(G254:G257)</f>
        <v>0</v>
      </c>
      <c r="H253" s="144"/>
      <c r="I253" s="145">
        <f>SUM(I254:I257)</f>
        <v>0</v>
      </c>
      <c r="J253" s="147">
        <f>SUM(J255:J257)</f>
        <v>0</v>
      </c>
      <c r="K253" s="148">
        <f>SUM(K255:K257)</f>
        <v>0</v>
      </c>
      <c r="L253" s="148">
        <f>SUM(L255:L257)</f>
        <v>0</v>
      </c>
      <c r="M253" s="148">
        <f>SUM(M254:M257)</f>
        <v>0</v>
      </c>
      <c r="N253" s="149">
        <f>SUM(N254:N257)</f>
        <v>0</v>
      </c>
      <c r="O253" s="152"/>
      <c r="P253" s="152"/>
      <c r="Q253" s="152"/>
      <c r="R253" s="152"/>
      <c r="S253" s="152"/>
      <c r="T253" s="152"/>
      <c r="U253" s="152"/>
      <c r="V253" s="152"/>
      <c r="W253" s="152"/>
      <c r="X253" s="152"/>
      <c r="Y253" s="152"/>
      <c r="Z253" s="152"/>
      <c r="AA253" s="152"/>
      <c r="AB253" s="152"/>
      <c r="AC253" s="152"/>
      <c r="AD253" s="152"/>
      <c r="AE253" s="152"/>
      <c r="AF253" s="152"/>
      <c r="AG253" s="152"/>
      <c r="AH253" s="152"/>
      <c r="AI253" s="152"/>
      <c r="AJ253" s="152"/>
      <c r="AK253" s="152"/>
      <c r="AL253" s="152"/>
      <c r="AM253" s="152"/>
      <c r="AN253" s="152"/>
      <c r="AO253" s="152"/>
      <c r="AP253" s="152"/>
      <c r="AQ253" s="152"/>
      <c r="AR253" s="152"/>
      <c r="AS253" s="150">
        <f>SUM(AS254:AS257)</f>
        <v>0</v>
      </c>
      <c r="AT253" s="148">
        <f>SUM(AT254:AT257)</f>
        <v>0</v>
      </c>
      <c r="AU253" s="150">
        <f>SUM(AU254:AU257)</f>
        <v>0</v>
      </c>
      <c r="AV253" s="148">
        <f>SUM(AV254:AV257)</f>
        <v>0</v>
      </c>
      <c r="AW253" s="150">
        <f>SUM(AW254:AW257)</f>
        <v>0</v>
      </c>
      <c r="AX253" s="148">
        <f>SUM(AX254:AX257)</f>
        <v>0</v>
      </c>
      <c r="AY253" s="150">
        <f>SUM(AY254:AY257)</f>
        <v>0</v>
      </c>
      <c r="AZ253" s="148">
        <f>SUM(AZ254:AZ257)</f>
        <v>0</v>
      </c>
      <c r="BA253" s="150">
        <f>SUM(BA254:BA257)</f>
        <v>0</v>
      </c>
      <c r="BB253" s="148">
        <f>SUM(BB254:BB257)</f>
        <v>0</v>
      </c>
      <c r="BC253" s="150">
        <f>SUM(BC254:BC257)</f>
        <v>0</v>
      </c>
      <c r="BD253" s="148">
        <f>SUM(BD254:BD257)</f>
        <v>0</v>
      </c>
      <c r="BE253" s="150">
        <f>SUM(BE254:BE257)</f>
        <v>0</v>
      </c>
      <c r="BF253" s="148">
        <f>SUM(BF254:BF257)</f>
        <v>285</v>
      </c>
      <c r="BG253" s="150">
        <f>SUM(BG254:BG257)</f>
        <v>0</v>
      </c>
      <c r="BH253" s="148">
        <f>SUM(BH254:BH257)</f>
        <v>0</v>
      </c>
      <c r="BI253" s="150">
        <f>SUM(BI254:BI257)</f>
        <v>0</v>
      </c>
      <c r="BJ253" s="148">
        <f>SUM(BJ254:BJ257)</f>
        <v>0</v>
      </c>
      <c r="BK253" s="150">
        <f>SUM(BK254:BK257)</f>
        <v>0</v>
      </c>
      <c r="BL253" s="148">
        <f>SUM(BL254:BL257)</f>
        <v>0</v>
      </c>
      <c r="BM253" s="150">
        <f>SUM(BM254:BM257)</f>
        <v>0</v>
      </c>
      <c r="BN253" s="148">
        <f>SUM(BN254:BN257)</f>
        <v>0</v>
      </c>
      <c r="BO253" s="150">
        <f>SUM(BO254:BO257)</f>
        <v>0</v>
      </c>
      <c r="BP253" s="148">
        <f>SUM(BP254:BP257)</f>
        <v>190</v>
      </c>
      <c r="BQ253" s="150">
        <f>SUM(BQ254:BQ257)</f>
        <v>0</v>
      </c>
      <c r="BR253" s="148">
        <f>SUM(BR254:BR257)</f>
        <v>0</v>
      </c>
      <c r="BS253" s="150">
        <f>SUM(BS254:BS257)</f>
        <v>0</v>
      </c>
      <c r="BT253" s="148">
        <f>SUM(BT254:BT257)</f>
        <v>0</v>
      </c>
      <c r="BU253" s="150">
        <f>SUM(BU254:BU257)</f>
        <v>0</v>
      </c>
      <c r="BV253" s="148">
        <f>SUM(BV254:BV257)</f>
        <v>0</v>
      </c>
      <c r="BW253" s="150">
        <f>SUM(BW254:BW257)</f>
        <v>0</v>
      </c>
      <c r="BX253" s="148">
        <f>SUM(BX254:BX257)</f>
        <v>0</v>
      </c>
      <c r="BY253" s="150">
        <f>SUM(BY254:BY257)</f>
        <v>0</v>
      </c>
      <c r="BZ253" s="148">
        <f>SUM(BZ254:BZ257)</f>
        <v>130</v>
      </c>
      <c r="CA253" s="150">
        <f>SUM(CA254:CA257)</f>
        <v>0</v>
      </c>
      <c r="CB253" s="148">
        <f>SUM(CB254:CB257)</f>
        <v>0</v>
      </c>
      <c r="CC253" s="150">
        <f>SUM(CC254:CC257)</f>
        <v>0</v>
      </c>
      <c r="CD253" s="148">
        <f>SUM(CD254:CD257)</f>
        <v>130</v>
      </c>
      <c r="CE253" s="150">
        <f>SUM(CE254:CE257)</f>
        <v>0</v>
      </c>
      <c r="CF253" s="148">
        <f>SUM(CF254:CF257)</f>
        <v>0</v>
      </c>
      <c r="CG253" s="150">
        <f>SUM(CG254:CG257)</f>
        <v>0</v>
      </c>
      <c r="CH253" s="148">
        <f>SUM(CH254:CH257)</f>
        <v>0</v>
      </c>
      <c r="CI253" s="150">
        <f>SUM(CI254:CI257)</f>
        <v>0</v>
      </c>
      <c r="CJ253" s="148">
        <f>SUM(CJ254:CJ257)</f>
        <v>0</v>
      </c>
      <c r="CK253" s="150">
        <f>SUM(CK254:CK257)</f>
        <v>0</v>
      </c>
      <c r="CL253" s="148">
        <f>SUM(CL254:CL257)</f>
        <v>0</v>
      </c>
      <c r="CM253" s="150">
        <f>SUM(CM254:CM257)</f>
        <v>0</v>
      </c>
      <c r="CN253" s="148">
        <f>SUM(CN254:CN257)</f>
        <v>0</v>
      </c>
      <c r="CO253" s="150">
        <f>SUM(CO254:CO257)</f>
        <v>0</v>
      </c>
      <c r="CP253" s="148">
        <f>SUM(CP254:CP257)</f>
        <v>0</v>
      </c>
      <c r="CQ253" s="150">
        <f>SUM(CQ254:CQ257)</f>
        <v>0</v>
      </c>
      <c r="CR253" s="148">
        <f>SUM(CR254:CR257)</f>
        <v>0</v>
      </c>
      <c r="CS253" s="150">
        <f>SUM(CS254:CS257)</f>
        <v>0</v>
      </c>
      <c r="CT253" s="148">
        <f>SUM(CT254:CT257)</f>
        <v>0</v>
      </c>
      <c r="CU253" s="150">
        <v>65.156981784482824</v>
      </c>
      <c r="CV253" s="148">
        <f>SUM(CV254:CV257)</f>
        <v>0</v>
      </c>
      <c r="CW253" s="150">
        <f>SUM(CW254:CW257)</f>
        <v>0</v>
      </c>
      <c r="CX253" s="148">
        <f>SUM(CX254:CX257)</f>
        <v>0</v>
      </c>
      <c r="CY253" s="150">
        <f>SUM(CY254:CY257)</f>
        <v>0</v>
      </c>
      <c r="CZ253" s="148">
        <f>SUM(CZ254:CZ257)</f>
        <v>0</v>
      </c>
      <c r="DA253" s="204"/>
      <c r="DB253" s="552"/>
    </row>
    <row r="254" spans="2:106" ht="30.75" customHeight="1">
      <c r="B254" s="25"/>
      <c r="C254" s="553"/>
      <c r="D254" s="547">
        <v>1</v>
      </c>
      <c r="E254" s="111"/>
      <c r="G254" s="46">
        <f>F254*3080</f>
        <v>0</v>
      </c>
      <c r="H254" s="45">
        <f>F254*($H$171/$F$171)</f>
        <v>0</v>
      </c>
      <c r="I254" s="46">
        <f>H254*3080</f>
        <v>0</v>
      </c>
      <c r="J254" s="279"/>
      <c r="K254" s="39"/>
      <c r="L254" s="79"/>
      <c r="M254" s="39"/>
      <c r="N254" s="42"/>
      <c r="O254" s="288"/>
      <c r="P254" s="288"/>
      <c r="Q254" s="331">
        <v>45631</v>
      </c>
      <c r="R254" s="124"/>
      <c r="S254" s="345"/>
      <c r="T254" s="345"/>
      <c r="U254" s="331">
        <v>45392</v>
      </c>
      <c r="V254" s="124"/>
      <c r="W254" s="124"/>
      <c r="X254" s="124"/>
      <c r="Y254" s="124"/>
      <c r="Z254" s="124"/>
      <c r="AA254" s="124"/>
      <c r="AB254" s="124"/>
      <c r="AC254" s="328"/>
      <c r="AD254" s="328"/>
      <c r="AE254" s="124"/>
      <c r="AF254" s="124"/>
      <c r="AG254" s="124"/>
      <c r="AH254" s="124"/>
      <c r="AI254" s="129">
        <f t="shared" ref="AI254:AI257" si="345">SUM(J254:K254)-CI254+CJ254</f>
        <v>0</v>
      </c>
      <c r="AJ254" s="129">
        <f t="shared" ref="AJ254:AJ257" si="346">AI254-CK254+CL254</f>
        <v>0</v>
      </c>
      <c r="AK254" s="129">
        <f t="shared" ref="AK254:AK257" si="347">AJ254-CM254+CN254</f>
        <v>0</v>
      </c>
      <c r="AL254" s="399">
        <f t="shared" ref="AL254:AL257" si="348">AK254-CO254+CP254</f>
        <v>0</v>
      </c>
      <c r="AM254" s="393">
        <f t="shared" ref="AM254:AM257" si="349">AL254-CQ254+CR254</f>
        <v>0</v>
      </c>
      <c r="AN254" s="393">
        <f t="shared" ref="AN254:AN257" si="350">AM254-CS254+CT254</f>
        <v>0</v>
      </c>
      <c r="AO254" s="393">
        <f t="shared" ref="AO254:AO257" si="351">AN254-CU254+CV254</f>
        <v>0</v>
      </c>
      <c r="AP254" s="96">
        <f t="shared" ref="AP254:AP257" si="352">AO254-CW254+CX254</f>
        <v>0</v>
      </c>
      <c r="AQ254" s="91">
        <f t="shared" ref="AQ254:AQ257" si="353">AP254-CY254+CZ254</f>
        <v>0</v>
      </c>
      <c r="AR254" s="198"/>
      <c r="AS254" s="81">
        <f>$H$172*月別販売比率!AG73</f>
        <v>0</v>
      </c>
      <c r="AT254" s="39"/>
      <c r="AU254" s="81">
        <f>$H$172*月別販売比率!AL73</f>
        <v>0</v>
      </c>
      <c r="AV254" s="39"/>
      <c r="AW254" s="81">
        <f>$H$172*月別販売比率!AQ73</f>
        <v>0</v>
      </c>
      <c r="AX254" s="39"/>
      <c r="AY254" s="81">
        <f>$H$172*月別販売比率!AV73</f>
        <v>0</v>
      </c>
      <c r="AZ254" s="39"/>
      <c r="BA254" s="81">
        <f>$H$172*月別販売比率!BA73</f>
        <v>0</v>
      </c>
      <c r="BB254" s="39"/>
      <c r="BC254" s="81">
        <f>$H$172*月別販売比率!BF73</f>
        <v>0</v>
      </c>
      <c r="BD254" s="39"/>
      <c r="BE254" s="245">
        <f>$H$172*月別販売比率!C89</f>
        <v>0</v>
      </c>
      <c r="BF254" s="280">
        <v>60</v>
      </c>
      <c r="BG254" s="81">
        <f>$H$172*月別販売比率!H89</f>
        <v>0</v>
      </c>
      <c r="BH254" s="39"/>
      <c r="BI254" s="81">
        <f>$H$172*月別販売比率!M89</f>
        <v>0</v>
      </c>
      <c r="BJ254" s="39"/>
      <c r="BK254" s="81">
        <f>$H$172*月別販売比率!R89</f>
        <v>0</v>
      </c>
      <c r="BL254" s="39"/>
      <c r="BM254" s="81">
        <f>$H$172*月別販売比率!W89</f>
        <v>0</v>
      </c>
      <c r="BN254" s="39"/>
      <c r="BO254" s="245">
        <f>$H$172*月別販売比率!AB89</f>
        <v>0</v>
      </c>
      <c r="BP254" s="280">
        <v>100</v>
      </c>
      <c r="BQ254" s="245">
        <f>$H$172*月別販売比率!AG89</f>
        <v>0</v>
      </c>
      <c r="BR254" s="280"/>
      <c r="BS254" s="81">
        <f>$H$172*月別販売比率!AL89</f>
        <v>0</v>
      </c>
      <c r="BT254" s="39"/>
      <c r="BU254" s="81">
        <f>$H$172*月別販売比率!AQ89</f>
        <v>0</v>
      </c>
      <c r="BV254" s="39"/>
      <c r="BW254" s="81">
        <f>$H$172*月別販売比率!AV89</f>
        <v>0</v>
      </c>
      <c r="BX254" s="39"/>
      <c r="BY254" s="245">
        <f>$H$172*月別販売比率!BA89</f>
        <v>0</v>
      </c>
      <c r="BZ254" s="280">
        <v>30</v>
      </c>
      <c r="CA254" s="81">
        <f>$H$172*月別販売比率!BF89</f>
        <v>0</v>
      </c>
      <c r="CB254" s="39"/>
      <c r="CC254" s="245">
        <f>H254*月別販売比率!$C$21</f>
        <v>0</v>
      </c>
      <c r="CD254" s="280">
        <v>30</v>
      </c>
      <c r="CE254" s="81">
        <f>H254*月別販売比率!$H$21</f>
        <v>0</v>
      </c>
      <c r="CF254" s="39"/>
      <c r="CG254" s="81">
        <f>H254*月別販売比率!$M$21</f>
        <v>0</v>
      </c>
      <c r="CH254" s="39"/>
      <c r="CI254" s="81">
        <f>H254*月別販売比率!$R$21</f>
        <v>0</v>
      </c>
      <c r="CJ254" s="39"/>
      <c r="CK254" s="81">
        <f>H254*月別販売比率!$W$21</f>
        <v>0</v>
      </c>
      <c r="CL254" s="39"/>
      <c r="CM254" s="81">
        <f>H254*月別販売比率!$AB$21</f>
        <v>0</v>
      </c>
      <c r="CN254" s="39"/>
      <c r="CO254" s="81">
        <f>H254*月別販売比率!$AG$21</f>
        <v>0</v>
      </c>
      <c r="CP254" s="39"/>
      <c r="CQ254" s="81">
        <f>H254*月別販売比率!$AL$21</f>
        <v>0</v>
      </c>
      <c r="CR254" s="39"/>
      <c r="CS254" s="81">
        <f>H254*月別販売比率!$AQ$21</f>
        <v>0</v>
      </c>
      <c r="CT254" s="39"/>
      <c r="CU254" s="81">
        <f>H254*月別販売比率!$AV$21</f>
        <v>0</v>
      </c>
      <c r="CV254" s="39"/>
      <c r="CW254" s="81">
        <f>H254*月別販売比率!$BA$21</f>
        <v>0</v>
      </c>
      <c r="CX254" s="39"/>
      <c r="CY254" s="81">
        <f>H254*月別販売比率!$BF$21</f>
        <v>0</v>
      </c>
      <c r="CZ254" s="39"/>
      <c r="DA254" s="28"/>
      <c r="DB254" s="294"/>
    </row>
    <row r="255" spans="2:106" ht="30.75" customHeight="1">
      <c r="B255" s="25"/>
      <c r="C255" s="554"/>
      <c r="D255" s="548">
        <v>2</v>
      </c>
      <c r="E255" s="111"/>
      <c r="G255" s="46">
        <f t="shared" ref="G255:G257" si="354">F255*3080</f>
        <v>0</v>
      </c>
      <c r="H255" s="45">
        <f>F255*($H$171/$F$171)</f>
        <v>0</v>
      </c>
      <c r="I255" s="46">
        <f t="shared" ref="I255:I257" si="355">H255*3080</f>
        <v>0</v>
      </c>
      <c r="J255" s="49"/>
      <c r="K255" s="39"/>
      <c r="L255" s="39"/>
      <c r="M255" s="39"/>
      <c r="N255" s="42"/>
      <c r="O255" s="19"/>
      <c r="P255" s="19"/>
      <c r="Q255" s="330"/>
      <c r="R255" s="124"/>
      <c r="S255" s="345"/>
      <c r="T255" s="345"/>
      <c r="U255" s="331">
        <v>45392</v>
      </c>
      <c r="V255" s="124"/>
      <c r="W255" s="124"/>
      <c r="X255" s="124"/>
      <c r="Y255" s="328"/>
      <c r="Z255" s="124"/>
      <c r="AA255" s="328"/>
      <c r="AB255" s="328"/>
      <c r="AC255" s="328"/>
      <c r="AD255" s="330"/>
      <c r="AE255" s="330"/>
      <c r="AF255" s="330"/>
      <c r="AG255" s="330"/>
      <c r="AH255" s="330"/>
      <c r="AI255" s="129">
        <f t="shared" si="345"/>
        <v>0</v>
      </c>
      <c r="AJ255" s="129">
        <f t="shared" si="346"/>
        <v>0</v>
      </c>
      <c r="AK255" s="129">
        <f t="shared" si="347"/>
        <v>0</v>
      </c>
      <c r="AL255" s="399">
        <f t="shared" si="348"/>
        <v>0</v>
      </c>
      <c r="AM255" s="393">
        <f t="shared" si="349"/>
        <v>0</v>
      </c>
      <c r="AN255" s="393">
        <f t="shared" si="350"/>
        <v>0</v>
      </c>
      <c r="AO255" s="393">
        <f t="shared" si="351"/>
        <v>0</v>
      </c>
      <c r="AP255" s="96">
        <f t="shared" si="352"/>
        <v>0</v>
      </c>
      <c r="AQ255" s="91">
        <f t="shared" si="353"/>
        <v>0</v>
      </c>
      <c r="AR255" s="198"/>
      <c r="AS255" s="81">
        <f>$H$173*月別販売比率!AG73</f>
        <v>0</v>
      </c>
      <c r="AT255" s="21"/>
      <c r="AU255" s="81">
        <f>$H$173*月別販売比率!AL73</f>
        <v>0</v>
      </c>
      <c r="AV255" s="21"/>
      <c r="AW255" s="81">
        <f>$H$173*月別販売比率!AQ73</f>
        <v>0</v>
      </c>
      <c r="AX255" s="21"/>
      <c r="AY255" s="81">
        <f>$H$173*月別販売比率!AV73</f>
        <v>0</v>
      </c>
      <c r="AZ255" s="21"/>
      <c r="BA255" s="81">
        <f>$H$173*月別販売比率!BA73</f>
        <v>0</v>
      </c>
      <c r="BB255" s="21"/>
      <c r="BC255" s="81">
        <f>$H$173*月別販売比率!BF73</f>
        <v>0</v>
      </c>
      <c r="BD255" s="21"/>
      <c r="BE255" s="245">
        <f>$H$173*月別販売比率!C89</f>
        <v>0</v>
      </c>
      <c r="BF255" s="241">
        <v>90</v>
      </c>
      <c r="BG255" s="81">
        <f>$H$173*月別販売比率!H89</f>
        <v>0</v>
      </c>
      <c r="BH255" s="21"/>
      <c r="BI255" s="81">
        <f>$H$173*月別販売比率!M89</f>
        <v>0</v>
      </c>
      <c r="BJ255" s="21"/>
      <c r="BK255" s="81">
        <f>$H$173*月別販売比率!R89</f>
        <v>0</v>
      </c>
      <c r="BL255" s="21"/>
      <c r="BM255" s="81">
        <f>$H$173*月別販売比率!W89</f>
        <v>0</v>
      </c>
      <c r="BN255" s="21"/>
      <c r="BO255" s="245">
        <f>$H$173*月別販売比率!AB89</f>
        <v>0</v>
      </c>
      <c r="BP255" s="241">
        <v>15</v>
      </c>
      <c r="BQ255" s="245">
        <f>$H$173*月別販売比率!AG89</f>
        <v>0</v>
      </c>
      <c r="BR255" s="241"/>
      <c r="BS255" s="81">
        <f>$H$173*月別販売比率!AL89</f>
        <v>0</v>
      </c>
      <c r="BT255" s="21"/>
      <c r="BU255" s="81">
        <f>$H$173*月別販売比率!AQ89</f>
        <v>0</v>
      </c>
      <c r="BV255" s="21"/>
      <c r="BW255" s="81">
        <f>$H$173*月別販売比率!AV89</f>
        <v>0</v>
      </c>
      <c r="BX255" s="21"/>
      <c r="BY255" s="245">
        <f>$H$173*月別販売比率!BA89</f>
        <v>0</v>
      </c>
      <c r="BZ255" s="241">
        <v>40</v>
      </c>
      <c r="CA255" s="81">
        <f>$H$173*月別販売比率!BF89</f>
        <v>0</v>
      </c>
      <c r="CB255" s="21"/>
      <c r="CC255" s="245">
        <f>H255*月別販売比率!$C$21</f>
        <v>0</v>
      </c>
      <c r="CD255" s="241">
        <v>40</v>
      </c>
      <c r="CE255" s="81">
        <f>H255*月別販売比率!$H$21</f>
        <v>0</v>
      </c>
      <c r="CF255" s="21"/>
      <c r="CG255" s="81">
        <f>H255*月別販売比率!$M$21</f>
        <v>0</v>
      </c>
      <c r="CH255" s="21"/>
      <c r="CI255" s="81">
        <f>H255*月別販売比率!$R$21</f>
        <v>0</v>
      </c>
      <c r="CJ255" s="21"/>
      <c r="CK255" s="81">
        <f>H255*月別販売比率!$W$21</f>
        <v>0</v>
      </c>
      <c r="CL255" s="21"/>
      <c r="CM255" s="81">
        <f>H255*月別販売比率!$AB$21</f>
        <v>0</v>
      </c>
      <c r="CN255" s="21"/>
      <c r="CO255" s="81">
        <f>H255*月別販売比率!$AG$21</f>
        <v>0</v>
      </c>
      <c r="CP255" s="21"/>
      <c r="CQ255" s="81">
        <f>H255*月別販売比率!$AL$21</f>
        <v>0</v>
      </c>
      <c r="CR255" s="21"/>
      <c r="CS255" s="81">
        <f>H255*月別販売比率!$AQ$21</f>
        <v>0</v>
      </c>
      <c r="CT255" s="21"/>
      <c r="CU255" s="81">
        <f>H255*月別販売比率!$AV$21</f>
        <v>0</v>
      </c>
      <c r="CV255" s="21"/>
      <c r="CW255" s="81">
        <f>H255*月別販売比率!$BA$21</f>
        <v>0</v>
      </c>
      <c r="CX255" s="21"/>
      <c r="CY255" s="81">
        <f>H255*月別販売比率!$BF$21</f>
        <v>0</v>
      </c>
      <c r="CZ255" s="21"/>
      <c r="DA255" s="28"/>
      <c r="DB255" s="294"/>
    </row>
    <row r="256" spans="2:106" ht="30.75" customHeight="1">
      <c r="B256" s="25"/>
      <c r="C256" s="555"/>
      <c r="D256" s="548">
        <v>3</v>
      </c>
      <c r="E256" s="574"/>
      <c r="G256" s="46">
        <f t="shared" si="354"/>
        <v>0</v>
      </c>
      <c r="H256" s="45">
        <f>F256*($H$171/$F$171)</f>
        <v>0</v>
      </c>
      <c r="I256" s="46">
        <f t="shared" si="355"/>
        <v>0</v>
      </c>
      <c r="J256" s="9"/>
      <c r="K256" s="21"/>
      <c r="L256" s="21"/>
      <c r="M256" s="39"/>
      <c r="N256" s="42"/>
      <c r="O256" s="19"/>
      <c r="P256" s="19"/>
      <c r="Q256" s="330"/>
      <c r="R256" s="124"/>
      <c r="S256" s="345"/>
      <c r="T256" s="345"/>
      <c r="U256" s="331">
        <v>45392</v>
      </c>
      <c r="V256" s="124"/>
      <c r="W256" s="124"/>
      <c r="X256" s="124"/>
      <c r="Y256" s="124"/>
      <c r="Z256" s="124"/>
      <c r="AA256" s="328"/>
      <c r="AB256" s="124"/>
      <c r="AC256" s="328"/>
      <c r="AD256" s="328"/>
      <c r="AE256" s="124"/>
      <c r="AF256" s="124"/>
      <c r="AG256" s="124"/>
      <c r="AH256" s="124"/>
      <c r="AI256" s="129">
        <f t="shared" si="345"/>
        <v>0</v>
      </c>
      <c r="AJ256" s="129">
        <f t="shared" si="346"/>
        <v>0</v>
      </c>
      <c r="AK256" s="129">
        <f t="shared" si="347"/>
        <v>0</v>
      </c>
      <c r="AL256" s="399">
        <f t="shared" si="348"/>
        <v>0</v>
      </c>
      <c r="AM256" s="393">
        <f t="shared" si="349"/>
        <v>0</v>
      </c>
      <c r="AN256" s="393">
        <f t="shared" si="350"/>
        <v>0</v>
      </c>
      <c r="AO256" s="393">
        <f t="shared" si="351"/>
        <v>0</v>
      </c>
      <c r="AP256" s="96">
        <f t="shared" si="352"/>
        <v>0</v>
      </c>
      <c r="AQ256" s="91">
        <f t="shared" si="353"/>
        <v>0</v>
      </c>
      <c r="AR256" s="198"/>
      <c r="AS256" s="81">
        <f>$H$174*月別販売比率!AG73</f>
        <v>0</v>
      </c>
      <c r="AT256" s="21"/>
      <c r="AU256" s="81">
        <f>$H$174*月別販売比率!AL73</f>
        <v>0</v>
      </c>
      <c r="AV256" s="21"/>
      <c r="AW256" s="81">
        <f>$H$174*月別販売比率!AQ73</f>
        <v>0</v>
      </c>
      <c r="AX256" s="21"/>
      <c r="AY256" s="81">
        <f>$H$174*月別販売比率!AV73</f>
        <v>0</v>
      </c>
      <c r="AZ256" s="21"/>
      <c r="BA256" s="81">
        <f>$H$174*月別販売比率!BA73</f>
        <v>0</v>
      </c>
      <c r="BB256" s="21"/>
      <c r="BC256" s="81">
        <f>$H$174*月別販売比率!BF73</f>
        <v>0</v>
      </c>
      <c r="BD256" s="21"/>
      <c r="BE256" s="245">
        <f>$H$174*月別販売比率!C89</f>
        <v>0</v>
      </c>
      <c r="BF256" s="241">
        <v>75</v>
      </c>
      <c r="BG256" s="81">
        <f>$H$174*月別販売比率!H89</f>
        <v>0</v>
      </c>
      <c r="BH256" s="21"/>
      <c r="BI256" s="81">
        <f>$H$174*月別販売比率!M89</f>
        <v>0</v>
      </c>
      <c r="BJ256" s="21"/>
      <c r="BK256" s="81">
        <f>$H$174*月別販売比率!R89</f>
        <v>0</v>
      </c>
      <c r="BL256" s="21"/>
      <c r="BM256" s="81">
        <f>$H$174*月別販売比率!W89</f>
        <v>0</v>
      </c>
      <c r="BN256" s="21"/>
      <c r="BO256" s="245">
        <f>$H$174*月別販売比率!AB89</f>
        <v>0</v>
      </c>
      <c r="BP256" s="241">
        <v>65</v>
      </c>
      <c r="BQ256" s="245">
        <f>$H$174*月別販売比率!AG89</f>
        <v>0</v>
      </c>
      <c r="BR256" s="241"/>
      <c r="BS256" s="81">
        <f>$H$174*月別販売比率!AL89</f>
        <v>0</v>
      </c>
      <c r="BT256" s="21"/>
      <c r="BU256" s="81">
        <f>$H$174*月別販売比率!AQ89</f>
        <v>0</v>
      </c>
      <c r="BV256" s="21"/>
      <c r="BW256" s="81">
        <f>$H$174*月別販売比率!AV89</f>
        <v>0</v>
      </c>
      <c r="BX256" s="21"/>
      <c r="BY256" s="245">
        <f>$H$174*月別販売比率!BA89</f>
        <v>0</v>
      </c>
      <c r="BZ256" s="241">
        <v>35</v>
      </c>
      <c r="CA256" s="81">
        <f>$H$174*月別販売比率!BF89</f>
        <v>0</v>
      </c>
      <c r="CB256" s="21"/>
      <c r="CC256" s="245">
        <f>H256*月別販売比率!$C$21</f>
        <v>0</v>
      </c>
      <c r="CD256" s="241">
        <v>35</v>
      </c>
      <c r="CE256" s="81">
        <f>H256*月別販売比率!$H$21</f>
        <v>0</v>
      </c>
      <c r="CF256" s="21"/>
      <c r="CG256" s="81">
        <f>H256*月別販売比率!$M$21</f>
        <v>0</v>
      </c>
      <c r="CH256" s="21"/>
      <c r="CI256" s="81">
        <f>H256*月別販売比率!$R$21</f>
        <v>0</v>
      </c>
      <c r="CJ256" s="21"/>
      <c r="CK256" s="81">
        <f>H256*月別販売比率!$W$21</f>
        <v>0</v>
      </c>
      <c r="CL256" s="21"/>
      <c r="CM256" s="81">
        <f>H256*月別販売比率!$AB$21</f>
        <v>0</v>
      </c>
      <c r="CN256" s="21"/>
      <c r="CO256" s="81">
        <f>H256*月別販売比率!$AG$21</f>
        <v>0</v>
      </c>
      <c r="CP256" s="21"/>
      <c r="CQ256" s="81">
        <f>H256*月別販売比率!$AL$21</f>
        <v>0</v>
      </c>
      <c r="CR256" s="21"/>
      <c r="CS256" s="81">
        <f>H256*月別販売比率!$AQ$21</f>
        <v>0</v>
      </c>
      <c r="CT256" s="21"/>
      <c r="CU256" s="81">
        <f>H256*月別販売比率!$AV$21</f>
        <v>0</v>
      </c>
      <c r="CV256" s="21"/>
      <c r="CW256" s="81">
        <f>H256*月別販売比率!$BA$21</f>
        <v>0</v>
      </c>
      <c r="CX256" s="21"/>
      <c r="CY256" s="81">
        <f>H256*月別販売比率!$BF$21</f>
        <v>0</v>
      </c>
      <c r="CZ256" s="21"/>
      <c r="DA256" s="28"/>
      <c r="DB256" s="294"/>
    </row>
    <row r="257" spans="2:106" ht="30.75" customHeight="1">
      <c r="B257" s="25"/>
      <c r="C257" s="555"/>
      <c r="D257" s="548">
        <v>4</v>
      </c>
      <c r="E257" s="575"/>
      <c r="G257" s="549">
        <f t="shared" si="354"/>
        <v>0</v>
      </c>
      <c r="H257" s="550">
        <f>F257*($H$171/$F$171)</f>
        <v>0</v>
      </c>
      <c r="I257" s="549">
        <f t="shared" si="355"/>
        <v>0</v>
      </c>
      <c r="J257" s="102"/>
      <c r="K257" s="107"/>
      <c r="L257" s="107"/>
      <c r="M257" s="79"/>
      <c r="N257" s="44"/>
      <c r="O257" s="544"/>
      <c r="P257" s="544"/>
      <c r="Q257" s="542"/>
      <c r="R257" s="543"/>
      <c r="S257" s="198"/>
      <c r="T257" s="198"/>
      <c r="U257" s="198"/>
      <c r="V257" s="541"/>
      <c r="W257" s="541"/>
      <c r="X257" s="541"/>
      <c r="Y257" s="541"/>
      <c r="Z257" s="543"/>
      <c r="AA257" s="541"/>
      <c r="AB257" s="541"/>
      <c r="AC257" s="541"/>
      <c r="AD257" s="541"/>
      <c r="AE257" s="541"/>
      <c r="AF257" s="541"/>
      <c r="AG257" s="543"/>
      <c r="AH257" s="543"/>
      <c r="AI257" s="198">
        <f t="shared" si="345"/>
        <v>0</v>
      </c>
      <c r="AJ257" s="198">
        <f t="shared" si="346"/>
        <v>0</v>
      </c>
      <c r="AK257" s="198">
        <f t="shared" si="347"/>
        <v>0</v>
      </c>
      <c r="AL257" s="402">
        <f t="shared" si="348"/>
        <v>0</v>
      </c>
      <c r="AM257" s="396">
        <f t="shared" si="349"/>
        <v>0</v>
      </c>
      <c r="AN257" s="396">
        <f t="shared" si="350"/>
        <v>0</v>
      </c>
      <c r="AO257" s="396">
        <f t="shared" si="351"/>
        <v>0</v>
      </c>
      <c r="AP257" s="199">
        <f t="shared" si="352"/>
        <v>0</v>
      </c>
      <c r="AQ257" s="194">
        <f t="shared" si="353"/>
        <v>0</v>
      </c>
      <c r="AR257" s="198"/>
      <c r="AS257" s="81">
        <f>$H$175*月別販売比率!AG73</f>
        <v>0</v>
      </c>
      <c r="AT257" s="107"/>
      <c r="AU257" s="81">
        <f>$H$175*月別販売比率!AL73</f>
        <v>0</v>
      </c>
      <c r="AV257" s="107"/>
      <c r="AW257" s="81">
        <f>$H$175*月別販売比率!AQ73</f>
        <v>0</v>
      </c>
      <c r="AX257" s="107"/>
      <c r="AY257" s="81">
        <f>$H$175*月別販売比率!AV73</f>
        <v>0</v>
      </c>
      <c r="AZ257" s="107"/>
      <c r="BA257" s="81">
        <f>$H$175*月別販売比率!BA73</f>
        <v>0</v>
      </c>
      <c r="BB257" s="107"/>
      <c r="BC257" s="81">
        <f>$H$175*月別販売比率!BF73</f>
        <v>0</v>
      </c>
      <c r="BD257" s="107"/>
      <c r="BE257" s="245">
        <f>$H$175*月別販売比率!C89</f>
        <v>0</v>
      </c>
      <c r="BF257" s="341">
        <v>60</v>
      </c>
      <c r="BG257" s="81">
        <f>$H$175*月別販売比率!H89</f>
        <v>0</v>
      </c>
      <c r="BH257" s="107"/>
      <c r="BI257" s="81">
        <f>$H$175*月別販売比率!M89</f>
        <v>0</v>
      </c>
      <c r="BJ257" s="107"/>
      <c r="BK257" s="81">
        <f>$H$175*月別販売比率!R89</f>
        <v>0</v>
      </c>
      <c r="BL257" s="107"/>
      <c r="BM257" s="81">
        <f>$H$175*月別販売比率!W89</f>
        <v>0</v>
      </c>
      <c r="BN257" s="107"/>
      <c r="BO257" s="245">
        <f>$H$175*月別販売比率!AB89</f>
        <v>0</v>
      </c>
      <c r="BP257" s="341">
        <v>10</v>
      </c>
      <c r="BQ257" s="245">
        <f>$H$175*月別販売比率!AG89</f>
        <v>0</v>
      </c>
      <c r="BR257" s="341"/>
      <c r="BS257" s="81">
        <f>$H$175*月別販売比率!AL89</f>
        <v>0</v>
      </c>
      <c r="BT257" s="107"/>
      <c r="BU257" s="81">
        <f>$H$175*月別販売比率!AQ89</f>
        <v>0</v>
      </c>
      <c r="BV257" s="107"/>
      <c r="BW257" s="81">
        <f>$H$175*月別販売比率!AV89</f>
        <v>0</v>
      </c>
      <c r="BX257" s="107"/>
      <c r="BY257" s="245">
        <f>$H$175*月別販売比率!BA89</f>
        <v>0</v>
      </c>
      <c r="BZ257" s="341">
        <v>25</v>
      </c>
      <c r="CA257" s="81">
        <f>$H$175*月別販売比率!BF89</f>
        <v>0</v>
      </c>
      <c r="CB257" s="107"/>
      <c r="CC257" s="245">
        <f>H257*月別販売比率!$C$21</f>
        <v>0</v>
      </c>
      <c r="CD257" s="341">
        <v>25</v>
      </c>
      <c r="CE257" s="81">
        <f>H257*月別販売比率!$H$21</f>
        <v>0</v>
      </c>
      <c r="CF257" s="107"/>
      <c r="CG257" s="81">
        <f>H257*月別販売比率!$M$21</f>
        <v>0</v>
      </c>
      <c r="CH257" s="107"/>
      <c r="CI257" s="81">
        <f>H257*月別販売比率!$R$21</f>
        <v>0</v>
      </c>
      <c r="CJ257" s="107"/>
      <c r="CK257" s="81">
        <f>H257*月別販売比率!$W$21</f>
        <v>0</v>
      </c>
      <c r="CL257" s="107"/>
      <c r="CM257" s="81">
        <f>H257*月別販売比率!$AB$21</f>
        <v>0</v>
      </c>
      <c r="CN257" s="107"/>
      <c r="CO257" s="81">
        <f>H257*月別販売比率!$AG$21</f>
        <v>0</v>
      </c>
      <c r="CP257" s="107"/>
      <c r="CQ257" s="81">
        <f>H257*月別販売比率!$AL$21</f>
        <v>0</v>
      </c>
      <c r="CR257" s="107"/>
      <c r="CS257" s="81">
        <f>H257*月別販売比率!$AQ$21</f>
        <v>0</v>
      </c>
      <c r="CT257" s="107"/>
      <c r="CU257" s="81">
        <f>H257*月別販売比率!$AV$21</f>
        <v>0</v>
      </c>
      <c r="CV257" s="107"/>
      <c r="CW257" s="81">
        <f>H257*月別販売比率!$BA$21</f>
        <v>0</v>
      </c>
      <c r="CX257" s="107"/>
      <c r="CY257" s="81">
        <f>H257*月別販売比率!$BF$21</f>
        <v>0</v>
      </c>
      <c r="CZ257" s="107"/>
      <c r="DA257" s="298"/>
      <c r="DB257" s="299"/>
    </row>
    <row r="258" spans="2:106" ht="30.6" customHeight="1">
      <c r="B258" s="2">
        <v>22</v>
      </c>
      <c r="C258" s="556" t="s">
        <v>511</v>
      </c>
      <c r="D258" s="557"/>
      <c r="E258" s="558"/>
      <c r="F258" s="144">
        <f>SUM(F259:F270)</f>
        <v>0</v>
      </c>
      <c r="G258" s="145">
        <f>SUM(G259:G270)</f>
        <v>0</v>
      </c>
      <c r="H258" s="144"/>
      <c r="I258" s="145">
        <f>SUM(I259:I270)</f>
        <v>0</v>
      </c>
      <c r="J258" s="147">
        <f>SUM(J260:J270)</f>
        <v>0</v>
      </c>
      <c r="K258" s="148">
        <f>SUM(K260:K270)</f>
        <v>0</v>
      </c>
      <c r="L258" s="148">
        <f>SUM(L260:L270)</f>
        <v>0</v>
      </c>
      <c r="M258" s="148">
        <f>SUM(M259:M270)</f>
        <v>0</v>
      </c>
      <c r="N258" s="149">
        <f>SUM(N259:N270)</f>
        <v>0</v>
      </c>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6">
        <f>SUM(AS259:AS270)</f>
        <v>0</v>
      </c>
      <c r="AT258" s="134">
        <f>SUM(AT259:AT270)</f>
        <v>0</v>
      </c>
      <c r="AU258" s="136">
        <f>SUM(AU259:AU270)</f>
        <v>0</v>
      </c>
      <c r="AV258" s="134">
        <f>SUM(AV259:AV270)</f>
        <v>0</v>
      </c>
      <c r="AW258" s="136">
        <f>SUM(AW259:AW270)</f>
        <v>0</v>
      </c>
      <c r="AX258" s="134">
        <f>SUM(AX259:AX270)</f>
        <v>0</v>
      </c>
      <c r="AY258" s="136">
        <f>SUM(AY259:AY270)</f>
        <v>0</v>
      </c>
      <c r="AZ258" s="134">
        <f>SUM(AZ259:AZ270)</f>
        <v>0</v>
      </c>
      <c r="BA258" s="136">
        <f>SUM(BA259:BA270)</f>
        <v>0</v>
      </c>
      <c r="BB258" s="134">
        <f>SUM(BB259:BB270)</f>
        <v>0</v>
      </c>
      <c r="BC258" s="136">
        <f>SUM(BC259:BC270)</f>
        <v>0</v>
      </c>
      <c r="BD258" s="134">
        <f>SUM(BD259:BD270)</f>
        <v>0</v>
      </c>
      <c r="BE258" s="136">
        <f>SUM(BE259:BE270)</f>
        <v>0</v>
      </c>
      <c r="BF258" s="134">
        <f>SUM(BF259:BF270)</f>
        <v>795</v>
      </c>
      <c r="BG258" s="136">
        <f>SUM(BG259:BG270)</f>
        <v>0</v>
      </c>
      <c r="BH258" s="134">
        <f>SUM(BH259:BH270)</f>
        <v>0</v>
      </c>
      <c r="BI258" s="136">
        <f>SUM(BI259:BI270)</f>
        <v>0</v>
      </c>
      <c r="BJ258" s="134">
        <f>SUM(BJ259:BJ270)</f>
        <v>0</v>
      </c>
      <c r="BK258" s="136">
        <f>SUM(BK259:BK270)</f>
        <v>0</v>
      </c>
      <c r="BL258" s="134">
        <f>SUM(BL259:BL270)</f>
        <v>0</v>
      </c>
      <c r="BM258" s="136">
        <f>SUM(BM259:BM270)</f>
        <v>0</v>
      </c>
      <c r="BN258" s="134">
        <f>SUM(BN259:BN270)</f>
        <v>0</v>
      </c>
      <c r="BO258" s="136">
        <f>SUM(BO259:BO270)</f>
        <v>0</v>
      </c>
      <c r="BP258" s="134">
        <f>SUM(BP259:BP270)</f>
        <v>845</v>
      </c>
      <c r="BQ258" s="136">
        <f>SUM(BQ259:BQ270)</f>
        <v>0</v>
      </c>
      <c r="BR258" s="134">
        <f>SUM(BR259:BR270)</f>
        <v>0</v>
      </c>
      <c r="BS258" s="136">
        <f>SUM(BS259:BS270)</f>
        <v>0</v>
      </c>
      <c r="BT258" s="134">
        <f>SUM(BT259:BT270)</f>
        <v>0</v>
      </c>
      <c r="BU258" s="136">
        <f>SUM(BU259:BU270)</f>
        <v>0</v>
      </c>
      <c r="BV258" s="134">
        <f>SUM(BV259:BV270)</f>
        <v>0</v>
      </c>
      <c r="BW258" s="136">
        <f>SUM(BW259:BW270)</f>
        <v>0</v>
      </c>
      <c r="BX258" s="134">
        <f>SUM(BX259:BX270)</f>
        <v>0</v>
      </c>
      <c r="BY258" s="136">
        <f>SUM(BY259:BY270)</f>
        <v>0</v>
      </c>
      <c r="BZ258" s="134">
        <f>SUM(BZ259:BZ270)</f>
        <v>420</v>
      </c>
      <c r="CA258" s="136">
        <f>SUM(CA259:CA270)</f>
        <v>0</v>
      </c>
      <c r="CB258" s="134">
        <f>SUM(CB259:CB270)</f>
        <v>0</v>
      </c>
      <c r="CC258" s="136">
        <f>SUM(CC259:CC270)</f>
        <v>0</v>
      </c>
      <c r="CD258" s="134">
        <f>SUM(CD259:CD270)</f>
        <v>420</v>
      </c>
      <c r="CE258" s="136">
        <f>SUM(CE259:CE270)</f>
        <v>0</v>
      </c>
      <c r="CF258" s="134">
        <f>SUM(CF259:CF270)</f>
        <v>0</v>
      </c>
      <c r="CG258" s="136">
        <f>SUM(CG259:CG270)</f>
        <v>0</v>
      </c>
      <c r="CH258" s="134">
        <f>SUM(CH259:CH270)</f>
        <v>0</v>
      </c>
      <c r="CI258" s="136">
        <f>SUM(CI259:CI270)</f>
        <v>0</v>
      </c>
      <c r="CJ258" s="134">
        <f>SUM(CJ259:CJ270)</f>
        <v>0</v>
      </c>
      <c r="CK258" s="136">
        <f>SUM(CK259:CK270)</f>
        <v>0</v>
      </c>
      <c r="CL258" s="134">
        <f>SUM(CL259:CL270)</f>
        <v>0</v>
      </c>
      <c r="CM258" s="136">
        <f>SUM(CM259:CM270)</f>
        <v>0</v>
      </c>
      <c r="CN258" s="134">
        <f>SUM(CN259:CN270)</f>
        <v>0</v>
      </c>
      <c r="CO258" s="136">
        <f>SUM(CO259:CO270)</f>
        <v>0</v>
      </c>
      <c r="CP258" s="134">
        <f>SUM(CP259:CP270)</f>
        <v>0</v>
      </c>
      <c r="CQ258" s="136">
        <f>SUM(CQ259:CQ270)</f>
        <v>0</v>
      </c>
      <c r="CR258" s="134">
        <f>SUM(CR259:CR270)</f>
        <v>0</v>
      </c>
      <c r="CS258" s="136">
        <f>SUM(CS259:CS270)</f>
        <v>0</v>
      </c>
      <c r="CT258" s="134">
        <f>SUM(CT259:CT270)</f>
        <v>0</v>
      </c>
      <c r="CU258" s="136">
        <v>65.156981784482824</v>
      </c>
      <c r="CV258" s="134">
        <f>SUM(CV259:CV270)</f>
        <v>0</v>
      </c>
      <c r="CW258" s="136">
        <f>SUM(CW259:CW270)</f>
        <v>0</v>
      </c>
      <c r="CX258" s="134">
        <f>SUM(CX259:CX270)</f>
        <v>0</v>
      </c>
      <c r="CY258" s="136">
        <f>SUM(CY259:CY270)</f>
        <v>0</v>
      </c>
      <c r="CZ258" s="134">
        <f>SUM(CZ259:CZ270)</f>
        <v>0</v>
      </c>
      <c r="DA258" s="141"/>
      <c r="DB258" s="293"/>
    </row>
    <row r="259" spans="2:106" ht="30.75" customHeight="1">
      <c r="B259" s="25"/>
      <c r="C259" s="553"/>
      <c r="D259" s="494">
        <v>1</v>
      </c>
      <c r="E259" s="99" t="s">
        <v>287</v>
      </c>
      <c r="F259" s="572"/>
      <c r="G259" s="46">
        <f>F259*3080</f>
        <v>0</v>
      </c>
      <c r="H259" s="45">
        <f>F259*($H$171/$F$171)</f>
        <v>0</v>
      </c>
      <c r="I259" s="46">
        <f>H259*3080</f>
        <v>0</v>
      </c>
      <c r="J259" s="310"/>
      <c r="K259" s="39">
        <f>SUM(L259:N259)</f>
        <v>0</v>
      </c>
      <c r="L259" s="39"/>
      <c r="M259" s="39"/>
      <c r="N259" s="42"/>
      <c r="O259" s="304"/>
      <c r="P259" s="304"/>
      <c r="Q259" s="333">
        <v>45631</v>
      </c>
      <c r="R259" s="129"/>
      <c r="S259" s="345"/>
      <c r="T259" s="345"/>
      <c r="U259" s="333">
        <v>45392</v>
      </c>
      <c r="V259" s="129"/>
      <c r="W259" s="129"/>
      <c r="X259" s="129"/>
      <c r="Y259" s="129"/>
      <c r="Z259" s="129"/>
      <c r="AA259" s="129"/>
      <c r="AB259" s="129"/>
      <c r="AC259" s="345"/>
      <c r="AD259" s="345"/>
      <c r="AE259" s="129"/>
      <c r="AF259" s="129"/>
      <c r="AG259" s="129"/>
      <c r="AH259" s="129"/>
      <c r="AI259" s="129">
        <f>SUM(J259:K259)-CI259+CJ259</f>
        <v>0</v>
      </c>
      <c r="AJ259" s="129">
        <f t="shared" ref="AJ259:AJ270" si="356">AI259-CK259+CL259</f>
        <v>0</v>
      </c>
      <c r="AK259" s="129">
        <f t="shared" ref="AK259:AK270" si="357">AJ259-CM259+CN259</f>
        <v>0</v>
      </c>
      <c r="AL259" s="399">
        <f t="shared" ref="AL259:AL270" si="358">AK259-CO259+CP259</f>
        <v>0</v>
      </c>
      <c r="AM259" s="393">
        <f t="shared" ref="AM259:AM270" si="359">AL259-CQ259+CR259</f>
        <v>0</v>
      </c>
      <c r="AN259" s="393">
        <f t="shared" ref="AN259:AN270" si="360">AM259-CS259+CT259</f>
        <v>0</v>
      </c>
      <c r="AO259" s="393">
        <f t="shared" ref="AO259:AO270" si="361">AN259-CU259+CV259</f>
        <v>0</v>
      </c>
      <c r="AP259" s="96">
        <f t="shared" ref="AP259:AP270" si="362">AO259-CW259+CX259</f>
        <v>0</v>
      </c>
      <c r="AQ259" s="91">
        <f t="shared" ref="AQ259:AQ270" si="363">AP259-CY259+CZ259</f>
        <v>0</v>
      </c>
      <c r="AR259" s="129"/>
      <c r="AS259" s="41">
        <f>$H$172*月別販売比率!AG92</f>
        <v>0</v>
      </c>
      <c r="AT259" s="39"/>
      <c r="AU259" s="41">
        <f>$H$172*月別販売比率!AL92</f>
        <v>0</v>
      </c>
      <c r="AV259" s="39"/>
      <c r="AW259" s="41">
        <f>$H$172*月別販売比率!AQ92</f>
        <v>0</v>
      </c>
      <c r="AX259" s="39"/>
      <c r="AY259" s="41">
        <f>$H$172*月別販売比率!AV92</f>
        <v>0</v>
      </c>
      <c r="AZ259" s="39"/>
      <c r="BA259" s="41">
        <f>$H$172*月別販売比率!BA92</f>
        <v>0</v>
      </c>
      <c r="BB259" s="39"/>
      <c r="BC259" s="41">
        <f>$H$172*月別販売比率!BF92</f>
        <v>0</v>
      </c>
      <c r="BD259" s="39"/>
      <c r="BE259" s="283">
        <f>$H$172*月別販売比率!C108</f>
        <v>0</v>
      </c>
      <c r="BF259" s="280">
        <v>60</v>
      </c>
      <c r="BG259" s="41">
        <f>$H$172*月別販売比率!H108</f>
        <v>0</v>
      </c>
      <c r="BH259" s="39"/>
      <c r="BI259" s="41">
        <f>$H$172*月別販売比率!M108</f>
        <v>0</v>
      </c>
      <c r="BJ259" s="39"/>
      <c r="BK259" s="41">
        <f>$H$172*月別販売比率!R108</f>
        <v>0</v>
      </c>
      <c r="BL259" s="39"/>
      <c r="BM259" s="41">
        <f>$H$172*月別販売比率!W108</f>
        <v>0</v>
      </c>
      <c r="BN259" s="39"/>
      <c r="BO259" s="283">
        <f>$H$172*月別販売比率!AB108</f>
        <v>0</v>
      </c>
      <c r="BP259" s="280">
        <v>100</v>
      </c>
      <c r="BQ259" s="283">
        <f>$H$172*月別販売比率!AG108</f>
        <v>0</v>
      </c>
      <c r="BR259" s="280"/>
      <c r="BS259" s="41">
        <f>$H$172*月別販売比率!AL108</f>
        <v>0</v>
      </c>
      <c r="BT259" s="39"/>
      <c r="BU259" s="41">
        <f>$H$172*月別販売比率!AQ108</f>
        <v>0</v>
      </c>
      <c r="BV259" s="39"/>
      <c r="BW259" s="41">
        <f>$H$172*月別販売比率!AV108</f>
        <v>0</v>
      </c>
      <c r="BX259" s="39"/>
      <c r="BY259" s="283">
        <f>$H$172*月別販売比率!BA108</f>
        <v>0</v>
      </c>
      <c r="BZ259" s="280">
        <v>30</v>
      </c>
      <c r="CA259" s="41">
        <f>$H$172*月別販売比率!BF108</f>
        <v>0</v>
      </c>
      <c r="CB259" s="39"/>
      <c r="CC259" s="283">
        <f>H259*月別販売比率!$C$21</f>
        <v>0</v>
      </c>
      <c r="CD259" s="280">
        <v>30</v>
      </c>
      <c r="CE259" s="41">
        <f>H259*月別販売比率!$H$21</f>
        <v>0</v>
      </c>
      <c r="CF259" s="39"/>
      <c r="CG259" s="41">
        <f>H259*月別販売比率!$M$21</f>
        <v>0</v>
      </c>
      <c r="CH259" s="39"/>
      <c r="CI259" s="41">
        <f>H259*月別販売比率!$R$21</f>
        <v>0</v>
      </c>
      <c r="CJ259" s="39"/>
      <c r="CK259" s="41">
        <f>H259*月別販売比率!$W$21</f>
        <v>0</v>
      </c>
      <c r="CL259" s="39"/>
      <c r="CM259" s="41">
        <f>H259*月別販売比率!$AB$21</f>
        <v>0</v>
      </c>
      <c r="CN259" s="39"/>
      <c r="CO259" s="41">
        <f>H259*月別販売比率!$AG$21</f>
        <v>0</v>
      </c>
      <c r="CP259" s="39"/>
      <c r="CQ259" s="41">
        <f>H259*月別販売比率!$AL$21</f>
        <v>0</v>
      </c>
      <c r="CR259" s="39"/>
      <c r="CS259" s="41">
        <f>H259*月別販売比率!$AQ$21</f>
        <v>0</v>
      </c>
      <c r="CT259" s="39"/>
      <c r="CU259" s="41">
        <f>H259*月別販売比率!$AV$21</f>
        <v>0</v>
      </c>
      <c r="CV259" s="39"/>
      <c r="CW259" s="41">
        <f>H259*月別販売比率!$BA$21</f>
        <v>0</v>
      </c>
      <c r="CX259" s="39"/>
      <c r="CY259" s="41">
        <f>H259*月別販売比率!$BF$21</f>
        <v>0</v>
      </c>
      <c r="CZ259" s="39"/>
      <c r="DA259" s="50"/>
      <c r="DB259" s="295"/>
    </row>
    <row r="260" spans="2:106" ht="30.75" customHeight="1">
      <c r="B260" s="25"/>
      <c r="C260" s="554"/>
      <c r="D260" s="494"/>
      <c r="E260" s="99" t="s">
        <v>286</v>
      </c>
      <c r="F260" s="572"/>
      <c r="G260" s="46">
        <f t="shared" ref="G260:G270" si="364">F260*3080</f>
        <v>0</v>
      </c>
      <c r="H260" s="45">
        <f>F260*($H$171/$F$171)</f>
        <v>0</v>
      </c>
      <c r="I260" s="46">
        <f t="shared" ref="I260:I270" si="365">H260*3080</f>
        <v>0</v>
      </c>
      <c r="J260" s="49"/>
      <c r="K260" s="39">
        <f t="shared" ref="K260:K270" si="366">SUM(L260:N260)</f>
        <v>0</v>
      </c>
      <c r="L260" s="39"/>
      <c r="M260" s="39"/>
      <c r="N260" s="42"/>
      <c r="O260" s="43"/>
      <c r="P260" s="43"/>
      <c r="Q260" s="335"/>
      <c r="R260" s="129"/>
      <c r="S260" s="345"/>
      <c r="T260" s="345"/>
      <c r="U260" s="333">
        <v>45392</v>
      </c>
      <c r="V260" s="129"/>
      <c r="W260" s="129"/>
      <c r="X260" s="129"/>
      <c r="Y260" s="345"/>
      <c r="Z260" s="129"/>
      <c r="AA260" s="345"/>
      <c r="AB260" s="345"/>
      <c r="AC260" s="345"/>
      <c r="AD260" s="335"/>
      <c r="AE260" s="335"/>
      <c r="AF260" s="335"/>
      <c r="AG260" s="335"/>
      <c r="AH260" s="335"/>
      <c r="AI260" s="129">
        <f t="shared" ref="AI260:AI270" si="367">SUM(J260:K260)-CI260+CJ260</f>
        <v>0</v>
      </c>
      <c r="AJ260" s="129">
        <f t="shared" si="356"/>
        <v>0</v>
      </c>
      <c r="AK260" s="129">
        <f t="shared" si="357"/>
        <v>0</v>
      </c>
      <c r="AL260" s="399">
        <f t="shared" si="358"/>
        <v>0</v>
      </c>
      <c r="AM260" s="393">
        <f t="shared" si="359"/>
        <v>0</v>
      </c>
      <c r="AN260" s="393">
        <f t="shared" si="360"/>
        <v>0</v>
      </c>
      <c r="AO260" s="393">
        <f t="shared" si="361"/>
        <v>0</v>
      </c>
      <c r="AP260" s="96">
        <f t="shared" si="362"/>
        <v>0</v>
      </c>
      <c r="AQ260" s="91">
        <f t="shared" si="363"/>
        <v>0</v>
      </c>
      <c r="AR260" s="129"/>
      <c r="AS260" s="41">
        <f>$H$173*月別販売比率!AG92</f>
        <v>0</v>
      </c>
      <c r="AT260" s="39"/>
      <c r="AU260" s="41">
        <f>$H$173*月別販売比率!AL92</f>
        <v>0</v>
      </c>
      <c r="AV260" s="39"/>
      <c r="AW260" s="41">
        <f>$H$173*月別販売比率!AQ92</f>
        <v>0</v>
      </c>
      <c r="AX260" s="39"/>
      <c r="AY260" s="41">
        <f>$H$173*月別販売比率!AV92</f>
        <v>0</v>
      </c>
      <c r="AZ260" s="39"/>
      <c r="BA260" s="41">
        <f>$H$173*月別販売比率!BA92</f>
        <v>0</v>
      </c>
      <c r="BB260" s="39"/>
      <c r="BC260" s="41">
        <f>$H$173*月別販売比率!BF92</f>
        <v>0</v>
      </c>
      <c r="BD260" s="39"/>
      <c r="BE260" s="283">
        <f>$H$173*月別販売比率!C108</f>
        <v>0</v>
      </c>
      <c r="BF260" s="280">
        <v>90</v>
      </c>
      <c r="BG260" s="41">
        <f>$H$173*月別販売比率!H108</f>
        <v>0</v>
      </c>
      <c r="BH260" s="39"/>
      <c r="BI260" s="41">
        <f>$H$173*月別販売比率!M108</f>
        <v>0</v>
      </c>
      <c r="BJ260" s="39"/>
      <c r="BK260" s="41">
        <f>$H$173*月別販売比率!R108</f>
        <v>0</v>
      </c>
      <c r="BL260" s="39"/>
      <c r="BM260" s="41">
        <f>$H$173*月別販売比率!W108</f>
        <v>0</v>
      </c>
      <c r="BN260" s="39"/>
      <c r="BO260" s="283">
        <f>$H$173*月別販売比率!AB108</f>
        <v>0</v>
      </c>
      <c r="BP260" s="280">
        <v>15</v>
      </c>
      <c r="BQ260" s="283">
        <f>$H$173*月別販売比率!AG108</f>
        <v>0</v>
      </c>
      <c r="BR260" s="280"/>
      <c r="BS260" s="41">
        <f>$H$173*月別販売比率!AL108</f>
        <v>0</v>
      </c>
      <c r="BT260" s="39"/>
      <c r="BU260" s="41">
        <f>$H$173*月別販売比率!AQ108</f>
        <v>0</v>
      </c>
      <c r="BV260" s="39"/>
      <c r="BW260" s="41">
        <f>$H$173*月別販売比率!AV108</f>
        <v>0</v>
      </c>
      <c r="BX260" s="39"/>
      <c r="BY260" s="283">
        <f>$H$173*月別販売比率!BA108</f>
        <v>0</v>
      </c>
      <c r="BZ260" s="280">
        <v>40</v>
      </c>
      <c r="CA260" s="41">
        <f>$H$173*月別販売比率!BF108</f>
        <v>0</v>
      </c>
      <c r="CB260" s="39"/>
      <c r="CC260" s="283">
        <f>H260*月別販売比率!$C$21</f>
        <v>0</v>
      </c>
      <c r="CD260" s="280">
        <v>40</v>
      </c>
      <c r="CE260" s="41">
        <f>H260*月別販売比率!$H$21</f>
        <v>0</v>
      </c>
      <c r="CF260" s="39"/>
      <c r="CG260" s="41">
        <f>H260*月別販売比率!$M$21</f>
        <v>0</v>
      </c>
      <c r="CH260" s="39"/>
      <c r="CI260" s="41">
        <f>H260*月別販売比率!$R$21</f>
        <v>0</v>
      </c>
      <c r="CJ260" s="39"/>
      <c r="CK260" s="41">
        <f>H260*月別販売比率!$W$21</f>
        <v>0</v>
      </c>
      <c r="CL260" s="39"/>
      <c r="CM260" s="41">
        <f>H260*月別販売比率!$AB$21</f>
        <v>0</v>
      </c>
      <c r="CN260" s="39"/>
      <c r="CO260" s="41">
        <f>H260*月別販売比率!$AG$21</f>
        <v>0</v>
      </c>
      <c r="CP260" s="39"/>
      <c r="CQ260" s="41">
        <f>H260*月別販売比率!$AL$21</f>
        <v>0</v>
      </c>
      <c r="CR260" s="39"/>
      <c r="CS260" s="41">
        <f>H260*月別販売比率!$AQ$21</f>
        <v>0</v>
      </c>
      <c r="CT260" s="39"/>
      <c r="CU260" s="41">
        <f>H260*月別販売比率!$AV$21</f>
        <v>0</v>
      </c>
      <c r="CV260" s="39"/>
      <c r="CW260" s="41">
        <f>H260*月別販売比率!$BA$21</f>
        <v>0</v>
      </c>
      <c r="CX260" s="39"/>
      <c r="CY260" s="41">
        <f>H260*月別販売比率!$BF$21</f>
        <v>0</v>
      </c>
      <c r="CZ260" s="39"/>
      <c r="DA260" s="50"/>
      <c r="DB260" s="295"/>
    </row>
    <row r="261" spans="2:106" ht="30.75" customHeight="1">
      <c r="B261" s="25"/>
      <c r="C261" s="555"/>
      <c r="D261" s="494"/>
      <c r="E261" s="99" t="s">
        <v>285</v>
      </c>
      <c r="F261" s="572"/>
      <c r="G261" s="46">
        <f t="shared" si="364"/>
        <v>0</v>
      </c>
      <c r="H261" s="45">
        <f>F261*($H$171/$F$171)</f>
        <v>0</v>
      </c>
      <c r="I261" s="46">
        <f t="shared" si="365"/>
        <v>0</v>
      </c>
      <c r="J261" s="49"/>
      <c r="K261" s="39">
        <f t="shared" si="366"/>
        <v>0</v>
      </c>
      <c r="L261" s="39"/>
      <c r="M261" s="39"/>
      <c r="N261" s="42"/>
      <c r="O261" s="43"/>
      <c r="P261" s="43"/>
      <c r="Q261" s="335"/>
      <c r="R261" s="129"/>
      <c r="S261" s="345"/>
      <c r="T261" s="345"/>
      <c r="U261" s="333">
        <v>45392</v>
      </c>
      <c r="V261" s="129"/>
      <c r="W261" s="129"/>
      <c r="X261" s="129"/>
      <c r="Y261" s="129"/>
      <c r="Z261" s="129"/>
      <c r="AA261" s="345"/>
      <c r="AB261" s="129"/>
      <c r="AC261" s="345"/>
      <c r="AD261" s="345"/>
      <c r="AE261" s="129"/>
      <c r="AF261" s="129"/>
      <c r="AG261" s="129"/>
      <c r="AH261" s="129"/>
      <c r="AI261" s="129">
        <f t="shared" si="367"/>
        <v>0</v>
      </c>
      <c r="AJ261" s="129">
        <f t="shared" si="356"/>
        <v>0</v>
      </c>
      <c r="AK261" s="129">
        <f t="shared" si="357"/>
        <v>0</v>
      </c>
      <c r="AL261" s="399">
        <f t="shared" si="358"/>
        <v>0</v>
      </c>
      <c r="AM261" s="393">
        <f t="shared" si="359"/>
        <v>0</v>
      </c>
      <c r="AN261" s="393">
        <f t="shared" si="360"/>
        <v>0</v>
      </c>
      <c r="AO261" s="393">
        <f t="shared" si="361"/>
        <v>0</v>
      </c>
      <c r="AP261" s="96">
        <f t="shared" si="362"/>
        <v>0</v>
      </c>
      <c r="AQ261" s="91">
        <f t="shared" si="363"/>
        <v>0</v>
      </c>
      <c r="AR261" s="129"/>
      <c r="AS261" s="41">
        <f>$H$174*月別販売比率!AG92</f>
        <v>0</v>
      </c>
      <c r="AT261" s="39"/>
      <c r="AU261" s="41">
        <f>$H$174*月別販売比率!AL92</f>
        <v>0</v>
      </c>
      <c r="AV261" s="39"/>
      <c r="AW261" s="41">
        <f>$H$174*月別販売比率!AQ92</f>
        <v>0</v>
      </c>
      <c r="AX261" s="39"/>
      <c r="AY261" s="41">
        <f>$H$174*月別販売比率!AV92</f>
        <v>0</v>
      </c>
      <c r="AZ261" s="39"/>
      <c r="BA261" s="41">
        <f>$H$174*月別販売比率!BA92</f>
        <v>0</v>
      </c>
      <c r="BB261" s="39"/>
      <c r="BC261" s="41">
        <f>$H$174*月別販売比率!BF92</f>
        <v>0</v>
      </c>
      <c r="BD261" s="39"/>
      <c r="BE261" s="283">
        <f>$H$174*月別販売比率!C108</f>
        <v>0</v>
      </c>
      <c r="BF261" s="280">
        <v>75</v>
      </c>
      <c r="BG261" s="41">
        <f>$H$174*月別販売比率!H108</f>
        <v>0</v>
      </c>
      <c r="BH261" s="39"/>
      <c r="BI261" s="41">
        <f>$H$174*月別販売比率!M108</f>
        <v>0</v>
      </c>
      <c r="BJ261" s="39"/>
      <c r="BK261" s="41">
        <f>$H$174*月別販売比率!R108</f>
        <v>0</v>
      </c>
      <c r="BL261" s="39"/>
      <c r="BM261" s="41">
        <f>$H$174*月別販売比率!W108</f>
        <v>0</v>
      </c>
      <c r="BN261" s="39"/>
      <c r="BO261" s="283">
        <f>$H$174*月別販売比率!AB108</f>
        <v>0</v>
      </c>
      <c r="BP261" s="280">
        <v>65</v>
      </c>
      <c r="BQ261" s="283">
        <f>$H$174*月別販売比率!AG108</f>
        <v>0</v>
      </c>
      <c r="BR261" s="280"/>
      <c r="BS261" s="41">
        <f>$H$174*月別販売比率!AL108</f>
        <v>0</v>
      </c>
      <c r="BT261" s="39"/>
      <c r="BU261" s="41">
        <f>$H$174*月別販売比率!AQ108</f>
        <v>0</v>
      </c>
      <c r="BV261" s="39"/>
      <c r="BW261" s="41">
        <f>$H$174*月別販売比率!AV108</f>
        <v>0</v>
      </c>
      <c r="BX261" s="39"/>
      <c r="BY261" s="283">
        <f>$H$174*月別販売比率!BA108</f>
        <v>0</v>
      </c>
      <c r="BZ261" s="280">
        <v>35</v>
      </c>
      <c r="CA261" s="41">
        <f>$H$174*月別販売比率!BF108</f>
        <v>0</v>
      </c>
      <c r="CB261" s="39"/>
      <c r="CC261" s="283">
        <f>H261*月別販売比率!$C$21</f>
        <v>0</v>
      </c>
      <c r="CD261" s="280">
        <v>35</v>
      </c>
      <c r="CE261" s="41">
        <f>H261*月別販売比率!$H$21</f>
        <v>0</v>
      </c>
      <c r="CF261" s="39"/>
      <c r="CG261" s="41">
        <f>H261*月別販売比率!$M$21</f>
        <v>0</v>
      </c>
      <c r="CH261" s="39"/>
      <c r="CI261" s="41">
        <f>H261*月別販売比率!$R$21</f>
        <v>0</v>
      </c>
      <c r="CJ261" s="39"/>
      <c r="CK261" s="41">
        <f>H261*月別販売比率!$W$21</f>
        <v>0</v>
      </c>
      <c r="CL261" s="39"/>
      <c r="CM261" s="41">
        <f>H261*月別販売比率!$AB$21</f>
        <v>0</v>
      </c>
      <c r="CN261" s="39"/>
      <c r="CO261" s="41">
        <f>H261*月別販売比率!$AG$21</f>
        <v>0</v>
      </c>
      <c r="CP261" s="39"/>
      <c r="CQ261" s="41">
        <f>H261*月別販売比率!$AL$21</f>
        <v>0</v>
      </c>
      <c r="CR261" s="39"/>
      <c r="CS261" s="41">
        <f>H261*月別販売比率!$AQ$21</f>
        <v>0</v>
      </c>
      <c r="CT261" s="39"/>
      <c r="CU261" s="41">
        <f>H261*月別販売比率!$AV$21</f>
        <v>0</v>
      </c>
      <c r="CV261" s="39"/>
      <c r="CW261" s="41">
        <f>H261*月別販売比率!$BA$21</f>
        <v>0</v>
      </c>
      <c r="CX261" s="39"/>
      <c r="CY261" s="41">
        <f>H261*月別販売比率!$BF$21</f>
        <v>0</v>
      </c>
      <c r="CZ261" s="39"/>
      <c r="DA261" s="50"/>
      <c r="DB261" s="295"/>
    </row>
    <row r="262" spans="2:106" ht="30.75" customHeight="1">
      <c r="B262" s="25"/>
      <c r="C262" s="555"/>
      <c r="D262" s="494"/>
      <c r="E262" s="99" t="s">
        <v>284</v>
      </c>
      <c r="F262" s="572"/>
      <c r="G262" s="46">
        <f t="shared" si="364"/>
        <v>0</v>
      </c>
      <c r="H262" s="45">
        <f>F262*($H$171/$F$171)</f>
        <v>0</v>
      </c>
      <c r="I262" s="46">
        <f t="shared" si="365"/>
        <v>0</v>
      </c>
      <c r="J262" s="310"/>
      <c r="K262" s="39">
        <f t="shared" si="366"/>
        <v>0</v>
      </c>
      <c r="L262" s="39"/>
      <c r="M262" s="39"/>
      <c r="N262" s="42"/>
      <c r="O262" s="43"/>
      <c r="P262" s="43"/>
      <c r="Q262" s="335"/>
      <c r="R262" s="129"/>
      <c r="S262" s="345"/>
      <c r="T262" s="345"/>
      <c r="U262" s="333"/>
      <c r="V262" s="129"/>
      <c r="W262" s="129"/>
      <c r="X262" s="129"/>
      <c r="Y262" s="129"/>
      <c r="Z262" s="129"/>
      <c r="AA262" s="345"/>
      <c r="AB262" s="129"/>
      <c r="AC262" s="345"/>
      <c r="AD262" s="345"/>
      <c r="AE262" s="129"/>
      <c r="AF262" s="129"/>
      <c r="AG262" s="129"/>
      <c r="AH262" s="129"/>
      <c r="AI262" s="129">
        <f t="shared" si="367"/>
        <v>0</v>
      </c>
      <c r="AJ262" s="129">
        <f t="shared" si="356"/>
        <v>0</v>
      </c>
      <c r="AK262" s="129">
        <f t="shared" si="357"/>
        <v>0</v>
      </c>
      <c r="AL262" s="399">
        <f t="shared" si="358"/>
        <v>0</v>
      </c>
      <c r="AM262" s="393">
        <f t="shared" si="359"/>
        <v>0</v>
      </c>
      <c r="AN262" s="393">
        <f t="shared" si="360"/>
        <v>0</v>
      </c>
      <c r="AO262" s="393">
        <f t="shared" si="361"/>
        <v>0</v>
      </c>
      <c r="AP262" s="96">
        <f t="shared" si="362"/>
        <v>0</v>
      </c>
      <c r="AQ262" s="91">
        <f t="shared" si="363"/>
        <v>0</v>
      </c>
      <c r="AR262" s="129"/>
      <c r="AS262" s="41"/>
      <c r="AT262" s="39"/>
      <c r="AU262" s="41"/>
      <c r="AV262" s="39"/>
      <c r="AW262" s="41"/>
      <c r="AX262" s="39"/>
      <c r="AY262" s="41"/>
      <c r="AZ262" s="39"/>
      <c r="BA262" s="41"/>
      <c r="BB262" s="39"/>
      <c r="BC262" s="41"/>
      <c r="BD262" s="39"/>
      <c r="BE262" s="283"/>
      <c r="BF262" s="280"/>
      <c r="BG262" s="41"/>
      <c r="BH262" s="39"/>
      <c r="BI262" s="41"/>
      <c r="BJ262" s="39"/>
      <c r="BK262" s="41"/>
      <c r="BL262" s="39"/>
      <c r="BM262" s="41"/>
      <c r="BN262" s="39"/>
      <c r="BO262" s="283"/>
      <c r="BP262" s="280"/>
      <c r="BQ262" s="283"/>
      <c r="BR262" s="280"/>
      <c r="BS262" s="41"/>
      <c r="BT262" s="39"/>
      <c r="BU262" s="41"/>
      <c r="BV262" s="39"/>
      <c r="BW262" s="41"/>
      <c r="BX262" s="39"/>
      <c r="BY262" s="283"/>
      <c r="BZ262" s="280"/>
      <c r="CA262" s="41"/>
      <c r="CB262" s="39"/>
      <c r="CC262" s="283"/>
      <c r="CD262" s="280"/>
      <c r="CE262" s="41"/>
      <c r="CF262" s="39"/>
      <c r="CG262" s="41"/>
      <c r="CH262" s="39"/>
      <c r="CI262" s="41">
        <f>H262*月別販売比率!$R$21</f>
        <v>0</v>
      </c>
      <c r="CJ262" s="39"/>
      <c r="CK262" s="41">
        <f>H262*月別販売比率!$W$21</f>
        <v>0</v>
      </c>
      <c r="CL262" s="39"/>
      <c r="CM262" s="41">
        <f>H262*月別販売比率!$AB$21</f>
        <v>0</v>
      </c>
      <c r="CN262" s="39"/>
      <c r="CO262" s="41">
        <f>H262*月別販売比率!$AG$21</f>
        <v>0</v>
      </c>
      <c r="CP262" s="39"/>
      <c r="CQ262" s="41">
        <f>H262*月別販売比率!$AL$21</f>
        <v>0</v>
      </c>
      <c r="CR262" s="39"/>
      <c r="CS262" s="41">
        <f>H262*月別販売比率!$AQ$21</f>
        <v>0</v>
      </c>
      <c r="CT262" s="39"/>
      <c r="CU262" s="41">
        <f>H262*月別販売比率!$AV$21</f>
        <v>0</v>
      </c>
      <c r="CV262" s="39"/>
      <c r="CW262" s="41">
        <f>H262*月別販売比率!$BA$21</f>
        <v>0</v>
      </c>
      <c r="CX262" s="39"/>
      <c r="CY262" s="41">
        <f>H262*月別販売比率!$BF$21</f>
        <v>0</v>
      </c>
      <c r="CZ262" s="39"/>
      <c r="DA262" s="50"/>
      <c r="DB262" s="295"/>
    </row>
    <row r="263" spans="2:106" ht="30.75" customHeight="1">
      <c r="B263" s="25"/>
      <c r="C263" s="555"/>
      <c r="D263" s="494">
        <v>2</v>
      </c>
      <c r="E263" s="99" t="s">
        <v>287</v>
      </c>
      <c r="F263" s="572"/>
      <c r="G263" s="46">
        <f t="shared" si="364"/>
        <v>0</v>
      </c>
      <c r="H263" s="45">
        <f>F263*($H$171/$F$171)</f>
        <v>0</v>
      </c>
      <c r="I263" s="46">
        <f t="shared" si="365"/>
        <v>0</v>
      </c>
      <c r="J263" s="310"/>
      <c r="K263" s="39">
        <f t="shared" si="366"/>
        <v>0</v>
      </c>
      <c r="L263" s="39"/>
      <c r="M263" s="39"/>
      <c r="N263" s="42"/>
      <c r="O263" s="304"/>
      <c r="P263" s="304"/>
      <c r="Q263" s="333">
        <v>45631</v>
      </c>
      <c r="R263" s="129"/>
      <c r="S263" s="129"/>
      <c r="T263" s="129"/>
      <c r="U263" s="129"/>
      <c r="V263" s="129"/>
      <c r="W263" s="129"/>
      <c r="X263" s="129"/>
      <c r="Y263" s="129"/>
      <c r="Z263" s="129"/>
      <c r="AA263" s="345"/>
      <c r="AB263" s="129"/>
      <c r="AC263" s="129"/>
      <c r="AD263" s="129"/>
      <c r="AE263" s="129"/>
      <c r="AF263" s="129"/>
      <c r="AG263" s="129"/>
      <c r="AH263" s="129"/>
      <c r="AI263" s="129">
        <f t="shared" si="367"/>
        <v>0</v>
      </c>
      <c r="AJ263" s="129">
        <f t="shared" si="356"/>
        <v>0</v>
      </c>
      <c r="AK263" s="129">
        <f t="shared" si="357"/>
        <v>0</v>
      </c>
      <c r="AL263" s="399">
        <f t="shared" si="358"/>
        <v>0</v>
      </c>
      <c r="AM263" s="393">
        <f t="shared" si="359"/>
        <v>0</v>
      </c>
      <c r="AN263" s="393">
        <f t="shared" si="360"/>
        <v>0</v>
      </c>
      <c r="AO263" s="393">
        <f t="shared" si="361"/>
        <v>0</v>
      </c>
      <c r="AP263" s="96">
        <f t="shared" si="362"/>
        <v>0</v>
      </c>
      <c r="AQ263" s="91">
        <f t="shared" si="363"/>
        <v>0</v>
      </c>
      <c r="AR263" s="129"/>
      <c r="AS263" s="41">
        <f>$H$177*月別販売比率!AG87</f>
        <v>0</v>
      </c>
      <c r="AT263" s="39"/>
      <c r="AU263" s="41">
        <f>$H$177*月別販売比率!AL87</f>
        <v>0</v>
      </c>
      <c r="AV263" s="39"/>
      <c r="AW263" s="41">
        <f>$H$177*月別販売比率!AQ87</f>
        <v>0</v>
      </c>
      <c r="AX263" s="39"/>
      <c r="AY263" s="41">
        <f>$H$177*月別販売比率!AV87</f>
        <v>0</v>
      </c>
      <c r="AZ263" s="39"/>
      <c r="BA263" s="41">
        <f>$H$177*月別販売比率!BA87</f>
        <v>0</v>
      </c>
      <c r="BB263" s="39"/>
      <c r="BC263" s="41">
        <f>$H$177*月別販売比率!BF87</f>
        <v>0</v>
      </c>
      <c r="BD263" s="39"/>
      <c r="BE263" s="283">
        <f>$H$177*月別販売比率!C103</f>
        <v>0</v>
      </c>
      <c r="BF263" s="280">
        <v>60</v>
      </c>
      <c r="BG263" s="41">
        <f>$H$177*月別販売比率!H103</f>
        <v>0</v>
      </c>
      <c r="BH263" s="39"/>
      <c r="BI263" s="41">
        <f>$H$177*月別販売比率!M103</f>
        <v>0</v>
      </c>
      <c r="BJ263" s="39"/>
      <c r="BK263" s="41">
        <f>$H$177*月別販売比率!R103</f>
        <v>0</v>
      </c>
      <c r="BL263" s="39"/>
      <c r="BM263" s="41">
        <f>$H$177*月別販売比率!W103</f>
        <v>0</v>
      </c>
      <c r="BN263" s="39"/>
      <c r="BO263" s="283">
        <f>$H$177*月別販売比率!AB103</f>
        <v>0</v>
      </c>
      <c r="BP263" s="280">
        <v>150</v>
      </c>
      <c r="BQ263" s="283">
        <f>$H$177*月別販売比率!AG103</f>
        <v>0</v>
      </c>
      <c r="BR263" s="280"/>
      <c r="BS263" s="41">
        <f>$H$177*月別販売比率!AL103</f>
        <v>0</v>
      </c>
      <c r="BT263" s="39"/>
      <c r="BU263" s="41">
        <f>$H$177*月別販売比率!AQ103</f>
        <v>0</v>
      </c>
      <c r="BV263" s="39"/>
      <c r="BW263" s="41">
        <f>$H$177*月別販売比率!AV103</f>
        <v>0</v>
      </c>
      <c r="BX263" s="39"/>
      <c r="BY263" s="283">
        <f>$H$177*月別販売比率!BA103</f>
        <v>0</v>
      </c>
      <c r="BZ263" s="280">
        <v>40</v>
      </c>
      <c r="CA263" s="41">
        <f>$H$177*月別販売比率!BF103</f>
        <v>0</v>
      </c>
      <c r="CB263" s="39"/>
      <c r="CC263" s="283">
        <f>H263*月別販売比率!$C$21</f>
        <v>0</v>
      </c>
      <c r="CD263" s="280">
        <v>40</v>
      </c>
      <c r="CE263" s="41">
        <f>H263*月別販売比率!$H$21</f>
        <v>0</v>
      </c>
      <c r="CF263" s="39"/>
      <c r="CG263" s="41">
        <f>H263*月別販売比率!$M$21</f>
        <v>0</v>
      </c>
      <c r="CH263" s="39"/>
      <c r="CI263" s="41">
        <f>H263*月別販売比率!$R$21</f>
        <v>0</v>
      </c>
      <c r="CJ263" s="39"/>
      <c r="CK263" s="41">
        <f>H263*月別販売比率!$W$21</f>
        <v>0</v>
      </c>
      <c r="CL263" s="39"/>
      <c r="CM263" s="41">
        <f>H263*月別販売比率!$AB$21</f>
        <v>0</v>
      </c>
      <c r="CN263" s="39"/>
      <c r="CO263" s="41">
        <f>H263*月別販売比率!$AG$21</f>
        <v>0</v>
      </c>
      <c r="CP263" s="39"/>
      <c r="CQ263" s="41">
        <f>H263*月別販売比率!$AL$21</f>
        <v>0</v>
      </c>
      <c r="CR263" s="39"/>
      <c r="CS263" s="41">
        <f>H263*月別販売比率!$AQ$21</f>
        <v>0</v>
      </c>
      <c r="CT263" s="39"/>
      <c r="CU263" s="41">
        <f>H263*月別販売比率!$AV$21</f>
        <v>0</v>
      </c>
      <c r="CV263" s="39"/>
      <c r="CW263" s="41">
        <f>H263*月別販売比率!$BA$21</f>
        <v>0</v>
      </c>
      <c r="CX263" s="39"/>
      <c r="CY263" s="41">
        <f>H263*月別販売比率!$BF$21</f>
        <v>0</v>
      </c>
      <c r="CZ263" s="39"/>
      <c r="DA263" s="50"/>
      <c r="DB263" s="295"/>
    </row>
    <row r="264" spans="2:106" ht="30.75" customHeight="1">
      <c r="B264" s="25"/>
      <c r="C264" s="555"/>
      <c r="D264" s="494"/>
      <c r="E264" s="99" t="s">
        <v>286</v>
      </c>
      <c r="F264" s="572"/>
      <c r="G264" s="46">
        <f t="shared" si="364"/>
        <v>0</v>
      </c>
      <c r="H264" s="45">
        <f>F264*($H$171/$F$171)</f>
        <v>0</v>
      </c>
      <c r="I264" s="46">
        <f t="shared" si="365"/>
        <v>0</v>
      </c>
      <c r="J264" s="49"/>
      <c r="K264" s="39">
        <f t="shared" si="366"/>
        <v>0</v>
      </c>
      <c r="L264" s="39"/>
      <c r="M264" s="39"/>
      <c r="N264" s="42"/>
      <c r="O264" s="43"/>
      <c r="P264" s="43"/>
      <c r="Q264" s="335"/>
      <c r="R264" s="129"/>
      <c r="S264" s="345"/>
      <c r="T264" s="345"/>
      <c r="U264" s="333">
        <v>45392</v>
      </c>
      <c r="V264" s="345"/>
      <c r="W264" s="333">
        <v>45838</v>
      </c>
      <c r="X264" s="129"/>
      <c r="Y264" s="129"/>
      <c r="Z264" s="129"/>
      <c r="AA264" s="345"/>
      <c r="AB264" s="129"/>
      <c r="AC264" s="129"/>
      <c r="AD264" s="129"/>
      <c r="AE264" s="129"/>
      <c r="AF264" s="129"/>
      <c r="AG264" s="129"/>
      <c r="AH264" s="129"/>
      <c r="AI264" s="129">
        <f t="shared" si="367"/>
        <v>0</v>
      </c>
      <c r="AJ264" s="129">
        <f t="shared" si="356"/>
        <v>0</v>
      </c>
      <c r="AK264" s="129">
        <f t="shared" si="357"/>
        <v>0</v>
      </c>
      <c r="AL264" s="399">
        <f t="shared" si="358"/>
        <v>0</v>
      </c>
      <c r="AM264" s="393">
        <f t="shared" si="359"/>
        <v>0</v>
      </c>
      <c r="AN264" s="393">
        <f t="shared" si="360"/>
        <v>0</v>
      </c>
      <c r="AO264" s="393">
        <f t="shared" si="361"/>
        <v>0</v>
      </c>
      <c r="AP264" s="96">
        <f t="shared" si="362"/>
        <v>0</v>
      </c>
      <c r="AQ264" s="91">
        <f t="shared" si="363"/>
        <v>0</v>
      </c>
      <c r="AR264" s="129"/>
      <c r="AS264" s="41">
        <f>$H$178*月別販売比率!AG87</f>
        <v>0</v>
      </c>
      <c r="AT264" s="39"/>
      <c r="AU264" s="41">
        <f>$H$178*月別販売比率!AL87</f>
        <v>0</v>
      </c>
      <c r="AV264" s="39"/>
      <c r="AW264" s="41">
        <f>$H$178*月別販売比率!AQ87</f>
        <v>0</v>
      </c>
      <c r="AX264" s="39"/>
      <c r="AY264" s="41">
        <f>$H$178*月別販売比率!AV87</f>
        <v>0</v>
      </c>
      <c r="AZ264" s="39"/>
      <c r="BA264" s="41">
        <f>$H$178*月別販売比率!BA87</f>
        <v>0</v>
      </c>
      <c r="BB264" s="39"/>
      <c r="BC264" s="41">
        <f>$H$178*月別販売比率!BF87</f>
        <v>0</v>
      </c>
      <c r="BD264" s="39"/>
      <c r="BE264" s="283">
        <f>$H$178*月別販売比率!C103</f>
        <v>0</v>
      </c>
      <c r="BF264" s="280">
        <v>90</v>
      </c>
      <c r="BG264" s="41">
        <f>$H$178*月別販売比率!H103</f>
        <v>0</v>
      </c>
      <c r="BH264" s="39"/>
      <c r="BI264" s="41">
        <f>$H$178*月別販売比率!M103</f>
        <v>0</v>
      </c>
      <c r="BJ264" s="39"/>
      <c r="BK264" s="41">
        <f>$H$178*月別販売比率!R103</f>
        <v>0</v>
      </c>
      <c r="BL264" s="39"/>
      <c r="BM264" s="41">
        <f>$H$178*月別販売比率!W103</f>
        <v>0</v>
      </c>
      <c r="BN264" s="39"/>
      <c r="BO264" s="283">
        <f>$H$178*月別販売比率!AB103</f>
        <v>0</v>
      </c>
      <c r="BP264" s="280">
        <v>50</v>
      </c>
      <c r="BQ264" s="283">
        <f>$H$178*月別販売比率!AG103</f>
        <v>0</v>
      </c>
      <c r="BR264" s="280"/>
      <c r="BS264" s="41">
        <f>$H$178*月別販売比率!AL103</f>
        <v>0</v>
      </c>
      <c r="BT264" s="39"/>
      <c r="BU264" s="41">
        <f>$H$178*月別販売比率!AQ103</f>
        <v>0</v>
      </c>
      <c r="BV264" s="39"/>
      <c r="BW264" s="41">
        <f>$H$178*月別販売比率!AV103</f>
        <v>0</v>
      </c>
      <c r="BX264" s="39"/>
      <c r="BY264" s="283">
        <f>$H$178*月別販売比率!BA103</f>
        <v>0</v>
      </c>
      <c r="BZ264" s="280">
        <v>50</v>
      </c>
      <c r="CA264" s="41">
        <f>$H$178*月別販売比率!BF103</f>
        <v>0</v>
      </c>
      <c r="CB264" s="39"/>
      <c r="CC264" s="283">
        <f>H264*月別販売比率!$C$21</f>
        <v>0</v>
      </c>
      <c r="CD264" s="280">
        <v>50</v>
      </c>
      <c r="CE264" s="41">
        <f>H264*月別販売比率!$H$21</f>
        <v>0</v>
      </c>
      <c r="CF264" s="39"/>
      <c r="CG264" s="41">
        <f>H264*月別販売比率!$M$21</f>
        <v>0</v>
      </c>
      <c r="CH264" s="39"/>
      <c r="CI264" s="41">
        <f>H264*月別販売比率!$R$21</f>
        <v>0</v>
      </c>
      <c r="CJ264" s="39"/>
      <c r="CK264" s="41">
        <f>H264*月別販売比率!$W$21</f>
        <v>0</v>
      </c>
      <c r="CL264" s="39"/>
      <c r="CM264" s="41">
        <f>H264*月別販売比率!$AB$21</f>
        <v>0</v>
      </c>
      <c r="CN264" s="39"/>
      <c r="CO264" s="41">
        <f>H264*月別販売比率!$AG$21</f>
        <v>0</v>
      </c>
      <c r="CP264" s="39"/>
      <c r="CQ264" s="41">
        <f>H264*月別販売比率!$AL$21</f>
        <v>0</v>
      </c>
      <c r="CR264" s="39"/>
      <c r="CS264" s="41">
        <f>H264*月別販売比率!$AQ$21</f>
        <v>0</v>
      </c>
      <c r="CT264" s="39"/>
      <c r="CU264" s="41">
        <f>H264*月別販売比率!$AV$21</f>
        <v>0</v>
      </c>
      <c r="CV264" s="39"/>
      <c r="CW264" s="41">
        <f>H264*月別販売比率!$BA$21</f>
        <v>0</v>
      </c>
      <c r="CX264" s="39"/>
      <c r="CY264" s="41">
        <f>H264*月別販売比率!$BF$21</f>
        <v>0</v>
      </c>
      <c r="CZ264" s="39"/>
      <c r="DA264" s="50"/>
      <c r="DB264" s="295"/>
    </row>
    <row r="265" spans="2:106" ht="30.75" customHeight="1">
      <c r="B265" s="25"/>
      <c r="C265" s="555"/>
      <c r="D265" s="494"/>
      <c r="E265" s="99" t="s">
        <v>285</v>
      </c>
      <c r="F265" s="572"/>
      <c r="G265" s="46">
        <f t="shared" si="364"/>
        <v>0</v>
      </c>
      <c r="H265" s="45">
        <f>F265*($H$171/$F$171)</f>
        <v>0</v>
      </c>
      <c r="I265" s="46">
        <f t="shared" si="365"/>
        <v>0</v>
      </c>
      <c r="J265" s="49"/>
      <c r="K265" s="39">
        <f t="shared" si="366"/>
        <v>0</v>
      </c>
      <c r="L265" s="39"/>
      <c r="M265" s="39"/>
      <c r="N265" s="42"/>
      <c r="O265" s="43"/>
      <c r="P265" s="43"/>
      <c r="Q265" s="335"/>
      <c r="R265" s="129"/>
      <c r="S265" s="345"/>
      <c r="T265" s="345"/>
      <c r="U265" s="333">
        <v>45392</v>
      </c>
      <c r="V265" s="345"/>
      <c r="W265" s="345"/>
      <c r="X265" s="129"/>
      <c r="Y265" s="345"/>
      <c r="Z265" s="129"/>
      <c r="AA265" s="345"/>
      <c r="AB265" s="129"/>
      <c r="AC265" s="345"/>
      <c r="AD265" s="345"/>
      <c r="AE265" s="129"/>
      <c r="AF265" s="129"/>
      <c r="AG265" s="129"/>
      <c r="AH265" s="129"/>
      <c r="AI265" s="129">
        <f t="shared" si="367"/>
        <v>0</v>
      </c>
      <c r="AJ265" s="129">
        <f t="shared" si="356"/>
        <v>0</v>
      </c>
      <c r="AK265" s="129">
        <f t="shared" si="357"/>
        <v>0</v>
      </c>
      <c r="AL265" s="399">
        <f t="shared" si="358"/>
        <v>0</v>
      </c>
      <c r="AM265" s="393">
        <f t="shared" si="359"/>
        <v>0</v>
      </c>
      <c r="AN265" s="393">
        <f t="shared" si="360"/>
        <v>0</v>
      </c>
      <c r="AO265" s="393">
        <f t="shared" si="361"/>
        <v>0</v>
      </c>
      <c r="AP265" s="96">
        <f t="shared" si="362"/>
        <v>0</v>
      </c>
      <c r="AQ265" s="91">
        <f t="shared" si="363"/>
        <v>0</v>
      </c>
      <c r="AR265" s="129"/>
      <c r="AS265" s="41">
        <f>$H$179*月別販売比率!AG87</f>
        <v>0</v>
      </c>
      <c r="AT265" s="39"/>
      <c r="AU265" s="41">
        <f>$H$179*月別販売比率!AL87</f>
        <v>0</v>
      </c>
      <c r="AV265" s="39"/>
      <c r="AW265" s="41">
        <f>$H$179*月別販売比率!AQ87</f>
        <v>0</v>
      </c>
      <c r="AX265" s="39"/>
      <c r="AY265" s="41">
        <f>$H$179*月別販売比率!AV87</f>
        <v>0</v>
      </c>
      <c r="AZ265" s="39"/>
      <c r="BA265" s="41">
        <f>$H$179*月別販売比率!BA87</f>
        <v>0</v>
      </c>
      <c r="BB265" s="39"/>
      <c r="BC265" s="41">
        <f>$H$179*月別販売比率!BF87</f>
        <v>0</v>
      </c>
      <c r="BD265" s="39"/>
      <c r="BE265" s="283">
        <f>$H$179*月別販売比率!C103</f>
        <v>0</v>
      </c>
      <c r="BF265" s="280">
        <v>75</v>
      </c>
      <c r="BG265" s="41">
        <f>$H$179*月別販売比率!H103</f>
        <v>0</v>
      </c>
      <c r="BH265" s="39"/>
      <c r="BI265" s="41">
        <f>$H$179*月別販売比率!M103</f>
        <v>0</v>
      </c>
      <c r="BJ265" s="39"/>
      <c r="BK265" s="41">
        <f>$H$179*月別販売比率!R103</f>
        <v>0</v>
      </c>
      <c r="BL265" s="39"/>
      <c r="BM265" s="41">
        <f>$H$179*月別販売比率!W103</f>
        <v>0</v>
      </c>
      <c r="BN265" s="39"/>
      <c r="BO265" s="283">
        <f>$H$179*月別販売比率!AB103</f>
        <v>0</v>
      </c>
      <c r="BP265" s="280">
        <v>110</v>
      </c>
      <c r="BQ265" s="283">
        <f>$H$179*月別販売比率!AG103</f>
        <v>0</v>
      </c>
      <c r="BR265" s="280"/>
      <c r="BS265" s="41">
        <f>$H$179*月別販売比率!AL103</f>
        <v>0</v>
      </c>
      <c r="BT265" s="39"/>
      <c r="BU265" s="41">
        <f>$H$179*月別販売比率!AQ103</f>
        <v>0</v>
      </c>
      <c r="BV265" s="39"/>
      <c r="BW265" s="41">
        <f>$H$179*月別販売比率!AV103</f>
        <v>0</v>
      </c>
      <c r="BX265" s="39"/>
      <c r="BY265" s="283">
        <f>$H$179*月別販売比率!BA103</f>
        <v>0</v>
      </c>
      <c r="BZ265" s="280">
        <v>40</v>
      </c>
      <c r="CA265" s="41">
        <f>$H$179*月別販売比率!BF103</f>
        <v>0</v>
      </c>
      <c r="CB265" s="39"/>
      <c r="CC265" s="283">
        <f>H265*月別販売比率!$C$21</f>
        <v>0</v>
      </c>
      <c r="CD265" s="280">
        <v>40</v>
      </c>
      <c r="CE265" s="41">
        <f>H265*月別販売比率!$H$21</f>
        <v>0</v>
      </c>
      <c r="CF265" s="39"/>
      <c r="CG265" s="41">
        <f>H265*月別販売比率!$M$21</f>
        <v>0</v>
      </c>
      <c r="CH265" s="39"/>
      <c r="CI265" s="41">
        <f>H265*月別販売比率!$R$21</f>
        <v>0</v>
      </c>
      <c r="CJ265" s="39"/>
      <c r="CK265" s="41">
        <f>H265*月別販売比率!$W$21</f>
        <v>0</v>
      </c>
      <c r="CL265" s="39"/>
      <c r="CM265" s="41">
        <f>H265*月別販売比率!$AB$21</f>
        <v>0</v>
      </c>
      <c r="CN265" s="39"/>
      <c r="CO265" s="41">
        <f>H265*月別販売比率!$AG$21</f>
        <v>0</v>
      </c>
      <c r="CP265" s="39"/>
      <c r="CQ265" s="41">
        <f>H265*月別販売比率!$AL$21</f>
        <v>0</v>
      </c>
      <c r="CR265" s="39"/>
      <c r="CS265" s="41">
        <f>H265*月別販売比率!$AQ$21</f>
        <v>0</v>
      </c>
      <c r="CT265" s="39"/>
      <c r="CU265" s="41">
        <f>H265*月別販売比率!$AV$21</f>
        <v>0</v>
      </c>
      <c r="CV265" s="39"/>
      <c r="CW265" s="41">
        <f>H265*月別販売比率!$BA$21</f>
        <v>0</v>
      </c>
      <c r="CX265" s="39"/>
      <c r="CY265" s="41">
        <f>H265*月別販売比率!$BF$21</f>
        <v>0</v>
      </c>
      <c r="CZ265" s="39"/>
      <c r="DA265" s="50"/>
      <c r="DB265" s="295"/>
    </row>
    <row r="266" spans="2:106" ht="30.75" customHeight="1">
      <c r="B266" s="25"/>
      <c r="C266" s="555"/>
      <c r="D266" s="494"/>
      <c r="E266" s="99" t="s">
        <v>284</v>
      </c>
      <c r="F266" s="572"/>
      <c r="G266" s="46">
        <f t="shared" si="364"/>
        <v>0</v>
      </c>
      <c r="H266" s="45">
        <f>F266*($H$171/$F$171)</f>
        <v>0</v>
      </c>
      <c r="I266" s="46">
        <f t="shared" si="365"/>
        <v>0</v>
      </c>
      <c r="J266" s="49"/>
      <c r="K266" s="39">
        <f t="shared" si="366"/>
        <v>0</v>
      </c>
      <c r="L266" s="39"/>
      <c r="M266" s="39"/>
      <c r="N266" s="42"/>
      <c r="O266" s="43"/>
      <c r="P266" s="43"/>
      <c r="Q266" s="335"/>
      <c r="R266" s="129"/>
      <c r="S266" s="129"/>
      <c r="T266" s="129"/>
      <c r="U266" s="129"/>
      <c r="V266" s="345"/>
      <c r="W266" s="345"/>
      <c r="X266" s="345"/>
      <c r="Y266" s="345"/>
      <c r="Z266" s="129"/>
      <c r="AA266" s="345"/>
      <c r="AB266" s="345"/>
      <c r="AC266" s="345"/>
      <c r="AD266" s="345"/>
      <c r="AE266" s="345"/>
      <c r="AF266" s="345"/>
      <c r="AG266" s="129"/>
      <c r="AH266" s="129"/>
      <c r="AI266" s="129">
        <f t="shared" si="367"/>
        <v>0</v>
      </c>
      <c r="AJ266" s="129">
        <f t="shared" si="356"/>
        <v>0</v>
      </c>
      <c r="AK266" s="129">
        <f t="shared" si="357"/>
        <v>0</v>
      </c>
      <c r="AL266" s="399">
        <f t="shared" si="358"/>
        <v>0</v>
      </c>
      <c r="AM266" s="393">
        <f t="shared" si="359"/>
        <v>0</v>
      </c>
      <c r="AN266" s="393">
        <f t="shared" si="360"/>
        <v>0</v>
      </c>
      <c r="AO266" s="393">
        <f t="shared" si="361"/>
        <v>0</v>
      </c>
      <c r="AP266" s="96">
        <f t="shared" si="362"/>
        <v>0</v>
      </c>
      <c r="AQ266" s="91">
        <f t="shared" si="363"/>
        <v>0</v>
      </c>
      <c r="AR266" s="129"/>
      <c r="AS266" s="41">
        <f>$H$175*月別販売比率!AG92</f>
        <v>0</v>
      </c>
      <c r="AT266" s="39"/>
      <c r="AU266" s="41">
        <f>$H$175*月別販売比率!AL92</f>
        <v>0</v>
      </c>
      <c r="AV266" s="39"/>
      <c r="AW266" s="41">
        <f>$H$175*月別販売比率!AQ92</f>
        <v>0</v>
      </c>
      <c r="AX266" s="39"/>
      <c r="AY266" s="41">
        <f>$H$175*月別販売比率!AV92</f>
        <v>0</v>
      </c>
      <c r="AZ266" s="39"/>
      <c r="BA266" s="41">
        <f>$H$175*月別販売比率!BA92</f>
        <v>0</v>
      </c>
      <c r="BB266" s="39"/>
      <c r="BC266" s="41">
        <f>$H$175*月別販売比率!BF92</f>
        <v>0</v>
      </c>
      <c r="BD266" s="39"/>
      <c r="BE266" s="283">
        <f>$H$175*月別販売比率!C108</f>
        <v>0</v>
      </c>
      <c r="BF266" s="280">
        <v>60</v>
      </c>
      <c r="BG266" s="41">
        <f>$H$175*月別販売比率!H108</f>
        <v>0</v>
      </c>
      <c r="BH266" s="39"/>
      <c r="BI266" s="41">
        <f>$H$175*月別販売比率!M108</f>
        <v>0</v>
      </c>
      <c r="BJ266" s="39"/>
      <c r="BK266" s="41">
        <f>$H$175*月別販売比率!R108</f>
        <v>0</v>
      </c>
      <c r="BL266" s="39"/>
      <c r="BM266" s="41">
        <f>$H$175*月別販売比率!W108</f>
        <v>0</v>
      </c>
      <c r="BN266" s="39"/>
      <c r="BO266" s="283">
        <f>$H$175*月別販売比率!AB108</f>
        <v>0</v>
      </c>
      <c r="BP266" s="280">
        <v>10</v>
      </c>
      <c r="BQ266" s="283">
        <f>$H$175*月別販売比率!AG108</f>
        <v>0</v>
      </c>
      <c r="BR266" s="280"/>
      <c r="BS266" s="41">
        <f>$H$175*月別販売比率!AL108</f>
        <v>0</v>
      </c>
      <c r="BT266" s="39"/>
      <c r="BU266" s="41">
        <f>$H$175*月別販売比率!AQ108</f>
        <v>0</v>
      </c>
      <c r="BV266" s="39"/>
      <c r="BW266" s="41">
        <f>$H$175*月別販売比率!AV108</f>
        <v>0</v>
      </c>
      <c r="BX266" s="39"/>
      <c r="BY266" s="283">
        <f>$H$175*月別販売比率!BA108</f>
        <v>0</v>
      </c>
      <c r="BZ266" s="280">
        <v>25</v>
      </c>
      <c r="CA266" s="41">
        <f>$H$175*月別販売比率!BF108</f>
        <v>0</v>
      </c>
      <c r="CB266" s="39"/>
      <c r="CC266" s="283">
        <f>H266*月別販売比率!$C$21</f>
        <v>0</v>
      </c>
      <c r="CD266" s="280">
        <v>25</v>
      </c>
      <c r="CE266" s="41">
        <f>H266*月別販売比率!$H$21</f>
        <v>0</v>
      </c>
      <c r="CF266" s="39"/>
      <c r="CG266" s="41">
        <f>H266*月別販売比率!$M$21</f>
        <v>0</v>
      </c>
      <c r="CH266" s="39"/>
      <c r="CI266" s="41">
        <f>H266*月別販売比率!$R$21</f>
        <v>0</v>
      </c>
      <c r="CJ266" s="39"/>
      <c r="CK266" s="41">
        <f>H266*月別販売比率!$W$21</f>
        <v>0</v>
      </c>
      <c r="CL266" s="39"/>
      <c r="CM266" s="41">
        <f>H266*月別販売比率!$AB$21</f>
        <v>0</v>
      </c>
      <c r="CN266" s="39"/>
      <c r="CO266" s="41">
        <f>H266*月別販売比率!$AG$21</f>
        <v>0</v>
      </c>
      <c r="CP266" s="39"/>
      <c r="CQ266" s="41">
        <f>H266*月別販売比率!$AL$21</f>
        <v>0</v>
      </c>
      <c r="CR266" s="39"/>
      <c r="CS266" s="41">
        <f>H266*月別販売比率!$AQ$21</f>
        <v>0</v>
      </c>
      <c r="CT266" s="39"/>
      <c r="CU266" s="41">
        <f>H266*月別販売比率!$AV$21</f>
        <v>0</v>
      </c>
      <c r="CV266" s="39"/>
      <c r="CW266" s="41">
        <f>H266*月別販売比率!$BA$21</f>
        <v>0</v>
      </c>
      <c r="CX266" s="39"/>
      <c r="CY266" s="41">
        <f>H266*月別販売比率!$BF$21</f>
        <v>0</v>
      </c>
      <c r="CZ266" s="39"/>
      <c r="DA266" s="50"/>
      <c r="DB266" s="295"/>
    </row>
    <row r="267" spans="2:106" ht="30.75" customHeight="1">
      <c r="B267" s="25"/>
      <c r="C267" s="555"/>
      <c r="D267" s="494">
        <v>3</v>
      </c>
      <c r="E267" s="99" t="s">
        <v>287</v>
      </c>
      <c r="F267" s="572"/>
      <c r="G267" s="46">
        <f t="shared" si="364"/>
        <v>0</v>
      </c>
      <c r="H267" s="45">
        <f>F267*($H$171/$F$171)</f>
        <v>0</v>
      </c>
      <c r="I267" s="46">
        <f t="shared" si="365"/>
        <v>0</v>
      </c>
      <c r="J267" s="310"/>
      <c r="K267" s="39">
        <f t="shared" si="366"/>
        <v>0</v>
      </c>
      <c r="L267" s="39"/>
      <c r="M267" s="39"/>
      <c r="N267" s="42"/>
      <c r="O267" s="304"/>
      <c r="P267" s="304"/>
      <c r="Q267" s="333">
        <v>45631</v>
      </c>
      <c r="R267" s="129"/>
      <c r="S267" s="129"/>
      <c r="T267" s="129"/>
      <c r="U267" s="129"/>
      <c r="V267" s="129"/>
      <c r="W267" s="129"/>
      <c r="X267" s="129"/>
      <c r="Y267" s="129"/>
      <c r="Z267" s="129"/>
      <c r="AA267" s="345"/>
      <c r="AB267" s="129"/>
      <c r="AC267" s="129"/>
      <c r="AD267" s="129"/>
      <c r="AE267" s="129"/>
      <c r="AF267" s="129"/>
      <c r="AG267" s="129"/>
      <c r="AH267" s="129"/>
      <c r="AI267" s="129">
        <f t="shared" si="367"/>
        <v>0</v>
      </c>
      <c r="AJ267" s="129">
        <f t="shared" si="356"/>
        <v>0</v>
      </c>
      <c r="AK267" s="129">
        <f t="shared" si="357"/>
        <v>0</v>
      </c>
      <c r="AL267" s="399">
        <f t="shared" si="358"/>
        <v>0</v>
      </c>
      <c r="AM267" s="393">
        <f t="shared" si="359"/>
        <v>0</v>
      </c>
      <c r="AN267" s="393">
        <f t="shared" si="360"/>
        <v>0</v>
      </c>
      <c r="AO267" s="393">
        <f t="shared" si="361"/>
        <v>0</v>
      </c>
      <c r="AP267" s="96">
        <f t="shared" si="362"/>
        <v>0</v>
      </c>
      <c r="AQ267" s="91">
        <f t="shared" si="363"/>
        <v>0</v>
      </c>
      <c r="AR267" s="129"/>
      <c r="AS267" s="41">
        <f>$H$177*月別販売比率!AG92</f>
        <v>0</v>
      </c>
      <c r="AT267" s="39"/>
      <c r="AU267" s="41">
        <f>$H$177*月別販売比率!AL92</f>
        <v>0</v>
      </c>
      <c r="AV267" s="39"/>
      <c r="AW267" s="41">
        <f>$H$177*月別販売比率!AQ92</f>
        <v>0</v>
      </c>
      <c r="AX267" s="39"/>
      <c r="AY267" s="41">
        <f>$H$177*月別販売比率!AV92</f>
        <v>0</v>
      </c>
      <c r="AZ267" s="39"/>
      <c r="BA267" s="41">
        <f>$H$177*月別販売比率!BA92</f>
        <v>0</v>
      </c>
      <c r="BB267" s="39"/>
      <c r="BC267" s="41">
        <f>$H$177*月別販売比率!BF92</f>
        <v>0</v>
      </c>
      <c r="BD267" s="39"/>
      <c r="BE267" s="283">
        <f>$H$177*月別販売比率!C108</f>
        <v>0</v>
      </c>
      <c r="BF267" s="280">
        <v>60</v>
      </c>
      <c r="BG267" s="41">
        <f>$H$177*月別販売比率!H108</f>
        <v>0</v>
      </c>
      <c r="BH267" s="39"/>
      <c r="BI267" s="41">
        <f>$H$177*月別販売比率!M108</f>
        <v>0</v>
      </c>
      <c r="BJ267" s="39"/>
      <c r="BK267" s="41">
        <f>$H$177*月別販売比率!R108</f>
        <v>0</v>
      </c>
      <c r="BL267" s="39"/>
      <c r="BM267" s="41">
        <f>$H$177*月別販売比率!W108</f>
        <v>0</v>
      </c>
      <c r="BN267" s="39"/>
      <c r="BO267" s="283">
        <f>$H$177*月別販売比率!AB108</f>
        <v>0</v>
      </c>
      <c r="BP267" s="280">
        <v>150</v>
      </c>
      <c r="BQ267" s="283">
        <f>$H$177*月別販売比率!AG108</f>
        <v>0</v>
      </c>
      <c r="BR267" s="280"/>
      <c r="BS267" s="41">
        <f>$H$177*月別販売比率!AL108</f>
        <v>0</v>
      </c>
      <c r="BT267" s="39"/>
      <c r="BU267" s="41">
        <f>$H$177*月別販売比率!AQ108</f>
        <v>0</v>
      </c>
      <c r="BV267" s="39"/>
      <c r="BW267" s="41">
        <f>$H$177*月別販売比率!AV108</f>
        <v>0</v>
      </c>
      <c r="BX267" s="39"/>
      <c r="BY267" s="283">
        <f>$H$177*月別販売比率!BA108</f>
        <v>0</v>
      </c>
      <c r="BZ267" s="280">
        <v>40</v>
      </c>
      <c r="CA267" s="41">
        <f>$H$177*月別販売比率!BF108</f>
        <v>0</v>
      </c>
      <c r="CB267" s="39"/>
      <c r="CC267" s="283">
        <f>H267*月別販売比率!$C$21</f>
        <v>0</v>
      </c>
      <c r="CD267" s="280">
        <v>40</v>
      </c>
      <c r="CE267" s="41">
        <f>H267*月別販売比率!$H$21</f>
        <v>0</v>
      </c>
      <c r="CF267" s="39"/>
      <c r="CG267" s="41">
        <f>H267*月別販売比率!$M$21</f>
        <v>0</v>
      </c>
      <c r="CH267" s="39"/>
      <c r="CI267" s="41">
        <f>H267*月別販売比率!$R$21</f>
        <v>0</v>
      </c>
      <c r="CJ267" s="39"/>
      <c r="CK267" s="41">
        <f>H267*月別販売比率!$W$21</f>
        <v>0</v>
      </c>
      <c r="CL267" s="39"/>
      <c r="CM267" s="41">
        <f>H267*月別販売比率!$AB$21</f>
        <v>0</v>
      </c>
      <c r="CN267" s="39"/>
      <c r="CO267" s="41">
        <f>H267*月別販売比率!$AG$21</f>
        <v>0</v>
      </c>
      <c r="CP267" s="39"/>
      <c r="CQ267" s="41">
        <f>H267*月別販売比率!$AL$21</f>
        <v>0</v>
      </c>
      <c r="CR267" s="39"/>
      <c r="CS267" s="41">
        <f>H267*月別販売比率!$AQ$21</f>
        <v>0</v>
      </c>
      <c r="CT267" s="39"/>
      <c r="CU267" s="41">
        <f>H267*月別販売比率!$AV$21</f>
        <v>0</v>
      </c>
      <c r="CV267" s="39"/>
      <c r="CW267" s="41">
        <f>H267*月別販売比率!$BA$21</f>
        <v>0</v>
      </c>
      <c r="CX267" s="39"/>
      <c r="CY267" s="41">
        <f>H267*月別販売比率!$BF$21</f>
        <v>0</v>
      </c>
      <c r="CZ267" s="39"/>
      <c r="DA267" s="50"/>
      <c r="DB267" s="295"/>
    </row>
    <row r="268" spans="2:106" ht="30.75" customHeight="1">
      <c r="B268" s="25"/>
      <c r="C268" s="555"/>
      <c r="D268" s="494"/>
      <c r="E268" s="99" t="s">
        <v>286</v>
      </c>
      <c r="F268" s="572"/>
      <c r="G268" s="46">
        <f t="shared" si="364"/>
        <v>0</v>
      </c>
      <c r="H268" s="45">
        <f>F268*($H$171/$F$171)</f>
        <v>0</v>
      </c>
      <c r="I268" s="46">
        <f t="shared" si="365"/>
        <v>0</v>
      </c>
      <c r="J268" s="49"/>
      <c r="K268" s="39">
        <f t="shared" si="366"/>
        <v>0</v>
      </c>
      <c r="L268" s="39"/>
      <c r="M268" s="39"/>
      <c r="N268" s="42"/>
      <c r="O268" s="43"/>
      <c r="P268" s="43"/>
      <c r="Q268" s="335"/>
      <c r="R268" s="129"/>
      <c r="S268" s="345"/>
      <c r="T268" s="345"/>
      <c r="U268" s="333">
        <v>45392</v>
      </c>
      <c r="V268" s="345"/>
      <c r="W268" s="333">
        <v>45838</v>
      </c>
      <c r="X268" s="129"/>
      <c r="Y268" s="129"/>
      <c r="Z268" s="129"/>
      <c r="AA268" s="345"/>
      <c r="AB268" s="129"/>
      <c r="AC268" s="129"/>
      <c r="AD268" s="129"/>
      <c r="AE268" s="129"/>
      <c r="AF268" s="129"/>
      <c r="AG268" s="129"/>
      <c r="AH268" s="129"/>
      <c r="AI268" s="129">
        <f t="shared" si="367"/>
        <v>0</v>
      </c>
      <c r="AJ268" s="129">
        <f t="shared" si="356"/>
        <v>0</v>
      </c>
      <c r="AK268" s="129">
        <f t="shared" si="357"/>
        <v>0</v>
      </c>
      <c r="AL268" s="399">
        <f t="shared" si="358"/>
        <v>0</v>
      </c>
      <c r="AM268" s="393">
        <f t="shared" si="359"/>
        <v>0</v>
      </c>
      <c r="AN268" s="393">
        <f t="shared" si="360"/>
        <v>0</v>
      </c>
      <c r="AO268" s="393">
        <f t="shared" si="361"/>
        <v>0</v>
      </c>
      <c r="AP268" s="96">
        <f t="shared" si="362"/>
        <v>0</v>
      </c>
      <c r="AQ268" s="91">
        <f t="shared" si="363"/>
        <v>0</v>
      </c>
      <c r="AR268" s="129"/>
      <c r="AS268" s="41">
        <f>$H$178*月別販売比率!AG92</f>
        <v>0</v>
      </c>
      <c r="AT268" s="39"/>
      <c r="AU268" s="41">
        <f>$H$178*月別販売比率!AL92</f>
        <v>0</v>
      </c>
      <c r="AV268" s="39"/>
      <c r="AW268" s="41">
        <f>$H$178*月別販売比率!AQ92</f>
        <v>0</v>
      </c>
      <c r="AX268" s="39"/>
      <c r="AY268" s="41">
        <f>$H$178*月別販売比率!AV92</f>
        <v>0</v>
      </c>
      <c r="AZ268" s="39"/>
      <c r="BA268" s="41">
        <f>$H$178*月別販売比率!BA92</f>
        <v>0</v>
      </c>
      <c r="BB268" s="39"/>
      <c r="BC268" s="41">
        <f>$H$178*月別販売比率!BF92</f>
        <v>0</v>
      </c>
      <c r="BD268" s="39"/>
      <c r="BE268" s="283">
        <f>$H$178*月別販売比率!C108</f>
        <v>0</v>
      </c>
      <c r="BF268" s="280">
        <v>90</v>
      </c>
      <c r="BG268" s="41">
        <f>$H$178*月別販売比率!H108</f>
        <v>0</v>
      </c>
      <c r="BH268" s="39"/>
      <c r="BI268" s="41">
        <f>$H$178*月別販売比率!M108</f>
        <v>0</v>
      </c>
      <c r="BJ268" s="39"/>
      <c r="BK268" s="41">
        <f>$H$178*月別販売比率!R108</f>
        <v>0</v>
      </c>
      <c r="BL268" s="39"/>
      <c r="BM268" s="41">
        <f>$H$178*月別販売比率!W108</f>
        <v>0</v>
      </c>
      <c r="BN268" s="39"/>
      <c r="BO268" s="283">
        <f>$H$178*月別販売比率!AB108</f>
        <v>0</v>
      </c>
      <c r="BP268" s="280">
        <v>50</v>
      </c>
      <c r="BQ268" s="283">
        <f>$H$178*月別販売比率!AG108</f>
        <v>0</v>
      </c>
      <c r="BR268" s="280"/>
      <c r="BS268" s="41">
        <f>$H$178*月別販売比率!AL108</f>
        <v>0</v>
      </c>
      <c r="BT268" s="39"/>
      <c r="BU268" s="41">
        <f>$H$178*月別販売比率!AQ108</f>
        <v>0</v>
      </c>
      <c r="BV268" s="39"/>
      <c r="BW268" s="41">
        <f>$H$178*月別販売比率!AV108</f>
        <v>0</v>
      </c>
      <c r="BX268" s="39"/>
      <c r="BY268" s="283">
        <f>$H$178*月別販売比率!BA108</f>
        <v>0</v>
      </c>
      <c r="BZ268" s="280">
        <v>50</v>
      </c>
      <c r="CA268" s="41">
        <f>$H$178*月別販売比率!BF108</f>
        <v>0</v>
      </c>
      <c r="CB268" s="39"/>
      <c r="CC268" s="283">
        <f>H268*月別販売比率!$C$21</f>
        <v>0</v>
      </c>
      <c r="CD268" s="280">
        <v>50</v>
      </c>
      <c r="CE268" s="41">
        <f>H268*月別販売比率!$H$21</f>
        <v>0</v>
      </c>
      <c r="CF268" s="39"/>
      <c r="CG268" s="41">
        <f>H268*月別販売比率!$M$21</f>
        <v>0</v>
      </c>
      <c r="CH268" s="39"/>
      <c r="CI268" s="41">
        <f>H268*月別販売比率!$R$21</f>
        <v>0</v>
      </c>
      <c r="CJ268" s="39"/>
      <c r="CK268" s="41">
        <f>H268*月別販売比率!$W$21</f>
        <v>0</v>
      </c>
      <c r="CL268" s="39"/>
      <c r="CM268" s="41">
        <f>H268*月別販売比率!$AB$21</f>
        <v>0</v>
      </c>
      <c r="CN268" s="39"/>
      <c r="CO268" s="41">
        <f>H268*月別販売比率!$AG$21</f>
        <v>0</v>
      </c>
      <c r="CP268" s="39"/>
      <c r="CQ268" s="41">
        <f>H268*月別販売比率!$AL$21</f>
        <v>0</v>
      </c>
      <c r="CR268" s="39"/>
      <c r="CS268" s="41">
        <f>H268*月別販売比率!$AQ$21</f>
        <v>0</v>
      </c>
      <c r="CT268" s="39"/>
      <c r="CU268" s="41">
        <f>H268*月別販売比率!$AV$21</f>
        <v>0</v>
      </c>
      <c r="CV268" s="39"/>
      <c r="CW268" s="41">
        <f>H268*月別販売比率!$BA$21</f>
        <v>0</v>
      </c>
      <c r="CX268" s="39"/>
      <c r="CY268" s="41">
        <f>H268*月別販売比率!$BF$21</f>
        <v>0</v>
      </c>
      <c r="CZ268" s="39"/>
      <c r="DA268" s="50"/>
      <c r="DB268" s="295"/>
    </row>
    <row r="269" spans="2:106" ht="30.75" customHeight="1">
      <c r="B269" s="25"/>
      <c r="C269" s="555"/>
      <c r="D269" s="494"/>
      <c r="E269" s="99" t="s">
        <v>285</v>
      </c>
      <c r="F269" s="572"/>
      <c r="G269" s="46">
        <f t="shared" si="364"/>
        <v>0</v>
      </c>
      <c r="H269" s="45">
        <f>F269*($H$171/$F$171)</f>
        <v>0</v>
      </c>
      <c r="I269" s="46">
        <f t="shared" si="365"/>
        <v>0</v>
      </c>
      <c r="J269" s="49"/>
      <c r="K269" s="39">
        <f t="shared" si="366"/>
        <v>0</v>
      </c>
      <c r="L269" s="39"/>
      <c r="M269" s="39"/>
      <c r="N269" s="42"/>
      <c r="O269" s="43"/>
      <c r="P269" s="43"/>
      <c r="Q269" s="335"/>
      <c r="R269" s="129"/>
      <c r="S269" s="345"/>
      <c r="T269" s="345"/>
      <c r="U269" s="333">
        <v>45392</v>
      </c>
      <c r="V269" s="345"/>
      <c r="W269" s="345"/>
      <c r="X269" s="129"/>
      <c r="Y269" s="345"/>
      <c r="Z269" s="129"/>
      <c r="AA269" s="345"/>
      <c r="AB269" s="129"/>
      <c r="AC269" s="345"/>
      <c r="AD269" s="345"/>
      <c r="AE269" s="129"/>
      <c r="AF269" s="129"/>
      <c r="AG269" s="129"/>
      <c r="AH269" s="129"/>
      <c r="AI269" s="129">
        <f t="shared" si="367"/>
        <v>0</v>
      </c>
      <c r="AJ269" s="129">
        <f t="shared" si="356"/>
        <v>0</v>
      </c>
      <c r="AK269" s="129">
        <f t="shared" si="357"/>
        <v>0</v>
      </c>
      <c r="AL269" s="399">
        <f t="shared" si="358"/>
        <v>0</v>
      </c>
      <c r="AM269" s="393">
        <f t="shared" si="359"/>
        <v>0</v>
      </c>
      <c r="AN269" s="393">
        <f t="shared" si="360"/>
        <v>0</v>
      </c>
      <c r="AO269" s="393">
        <f t="shared" si="361"/>
        <v>0</v>
      </c>
      <c r="AP269" s="96">
        <f t="shared" si="362"/>
        <v>0</v>
      </c>
      <c r="AQ269" s="91">
        <f t="shared" si="363"/>
        <v>0</v>
      </c>
      <c r="AR269" s="129"/>
      <c r="AS269" s="41">
        <f>$H$179*月別販売比率!AG92</f>
        <v>0</v>
      </c>
      <c r="AT269" s="39"/>
      <c r="AU269" s="41">
        <f>$H$179*月別販売比率!AL92</f>
        <v>0</v>
      </c>
      <c r="AV269" s="39"/>
      <c r="AW269" s="41">
        <f>$H$179*月別販売比率!AQ92</f>
        <v>0</v>
      </c>
      <c r="AX269" s="39"/>
      <c r="AY269" s="41">
        <f>$H$179*月別販売比率!AV92</f>
        <v>0</v>
      </c>
      <c r="AZ269" s="39"/>
      <c r="BA269" s="41">
        <f>$H$179*月別販売比率!BA92</f>
        <v>0</v>
      </c>
      <c r="BB269" s="39"/>
      <c r="BC269" s="41">
        <f>$H$179*月別販売比率!BF92</f>
        <v>0</v>
      </c>
      <c r="BD269" s="39"/>
      <c r="BE269" s="283">
        <f>$H$179*月別販売比率!C108</f>
        <v>0</v>
      </c>
      <c r="BF269" s="280">
        <v>75</v>
      </c>
      <c r="BG269" s="41">
        <f>$H$179*月別販売比率!H108</f>
        <v>0</v>
      </c>
      <c r="BH269" s="39"/>
      <c r="BI269" s="41">
        <f>$H$179*月別販売比率!M108</f>
        <v>0</v>
      </c>
      <c r="BJ269" s="39"/>
      <c r="BK269" s="41">
        <f>$H$179*月別販売比率!R108</f>
        <v>0</v>
      </c>
      <c r="BL269" s="39"/>
      <c r="BM269" s="41">
        <f>$H$179*月別販売比率!W108</f>
        <v>0</v>
      </c>
      <c r="BN269" s="39"/>
      <c r="BO269" s="283">
        <f>$H$179*月別販売比率!AB108</f>
        <v>0</v>
      </c>
      <c r="BP269" s="280">
        <v>110</v>
      </c>
      <c r="BQ269" s="283">
        <f>$H$179*月別販売比率!AG108</f>
        <v>0</v>
      </c>
      <c r="BR269" s="280"/>
      <c r="BS269" s="41">
        <f>$H$179*月別販売比率!AL108</f>
        <v>0</v>
      </c>
      <c r="BT269" s="39"/>
      <c r="BU269" s="41">
        <f>$H$179*月別販売比率!AQ108</f>
        <v>0</v>
      </c>
      <c r="BV269" s="39"/>
      <c r="BW269" s="41">
        <f>$H$179*月別販売比率!AV108</f>
        <v>0</v>
      </c>
      <c r="BX269" s="39"/>
      <c r="BY269" s="283">
        <f>$H$179*月別販売比率!BA108</f>
        <v>0</v>
      </c>
      <c r="BZ269" s="280">
        <v>40</v>
      </c>
      <c r="CA269" s="41">
        <f>$H$179*月別販売比率!BF108</f>
        <v>0</v>
      </c>
      <c r="CB269" s="39"/>
      <c r="CC269" s="283">
        <f>H269*月別販売比率!$C$21</f>
        <v>0</v>
      </c>
      <c r="CD269" s="280">
        <v>40</v>
      </c>
      <c r="CE269" s="41">
        <f>H269*月別販売比率!$H$21</f>
        <v>0</v>
      </c>
      <c r="CF269" s="39"/>
      <c r="CG269" s="41">
        <f>H269*月別販売比率!$M$21</f>
        <v>0</v>
      </c>
      <c r="CH269" s="39"/>
      <c r="CI269" s="41">
        <f>H269*月別販売比率!$R$21</f>
        <v>0</v>
      </c>
      <c r="CJ269" s="39"/>
      <c r="CK269" s="41">
        <f>H269*月別販売比率!$W$21</f>
        <v>0</v>
      </c>
      <c r="CL269" s="39"/>
      <c r="CM269" s="41">
        <f>H269*月別販売比率!$AB$21</f>
        <v>0</v>
      </c>
      <c r="CN269" s="39"/>
      <c r="CO269" s="41">
        <f>H269*月別販売比率!$AG$21</f>
        <v>0</v>
      </c>
      <c r="CP269" s="39"/>
      <c r="CQ269" s="41">
        <f>H269*月別販売比率!$AL$21</f>
        <v>0</v>
      </c>
      <c r="CR269" s="39"/>
      <c r="CS269" s="41">
        <f>H269*月別販売比率!$AQ$21</f>
        <v>0</v>
      </c>
      <c r="CT269" s="39"/>
      <c r="CU269" s="41">
        <f>H269*月別販売比率!$AV$21</f>
        <v>0</v>
      </c>
      <c r="CV269" s="39"/>
      <c r="CW269" s="41">
        <f>H269*月別販売比率!$BA$21</f>
        <v>0</v>
      </c>
      <c r="CX269" s="39"/>
      <c r="CY269" s="41">
        <f>H269*月別販売比率!$BF$21</f>
        <v>0</v>
      </c>
      <c r="CZ269" s="39"/>
      <c r="DA269" s="50"/>
      <c r="DB269" s="295"/>
    </row>
    <row r="270" spans="2:106" ht="30.75" customHeight="1">
      <c r="B270" s="25"/>
      <c r="C270" s="555"/>
      <c r="D270" s="495"/>
      <c r="E270" s="122" t="s">
        <v>284</v>
      </c>
      <c r="F270" s="573"/>
      <c r="G270" s="53">
        <f t="shared" si="364"/>
        <v>0</v>
      </c>
      <c r="H270" s="52">
        <f>F270*($H$171/$F$171)</f>
        <v>0</v>
      </c>
      <c r="I270" s="53">
        <f t="shared" si="365"/>
        <v>0</v>
      </c>
      <c r="J270" s="127"/>
      <c r="K270" s="103">
        <f t="shared" si="366"/>
        <v>0</v>
      </c>
      <c r="L270" s="103"/>
      <c r="M270" s="103"/>
      <c r="N270" s="117"/>
      <c r="O270" s="313"/>
      <c r="P270" s="123"/>
      <c r="Q270" s="332"/>
      <c r="R270" s="238"/>
      <c r="S270" s="329"/>
      <c r="T270" s="329"/>
      <c r="U270" s="329"/>
      <c r="V270" s="329"/>
      <c r="W270" s="329"/>
      <c r="X270" s="329"/>
      <c r="Y270" s="329"/>
      <c r="Z270" s="238"/>
      <c r="AA270" s="329"/>
      <c r="AB270" s="238"/>
      <c r="AC270" s="238"/>
      <c r="AD270" s="238"/>
      <c r="AE270" s="238"/>
      <c r="AF270" s="238"/>
      <c r="AG270" s="238"/>
      <c r="AH270" s="238"/>
      <c r="AI270" s="238">
        <f t="shared" si="367"/>
        <v>0</v>
      </c>
      <c r="AJ270" s="238">
        <f t="shared" si="356"/>
        <v>0</v>
      </c>
      <c r="AK270" s="238">
        <f t="shared" si="357"/>
        <v>0</v>
      </c>
      <c r="AL270" s="401">
        <f t="shared" si="358"/>
        <v>0</v>
      </c>
      <c r="AM270" s="395">
        <f t="shared" si="359"/>
        <v>0</v>
      </c>
      <c r="AN270" s="395">
        <f t="shared" si="360"/>
        <v>0</v>
      </c>
      <c r="AO270" s="395">
        <f t="shared" si="361"/>
        <v>0</v>
      </c>
      <c r="AP270" s="403">
        <f t="shared" si="362"/>
        <v>0</v>
      </c>
      <c r="AQ270" s="90">
        <f t="shared" si="363"/>
        <v>0</v>
      </c>
      <c r="AR270" s="238"/>
      <c r="AS270" s="282">
        <f>$H$180*月別販売比率!AG92</f>
        <v>0</v>
      </c>
      <c r="AT270" s="103"/>
      <c r="AU270" s="282">
        <f>$H$180*月別販売比率!AL92</f>
        <v>0</v>
      </c>
      <c r="AV270" s="103"/>
      <c r="AW270" s="282">
        <f>$H$180*月別販売比率!AQ92</f>
        <v>0</v>
      </c>
      <c r="AX270" s="103"/>
      <c r="AY270" s="282">
        <f>$H$180*月別販売比率!AV92</f>
        <v>0</v>
      </c>
      <c r="AZ270" s="103"/>
      <c r="BA270" s="282">
        <f>$H$180*月別販売比率!BA92</f>
        <v>0</v>
      </c>
      <c r="BB270" s="103"/>
      <c r="BC270" s="282">
        <f>$H$180*月別販売比率!BF92</f>
        <v>0</v>
      </c>
      <c r="BD270" s="103"/>
      <c r="BE270" s="301">
        <f>$H$180*月別販売比率!C108</f>
        <v>0</v>
      </c>
      <c r="BF270" s="302">
        <v>60</v>
      </c>
      <c r="BG270" s="282">
        <f>$H$180*月別販売比率!H108</f>
        <v>0</v>
      </c>
      <c r="BH270" s="103"/>
      <c r="BI270" s="282">
        <f>$H$180*月別販売比率!M108</f>
        <v>0</v>
      </c>
      <c r="BJ270" s="103"/>
      <c r="BK270" s="282">
        <f>$H$180*月別販売比率!R108</f>
        <v>0</v>
      </c>
      <c r="BL270" s="103"/>
      <c r="BM270" s="282">
        <f>$H$180*月別販売比率!W108</f>
        <v>0</v>
      </c>
      <c r="BN270" s="103"/>
      <c r="BO270" s="301">
        <f>$H$180*月別販売比率!AB108</f>
        <v>0</v>
      </c>
      <c r="BP270" s="302">
        <v>35</v>
      </c>
      <c r="BQ270" s="301">
        <f>$H$180*月別販売比率!AG108</f>
        <v>0</v>
      </c>
      <c r="BR270" s="302"/>
      <c r="BS270" s="282">
        <f>$H$180*月別販売比率!AL108</f>
        <v>0</v>
      </c>
      <c r="BT270" s="103"/>
      <c r="BU270" s="282">
        <f>$H$180*月別販売比率!AQ108</f>
        <v>0</v>
      </c>
      <c r="BV270" s="103"/>
      <c r="BW270" s="282">
        <f>$H$180*月別販売比率!AV108</f>
        <v>0</v>
      </c>
      <c r="BX270" s="103"/>
      <c r="BY270" s="301">
        <f>$H$180*月別販売比率!BA108</f>
        <v>0</v>
      </c>
      <c r="BZ270" s="302">
        <v>30</v>
      </c>
      <c r="CA270" s="282">
        <f>$H$180*月別販売比率!BF108</f>
        <v>0</v>
      </c>
      <c r="CB270" s="103"/>
      <c r="CC270" s="301">
        <f>H270*月別販売比率!$C$21</f>
        <v>0</v>
      </c>
      <c r="CD270" s="302">
        <v>30</v>
      </c>
      <c r="CE270" s="282">
        <f>H270*月別販売比率!$H$21</f>
        <v>0</v>
      </c>
      <c r="CF270" s="103"/>
      <c r="CG270" s="282">
        <f>H270*月別販売比率!$M$21</f>
        <v>0</v>
      </c>
      <c r="CH270" s="103"/>
      <c r="CI270" s="282">
        <f>H270*月別販売比率!$R$21</f>
        <v>0</v>
      </c>
      <c r="CJ270" s="103"/>
      <c r="CK270" s="282">
        <f>H270*月別販売比率!$W$21</f>
        <v>0</v>
      </c>
      <c r="CL270" s="103"/>
      <c r="CM270" s="282">
        <f>H270*月別販売比率!$AB$21</f>
        <v>0</v>
      </c>
      <c r="CN270" s="103"/>
      <c r="CO270" s="282">
        <f>H270*月別販売比率!$AG$21</f>
        <v>0</v>
      </c>
      <c r="CP270" s="103"/>
      <c r="CQ270" s="282">
        <f>H270*月別販売比率!$AL$21</f>
        <v>0</v>
      </c>
      <c r="CR270" s="103"/>
      <c r="CS270" s="282">
        <f>H270*月別販売比率!$AQ$21</f>
        <v>0</v>
      </c>
      <c r="CT270" s="103"/>
      <c r="CU270" s="282">
        <f>H270*月別販売比率!$AV$21</f>
        <v>0</v>
      </c>
      <c r="CV270" s="103"/>
      <c r="CW270" s="282">
        <f>H270*月別販売比率!$BA$21</f>
        <v>0</v>
      </c>
      <c r="CX270" s="103"/>
      <c r="CY270" s="282">
        <f>H270*月別販売比率!$BF$21</f>
        <v>0</v>
      </c>
      <c r="CZ270" s="103"/>
      <c r="DA270" s="303"/>
      <c r="DB270" s="300"/>
    </row>
    <row r="271" spans="2:106" ht="30.6" customHeight="1">
      <c r="B271" s="2">
        <v>23</v>
      </c>
      <c r="C271" s="435" t="s">
        <v>496</v>
      </c>
      <c r="D271" s="436"/>
      <c r="E271" s="445"/>
      <c r="F271" s="130">
        <f>SUM(F272:F280)</f>
        <v>371</v>
      </c>
      <c r="G271" s="131">
        <f>SUM(G272:G280)</f>
        <v>2448600</v>
      </c>
      <c r="H271" s="130">
        <v>371</v>
      </c>
      <c r="I271" s="131">
        <f t="shared" ref="I271:N271" si="368">SUM(I272:I280)</f>
        <v>3399000</v>
      </c>
      <c r="J271" s="133">
        <f t="shared" si="368"/>
        <v>3</v>
      </c>
      <c r="K271" s="134">
        <f t="shared" si="368"/>
        <v>64</v>
      </c>
      <c r="L271" s="134">
        <f t="shared" si="368"/>
        <v>0</v>
      </c>
      <c r="M271" s="134">
        <f t="shared" si="368"/>
        <v>73</v>
      </c>
      <c r="N271" s="149">
        <f t="shared" si="368"/>
        <v>0</v>
      </c>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6">
        <f t="shared" ref="AS271:CZ271" si="369">SUM(AS272:AS280)</f>
        <v>41.199999999999996</v>
      </c>
      <c r="AT271" s="134">
        <f t="shared" si="369"/>
        <v>0</v>
      </c>
      <c r="AU271" s="136">
        <f t="shared" si="369"/>
        <v>25.954632524824678</v>
      </c>
      <c r="AV271" s="134">
        <f t="shared" si="369"/>
        <v>0</v>
      </c>
      <c r="AW271" s="136">
        <f t="shared" si="369"/>
        <v>28.919296068010627</v>
      </c>
      <c r="AX271" s="134">
        <f t="shared" si="369"/>
        <v>0</v>
      </c>
      <c r="AY271" s="136">
        <f t="shared" si="369"/>
        <v>20.599999999999998</v>
      </c>
      <c r="AZ271" s="134">
        <f t="shared" si="369"/>
        <v>0</v>
      </c>
      <c r="BA271" s="136">
        <f t="shared" si="369"/>
        <v>15.45</v>
      </c>
      <c r="BB271" s="134">
        <f t="shared" si="369"/>
        <v>0</v>
      </c>
      <c r="BC271" s="136">
        <f t="shared" si="369"/>
        <v>25.699967283370963</v>
      </c>
      <c r="BD271" s="134">
        <f t="shared" si="369"/>
        <v>0</v>
      </c>
      <c r="BE271" s="136">
        <f t="shared" si="369"/>
        <v>36.049999999999997</v>
      </c>
      <c r="BF271" s="134">
        <f t="shared" si="369"/>
        <v>360</v>
      </c>
      <c r="BG271" s="136">
        <f t="shared" si="369"/>
        <v>41.199999999999996</v>
      </c>
      <c r="BH271" s="134">
        <f t="shared" si="369"/>
        <v>0</v>
      </c>
      <c r="BI271" s="136">
        <f t="shared" si="369"/>
        <v>72.099999999999994</v>
      </c>
      <c r="BJ271" s="134">
        <f t="shared" si="369"/>
        <v>0</v>
      </c>
      <c r="BK271" s="136">
        <f t="shared" si="369"/>
        <v>96.046301369863016</v>
      </c>
      <c r="BL271" s="134">
        <f t="shared" si="369"/>
        <v>0</v>
      </c>
      <c r="BM271" s="136">
        <f t="shared" si="369"/>
        <v>51.500000000000007</v>
      </c>
      <c r="BN271" s="134">
        <f t="shared" si="369"/>
        <v>0</v>
      </c>
      <c r="BO271" s="136">
        <f t="shared" si="369"/>
        <v>61.8</v>
      </c>
      <c r="BP271" s="134">
        <f t="shared" si="369"/>
        <v>0</v>
      </c>
      <c r="BQ271" s="136">
        <f t="shared" si="369"/>
        <v>41.199999999999996</v>
      </c>
      <c r="BR271" s="134">
        <f t="shared" si="369"/>
        <v>195</v>
      </c>
      <c r="BS271" s="136">
        <f t="shared" si="369"/>
        <v>25.954632524824678</v>
      </c>
      <c r="BT271" s="134">
        <f t="shared" si="369"/>
        <v>0</v>
      </c>
      <c r="BU271" s="136">
        <f t="shared" si="369"/>
        <v>28.919296068010627</v>
      </c>
      <c r="BV271" s="134">
        <f t="shared" si="369"/>
        <v>0</v>
      </c>
      <c r="BW271" s="136">
        <f t="shared" si="369"/>
        <v>20.599999999999998</v>
      </c>
      <c r="BX271" s="134">
        <f t="shared" si="369"/>
        <v>0</v>
      </c>
      <c r="BY271" s="136">
        <f t="shared" si="369"/>
        <v>15.45</v>
      </c>
      <c r="BZ271" s="134">
        <f t="shared" si="369"/>
        <v>0</v>
      </c>
      <c r="CA271" s="136">
        <f t="shared" si="369"/>
        <v>25.699967283370963</v>
      </c>
      <c r="CB271" s="134">
        <f t="shared" si="369"/>
        <v>0</v>
      </c>
      <c r="CC271" s="136">
        <f t="shared" si="369"/>
        <v>36.495089324657705</v>
      </c>
      <c r="CD271" s="134">
        <f t="shared" si="369"/>
        <v>0</v>
      </c>
      <c r="CE271" s="136">
        <f t="shared" si="369"/>
        <v>36.049999999999997</v>
      </c>
      <c r="CF271" s="134">
        <f t="shared" si="369"/>
        <v>0</v>
      </c>
      <c r="CG271" s="136">
        <f t="shared" si="369"/>
        <v>52.047799898681809</v>
      </c>
      <c r="CH271" s="134">
        <f t="shared" si="369"/>
        <v>0</v>
      </c>
      <c r="CI271" s="136">
        <f t="shared" si="369"/>
        <v>41.199999999999996</v>
      </c>
      <c r="CJ271" s="134">
        <f t="shared" si="369"/>
        <v>320</v>
      </c>
      <c r="CK271" s="136">
        <f t="shared" si="369"/>
        <v>39.225860969147135</v>
      </c>
      <c r="CL271" s="134">
        <f t="shared" si="369"/>
        <v>0</v>
      </c>
      <c r="CM271" s="136">
        <f t="shared" si="369"/>
        <v>61.8</v>
      </c>
      <c r="CN271" s="134">
        <f t="shared" si="369"/>
        <v>0</v>
      </c>
      <c r="CO271" s="136">
        <f t="shared" si="369"/>
        <v>51.500000000000007</v>
      </c>
      <c r="CP271" s="134">
        <f t="shared" si="369"/>
        <v>0</v>
      </c>
      <c r="CQ271" s="136">
        <f t="shared" si="369"/>
        <v>46.349999999999994</v>
      </c>
      <c r="CR271" s="134">
        <f t="shared" si="369"/>
        <v>0</v>
      </c>
      <c r="CS271" s="136">
        <f t="shared" si="369"/>
        <v>51.500000000000007</v>
      </c>
      <c r="CT271" s="134">
        <f t="shared" si="369"/>
        <v>0</v>
      </c>
      <c r="CU271" s="136">
        <v>20.599999999999998</v>
      </c>
      <c r="CV271" s="134">
        <f t="shared" si="369"/>
        <v>0</v>
      </c>
      <c r="CW271" s="136">
        <f t="shared" si="369"/>
        <v>28.645907163099348</v>
      </c>
      <c r="CX271" s="134">
        <f t="shared" si="369"/>
        <v>0</v>
      </c>
      <c r="CY271" s="136">
        <f t="shared" si="369"/>
        <v>41.199999999999996</v>
      </c>
      <c r="CZ271" s="134">
        <f t="shared" si="369"/>
        <v>0</v>
      </c>
      <c r="DA271" s="141"/>
      <c r="DB271" s="293"/>
    </row>
    <row r="272" spans="2:106" ht="30.75" customHeight="1">
      <c r="C272" s="476" t="s">
        <v>356</v>
      </c>
      <c r="D272" s="443">
        <v>1</v>
      </c>
      <c r="E272" s="99" t="s">
        <v>47</v>
      </c>
      <c r="F272" s="56">
        <v>52</v>
      </c>
      <c r="G272" s="46">
        <f>F272*6600</f>
        <v>343200</v>
      </c>
      <c r="H272" s="56">
        <f>F272*($H$271/$F$271)</f>
        <v>52</v>
      </c>
      <c r="I272" s="46">
        <f t="shared" ref="I272:I280" si="370">H272*6600</f>
        <v>343200</v>
      </c>
      <c r="J272" s="49">
        <v>0</v>
      </c>
      <c r="K272" s="39">
        <f t="shared" ref="K272:K279" si="371">SUM(L272:N272)</f>
        <v>4</v>
      </c>
      <c r="L272" s="39">
        <v>0</v>
      </c>
      <c r="M272" s="39">
        <v>4</v>
      </c>
      <c r="N272" s="42"/>
      <c r="O272" s="288"/>
      <c r="P272" s="288"/>
      <c r="Q272" s="328"/>
      <c r="R272" s="328"/>
      <c r="S272" s="328"/>
      <c r="T272" s="328"/>
      <c r="U272" s="328"/>
      <c r="V272" s="331">
        <v>45786</v>
      </c>
      <c r="W272" s="331"/>
      <c r="X272" s="124"/>
      <c r="Y272" s="124"/>
      <c r="Z272" s="124"/>
      <c r="AA272" s="331">
        <v>45958</v>
      </c>
      <c r="AB272" s="124"/>
      <c r="AC272" s="124"/>
      <c r="AD272" s="124"/>
      <c r="AE272" s="124"/>
      <c r="AF272" s="124"/>
      <c r="AG272" s="124"/>
      <c r="AH272" s="124"/>
      <c r="AI272" s="129">
        <f t="shared" ref="AI272:AI280" si="372">SUM(J272:K272)-CI272+CJ272</f>
        <v>29.84</v>
      </c>
      <c r="AJ272" s="129">
        <f>AI272-CK272+CL272</f>
        <v>25.879330542921068</v>
      </c>
      <c r="AK272" s="129">
        <f t="shared" ref="AK272:AK280" si="373">AJ272-CM272+CN272</f>
        <v>19.639330542921066</v>
      </c>
      <c r="AL272" s="129">
        <f t="shared" ref="AL272:AL280" si="374">AK272-CO272+CP272</f>
        <v>14.439330542921066</v>
      </c>
      <c r="AM272" s="129">
        <f t="shared" ref="AM272:AM280" si="375">AL272-CQ272+CR272</f>
        <v>9.7593305429210666</v>
      </c>
      <c r="AN272" s="399">
        <f t="shared" ref="AN272:AN280" si="376">AM272-CS272+CT272</f>
        <v>4.5593305429210664</v>
      </c>
      <c r="AO272" s="393">
        <f t="shared" ref="AO272:AO280" si="377">AN272-CU272+CV272</f>
        <v>1.3928230169462008</v>
      </c>
      <c r="AP272" s="96">
        <f t="shared" ref="AP272:AP280" si="378">AO272-CW272+CX272</f>
        <v>-1.4995792597162581</v>
      </c>
      <c r="AQ272" s="91">
        <f t="shared" ref="AQ272:AQ280" si="379">AP272-CY272+CZ272</f>
        <v>-5.6595792597162582</v>
      </c>
      <c r="AR272" s="198"/>
      <c r="AS272" s="81">
        <f>$H$272*月別販売比率!AG9</f>
        <v>4.16</v>
      </c>
      <c r="AT272" s="39"/>
      <c r="AU272" s="81">
        <f>$H$272*月別販売比率!AL9</f>
        <v>2.6206619248366665</v>
      </c>
      <c r="AV272" s="39"/>
      <c r="AW272" s="81">
        <f>$H$272*月別販売比率!AQ9</f>
        <v>2.9200065932748598</v>
      </c>
      <c r="AX272" s="39"/>
      <c r="AY272" s="81">
        <f>$H$272*月別販売比率!AV9</f>
        <v>2.08</v>
      </c>
      <c r="AZ272" s="39"/>
      <c r="BA272" s="81">
        <f>$H$272*月別販売比率!BA9</f>
        <v>1.56</v>
      </c>
      <c r="BB272" s="39"/>
      <c r="BC272" s="81">
        <f>$H$272*月別販売比率!BF9</f>
        <v>2.5949481528840583</v>
      </c>
      <c r="BD272" s="39"/>
      <c r="BE272" s="245">
        <f>$H$272*月別販売比率!C25</f>
        <v>3.6400000000000006</v>
      </c>
      <c r="BF272" s="280">
        <v>50</v>
      </c>
      <c r="BG272" s="81">
        <f>$H$272*月別販売比率!H25</f>
        <v>4.16</v>
      </c>
      <c r="BH272" s="39"/>
      <c r="BI272" s="81">
        <f>$H$272*月別販売比率!M25</f>
        <v>7.2800000000000011</v>
      </c>
      <c r="BJ272" s="39"/>
      <c r="BK272" s="81">
        <f>$H$272*月別販売比率!R25</f>
        <v>9.36</v>
      </c>
      <c r="BL272" s="39"/>
      <c r="BM272" s="81">
        <f>$H$272*月別販売比率!W25</f>
        <v>5.2</v>
      </c>
      <c r="BN272" s="39"/>
      <c r="BO272" s="81">
        <f>$H$272*月別販売比率!AB25</f>
        <v>6.24</v>
      </c>
      <c r="BP272" s="39"/>
      <c r="BQ272" s="245">
        <f>$H$272*月別販売比率!AG25</f>
        <v>4.16</v>
      </c>
      <c r="BR272" s="280">
        <v>20</v>
      </c>
      <c r="BS272" s="81">
        <f>$H$272*月別販売比率!AL25</f>
        <v>2.6206619248366665</v>
      </c>
      <c r="BT272" s="39"/>
      <c r="BU272" s="81">
        <f>$H$272*月別販売比率!AQ25</f>
        <v>2.9200065932748598</v>
      </c>
      <c r="BV272" s="39"/>
      <c r="BW272" s="81">
        <f>$H$272*月別販売比率!AV25</f>
        <v>2.08</v>
      </c>
      <c r="BX272" s="39"/>
      <c r="BY272" s="81">
        <f>$H$272*月別販売比率!BA25</f>
        <v>1.56</v>
      </c>
      <c r="BZ272" s="39"/>
      <c r="CA272" s="81">
        <f>$H$272*月別販売比率!BF25</f>
        <v>2.5949481528840583</v>
      </c>
      <c r="CB272" s="39"/>
      <c r="CC272" s="81">
        <f>H272*月別販売比率!$C$21</f>
        <v>3.6849410580236905</v>
      </c>
      <c r="CD272" s="39"/>
      <c r="CE272" s="81">
        <f>H272*月別販売比率!$H$21</f>
        <v>3.6400000000000006</v>
      </c>
      <c r="CF272" s="39"/>
      <c r="CG272" s="81">
        <f>H272*月別販売比率!$M$21</f>
        <v>5.2553118344300085</v>
      </c>
      <c r="CH272" s="39"/>
      <c r="CI272" s="81">
        <f>H272*月別販売比率!$R$21</f>
        <v>4.16</v>
      </c>
      <c r="CJ272" s="39">
        <v>30</v>
      </c>
      <c r="CK272" s="81">
        <f>H272*月別販売比率!$W$21</f>
        <v>3.9606694570789336</v>
      </c>
      <c r="CL272" s="39"/>
      <c r="CM272" s="81">
        <f>H272*月別販売比率!$AB$21</f>
        <v>6.24</v>
      </c>
      <c r="CN272" s="39"/>
      <c r="CO272" s="81">
        <f>H272*月別販売比率!$AG$21</f>
        <v>5.2</v>
      </c>
      <c r="CP272" s="39"/>
      <c r="CQ272" s="81">
        <f>H272*月別販売比率!$AL$21</f>
        <v>4.68</v>
      </c>
      <c r="CR272" s="39"/>
      <c r="CS272" s="81">
        <f>H272*月別販売比率!$AQ$21</f>
        <v>5.2</v>
      </c>
      <c r="CT272" s="39"/>
      <c r="CU272" s="81">
        <f>H272*月別販売比率!$AV$21</f>
        <v>3.1665075259748656</v>
      </c>
      <c r="CV272" s="39"/>
      <c r="CW272" s="81">
        <f>H272*月別販売比率!$BA$21</f>
        <v>2.8924022766624589</v>
      </c>
      <c r="CX272" s="39"/>
      <c r="CY272" s="81">
        <f>H272*月別販売比率!$BF$21</f>
        <v>4.16</v>
      </c>
      <c r="CZ272" s="39"/>
      <c r="DA272" s="28"/>
      <c r="DB272" s="294"/>
    </row>
    <row r="273" spans="2:106" ht="30.75" customHeight="1">
      <c r="C273" s="477"/>
      <c r="D273" s="441"/>
      <c r="E273" s="94" t="s">
        <v>51</v>
      </c>
      <c r="F273" s="57">
        <v>48</v>
      </c>
      <c r="G273" s="5">
        <f t="shared" ref="G273:G280" si="380">F273*6600</f>
        <v>316800</v>
      </c>
      <c r="H273" s="56">
        <f>F273*($H$271/$F$271)</f>
        <v>48</v>
      </c>
      <c r="I273" s="5">
        <f t="shared" si="370"/>
        <v>316800</v>
      </c>
      <c r="J273" s="9">
        <v>0</v>
      </c>
      <c r="K273" s="21">
        <f t="shared" si="371"/>
        <v>1</v>
      </c>
      <c r="L273" s="21">
        <v>0</v>
      </c>
      <c r="M273" s="21">
        <v>1</v>
      </c>
      <c r="N273" s="42"/>
      <c r="O273" s="288"/>
      <c r="P273" s="288"/>
      <c r="Q273" s="328"/>
      <c r="R273" s="328"/>
      <c r="S273" s="328"/>
      <c r="T273" s="328"/>
      <c r="U273" s="328"/>
      <c r="V273" s="331">
        <v>45786</v>
      </c>
      <c r="W273" s="331"/>
      <c r="X273" s="124"/>
      <c r="Y273" s="124"/>
      <c r="Z273" s="124"/>
      <c r="AA273" s="331">
        <v>45958</v>
      </c>
      <c r="AB273" s="124"/>
      <c r="AC273" s="124"/>
      <c r="AD273" s="124"/>
      <c r="AE273" s="124"/>
      <c r="AF273" s="124"/>
      <c r="AG273" s="124"/>
      <c r="AH273" s="124"/>
      <c r="AI273" s="129">
        <f t="shared" si="372"/>
        <v>17.16</v>
      </c>
      <c r="AJ273" s="129">
        <f t="shared" ref="AJ273:AJ280" si="381">AI273-CK273+CL273</f>
        <v>13.50399742423483</v>
      </c>
      <c r="AK273" s="129">
        <f t="shared" si="373"/>
        <v>7.7439974242348306</v>
      </c>
      <c r="AL273" s="129">
        <f t="shared" si="374"/>
        <v>2.9439974242348299</v>
      </c>
      <c r="AM273" s="129">
        <f t="shared" si="375"/>
        <v>-1.3760025757651704</v>
      </c>
      <c r="AN273" s="399">
        <f t="shared" si="376"/>
        <v>-6.1760025757651711</v>
      </c>
      <c r="AO273" s="393">
        <f t="shared" si="377"/>
        <v>-9.0989325997419694</v>
      </c>
      <c r="AP273" s="96">
        <f t="shared" si="378"/>
        <v>-11.76884239358424</v>
      </c>
      <c r="AQ273" s="91">
        <f t="shared" si="379"/>
        <v>-15.60884239358424</v>
      </c>
      <c r="AR273" s="198"/>
      <c r="AS273" s="81">
        <f>$H$273*月別販売比率!AG9</f>
        <v>3.84</v>
      </c>
      <c r="AT273" s="21"/>
      <c r="AU273" s="81">
        <f>$H$273*月別販売比率!AL9</f>
        <v>2.4190725460030769</v>
      </c>
      <c r="AV273" s="21"/>
      <c r="AW273" s="81">
        <f>$H$273*月別販売比率!AQ9</f>
        <v>2.6953907014844862</v>
      </c>
      <c r="AX273" s="21"/>
      <c r="AY273" s="81">
        <f>$H$273*月別販売比率!AV9</f>
        <v>1.92</v>
      </c>
      <c r="AZ273" s="21"/>
      <c r="BA273" s="81">
        <f>$H$273*月別販売比率!BA9</f>
        <v>1.44</v>
      </c>
      <c r="BB273" s="21"/>
      <c r="BC273" s="81">
        <f>$H$273*月別販売比率!BF9</f>
        <v>2.3953367565083616</v>
      </c>
      <c r="BD273" s="21"/>
      <c r="BE273" s="245">
        <f>$H$273*月別販売比率!C25</f>
        <v>3.3600000000000003</v>
      </c>
      <c r="BF273" s="241">
        <v>50</v>
      </c>
      <c r="BG273" s="81">
        <f>$H$273*月別販売比率!H25</f>
        <v>3.84</v>
      </c>
      <c r="BH273" s="21"/>
      <c r="BI273" s="81">
        <f>$H$273*月別販売比率!M25</f>
        <v>6.7200000000000006</v>
      </c>
      <c r="BJ273" s="21"/>
      <c r="BK273" s="81">
        <f>$H$17*月別販売比率!R25</f>
        <v>11.986301369863014</v>
      </c>
      <c r="BL273" s="21"/>
      <c r="BM273" s="81">
        <f>$H$273*月別販売比率!W25</f>
        <v>4.8000000000000007</v>
      </c>
      <c r="BN273" s="21"/>
      <c r="BO273" s="81">
        <f>$H$273*月別販売比率!AB25</f>
        <v>5.76</v>
      </c>
      <c r="BP273" s="21"/>
      <c r="BQ273" s="245">
        <f>$H$273*月別販売比率!AG25</f>
        <v>3.84</v>
      </c>
      <c r="BR273" s="241">
        <v>20</v>
      </c>
      <c r="BS273" s="81">
        <f>$H$273*月別販売比率!AL25</f>
        <v>2.4190725460030769</v>
      </c>
      <c r="BT273" s="21"/>
      <c r="BU273" s="81">
        <f>$H$273*月別販売比率!AQ25</f>
        <v>2.6953907014844862</v>
      </c>
      <c r="BV273" s="21"/>
      <c r="BW273" s="81">
        <f>$H$273*月別販売比率!AV25</f>
        <v>1.92</v>
      </c>
      <c r="BX273" s="21"/>
      <c r="BY273" s="81">
        <f>$H$273*月別販売比率!BA25</f>
        <v>1.44</v>
      </c>
      <c r="BZ273" s="21"/>
      <c r="CA273" s="81">
        <f>$H$273*月別販売比率!BF25</f>
        <v>2.3953367565083616</v>
      </c>
      <c r="CB273" s="21"/>
      <c r="CC273" s="81">
        <f>H273*月別販売比率!$C$21</f>
        <v>3.4014840535603295</v>
      </c>
      <c r="CD273" s="21"/>
      <c r="CE273" s="81">
        <f>H273*月別販売比率!$H$21</f>
        <v>3.3600000000000003</v>
      </c>
      <c r="CF273" s="21"/>
      <c r="CG273" s="81">
        <f>H273*月別販売比率!$M$21</f>
        <v>4.8510570779353923</v>
      </c>
      <c r="CH273" s="21"/>
      <c r="CI273" s="81">
        <f>H273*月別販売比率!$R$21</f>
        <v>3.84</v>
      </c>
      <c r="CJ273" s="21">
        <v>20</v>
      </c>
      <c r="CK273" s="81">
        <f>H273*月別販売比率!$W$21</f>
        <v>3.6560025757651697</v>
      </c>
      <c r="CL273" s="21"/>
      <c r="CM273" s="81">
        <f>H273*月別販売比率!$AB$21</f>
        <v>5.76</v>
      </c>
      <c r="CN273" s="21"/>
      <c r="CO273" s="81">
        <f>H273*月別販売比率!$AG$21</f>
        <v>4.8000000000000007</v>
      </c>
      <c r="CP273" s="21"/>
      <c r="CQ273" s="81">
        <f>H273*月別販売比率!$AL$21</f>
        <v>4.32</v>
      </c>
      <c r="CR273" s="21"/>
      <c r="CS273" s="81">
        <f>H273*月別販売比率!$AQ$21</f>
        <v>4.8000000000000007</v>
      </c>
      <c r="CT273" s="21"/>
      <c r="CU273" s="81">
        <f>H273*月別販売比率!$AV$21</f>
        <v>2.9229300239767988</v>
      </c>
      <c r="CV273" s="21"/>
      <c r="CW273" s="81">
        <f>H273*月別販売比率!$BA$21</f>
        <v>2.6699097938422698</v>
      </c>
      <c r="CX273" s="21"/>
      <c r="CY273" s="81">
        <f>H273*月別販売比率!$BF$21</f>
        <v>3.84</v>
      </c>
      <c r="CZ273" s="21"/>
      <c r="DA273" s="28"/>
      <c r="DB273" s="294"/>
    </row>
    <row r="274" spans="2:106" ht="30.75" customHeight="1">
      <c r="C274" s="477"/>
      <c r="D274" s="441"/>
      <c r="E274" s="94" t="s">
        <v>49</v>
      </c>
      <c r="F274" s="57">
        <v>26</v>
      </c>
      <c r="G274" s="5">
        <f t="shared" si="380"/>
        <v>171600</v>
      </c>
      <c r="H274" s="56">
        <f>F274*($H$271/$F$271)</f>
        <v>26</v>
      </c>
      <c r="I274" s="5">
        <f t="shared" si="370"/>
        <v>171600</v>
      </c>
      <c r="J274" s="9">
        <v>1</v>
      </c>
      <c r="K274" s="21">
        <f t="shared" si="371"/>
        <v>10</v>
      </c>
      <c r="L274" s="21">
        <v>0</v>
      </c>
      <c r="M274" s="21">
        <v>10</v>
      </c>
      <c r="N274" s="42"/>
      <c r="O274" s="288"/>
      <c r="P274" s="288"/>
      <c r="Q274" s="328"/>
      <c r="R274" s="328"/>
      <c r="S274" s="328"/>
      <c r="T274" s="328"/>
      <c r="U274" s="328"/>
      <c r="V274" s="331">
        <v>45786</v>
      </c>
      <c r="W274" s="331"/>
      <c r="X274" s="124"/>
      <c r="Y274" s="124"/>
      <c r="Z274" s="124"/>
      <c r="AA274" s="331">
        <v>45958</v>
      </c>
      <c r="AB274" s="124"/>
      <c r="AC274" s="124"/>
      <c r="AD274" s="124"/>
      <c r="AE274" s="328"/>
      <c r="AF274" s="328"/>
      <c r="AG274" s="331"/>
      <c r="AH274" s="331"/>
      <c r="AI274" s="129">
        <f t="shared" si="372"/>
        <v>18.920000000000002</v>
      </c>
      <c r="AJ274" s="129">
        <f t="shared" si="381"/>
        <v>16.939665271460534</v>
      </c>
      <c r="AK274" s="129">
        <f t="shared" si="373"/>
        <v>13.819665271460533</v>
      </c>
      <c r="AL274" s="129">
        <f t="shared" si="374"/>
        <v>11.219665271460533</v>
      </c>
      <c r="AM274" s="129">
        <f t="shared" si="375"/>
        <v>8.8796652714605333</v>
      </c>
      <c r="AN274" s="399">
        <f t="shared" si="376"/>
        <v>6.2796652714605337</v>
      </c>
      <c r="AO274" s="393">
        <f t="shared" si="377"/>
        <v>4.6964115084731013</v>
      </c>
      <c r="AP274" s="96">
        <f t="shared" si="378"/>
        <v>3.2502103701418719</v>
      </c>
      <c r="AQ274" s="91">
        <f t="shared" si="379"/>
        <v>1.1702103701418718</v>
      </c>
      <c r="AR274" s="198"/>
      <c r="AS274" s="81">
        <f>$H$274*月別販売比率!AG9</f>
        <v>2.08</v>
      </c>
      <c r="AT274" s="21"/>
      <c r="AU274" s="81">
        <f>$H$274*月別販売比率!AL9</f>
        <v>1.3103309624183332</v>
      </c>
      <c r="AV274" s="21"/>
      <c r="AW274" s="81">
        <f>$H$274*月別販売比率!AQ9</f>
        <v>1.4600032966374299</v>
      </c>
      <c r="AX274" s="21"/>
      <c r="AY274" s="81">
        <f>$H$274*月別販売比率!AV9</f>
        <v>1.04</v>
      </c>
      <c r="AZ274" s="21"/>
      <c r="BA274" s="81">
        <f>$H$274*月別販売比率!BA9</f>
        <v>0.78</v>
      </c>
      <c r="BB274" s="21"/>
      <c r="BC274" s="81">
        <f>$H$274*月別販売比率!BF9</f>
        <v>1.2974740764420292</v>
      </c>
      <c r="BD274" s="21"/>
      <c r="BE274" s="245">
        <f>$H$274*月別販売比率!C25</f>
        <v>1.8200000000000003</v>
      </c>
      <c r="BF274" s="241">
        <v>20</v>
      </c>
      <c r="BG274" s="81">
        <f>$H$274*月別販売比率!H25</f>
        <v>2.08</v>
      </c>
      <c r="BH274" s="21"/>
      <c r="BI274" s="81">
        <f>$H$274*月別販売比率!M25</f>
        <v>3.6400000000000006</v>
      </c>
      <c r="BJ274" s="21"/>
      <c r="BK274" s="81">
        <f>$H$274*月別販売比率!R25</f>
        <v>4.68</v>
      </c>
      <c r="BL274" s="21"/>
      <c r="BM274" s="81">
        <f>$H$274*月別販売比率!W25</f>
        <v>2.6</v>
      </c>
      <c r="BN274" s="21"/>
      <c r="BO274" s="81">
        <f>$H$274*月別販売比率!AB25</f>
        <v>3.12</v>
      </c>
      <c r="BP274" s="21"/>
      <c r="BQ274" s="245">
        <f>$H$274*月別販売比率!AG25</f>
        <v>2.08</v>
      </c>
      <c r="BR274" s="241">
        <v>30</v>
      </c>
      <c r="BS274" s="81">
        <f>$H$274*月別販売比率!AL25</f>
        <v>1.3103309624183332</v>
      </c>
      <c r="BT274" s="21"/>
      <c r="BU274" s="81">
        <f>$H$274*月別販売比率!AQ25</f>
        <v>1.4600032966374299</v>
      </c>
      <c r="BV274" s="21"/>
      <c r="BW274" s="81">
        <f>$H$274*月別販売比率!AV25</f>
        <v>1.04</v>
      </c>
      <c r="BX274" s="21"/>
      <c r="BY274" s="81">
        <f>$H$274*月別販売比率!BA25</f>
        <v>0.78</v>
      </c>
      <c r="BZ274" s="21"/>
      <c r="CA274" s="81">
        <f>$H$274*月別販売比率!BF25</f>
        <v>1.2974740764420292</v>
      </c>
      <c r="CB274" s="21"/>
      <c r="CC274" s="81">
        <f>H274*月別販売比率!$C$21</f>
        <v>1.8424705290118453</v>
      </c>
      <c r="CD274" s="21"/>
      <c r="CE274" s="81">
        <f>H274*月別販売比率!$H$21</f>
        <v>1.8200000000000003</v>
      </c>
      <c r="CF274" s="21"/>
      <c r="CG274" s="81">
        <f>H274*月別販売比率!$M$21</f>
        <v>2.6276559172150042</v>
      </c>
      <c r="CH274" s="21"/>
      <c r="CI274" s="81">
        <f>H274*月別販売比率!$R$21</f>
        <v>2.08</v>
      </c>
      <c r="CJ274" s="21">
        <v>10</v>
      </c>
      <c r="CK274" s="81">
        <f>H274*月別販売比率!$W$21</f>
        <v>1.9803347285394668</v>
      </c>
      <c r="CL274" s="21"/>
      <c r="CM274" s="81">
        <f>H274*月別販売比率!$AB$21</f>
        <v>3.12</v>
      </c>
      <c r="CN274" s="21"/>
      <c r="CO274" s="81">
        <f>H274*月別販売比率!$AG$21</f>
        <v>2.6</v>
      </c>
      <c r="CP274" s="21"/>
      <c r="CQ274" s="81">
        <f>H274*月別販売比率!$AL$21</f>
        <v>2.34</v>
      </c>
      <c r="CR274" s="21"/>
      <c r="CS274" s="81">
        <f>H274*月別販売比率!$AQ$21</f>
        <v>2.6</v>
      </c>
      <c r="CT274" s="21"/>
      <c r="CU274" s="81">
        <f>H274*月別販売比率!$AV$21</f>
        <v>1.5832537629874328</v>
      </c>
      <c r="CV274" s="21"/>
      <c r="CW274" s="81">
        <f>H274*月別販売比率!$BA$21</f>
        <v>1.4462011383312294</v>
      </c>
      <c r="CX274" s="21"/>
      <c r="CY274" s="81">
        <f>H274*月別販売比率!$BF$21</f>
        <v>2.08</v>
      </c>
      <c r="CZ274" s="21"/>
      <c r="DA274" s="28"/>
      <c r="DB274" s="294"/>
    </row>
    <row r="275" spans="2:106" ht="30.75" customHeight="1">
      <c r="C275" s="477"/>
      <c r="D275" s="441">
        <v>2</v>
      </c>
      <c r="E275" s="94" t="s">
        <v>47</v>
      </c>
      <c r="F275" s="57">
        <v>48</v>
      </c>
      <c r="G275" s="5">
        <f t="shared" si="380"/>
        <v>316800</v>
      </c>
      <c r="H275" s="164">
        <v>100</v>
      </c>
      <c r="I275" s="5">
        <f t="shared" si="370"/>
        <v>660000</v>
      </c>
      <c r="J275" s="9">
        <v>0</v>
      </c>
      <c r="K275" s="21">
        <f>SUM(L275:N275)</f>
        <v>0</v>
      </c>
      <c r="L275" s="21">
        <v>0</v>
      </c>
      <c r="M275" s="21">
        <v>0</v>
      </c>
      <c r="N275" s="42"/>
      <c r="O275" s="288"/>
      <c r="P275" s="288"/>
      <c r="Q275" s="328"/>
      <c r="R275" s="328"/>
      <c r="S275" s="328"/>
      <c r="T275" s="328"/>
      <c r="U275" s="328"/>
      <c r="V275" s="331">
        <v>45786</v>
      </c>
      <c r="W275" s="331"/>
      <c r="X275" s="124"/>
      <c r="Y275" s="328"/>
      <c r="Z275" s="124"/>
      <c r="AA275" s="331">
        <v>45958</v>
      </c>
      <c r="AB275" s="124"/>
      <c r="AC275" s="328"/>
      <c r="AD275" s="328"/>
      <c r="AE275" s="328"/>
      <c r="AF275" s="328"/>
      <c r="AG275" s="331"/>
      <c r="AH275" s="331"/>
      <c r="AI275" s="129">
        <f t="shared" si="372"/>
        <v>72</v>
      </c>
      <c r="AJ275" s="129">
        <f t="shared" si="381"/>
        <v>64.383327967155893</v>
      </c>
      <c r="AK275" s="129">
        <f t="shared" si="373"/>
        <v>52.383327967155893</v>
      </c>
      <c r="AL275" s="129">
        <f t="shared" si="374"/>
        <v>42.383327967155893</v>
      </c>
      <c r="AM275" s="129">
        <f t="shared" si="375"/>
        <v>33.383327967155893</v>
      </c>
      <c r="AN275" s="399">
        <f t="shared" si="376"/>
        <v>23.383327967155893</v>
      </c>
      <c r="AO275" s="393">
        <f t="shared" si="377"/>
        <v>17.293890417204228</v>
      </c>
      <c r="AP275" s="96">
        <f t="shared" si="378"/>
        <v>11.7315783466995</v>
      </c>
      <c r="AQ275" s="91">
        <f t="shared" si="379"/>
        <v>3.7315783466995001</v>
      </c>
      <c r="AR275" s="198"/>
      <c r="AS275" s="81">
        <f>$H$275*月別販売比率!AG9</f>
        <v>8</v>
      </c>
      <c r="AT275" s="21"/>
      <c r="AU275" s="81">
        <f>$H$275*月別販売比率!AL9</f>
        <v>5.0397344708397434</v>
      </c>
      <c r="AV275" s="21"/>
      <c r="AW275" s="81">
        <f>$H$275*月別販売比率!AQ9</f>
        <v>5.6153972947593456</v>
      </c>
      <c r="AX275" s="21"/>
      <c r="AY275" s="81">
        <f>$H$275*月別販売比率!AV9</f>
        <v>4</v>
      </c>
      <c r="AZ275" s="21"/>
      <c r="BA275" s="81">
        <f>$H$275*月別販売比率!BA9</f>
        <v>3</v>
      </c>
      <c r="BB275" s="21"/>
      <c r="BC275" s="81">
        <f>$H$275*月別販売比率!BF9</f>
        <v>4.99028490939242</v>
      </c>
      <c r="BD275" s="21"/>
      <c r="BE275" s="245">
        <f>$H$275*月別販売比率!C25</f>
        <v>7.0000000000000009</v>
      </c>
      <c r="BF275" s="241">
        <v>48</v>
      </c>
      <c r="BG275" s="81">
        <f>$H$275*月別販売比率!H25</f>
        <v>8</v>
      </c>
      <c r="BH275" s="21"/>
      <c r="BI275" s="81">
        <f>$H$275*月別販売比率!M25</f>
        <v>14.000000000000002</v>
      </c>
      <c r="BJ275" s="21"/>
      <c r="BK275" s="81">
        <f>$H$275*月別販売比率!R25</f>
        <v>18</v>
      </c>
      <c r="BL275" s="21"/>
      <c r="BM275" s="81">
        <f>$H$275*月別販売比率!W25</f>
        <v>10</v>
      </c>
      <c r="BN275" s="21"/>
      <c r="BO275" s="81">
        <f>$H$275*月別販売比率!AB25</f>
        <v>12</v>
      </c>
      <c r="BP275" s="21"/>
      <c r="BQ275" s="245">
        <f>$H$275*月別販売比率!AG25</f>
        <v>8</v>
      </c>
      <c r="BR275" s="241">
        <v>20</v>
      </c>
      <c r="BS275" s="81">
        <f>$H$275*月別販売比率!AL25</f>
        <v>5.0397344708397434</v>
      </c>
      <c r="BT275" s="21"/>
      <c r="BU275" s="81">
        <f>$H$275*月別販売比率!AQ25</f>
        <v>5.6153972947593456</v>
      </c>
      <c r="BV275" s="21"/>
      <c r="BW275" s="81">
        <f>$H$275*月別販売比率!AV25</f>
        <v>4</v>
      </c>
      <c r="BX275" s="21"/>
      <c r="BY275" s="81">
        <f>$H$275*月別販売比率!BA25</f>
        <v>3</v>
      </c>
      <c r="BZ275" s="21"/>
      <c r="CA275" s="81">
        <f>$H$275*月別販売比率!BF25</f>
        <v>4.99028490939242</v>
      </c>
      <c r="CB275" s="21"/>
      <c r="CC275" s="81">
        <f>H275*月別販売比率!$C$21</f>
        <v>7.0864251115840204</v>
      </c>
      <c r="CD275" s="21"/>
      <c r="CE275" s="81">
        <f>H275*月別販売比率!$H$21</f>
        <v>7.0000000000000009</v>
      </c>
      <c r="CF275" s="21"/>
      <c r="CG275" s="81">
        <f>H275*月別販売比率!$M$21</f>
        <v>10.106368912365401</v>
      </c>
      <c r="CH275" s="21"/>
      <c r="CI275" s="81">
        <f>H275*月別販売比率!$R$21</f>
        <v>8</v>
      </c>
      <c r="CJ275" s="21">
        <v>80</v>
      </c>
      <c r="CK275" s="81">
        <f>H275*月別販売比率!$W$21</f>
        <v>7.6166720328441029</v>
      </c>
      <c r="CL275" s="21"/>
      <c r="CM275" s="81">
        <f>H275*月別販売比率!$AB$21</f>
        <v>12</v>
      </c>
      <c r="CN275" s="21"/>
      <c r="CO275" s="81">
        <f>H275*月別販売比率!$AG$21</f>
        <v>10</v>
      </c>
      <c r="CP275" s="21"/>
      <c r="CQ275" s="81">
        <f>H275*月別販売比率!$AL$21</f>
        <v>9</v>
      </c>
      <c r="CR275" s="21"/>
      <c r="CS275" s="81">
        <f>H275*月別販売比率!$AQ$21</f>
        <v>10</v>
      </c>
      <c r="CT275" s="21"/>
      <c r="CU275" s="81">
        <f>H275*月別販売比率!$AV$21</f>
        <v>6.089437549951664</v>
      </c>
      <c r="CV275" s="21"/>
      <c r="CW275" s="81">
        <f>H275*月別販売比率!$BA$21</f>
        <v>5.5623120705047286</v>
      </c>
      <c r="CX275" s="21"/>
      <c r="CY275" s="81">
        <f>H275*月別販売比率!$BF$21</f>
        <v>8</v>
      </c>
      <c r="CZ275" s="21"/>
      <c r="DA275" s="28"/>
      <c r="DB275" s="294"/>
    </row>
    <row r="276" spans="2:106" ht="30.75" customHeight="1">
      <c r="C276" s="477"/>
      <c r="D276" s="441"/>
      <c r="E276" s="94" t="s">
        <v>51</v>
      </c>
      <c r="F276" s="57">
        <v>45</v>
      </c>
      <c r="G276" s="5">
        <f t="shared" si="380"/>
        <v>297000</v>
      </c>
      <c r="H276" s="164">
        <v>75</v>
      </c>
      <c r="I276" s="5">
        <f t="shared" si="370"/>
        <v>495000</v>
      </c>
      <c r="J276" s="9">
        <v>0</v>
      </c>
      <c r="K276" s="21">
        <f t="shared" si="371"/>
        <v>0</v>
      </c>
      <c r="L276" s="21">
        <v>0</v>
      </c>
      <c r="M276" s="21">
        <v>0</v>
      </c>
      <c r="N276" s="42"/>
      <c r="O276" s="288"/>
      <c r="P276" s="288"/>
      <c r="Q276" s="328"/>
      <c r="R276" s="328"/>
      <c r="S276" s="328"/>
      <c r="T276" s="328"/>
      <c r="U276" s="328"/>
      <c r="V276" s="331">
        <v>45786</v>
      </c>
      <c r="W276" s="331"/>
      <c r="X276" s="328"/>
      <c r="Y276" s="328"/>
      <c r="Z276" s="124"/>
      <c r="AA276" s="331">
        <v>45958</v>
      </c>
      <c r="AB276" s="124"/>
      <c r="AC276" s="124"/>
      <c r="AD276" s="328"/>
      <c r="AE276" s="328"/>
      <c r="AF276" s="328"/>
      <c r="AG276" s="331"/>
      <c r="AH276" s="331"/>
      <c r="AI276" s="129">
        <f t="shared" si="372"/>
        <v>54</v>
      </c>
      <c r="AJ276" s="129">
        <f t="shared" si="381"/>
        <v>48.287495975366923</v>
      </c>
      <c r="AK276" s="129">
        <f t="shared" si="373"/>
        <v>39.287495975366923</v>
      </c>
      <c r="AL276" s="129">
        <f t="shared" si="374"/>
        <v>31.787495975366923</v>
      </c>
      <c r="AM276" s="129">
        <f t="shared" si="375"/>
        <v>25.037495975366923</v>
      </c>
      <c r="AN276" s="399">
        <f t="shared" si="376"/>
        <v>17.537495975366923</v>
      </c>
      <c r="AO276" s="393">
        <f t="shared" si="377"/>
        <v>12.970417812903175</v>
      </c>
      <c r="AP276" s="96">
        <f t="shared" si="378"/>
        <v>8.7986837600246304</v>
      </c>
      <c r="AQ276" s="91">
        <f t="shared" si="379"/>
        <v>2.7986837600246304</v>
      </c>
      <c r="AR276" s="198"/>
      <c r="AS276" s="81">
        <f>$H$276*月別販売比率!AG9</f>
        <v>6</v>
      </c>
      <c r="AT276" s="21"/>
      <c r="AU276" s="81">
        <f>$H$276*月別販売比率!AL9</f>
        <v>3.7798008531298075</v>
      </c>
      <c r="AV276" s="21"/>
      <c r="AW276" s="81">
        <f>$H$276*月別販売比率!AQ9</f>
        <v>4.2115479710695096</v>
      </c>
      <c r="AX276" s="21"/>
      <c r="AY276" s="81">
        <f>$H$276*月別販売比率!AV9</f>
        <v>3</v>
      </c>
      <c r="AZ276" s="21"/>
      <c r="BA276" s="81">
        <f>$H$276*月別販売比率!BA9</f>
        <v>2.25</v>
      </c>
      <c r="BB276" s="21"/>
      <c r="BC276" s="81">
        <f>$H$276*月別販売比率!BF9</f>
        <v>3.742713682044315</v>
      </c>
      <c r="BD276" s="21"/>
      <c r="BE276" s="245">
        <f>$H$276*月別販売比率!C25</f>
        <v>5.2500000000000009</v>
      </c>
      <c r="BF276" s="241">
        <v>42</v>
      </c>
      <c r="BG276" s="81">
        <f>$H$276*月別販売比率!H25</f>
        <v>6</v>
      </c>
      <c r="BH276" s="21"/>
      <c r="BI276" s="81">
        <f>$H$276*月別販売比率!M25</f>
        <v>10.500000000000002</v>
      </c>
      <c r="BJ276" s="21"/>
      <c r="BK276" s="81">
        <f>$H$276*月別販売比率!R25</f>
        <v>13.5</v>
      </c>
      <c r="BL276" s="21"/>
      <c r="BM276" s="81">
        <f>$H$276*月別販売比率!W25</f>
        <v>7.5</v>
      </c>
      <c r="BN276" s="21"/>
      <c r="BO276" s="81">
        <f>$H$276*月別販売比率!AB25</f>
        <v>9</v>
      </c>
      <c r="BP276" s="21"/>
      <c r="BQ276" s="245">
        <f>$H$276*月別販売比率!AG25</f>
        <v>6</v>
      </c>
      <c r="BR276" s="241">
        <v>20</v>
      </c>
      <c r="BS276" s="81">
        <f>$H$276*月別販売比率!AL25</f>
        <v>3.7798008531298075</v>
      </c>
      <c r="BT276" s="21"/>
      <c r="BU276" s="81">
        <f>$H$276*月別販売比率!AQ25</f>
        <v>4.2115479710695096</v>
      </c>
      <c r="BV276" s="21"/>
      <c r="BW276" s="81">
        <f>$H$276*月別販売比率!AV25</f>
        <v>3</v>
      </c>
      <c r="BX276" s="21"/>
      <c r="BY276" s="81">
        <f>$H$276*月別販売比率!BA25</f>
        <v>2.25</v>
      </c>
      <c r="BZ276" s="21"/>
      <c r="CA276" s="81">
        <f>$H$276*月別販売比率!BF25</f>
        <v>3.742713682044315</v>
      </c>
      <c r="CB276" s="21"/>
      <c r="CC276" s="81">
        <f>H276*月別販売比率!$C$21</f>
        <v>5.3148188336880153</v>
      </c>
      <c r="CD276" s="21"/>
      <c r="CE276" s="81">
        <f>H276*月別販売比率!$H$21</f>
        <v>5.2500000000000009</v>
      </c>
      <c r="CF276" s="21"/>
      <c r="CG276" s="81">
        <f>H276*月別販売比率!$M$21</f>
        <v>7.5797766842740497</v>
      </c>
      <c r="CH276" s="21"/>
      <c r="CI276" s="81">
        <f>H276*月別販売比率!$R$21</f>
        <v>6</v>
      </c>
      <c r="CJ276" s="21">
        <v>60</v>
      </c>
      <c r="CK276" s="81">
        <f>H276*月別販売比率!$W$21</f>
        <v>5.7125040246330769</v>
      </c>
      <c r="CL276" s="21"/>
      <c r="CM276" s="81">
        <f>H276*月別販売比率!$AB$21</f>
        <v>9</v>
      </c>
      <c r="CN276" s="21"/>
      <c r="CO276" s="81">
        <f>H276*月別販売比率!$AG$21</f>
        <v>7.5</v>
      </c>
      <c r="CP276" s="21"/>
      <c r="CQ276" s="81">
        <f>H276*月別販売比率!$AL$21</f>
        <v>6.75</v>
      </c>
      <c r="CR276" s="21"/>
      <c r="CS276" s="81">
        <f>H276*月別販売比率!$AQ$21</f>
        <v>7.5</v>
      </c>
      <c r="CT276" s="21"/>
      <c r="CU276" s="81">
        <f>H276*月別販売比率!$AV$21</f>
        <v>4.5670781624637486</v>
      </c>
      <c r="CV276" s="21"/>
      <c r="CW276" s="81">
        <f>H276*月別販売比率!$BA$21</f>
        <v>4.1717340528785458</v>
      </c>
      <c r="CX276" s="21"/>
      <c r="CY276" s="81">
        <f>H276*月別販売比率!$BF$21</f>
        <v>6</v>
      </c>
      <c r="CZ276" s="21"/>
      <c r="DA276" s="28"/>
      <c r="DB276" s="294"/>
    </row>
    <row r="277" spans="2:106" ht="30.75" customHeight="1">
      <c r="C277" s="477"/>
      <c r="D277" s="441"/>
      <c r="E277" s="94" t="s">
        <v>49</v>
      </c>
      <c r="F277" s="57">
        <v>33</v>
      </c>
      <c r="G277" s="5">
        <f t="shared" si="380"/>
        <v>217800</v>
      </c>
      <c r="H277" s="164">
        <v>70</v>
      </c>
      <c r="I277" s="5">
        <f t="shared" si="370"/>
        <v>462000</v>
      </c>
      <c r="J277" s="9">
        <v>0</v>
      </c>
      <c r="K277" s="21">
        <f t="shared" si="371"/>
        <v>0</v>
      </c>
      <c r="L277" s="21">
        <v>0</v>
      </c>
      <c r="M277" s="21">
        <v>0</v>
      </c>
      <c r="N277" s="42"/>
      <c r="O277" s="288"/>
      <c r="P277" s="288"/>
      <c r="Q277" s="328"/>
      <c r="R277" s="328"/>
      <c r="S277" s="328"/>
      <c r="T277" s="328"/>
      <c r="U277" s="328"/>
      <c r="V277" s="331">
        <v>45786</v>
      </c>
      <c r="W277" s="331"/>
      <c r="X277" s="328"/>
      <c r="Y277" s="328"/>
      <c r="Z277" s="124"/>
      <c r="AA277" s="331">
        <v>45958</v>
      </c>
      <c r="AB277" s="124"/>
      <c r="AC277" s="124"/>
      <c r="AD277" s="328"/>
      <c r="AE277" s="328"/>
      <c r="AF277" s="328"/>
      <c r="AG277" s="331"/>
      <c r="AH277" s="331"/>
      <c r="AI277" s="129">
        <f t="shared" si="372"/>
        <v>44.4</v>
      </c>
      <c r="AJ277" s="129">
        <f t="shared" si="381"/>
        <v>39.068329577009123</v>
      </c>
      <c r="AK277" s="129">
        <f t="shared" si="373"/>
        <v>30.668329577009125</v>
      </c>
      <c r="AL277" s="129">
        <f t="shared" si="374"/>
        <v>23.668329577009125</v>
      </c>
      <c r="AM277" s="129">
        <f t="shared" si="375"/>
        <v>17.368329577009124</v>
      </c>
      <c r="AN277" s="399">
        <f t="shared" si="376"/>
        <v>10.368329577009124</v>
      </c>
      <c r="AO277" s="393">
        <f t="shared" si="377"/>
        <v>6.1057232920429589</v>
      </c>
      <c r="AP277" s="96">
        <f t="shared" si="378"/>
        <v>2.2121048426896492</v>
      </c>
      <c r="AQ277" s="91">
        <f t="shared" si="379"/>
        <v>-3.3878951573103513</v>
      </c>
      <c r="AR277" s="198"/>
      <c r="AS277" s="81">
        <f>$H$277*月別販売比率!AG9</f>
        <v>5.6000000000000005</v>
      </c>
      <c r="AT277" s="21"/>
      <c r="AU277" s="81">
        <f>$H$277*月別販売比率!AL9</f>
        <v>3.5278141295878203</v>
      </c>
      <c r="AV277" s="21"/>
      <c r="AW277" s="81">
        <f>$H$277*月別販売比率!AQ9</f>
        <v>3.9307781063315419</v>
      </c>
      <c r="AX277" s="21"/>
      <c r="AY277" s="81">
        <f>$H$277*月別販売比率!AV9</f>
        <v>2.8000000000000003</v>
      </c>
      <c r="AZ277" s="21"/>
      <c r="BA277" s="81">
        <f>$H$277*月別販売比率!BA9</f>
        <v>2.1</v>
      </c>
      <c r="BB277" s="21"/>
      <c r="BC277" s="81">
        <f>$H$277*月別販売比率!BF9</f>
        <v>3.4931994365746939</v>
      </c>
      <c r="BD277" s="21"/>
      <c r="BE277" s="245">
        <f>$H$277*月別販売比率!C25</f>
        <v>4.9000000000000004</v>
      </c>
      <c r="BF277" s="241">
        <v>30</v>
      </c>
      <c r="BG277" s="81">
        <f>$H$277*月別販売比率!H25</f>
        <v>5.6000000000000005</v>
      </c>
      <c r="BH277" s="21"/>
      <c r="BI277" s="81">
        <f>$H$277*月別販売比率!M25</f>
        <v>9.8000000000000007</v>
      </c>
      <c r="BJ277" s="21"/>
      <c r="BK277" s="81">
        <f>$H$277*月別販売比率!R25</f>
        <v>12.6</v>
      </c>
      <c r="BL277" s="21"/>
      <c r="BM277" s="81">
        <f>$H$277*月別販売比率!W25</f>
        <v>7</v>
      </c>
      <c r="BN277" s="21"/>
      <c r="BO277" s="81">
        <f>$H$277*月別販売比率!AB25</f>
        <v>8.4</v>
      </c>
      <c r="BP277" s="21"/>
      <c r="BQ277" s="245">
        <f>$H$277*月別販売比率!AG25</f>
        <v>5.6000000000000005</v>
      </c>
      <c r="BR277" s="241">
        <v>20</v>
      </c>
      <c r="BS277" s="81">
        <f>$H$277*月別販売比率!AL25</f>
        <v>3.5278141295878203</v>
      </c>
      <c r="BT277" s="21"/>
      <c r="BU277" s="81">
        <f>$H$277*月別販売比率!AQ25</f>
        <v>3.9307781063315419</v>
      </c>
      <c r="BV277" s="21"/>
      <c r="BW277" s="81">
        <f>$H$277*月別販売比率!AV25</f>
        <v>2.8000000000000003</v>
      </c>
      <c r="BX277" s="21"/>
      <c r="BY277" s="81">
        <f>$H$277*月別販売比率!BA25</f>
        <v>2.1</v>
      </c>
      <c r="BZ277" s="21"/>
      <c r="CA277" s="81">
        <f>$H$277*月別販売比率!BF25</f>
        <v>3.4931994365746939</v>
      </c>
      <c r="CB277" s="21"/>
      <c r="CC277" s="81">
        <f>H277*月別販売比率!$C$21</f>
        <v>4.9604975781088143</v>
      </c>
      <c r="CD277" s="21"/>
      <c r="CE277" s="81">
        <f>H277*月別販売比率!$H$21</f>
        <v>4.9000000000000004</v>
      </c>
      <c r="CF277" s="21"/>
      <c r="CG277" s="81">
        <f>H277*月別販売比率!$M$21</f>
        <v>7.0744582386557804</v>
      </c>
      <c r="CH277" s="21"/>
      <c r="CI277" s="81">
        <f>H277*月別販売比率!$R$21</f>
        <v>5.6000000000000005</v>
      </c>
      <c r="CJ277" s="21">
        <v>50</v>
      </c>
      <c r="CK277" s="81">
        <f>H277*月別販売比率!$W$21</f>
        <v>5.3316704229908725</v>
      </c>
      <c r="CL277" s="21"/>
      <c r="CM277" s="81">
        <f>H277*月別販売比率!$AB$21</f>
        <v>8.4</v>
      </c>
      <c r="CN277" s="21"/>
      <c r="CO277" s="81">
        <f>H277*月別販売比率!$AG$21</f>
        <v>7</v>
      </c>
      <c r="CP277" s="21"/>
      <c r="CQ277" s="81">
        <f>H277*月別販売比率!$AL$21</f>
        <v>6.3</v>
      </c>
      <c r="CR277" s="21"/>
      <c r="CS277" s="81">
        <f>H277*月別販売比率!$AQ$21</f>
        <v>7</v>
      </c>
      <c r="CT277" s="21"/>
      <c r="CU277" s="81">
        <f>H277*月別販売比率!$AV$21</f>
        <v>4.2626062849661652</v>
      </c>
      <c r="CV277" s="21"/>
      <c r="CW277" s="81">
        <f>H277*月別販売比率!$BA$21</f>
        <v>3.8936184493533097</v>
      </c>
      <c r="CX277" s="21"/>
      <c r="CY277" s="81">
        <f>H277*月別販売比率!$BF$21</f>
        <v>5.6000000000000005</v>
      </c>
      <c r="CZ277" s="21"/>
      <c r="DA277" s="28"/>
      <c r="DB277" s="294"/>
    </row>
    <row r="278" spans="2:106" ht="30.75" customHeight="1">
      <c r="C278" s="477"/>
      <c r="D278" s="441">
        <v>3</v>
      </c>
      <c r="E278" s="94" t="s">
        <v>47</v>
      </c>
      <c r="F278" s="57">
        <v>48</v>
      </c>
      <c r="G278" s="5">
        <f t="shared" si="380"/>
        <v>316800</v>
      </c>
      <c r="H278" s="56">
        <f>F278*($H$271/$F$271)</f>
        <v>48</v>
      </c>
      <c r="I278" s="5">
        <f t="shared" si="370"/>
        <v>316800</v>
      </c>
      <c r="J278" s="9">
        <v>1</v>
      </c>
      <c r="K278" s="21">
        <f t="shared" si="371"/>
        <v>30</v>
      </c>
      <c r="L278" s="21">
        <v>0</v>
      </c>
      <c r="M278" s="21">
        <v>30</v>
      </c>
      <c r="N278" s="42"/>
      <c r="O278" s="288"/>
      <c r="P278" s="288"/>
      <c r="Q278" s="328"/>
      <c r="R278" s="328"/>
      <c r="S278" s="328"/>
      <c r="T278" s="328"/>
      <c r="U278" s="328"/>
      <c r="V278" s="331">
        <v>45786</v>
      </c>
      <c r="W278" s="331"/>
      <c r="X278" s="124"/>
      <c r="Y278" s="124"/>
      <c r="Z278" s="124"/>
      <c r="AA278" s="124"/>
      <c r="AB278" s="124"/>
      <c r="AC278" s="124"/>
      <c r="AD278" s="124"/>
      <c r="AE278" s="124"/>
      <c r="AF278" s="124"/>
      <c r="AG278" s="124"/>
      <c r="AH278" s="331"/>
      <c r="AI278" s="129">
        <f t="shared" si="372"/>
        <v>37.159999999999997</v>
      </c>
      <c r="AJ278" s="129">
        <f t="shared" si="381"/>
        <v>33.503997424234825</v>
      </c>
      <c r="AK278" s="129">
        <f t="shared" si="373"/>
        <v>27.743997424234827</v>
      </c>
      <c r="AL278" s="129">
        <f t="shared" si="374"/>
        <v>22.943997424234826</v>
      </c>
      <c r="AM278" s="129">
        <f t="shared" si="375"/>
        <v>18.623997424234826</v>
      </c>
      <c r="AN278" s="399">
        <f t="shared" si="376"/>
        <v>13.823997424234825</v>
      </c>
      <c r="AO278" s="393">
        <f t="shared" si="377"/>
        <v>10.901067400258027</v>
      </c>
      <c r="AP278" s="96">
        <f t="shared" si="378"/>
        <v>8.2311576064157563</v>
      </c>
      <c r="AQ278" s="91">
        <f t="shared" si="379"/>
        <v>4.3911576064157565</v>
      </c>
      <c r="AR278" s="198"/>
      <c r="AS278" s="81">
        <f>$H$278*月別販売比率!AG9</f>
        <v>3.84</v>
      </c>
      <c r="AT278" s="21"/>
      <c r="AU278" s="81">
        <f>$H$278*月別販売比率!AL9</f>
        <v>2.4190725460030769</v>
      </c>
      <c r="AV278" s="21"/>
      <c r="AW278" s="81">
        <f>$H$278*月別販売比率!AQ9</f>
        <v>2.6953907014844862</v>
      </c>
      <c r="AX278" s="21"/>
      <c r="AY278" s="81">
        <f>$H$278*月別販売比率!AV9</f>
        <v>1.92</v>
      </c>
      <c r="AZ278" s="21"/>
      <c r="BA278" s="81">
        <f>$H$278*月別販売比率!BA9</f>
        <v>1.44</v>
      </c>
      <c r="BB278" s="21"/>
      <c r="BC278" s="81">
        <f>$H$278*月別販売比率!BF9</f>
        <v>2.3953367565083616</v>
      </c>
      <c r="BD278" s="21"/>
      <c r="BE278" s="245">
        <f>$H$278*月別販売比率!C25</f>
        <v>3.3600000000000003</v>
      </c>
      <c r="BF278" s="241">
        <v>50</v>
      </c>
      <c r="BG278" s="81">
        <f>$H$278*月別販売比率!H25</f>
        <v>3.84</v>
      </c>
      <c r="BH278" s="21"/>
      <c r="BI278" s="81">
        <f>$H$278*月別販売比率!M25</f>
        <v>6.7200000000000006</v>
      </c>
      <c r="BJ278" s="21"/>
      <c r="BK278" s="81">
        <f>$H$278*月別販売比率!R25</f>
        <v>8.64</v>
      </c>
      <c r="BL278" s="21"/>
      <c r="BM278" s="81">
        <f>$H$278*月別販売比率!W25</f>
        <v>4.8000000000000007</v>
      </c>
      <c r="BN278" s="21"/>
      <c r="BO278" s="81">
        <f>$H$278*月別販売比率!AB25</f>
        <v>5.76</v>
      </c>
      <c r="BP278" s="21"/>
      <c r="BQ278" s="245">
        <f>$H$278*月別販売比率!AG25</f>
        <v>3.84</v>
      </c>
      <c r="BR278" s="241">
        <v>20</v>
      </c>
      <c r="BS278" s="81">
        <f>$H$278*月別販売比率!AL25</f>
        <v>2.4190725460030769</v>
      </c>
      <c r="BT278" s="21"/>
      <c r="BU278" s="81">
        <f>$H$278*月別販売比率!AQ25</f>
        <v>2.6953907014844862</v>
      </c>
      <c r="BV278" s="21"/>
      <c r="BW278" s="81">
        <f>$H$278*月別販売比率!AV25</f>
        <v>1.92</v>
      </c>
      <c r="BX278" s="21"/>
      <c r="BY278" s="81">
        <f>$H$278*月別販売比率!BA25</f>
        <v>1.44</v>
      </c>
      <c r="BZ278" s="21"/>
      <c r="CA278" s="81">
        <f>$H$278*月別販売比率!BF25</f>
        <v>2.3953367565083616</v>
      </c>
      <c r="CB278" s="21"/>
      <c r="CC278" s="81">
        <f>H278*月別販売比率!$C$21</f>
        <v>3.4014840535603295</v>
      </c>
      <c r="CD278" s="21"/>
      <c r="CE278" s="81">
        <f>H278*月別販売比率!$H$21</f>
        <v>3.3600000000000003</v>
      </c>
      <c r="CF278" s="21"/>
      <c r="CG278" s="81">
        <f>H278*月別販売比率!$M$21</f>
        <v>4.8510570779353923</v>
      </c>
      <c r="CH278" s="21"/>
      <c r="CI278" s="81">
        <f>H278*月別販売比率!$R$21</f>
        <v>3.84</v>
      </c>
      <c r="CJ278" s="21">
        <v>10</v>
      </c>
      <c r="CK278" s="81">
        <f>H278*月別販売比率!$W$21</f>
        <v>3.6560025757651697</v>
      </c>
      <c r="CL278" s="21"/>
      <c r="CM278" s="81">
        <f>H278*月別販売比率!$AB$21</f>
        <v>5.76</v>
      </c>
      <c r="CN278" s="21"/>
      <c r="CO278" s="81">
        <f>H278*月別販売比率!$AG$21</f>
        <v>4.8000000000000007</v>
      </c>
      <c r="CP278" s="21"/>
      <c r="CQ278" s="81">
        <f>H278*月別販売比率!$AL$21</f>
        <v>4.32</v>
      </c>
      <c r="CR278" s="21"/>
      <c r="CS278" s="81">
        <f>H278*月別販売比率!$AQ$21</f>
        <v>4.8000000000000007</v>
      </c>
      <c r="CT278" s="21"/>
      <c r="CU278" s="81">
        <f>H278*月別販売比率!$AV$21</f>
        <v>2.9229300239767988</v>
      </c>
      <c r="CV278" s="21"/>
      <c r="CW278" s="81">
        <f>H278*月別販売比率!$BA$21</f>
        <v>2.6699097938422698</v>
      </c>
      <c r="CX278" s="21"/>
      <c r="CY278" s="81">
        <f>H278*月別販売比率!$BF$21</f>
        <v>3.84</v>
      </c>
      <c r="CZ278" s="21"/>
      <c r="DA278" s="28"/>
      <c r="DB278" s="294"/>
    </row>
    <row r="279" spans="2:106" ht="30.75" customHeight="1">
      <c r="C279" s="477"/>
      <c r="D279" s="441"/>
      <c r="E279" s="94" t="s">
        <v>51</v>
      </c>
      <c r="F279" s="57">
        <v>45</v>
      </c>
      <c r="G279" s="5">
        <f t="shared" si="380"/>
        <v>297000</v>
      </c>
      <c r="H279" s="164">
        <v>70</v>
      </c>
      <c r="I279" s="5">
        <f t="shared" si="370"/>
        <v>462000</v>
      </c>
      <c r="J279" s="9">
        <v>1</v>
      </c>
      <c r="K279" s="21">
        <f t="shared" si="371"/>
        <v>19</v>
      </c>
      <c r="L279" s="21">
        <v>0</v>
      </c>
      <c r="M279" s="21">
        <v>19</v>
      </c>
      <c r="N279" s="42"/>
      <c r="O279" s="288"/>
      <c r="P279" s="288"/>
      <c r="Q279" s="328"/>
      <c r="R279" s="328"/>
      <c r="S279" s="328"/>
      <c r="T279" s="328"/>
      <c r="U279" s="328"/>
      <c r="V279" s="331">
        <v>45786</v>
      </c>
      <c r="W279" s="331"/>
      <c r="X279" s="124"/>
      <c r="Y279" s="124"/>
      <c r="Z279" s="124"/>
      <c r="AA279" s="331">
        <v>45958</v>
      </c>
      <c r="AB279" s="124"/>
      <c r="AC279" s="124"/>
      <c r="AD279" s="124"/>
      <c r="AE279" s="124"/>
      <c r="AF279" s="124"/>
      <c r="AG279" s="331"/>
      <c r="AH279" s="331"/>
      <c r="AI279" s="129">
        <f t="shared" si="372"/>
        <v>54.4</v>
      </c>
      <c r="AJ279" s="129">
        <f t="shared" si="381"/>
        <v>49.068329577009123</v>
      </c>
      <c r="AK279" s="129">
        <f t="shared" si="373"/>
        <v>40.668329577009125</v>
      </c>
      <c r="AL279" s="129">
        <f t="shared" si="374"/>
        <v>33.668329577009125</v>
      </c>
      <c r="AM279" s="129">
        <f t="shared" si="375"/>
        <v>27.368329577009124</v>
      </c>
      <c r="AN279" s="399">
        <f t="shared" si="376"/>
        <v>20.368329577009124</v>
      </c>
      <c r="AO279" s="393">
        <f t="shared" si="377"/>
        <v>16.10572329204296</v>
      </c>
      <c r="AP279" s="96">
        <f t="shared" si="378"/>
        <v>12.21210484268965</v>
      </c>
      <c r="AQ279" s="91">
        <f t="shared" si="379"/>
        <v>6.6121048426896492</v>
      </c>
      <c r="AR279" s="198"/>
      <c r="AS279" s="81">
        <f>$H$279*月別販売比率!AG9</f>
        <v>5.6000000000000005</v>
      </c>
      <c r="AT279" s="21"/>
      <c r="AU279" s="81">
        <f>$H$279*月別販売比率!AL9</f>
        <v>3.5278141295878203</v>
      </c>
      <c r="AV279" s="21"/>
      <c r="AW279" s="81">
        <f>$H$279*月別販売比率!AQ9</f>
        <v>3.9307781063315419</v>
      </c>
      <c r="AX279" s="21"/>
      <c r="AY279" s="81">
        <f>$H$279*月別販売比率!AV9</f>
        <v>2.8000000000000003</v>
      </c>
      <c r="AZ279" s="21"/>
      <c r="BA279" s="81">
        <f>$H$279*月別販売比率!BA9</f>
        <v>2.1</v>
      </c>
      <c r="BB279" s="21"/>
      <c r="BC279" s="81">
        <f>$H$279*月別販売比率!BF9</f>
        <v>3.4931994365746939</v>
      </c>
      <c r="BD279" s="21"/>
      <c r="BE279" s="245">
        <f>$H$279*月別販売比率!C25</f>
        <v>4.9000000000000004</v>
      </c>
      <c r="BF279" s="241">
        <v>41</v>
      </c>
      <c r="BG279" s="81">
        <f>$H$279*月別販売比率!H25</f>
        <v>5.6000000000000005</v>
      </c>
      <c r="BH279" s="21"/>
      <c r="BI279" s="81">
        <f>$H$279*月別販売比率!M25</f>
        <v>9.8000000000000007</v>
      </c>
      <c r="BJ279" s="21"/>
      <c r="BK279" s="81">
        <f>$H$279*月別販売比率!R25</f>
        <v>12.6</v>
      </c>
      <c r="BL279" s="21"/>
      <c r="BM279" s="81">
        <f>$H$279*月別販売比率!W25</f>
        <v>7</v>
      </c>
      <c r="BN279" s="21"/>
      <c r="BO279" s="81">
        <f>$H$279*月別販売比率!AB25</f>
        <v>8.4</v>
      </c>
      <c r="BP279" s="21"/>
      <c r="BQ279" s="245">
        <f>$H$279*月別販売比率!AG25</f>
        <v>5.6000000000000005</v>
      </c>
      <c r="BR279" s="241">
        <v>25</v>
      </c>
      <c r="BS279" s="81">
        <f>$H$279*月別販売比率!AL25</f>
        <v>3.5278141295878203</v>
      </c>
      <c r="BT279" s="21"/>
      <c r="BU279" s="81">
        <f>$H$279*月別販売比率!AQ25</f>
        <v>3.9307781063315419</v>
      </c>
      <c r="BV279" s="21"/>
      <c r="BW279" s="81">
        <f>$H$279*月別販売比率!AV25</f>
        <v>2.8000000000000003</v>
      </c>
      <c r="BX279" s="21"/>
      <c r="BY279" s="81">
        <f>$H$279*月別販売比率!BA25</f>
        <v>2.1</v>
      </c>
      <c r="BZ279" s="21"/>
      <c r="CA279" s="81">
        <f>$H$279*月別販売比率!BF25</f>
        <v>3.4931994365746939</v>
      </c>
      <c r="CB279" s="21"/>
      <c r="CC279" s="81">
        <f>H279*月別販売比率!$C$21</f>
        <v>4.9604975781088143</v>
      </c>
      <c r="CD279" s="21"/>
      <c r="CE279" s="81">
        <f>H279*月別販売比率!$H$21</f>
        <v>4.9000000000000004</v>
      </c>
      <c r="CF279" s="21"/>
      <c r="CG279" s="81">
        <f>H279*月別販売比率!$M$21</f>
        <v>7.0744582386557804</v>
      </c>
      <c r="CH279" s="21"/>
      <c r="CI279" s="81">
        <f>H279*月別販売比率!$R$21</f>
        <v>5.6000000000000005</v>
      </c>
      <c r="CJ279" s="21">
        <v>40</v>
      </c>
      <c r="CK279" s="81">
        <f>H279*月別販売比率!$W$21</f>
        <v>5.3316704229908725</v>
      </c>
      <c r="CL279" s="21"/>
      <c r="CM279" s="81">
        <f>H279*月別販売比率!$AB$21</f>
        <v>8.4</v>
      </c>
      <c r="CN279" s="21"/>
      <c r="CO279" s="81">
        <f>H279*月別販売比率!$AG$21</f>
        <v>7</v>
      </c>
      <c r="CP279" s="21"/>
      <c r="CQ279" s="81">
        <f>H279*月別販売比率!$AL$21</f>
        <v>6.3</v>
      </c>
      <c r="CR279" s="21"/>
      <c r="CS279" s="81">
        <f>H279*月別販売比率!$AQ$21</f>
        <v>7</v>
      </c>
      <c r="CT279" s="21"/>
      <c r="CU279" s="81">
        <f>H279*月別販売比率!$AV$21</f>
        <v>4.2626062849661652</v>
      </c>
      <c r="CV279" s="21"/>
      <c r="CW279" s="81">
        <f>H279*月別販売比率!$BA$21</f>
        <v>3.8936184493533097</v>
      </c>
      <c r="CX279" s="21"/>
      <c r="CY279" s="81">
        <f>H279*月別販売比率!$BF$21</f>
        <v>5.6000000000000005</v>
      </c>
      <c r="CZ279" s="21"/>
      <c r="DA279" s="28"/>
      <c r="DB279" s="294"/>
    </row>
    <row r="280" spans="2:106" ht="30.75" customHeight="1">
      <c r="C280" s="477"/>
      <c r="D280" s="441"/>
      <c r="E280" s="119" t="s">
        <v>49</v>
      </c>
      <c r="F280" s="120">
        <v>26</v>
      </c>
      <c r="G280" s="36">
        <f t="shared" si="380"/>
        <v>171600</v>
      </c>
      <c r="H280" s="268">
        <f>F280*($H$271/$F$271)</f>
        <v>26</v>
      </c>
      <c r="I280" s="36">
        <f t="shared" si="370"/>
        <v>171600</v>
      </c>
      <c r="J280" s="102">
        <v>0</v>
      </c>
      <c r="K280" s="79">
        <v>0</v>
      </c>
      <c r="L280" s="107">
        <v>0</v>
      </c>
      <c r="M280" s="107">
        <v>9</v>
      </c>
      <c r="N280" s="44"/>
      <c r="O280" s="292"/>
      <c r="P280" s="292"/>
      <c r="Q280" s="576"/>
      <c r="R280" s="576"/>
      <c r="S280" s="344"/>
      <c r="T280" s="344"/>
      <c r="U280" s="344"/>
      <c r="V280" s="540">
        <v>45786</v>
      </c>
      <c r="W280" s="540"/>
      <c r="X280" s="543"/>
      <c r="Y280" s="543"/>
      <c r="Z280" s="543"/>
      <c r="AA280" s="540">
        <v>45958</v>
      </c>
      <c r="AB280" s="543"/>
      <c r="AC280" s="543"/>
      <c r="AD280" s="543"/>
      <c r="AE280" s="543"/>
      <c r="AF280" s="543"/>
      <c r="AG280" s="540"/>
      <c r="AH280" s="540"/>
      <c r="AI280" s="198">
        <f t="shared" si="372"/>
        <v>17.920000000000002</v>
      </c>
      <c r="AJ280" s="198">
        <f t="shared" si="381"/>
        <v>15.939665271460536</v>
      </c>
      <c r="AK280" s="198">
        <f t="shared" si="373"/>
        <v>12.819665271460536</v>
      </c>
      <c r="AL280" s="198">
        <f t="shared" si="374"/>
        <v>10.219665271460537</v>
      </c>
      <c r="AM280" s="198">
        <f t="shared" si="375"/>
        <v>7.8796652714605369</v>
      </c>
      <c r="AN280" s="402">
        <f t="shared" si="376"/>
        <v>5.2796652714605372</v>
      </c>
      <c r="AO280" s="396">
        <f t="shared" si="377"/>
        <v>3.6964115084731044</v>
      </c>
      <c r="AP280" s="199">
        <f t="shared" si="378"/>
        <v>2.250210370141875</v>
      </c>
      <c r="AQ280" s="194">
        <f t="shared" si="379"/>
        <v>0.1702103701418749</v>
      </c>
      <c r="AR280" s="198"/>
      <c r="AS280" s="81">
        <f>$H$280*月別販売比率!AG9</f>
        <v>2.08</v>
      </c>
      <c r="AT280" s="107"/>
      <c r="AU280" s="81">
        <f>$H$280*月別販売比率!AL9</f>
        <v>1.3103309624183332</v>
      </c>
      <c r="AV280" s="107"/>
      <c r="AW280" s="81">
        <f>$H$280*月別販売比率!AQ9</f>
        <v>1.4600032966374299</v>
      </c>
      <c r="AX280" s="107"/>
      <c r="AY280" s="81">
        <f>$H$280*月別販売比率!AV9</f>
        <v>1.04</v>
      </c>
      <c r="AZ280" s="107"/>
      <c r="BA280" s="81">
        <f>$H$280*月別販売比率!BA9</f>
        <v>0.78</v>
      </c>
      <c r="BB280" s="107"/>
      <c r="BC280" s="81">
        <f>$H$280*月別販売比率!BF9</f>
        <v>1.2974740764420292</v>
      </c>
      <c r="BD280" s="107"/>
      <c r="BE280" s="245">
        <f>$H$280*月別販売比率!C25</f>
        <v>1.8200000000000003</v>
      </c>
      <c r="BF280" s="341">
        <v>29</v>
      </c>
      <c r="BG280" s="81">
        <f>$H$280*月別販売比率!H25</f>
        <v>2.08</v>
      </c>
      <c r="BH280" s="107"/>
      <c r="BI280" s="81">
        <f>$H$280*月別販売比率!M25</f>
        <v>3.6400000000000006</v>
      </c>
      <c r="BJ280" s="107"/>
      <c r="BK280" s="81">
        <f>$H$280*月別販売比率!R25</f>
        <v>4.68</v>
      </c>
      <c r="BL280" s="107"/>
      <c r="BM280" s="81">
        <f>$H$280*月別販売比率!W25</f>
        <v>2.6</v>
      </c>
      <c r="BN280" s="107"/>
      <c r="BO280" s="81">
        <f>$H$280*月別販売比率!AB25</f>
        <v>3.12</v>
      </c>
      <c r="BP280" s="107"/>
      <c r="BQ280" s="245">
        <f>$H$280*月別販売比率!AG25</f>
        <v>2.08</v>
      </c>
      <c r="BR280" s="341">
        <v>20</v>
      </c>
      <c r="BS280" s="81">
        <f>$H$280*月別販売比率!AL25</f>
        <v>1.3103309624183332</v>
      </c>
      <c r="BT280" s="107"/>
      <c r="BU280" s="81">
        <f>$H$280*月別販売比率!AQ25</f>
        <v>1.4600032966374299</v>
      </c>
      <c r="BV280" s="107"/>
      <c r="BW280" s="81">
        <f>$H$280*月別販売比率!AV25</f>
        <v>1.04</v>
      </c>
      <c r="BX280" s="107"/>
      <c r="BY280" s="81">
        <f>$H$280*月別販売比率!BA25</f>
        <v>0.78</v>
      </c>
      <c r="BZ280" s="107"/>
      <c r="CA280" s="81">
        <f>$H$280*月別販売比率!BF25</f>
        <v>1.2974740764420292</v>
      </c>
      <c r="CB280" s="107"/>
      <c r="CC280" s="81">
        <f>H280*月別販売比率!$C$21</f>
        <v>1.8424705290118453</v>
      </c>
      <c r="CD280" s="107"/>
      <c r="CE280" s="81">
        <f>H280*月別販売比率!$H$21</f>
        <v>1.8200000000000003</v>
      </c>
      <c r="CF280" s="107"/>
      <c r="CG280" s="81">
        <f>H280*月別販売比率!$M$21</f>
        <v>2.6276559172150042</v>
      </c>
      <c r="CH280" s="107"/>
      <c r="CI280" s="81">
        <f>H280*月別販売比率!$R$21</f>
        <v>2.08</v>
      </c>
      <c r="CJ280" s="107">
        <v>20</v>
      </c>
      <c r="CK280" s="81">
        <f>H280*月別販売比率!$W$21</f>
        <v>1.9803347285394668</v>
      </c>
      <c r="CL280" s="107"/>
      <c r="CM280" s="81">
        <f>H280*月別販売比率!$AB$21</f>
        <v>3.12</v>
      </c>
      <c r="CN280" s="107"/>
      <c r="CO280" s="81">
        <f>H280*月別販売比率!$AG$21</f>
        <v>2.6</v>
      </c>
      <c r="CP280" s="107"/>
      <c r="CQ280" s="81">
        <f>H280*月別販売比率!$AL$21</f>
        <v>2.34</v>
      </c>
      <c r="CR280" s="107"/>
      <c r="CS280" s="81">
        <f>H280*月別販売比率!$AQ$21</f>
        <v>2.6</v>
      </c>
      <c r="CT280" s="107"/>
      <c r="CU280" s="81">
        <f>H280*月別販売比率!$AV$21</f>
        <v>1.5832537629874328</v>
      </c>
      <c r="CV280" s="107"/>
      <c r="CW280" s="81">
        <f>H280*月別販売比率!$BA$21</f>
        <v>1.4462011383312294</v>
      </c>
      <c r="CX280" s="107"/>
      <c r="CY280" s="81">
        <f>H280*月別販売比率!$BF$21</f>
        <v>2.08</v>
      </c>
      <c r="CZ280" s="107"/>
      <c r="DA280" s="298"/>
      <c r="DB280" s="299"/>
    </row>
    <row r="281" spans="2:106" ht="30.75" customHeight="1">
      <c r="B281" s="2">
        <v>24</v>
      </c>
      <c r="C281" s="435" t="s">
        <v>495</v>
      </c>
      <c r="D281" s="436"/>
      <c r="E281" s="445"/>
      <c r="F281" s="144">
        <f>SUM(F282:F293)</f>
        <v>426</v>
      </c>
      <c r="G281" s="145">
        <f>SUM(G282:G293)</f>
        <v>2108700</v>
      </c>
      <c r="H281" s="144">
        <v>426</v>
      </c>
      <c r="I281" s="145">
        <f t="shared" ref="I281:N281" si="382">SUM(I282:I293)</f>
        <v>2871000</v>
      </c>
      <c r="J281" s="147">
        <f t="shared" si="382"/>
        <v>1</v>
      </c>
      <c r="K281" s="148">
        <f t="shared" si="382"/>
        <v>139</v>
      </c>
      <c r="L281" s="148">
        <f t="shared" si="382"/>
        <v>42</v>
      </c>
      <c r="M281" s="148">
        <f t="shared" si="382"/>
        <v>97</v>
      </c>
      <c r="N281" s="149">
        <f t="shared" si="382"/>
        <v>0</v>
      </c>
      <c r="O281" s="152"/>
      <c r="P281" s="152"/>
      <c r="Q281" s="152"/>
      <c r="R281" s="152"/>
      <c r="S281" s="152"/>
      <c r="T281" s="152"/>
      <c r="U281" s="152"/>
      <c r="V281" s="152"/>
      <c r="W281" s="152"/>
      <c r="X281" s="152"/>
      <c r="Y281" s="152"/>
      <c r="Z281" s="152"/>
      <c r="AA281" s="152"/>
      <c r="AB281" s="152"/>
      <c r="AC281" s="152"/>
      <c r="AD281" s="152"/>
      <c r="AE281" s="152"/>
      <c r="AF281" s="152"/>
      <c r="AG281" s="152"/>
      <c r="AH281" s="152"/>
      <c r="AI281" s="152"/>
      <c r="AJ281" s="152"/>
      <c r="AK281" s="152"/>
      <c r="AL281" s="152"/>
      <c r="AM281" s="152"/>
      <c r="AN281" s="152"/>
      <c r="AO281" s="152"/>
      <c r="AP281" s="152"/>
      <c r="AQ281" s="152"/>
      <c r="AR281" s="152"/>
      <c r="AS281" s="150">
        <f t="shared" ref="AS281:CZ281" si="383">SUM(AS282:AS293)</f>
        <v>58</v>
      </c>
      <c r="AT281" s="148">
        <f t="shared" si="383"/>
        <v>0</v>
      </c>
      <c r="AU281" s="150">
        <f t="shared" si="383"/>
        <v>52.199999999999996</v>
      </c>
      <c r="AV281" s="148">
        <f t="shared" si="383"/>
        <v>0</v>
      </c>
      <c r="AW281" s="150">
        <f t="shared" si="383"/>
        <v>58</v>
      </c>
      <c r="AX281" s="148">
        <f t="shared" si="383"/>
        <v>0</v>
      </c>
      <c r="AY281" s="150">
        <f t="shared" si="383"/>
        <v>35.318737789719663</v>
      </c>
      <c r="AZ281" s="148">
        <f t="shared" si="383"/>
        <v>0</v>
      </c>
      <c r="BA281" s="150">
        <f t="shared" si="383"/>
        <v>32.26141000892742</v>
      </c>
      <c r="BB281" s="148">
        <f t="shared" si="383"/>
        <v>0</v>
      </c>
      <c r="BC281" s="150">
        <f t="shared" si="383"/>
        <v>46.4</v>
      </c>
      <c r="BD281" s="148">
        <f t="shared" si="383"/>
        <v>0</v>
      </c>
      <c r="BE281" s="150">
        <f t="shared" si="383"/>
        <v>41.101265647187311</v>
      </c>
      <c r="BF281" s="148">
        <f t="shared" si="383"/>
        <v>225</v>
      </c>
      <c r="BG281" s="150">
        <f t="shared" si="383"/>
        <v>40.6</v>
      </c>
      <c r="BH281" s="148">
        <f t="shared" si="383"/>
        <v>0</v>
      </c>
      <c r="BI281" s="150">
        <f t="shared" si="383"/>
        <v>58.616939691719324</v>
      </c>
      <c r="BJ281" s="148">
        <f t="shared" si="383"/>
        <v>0</v>
      </c>
      <c r="BK281" s="150">
        <f t="shared" si="383"/>
        <v>46.4</v>
      </c>
      <c r="BL281" s="148">
        <f t="shared" si="383"/>
        <v>0</v>
      </c>
      <c r="BM281" s="150">
        <f t="shared" si="383"/>
        <v>44.176697790495787</v>
      </c>
      <c r="BN281" s="148">
        <f t="shared" si="383"/>
        <v>0</v>
      </c>
      <c r="BO281" s="150">
        <f t="shared" si="383"/>
        <v>69.600000000000009</v>
      </c>
      <c r="BP281" s="148">
        <f t="shared" si="383"/>
        <v>0</v>
      </c>
      <c r="BQ281" s="150">
        <f t="shared" si="383"/>
        <v>58</v>
      </c>
      <c r="BR281" s="148">
        <f t="shared" si="383"/>
        <v>405</v>
      </c>
      <c r="BS281" s="150">
        <f t="shared" si="383"/>
        <v>52.199999999999996</v>
      </c>
      <c r="BT281" s="148">
        <f t="shared" si="383"/>
        <v>0</v>
      </c>
      <c r="BU281" s="150">
        <f t="shared" si="383"/>
        <v>58</v>
      </c>
      <c r="BV281" s="148">
        <f t="shared" si="383"/>
        <v>0</v>
      </c>
      <c r="BW281" s="150">
        <f t="shared" si="383"/>
        <v>35.318737789719663</v>
      </c>
      <c r="BX281" s="148">
        <f t="shared" si="383"/>
        <v>0</v>
      </c>
      <c r="BY281" s="150">
        <f t="shared" si="383"/>
        <v>32.26141000892742</v>
      </c>
      <c r="BZ281" s="148">
        <f t="shared" si="383"/>
        <v>0</v>
      </c>
      <c r="CA281" s="150">
        <f t="shared" si="383"/>
        <v>46.4</v>
      </c>
      <c r="CB281" s="148">
        <f t="shared" si="383"/>
        <v>0</v>
      </c>
      <c r="CC281" s="150">
        <f t="shared" si="383"/>
        <v>41.101265647187311</v>
      </c>
      <c r="CD281" s="148">
        <f t="shared" si="383"/>
        <v>0</v>
      </c>
      <c r="CE281" s="150">
        <f t="shared" si="383"/>
        <v>40.6</v>
      </c>
      <c r="CF281" s="148">
        <f t="shared" si="383"/>
        <v>0</v>
      </c>
      <c r="CG281" s="150">
        <f t="shared" si="383"/>
        <v>58.616939691719324</v>
      </c>
      <c r="CH281" s="148">
        <f t="shared" si="383"/>
        <v>0</v>
      </c>
      <c r="CI281" s="150">
        <f t="shared" si="383"/>
        <v>46.4</v>
      </c>
      <c r="CJ281" s="148">
        <f t="shared" si="383"/>
        <v>400</v>
      </c>
      <c r="CK281" s="150">
        <f t="shared" si="383"/>
        <v>44.176697790495787</v>
      </c>
      <c r="CL281" s="148">
        <f t="shared" si="383"/>
        <v>0</v>
      </c>
      <c r="CM281" s="150">
        <f t="shared" si="383"/>
        <v>69.600000000000009</v>
      </c>
      <c r="CN281" s="148">
        <f t="shared" si="383"/>
        <v>0</v>
      </c>
      <c r="CO281" s="150">
        <f t="shared" si="383"/>
        <v>58</v>
      </c>
      <c r="CP281" s="148">
        <f t="shared" si="383"/>
        <v>0</v>
      </c>
      <c r="CQ281" s="150">
        <f t="shared" si="383"/>
        <v>52.199999999999996</v>
      </c>
      <c r="CR281" s="148">
        <f t="shared" si="383"/>
        <v>0</v>
      </c>
      <c r="CS281" s="150">
        <f t="shared" si="383"/>
        <v>58</v>
      </c>
      <c r="CT281" s="148">
        <f t="shared" si="383"/>
        <v>0</v>
      </c>
      <c r="CU281" s="150">
        <v>35.318737789719663</v>
      </c>
      <c r="CV281" s="148">
        <f t="shared" si="383"/>
        <v>0</v>
      </c>
      <c r="CW281" s="150">
        <f t="shared" si="383"/>
        <v>32.26141000892742</v>
      </c>
      <c r="CX281" s="148">
        <f t="shared" si="383"/>
        <v>0</v>
      </c>
      <c r="CY281" s="150">
        <f t="shared" si="383"/>
        <v>46.4</v>
      </c>
      <c r="CZ281" s="148">
        <f t="shared" si="383"/>
        <v>0</v>
      </c>
      <c r="DA281" s="204"/>
      <c r="DB281" s="552"/>
    </row>
    <row r="282" spans="2:106" ht="30.75" customHeight="1">
      <c r="C282" s="446" t="s">
        <v>357</v>
      </c>
      <c r="D282" s="443">
        <v>1</v>
      </c>
      <c r="E282" s="99" t="s">
        <v>47</v>
      </c>
      <c r="F282" s="56">
        <v>55</v>
      </c>
      <c r="G282" s="46">
        <f>F282*4950</f>
        <v>272250</v>
      </c>
      <c r="H282" s="164">
        <v>120</v>
      </c>
      <c r="I282" s="46">
        <f>H282*4950</f>
        <v>594000</v>
      </c>
      <c r="J282" s="49">
        <v>0</v>
      </c>
      <c r="K282" s="39">
        <f t="shared" ref="K282:K293" si="384">SUM(L282:N282)</f>
        <v>0</v>
      </c>
      <c r="L282" s="39">
        <v>0</v>
      </c>
      <c r="M282" s="39">
        <v>0</v>
      </c>
      <c r="N282" s="42"/>
      <c r="O282" s="288"/>
      <c r="P282" s="288"/>
      <c r="Q282" s="328"/>
      <c r="R282" s="328"/>
      <c r="S282" s="328"/>
      <c r="T282" s="328"/>
      <c r="U282" s="331">
        <v>45770</v>
      </c>
      <c r="V282" s="328"/>
      <c r="W282" s="328"/>
      <c r="X282" s="328"/>
      <c r="Y282" s="328"/>
      <c r="Z282" s="124"/>
      <c r="AA282" s="124"/>
      <c r="AB282" s="124"/>
      <c r="AC282" s="124"/>
      <c r="AD282" s="124"/>
      <c r="AE282" s="124"/>
      <c r="AF282" s="328"/>
      <c r="AG282" s="331"/>
      <c r="AH282" s="331"/>
      <c r="AI282" s="129">
        <f t="shared" ref="AI282:AI293" si="385">SUM(J282:K282)-CI282+CJ282</f>
        <v>80.400000000000006</v>
      </c>
      <c r="AJ282" s="129">
        <f t="shared" ref="AJ282:AJ293" si="386">AI282-CK282+CL282</f>
        <v>71.259993560587077</v>
      </c>
      <c r="AK282" s="129">
        <f t="shared" ref="AK282:AK293" si="387">AJ282-CM282+CN282</f>
        <v>56.859993560587078</v>
      </c>
      <c r="AL282" s="129">
        <f t="shared" ref="AL282:AL293" si="388">AK282-CO282+CP282</f>
        <v>44.859993560587078</v>
      </c>
      <c r="AM282" s="129">
        <f t="shared" ref="AM282:AM293" si="389">AL282-CQ282+CR282</f>
        <v>34.059993560587081</v>
      </c>
      <c r="AN282" s="399">
        <f t="shared" ref="AN282:AN293" si="390">AM282-CS282+CT282</f>
        <v>22.059993560587081</v>
      </c>
      <c r="AO282" s="393">
        <f t="shared" ref="AO282:AO293" si="391">AN282-CU282+CV282</f>
        <v>14.752668500645083</v>
      </c>
      <c r="AP282" s="96">
        <f t="shared" ref="AP282:AP293" si="392">AO282-CW282+CX282</f>
        <v>8.0778940160394086</v>
      </c>
      <c r="AQ282" s="91">
        <f t="shared" ref="AQ282:AQ293" si="393">AP282-CY282+CZ282</f>
        <v>-1.522105983960591</v>
      </c>
      <c r="AR282" s="198"/>
      <c r="AS282" s="81">
        <f>$H$282*月別販売比率!AG5</f>
        <v>12</v>
      </c>
      <c r="AT282" s="39"/>
      <c r="AU282" s="81">
        <f>$H$282*月別販売比率!AL5</f>
        <v>10.799999999999999</v>
      </c>
      <c r="AV282" s="39"/>
      <c r="AW282" s="81">
        <f>$H$282*月別販売比率!AQ5</f>
        <v>12</v>
      </c>
      <c r="AX282" s="39"/>
      <c r="AY282" s="81">
        <f>$H$282*月別販売比率!AV5</f>
        <v>7.3073250599419977</v>
      </c>
      <c r="AZ282" s="39"/>
      <c r="BA282" s="81">
        <f>$H$282*月別販売比率!BA5</f>
        <v>6.674774484605674</v>
      </c>
      <c r="BB282" s="39"/>
      <c r="BC282" s="81">
        <f>$H$282*月別販売比率!BF5</f>
        <v>9.6</v>
      </c>
      <c r="BD282" s="39"/>
      <c r="BE282" s="245">
        <f>$H$282*月別販売比率!C5</f>
        <v>8.5037101339008245</v>
      </c>
      <c r="BF282" s="280">
        <v>38</v>
      </c>
      <c r="BG282" s="81">
        <f>$H$282*月別販売比率!H5</f>
        <v>8.4</v>
      </c>
      <c r="BH282" s="39"/>
      <c r="BI282" s="81">
        <f>$H$282*月別販売比率!M5</f>
        <v>12.12764269483848</v>
      </c>
      <c r="BJ282" s="39"/>
      <c r="BK282" s="81">
        <f>$H$282*月別販売比率!R5</f>
        <v>9.6</v>
      </c>
      <c r="BL282" s="39"/>
      <c r="BM282" s="81">
        <f>$H$282*月別販売比率!W5</f>
        <v>9.1400064394129235</v>
      </c>
      <c r="BN282" s="39"/>
      <c r="BO282" s="81">
        <f>$H$282*月別販売比率!AB5</f>
        <v>14.399999999999999</v>
      </c>
      <c r="BP282" s="39"/>
      <c r="BQ282" s="245">
        <f>$H$282*月別販売比率!AG5</f>
        <v>12</v>
      </c>
      <c r="BR282" s="280">
        <v>40</v>
      </c>
      <c r="BS282" s="81">
        <f>$H$282*月別販売比率!AL5</f>
        <v>10.799999999999999</v>
      </c>
      <c r="BT282" s="39"/>
      <c r="BU282" s="81">
        <f>$H$282*月別販売比率!AQ5</f>
        <v>12</v>
      </c>
      <c r="BV282" s="39"/>
      <c r="BW282" s="81">
        <f>$H$282*月別販売比率!AV5</f>
        <v>7.3073250599419977</v>
      </c>
      <c r="BX282" s="39"/>
      <c r="BY282" s="81">
        <f>$H$282*月別販売比率!BA5</f>
        <v>6.674774484605674</v>
      </c>
      <c r="BZ282" s="39"/>
      <c r="CA282" s="81">
        <f>$H$282*月別販売比率!BF5</f>
        <v>9.6</v>
      </c>
      <c r="CB282" s="39"/>
      <c r="CC282" s="81">
        <f>H282*月別販売比率!$C$21</f>
        <v>8.5037101339008245</v>
      </c>
      <c r="CD282" s="39"/>
      <c r="CE282" s="81">
        <f>H282*月別販売比率!$H$21</f>
        <v>8.4</v>
      </c>
      <c r="CF282" s="39"/>
      <c r="CG282" s="81">
        <f>H282*月別販売比率!$M$21</f>
        <v>12.12764269483848</v>
      </c>
      <c r="CH282" s="39"/>
      <c r="CI282" s="81">
        <f>H282*月別販売比率!$R$21</f>
        <v>9.6</v>
      </c>
      <c r="CJ282" s="39">
        <v>90</v>
      </c>
      <c r="CK282" s="81">
        <f>H282*月別販売比率!$W$21</f>
        <v>9.1400064394129235</v>
      </c>
      <c r="CL282" s="39"/>
      <c r="CM282" s="81">
        <f>H282*月別販売比率!$AB$21</f>
        <v>14.399999999999999</v>
      </c>
      <c r="CN282" s="39"/>
      <c r="CO282" s="81">
        <f>H282*月別販売比率!$AG$21</f>
        <v>12</v>
      </c>
      <c r="CP282" s="39"/>
      <c r="CQ282" s="81">
        <f>H282*月別販売比率!$AL$21</f>
        <v>10.799999999999999</v>
      </c>
      <c r="CR282" s="39"/>
      <c r="CS282" s="81">
        <f>H282*月別販売比率!$AQ$21</f>
        <v>12</v>
      </c>
      <c r="CT282" s="39"/>
      <c r="CU282" s="81">
        <f>H282*月別販売比率!$AV$21</f>
        <v>7.3073250599419977</v>
      </c>
      <c r="CV282" s="39"/>
      <c r="CW282" s="81">
        <f>H282*月別販売比率!$BA$21</f>
        <v>6.674774484605674</v>
      </c>
      <c r="CX282" s="39"/>
      <c r="CY282" s="81">
        <f>H282*月別販売比率!$BF$21</f>
        <v>9.6</v>
      </c>
      <c r="CZ282" s="39"/>
      <c r="DA282" s="28"/>
      <c r="DB282" s="294"/>
    </row>
    <row r="283" spans="2:106" ht="30.75" customHeight="1">
      <c r="C283" s="457"/>
      <c r="D283" s="441"/>
      <c r="E283" s="94" t="s">
        <v>51</v>
      </c>
      <c r="F283" s="57">
        <v>43</v>
      </c>
      <c r="G283" s="46">
        <f t="shared" ref="G283:G293" si="394">F283*4950</f>
        <v>212850</v>
      </c>
      <c r="H283" s="45">
        <f t="shared" ref="H283:H293" si="395">F283*($H$281/$F$281)</f>
        <v>43</v>
      </c>
      <c r="I283" s="46">
        <f t="shared" ref="I283:I293" si="396">H283*4950</f>
        <v>212850</v>
      </c>
      <c r="J283" s="9">
        <v>0</v>
      </c>
      <c r="K283" s="21">
        <f t="shared" si="384"/>
        <v>24</v>
      </c>
      <c r="L283" s="21">
        <v>4</v>
      </c>
      <c r="M283" s="21">
        <v>20</v>
      </c>
      <c r="N283" s="42"/>
      <c r="O283" s="288"/>
      <c r="P283" s="288"/>
      <c r="Q283" s="328"/>
      <c r="R283" s="328"/>
      <c r="S283" s="328"/>
      <c r="T283" s="328"/>
      <c r="U283" s="331">
        <v>45770</v>
      </c>
      <c r="V283" s="328"/>
      <c r="W283" s="328"/>
      <c r="X283" s="328"/>
      <c r="Y283" s="328"/>
      <c r="Z283" s="124"/>
      <c r="AA283" s="331">
        <v>45958</v>
      </c>
      <c r="AB283" s="124"/>
      <c r="AC283" s="124"/>
      <c r="AD283" s="124"/>
      <c r="AE283" s="124"/>
      <c r="AF283" s="124"/>
      <c r="AG283" s="124"/>
      <c r="AH283" s="124"/>
      <c r="AI283" s="129">
        <f t="shared" si="385"/>
        <v>30.56</v>
      </c>
      <c r="AJ283" s="129">
        <f t="shared" si="386"/>
        <v>27.284831025877033</v>
      </c>
      <c r="AK283" s="129">
        <f t="shared" si="387"/>
        <v>22.124831025877032</v>
      </c>
      <c r="AL283" s="129">
        <f t="shared" si="388"/>
        <v>17.824831025877032</v>
      </c>
      <c r="AM283" s="129">
        <f t="shared" si="389"/>
        <v>13.954831025877033</v>
      </c>
      <c r="AN283" s="399">
        <f t="shared" si="390"/>
        <v>9.6548310258770336</v>
      </c>
      <c r="AO283" s="393">
        <f t="shared" si="391"/>
        <v>7.0363728793978177</v>
      </c>
      <c r="AP283" s="96">
        <f t="shared" si="392"/>
        <v>4.6445786890807845</v>
      </c>
      <c r="AQ283" s="91">
        <f t="shared" si="393"/>
        <v>1.2045786890807846</v>
      </c>
      <c r="AR283" s="198"/>
      <c r="AS283" s="81">
        <f>$H$283*月別販売比率!AG5</f>
        <v>4.3</v>
      </c>
      <c r="AT283" s="21"/>
      <c r="AU283" s="81">
        <f>$H$283*月別販売比率!AL5</f>
        <v>3.8699999999999997</v>
      </c>
      <c r="AV283" s="21"/>
      <c r="AW283" s="81">
        <f>$H$283*月別販売比率!AQ5</f>
        <v>4.3</v>
      </c>
      <c r="AX283" s="21"/>
      <c r="AY283" s="81">
        <f>$H$283*月別販売比率!AV5</f>
        <v>2.6184581464792158</v>
      </c>
      <c r="AZ283" s="21"/>
      <c r="BA283" s="81">
        <f>$H$283*月別販売比率!BA5</f>
        <v>2.3917941903170332</v>
      </c>
      <c r="BB283" s="21"/>
      <c r="BC283" s="81">
        <f>$H$283*月別販売比率!BF5</f>
        <v>3.44</v>
      </c>
      <c r="BD283" s="21"/>
      <c r="BE283" s="245">
        <f>$H$283*月別販売比率!C5</f>
        <v>3.0471627979811289</v>
      </c>
      <c r="BF283" s="241">
        <v>27</v>
      </c>
      <c r="BG283" s="81">
        <f>$H$283*月別販売比率!H5</f>
        <v>3.0100000000000002</v>
      </c>
      <c r="BH283" s="21"/>
      <c r="BI283" s="81">
        <f>$H$283*月別販売比率!M5</f>
        <v>4.3457386323171221</v>
      </c>
      <c r="BJ283" s="21"/>
      <c r="BK283" s="81">
        <f>$H$283*月別販売比率!R5</f>
        <v>3.44</v>
      </c>
      <c r="BL283" s="21"/>
      <c r="BM283" s="81">
        <f>$H$283*月別販売比率!W5</f>
        <v>3.2751689741229644</v>
      </c>
      <c r="BN283" s="21"/>
      <c r="BO283" s="81">
        <f>$H$283*月別販売比率!AB5</f>
        <v>5.16</v>
      </c>
      <c r="BP283" s="21"/>
      <c r="BQ283" s="245">
        <f>$H$283*月別販売比率!AG5</f>
        <v>4.3</v>
      </c>
      <c r="BR283" s="241">
        <v>40</v>
      </c>
      <c r="BS283" s="81">
        <f>$H$283*月別販売比率!AL5</f>
        <v>3.8699999999999997</v>
      </c>
      <c r="BT283" s="21"/>
      <c r="BU283" s="81">
        <f>$H$283*月別販売比率!AQ5</f>
        <v>4.3</v>
      </c>
      <c r="BV283" s="21"/>
      <c r="BW283" s="81">
        <f>$H$283*月別販売比率!AV5</f>
        <v>2.6184581464792158</v>
      </c>
      <c r="BX283" s="21"/>
      <c r="BY283" s="81">
        <f>$H$283*月別販売比率!BA5</f>
        <v>2.3917941903170332</v>
      </c>
      <c r="BZ283" s="21"/>
      <c r="CA283" s="81">
        <f>$H$283*月別販売比率!BF5</f>
        <v>3.44</v>
      </c>
      <c r="CB283" s="21"/>
      <c r="CC283" s="81">
        <f>H283*月別販売比率!$C$21</f>
        <v>3.0471627979811289</v>
      </c>
      <c r="CD283" s="21"/>
      <c r="CE283" s="81">
        <f>H283*月別販売比率!$H$21</f>
        <v>3.0100000000000002</v>
      </c>
      <c r="CF283" s="21"/>
      <c r="CG283" s="81">
        <f>H283*月別販売比率!$M$21</f>
        <v>4.3457386323171221</v>
      </c>
      <c r="CH283" s="21"/>
      <c r="CI283" s="81">
        <f>H283*月別販売比率!$R$21</f>
        <v>3.44</v>
      </c>
      <c r="CJ283" s="21">
        <v>10</v>
      </c>
      <c r="CK283" s="81">
        <f>H283*月別販売比率!$W$21</f>
        <v>3.2751689741229644</v>
      </c>
      <c r="CL283" s="21"/>
      <c r="CM283" s="81">
        <f>H283*月別販売比率!$AB$21</f>
        <v>5.16</v>
      </c>
      <c r="CN283" s="21"/>
      <c r="CO283" s="81">
        <f>H283*月別販売比率!$AG$21</f>
        <v>4.3</v>
      </c>
      <c r="CP283" s="21"/>
      <c r="CQ283" s="81">
        <f>H283*月別販売比率!$AL$21</f>
        <v>3.8699999999999997</v>
      </c>
      <c r="CR283" s="21"/>
      <c r="CS283" s="81">
        <f>H283*月別販売比率!$AQ$21</f>
        <v>4.3</v>
      </c>
      <c r="CT283" s="21"/>
      <c r="CU283" s="81">
        <f>H283*月別販売比率!$AV$21</f>
        <v>2.6184581464792158</v>
      </c>
      <c r="CV283" s="21"/>
      <c r="CW283" s="81">
        <f>H283*月別販売比率!$BA$21</f>
        <v>2.3917941903170332</v>
      </c>
      <c r="CX283" s="21"/>
      <c r="CY283" s="81">
        <f>H283*月別販売比率!$BF$21</f>
        <v>3.44</v>
      </c>
      <c r="CZ283" s="21"/>
      <c r="DA283" s="28"/>
      <c r="DB283" s="294"/>
    </row>
    <row r="284" spans="2:106" ht="30.75" customHeight="1">
      <c r="C284" s="457"/>
      <c r="D284" s="441"/>
      <c r="E284" s="94" t="s">
        <v>49</v>
      </c>
      <c r="F284" s="57">
        <v>19</v>
      </c>
      <c r="G284" s="46">
        <f t="shared" si="394"/>
        <v>94050</v>
      </c>
      <c r="H284" s="164">
        <v>55</v>
      </c>
      <c r="I284" s="46">
        <f t="shared" si="396"/>
        <v>272250</v>
      </c>
      <c r="J284" s="9">
        <v>0</v>
      </c>
      <c r="K284" s="21">
        <f t="shared" si="384"/>
        <v>20</v>
      </c>
      <c r="L284" s="21">
        <v>10</v>
      </c>
      <c r="M284" s="21">
        <v>10</v>
      </c>
      <c r="N284" s="42"/>
      <c r="O284" s="288"/>
      <c r="P284" s="288"/>
      <c r="Q284" s="328"/>
      <c r="R284" s="328"/>
      <c r="S284" s="328"/>
      <c r="T284" s="328"/>
      <c r="U284" s="331">
        <v>45770</v>
      </c>
      <c r="V284" s="124"/>
      <c r="W284" s="124"/>
      <c r="X284" s="124"/>
      <c r="Y284" s="124"/>
      <c r="Z284" s="124"/>
      <c r="AA284" s="331">
        <v>45958</v>
      </c>
      <c r="AB284" s="124"/>
      <c r="AC284" s="124"/>
      <c r="AD284" s="124"/>
      <c r="AE284" s="124"/>
      <c r="AF284" s="124"/>
      <c r="AG284" s="124"/>
      <c r="AH284" s="124"/>
      <c r="AI284" s="129">
        <f t="shared" si="385"/>
        <v>55.6</v>
      </c>
      <c r="AJ284" s="129">
        <f t="shared" si="386"/>
        <v>51.410830381935746</v>
      </c>
      <c r="AK284" s="129">
        <f t="shared" si="387"/>
        <v>44.810830381935745</v>
      </c>
      <c r="AL284" s="129">
        <f t="shared" si="388"/>
        <v>39.310830381935745</v>
      </c>
      <c r="AM284" s="129">
        <f t="shared" si="389"/>
        <v>34.360830381935742</v>
      </c>
      <c r="AN284" s="399">
        <f t="shared" si="390"/>
        <v>28.860830381935742</v>
      </c>
      <c r="AO284" s="393">
        <f t="shared" si="391"/>
        <v>25.511639729462328</v>
      </c>
      <c r="AP284" s="96">
        <f t="shared" si="392"/>
        <v>22.452368090684729</v>
      </c>
      <c r="AQ284" s="91">
        <f t="shared" si="393"/>
        <v>18.05236809068473</v>
      </c>
      <c r="AR284" s="198"/>
      <c r="AS284" s="81">
        <f>$H$284*月別販売比率!AG5</f>
        <v>5.5</v>
      </c>
      <c r="AT284" s="21"/>
      <c r="AU284" s="81">
        <f>$H$284*月別販売比率!AL5</f>
        <v>4.95</v>
      </c>
      <c r="AV284" s="21"/>
      <c r="AW284" s="81">
        <f>$H$284*月別販売比率!AQ5</f>
        <v>5.5</v>
      </c>
      <c r="AX284" s="21"/>
      <c r="AY284" s="81">
        <f>$H$284*月別販売比率!AV5</f>
        <v>3.3491906524734154</v>
      </c>
      <c r="AZ284" s="21"/>
      <c r="BA284" s="81">
        <f>$H$284*月別販売比率!BA5</f>
        <v>3.0592716387776004</v>
      </c>
      <c r="BB284" s="21"/>
      <c r="BC284" s="81">
        <f>$H$284*月別販売比率!BF5</f>
        <v>4.4000000000000004</v>
      </c>
      <c r="BD284" s="21"/>
      <c r="BE284" s="245">
        <f>$H$284*月別販売比率!C5</f>
        <v>3.8975338113712112</v>
      </c>
      <c r="BF284" s="241">
        <v>10</v>
      </c>
      <c r="BG284" s="81">
        <f>$H$284*月別販売比率!H5</f>
        <v>3.8500000000000005</v>
      </c>
      <c r="BH284" s="21"/>
      <c r="BI284" s="81">
        <f>$H$284*月別販売比率!M5</f>
        <v>5.5585029018009697</v>
      </c>
      <c r="BJ284" s="21"/>
      <c r="BK284" s="81">
        <f>$H$284*月別販売比率!R5</f>
        <v>4.4000000000000004</v>
      </c>
      <c r="BL284" s="21"/>
      <c r="BM284" s="81">
        <f>$H$284*月別販売比率!W5</f>
        <v>4.1891696180642564</v>
      </c>
      <c r="BN284" s="21"/>
      <c r="BO284" s="81">
        <f>$H$284*月別販売比率!AB5</f>
        <v>6.6</v>
      </c>
      <c r="BP284" s="21"/>
      <c r="BQ284" s="245">
        <f>$H$284*月別販売比率!AG5</f>
        <v>5.5</v>
      </c>
      <c r="BR284" s="241">
        <v>25</v>
      </c>
      <c r="BS284" s="81">
        <f>$H$284*月別販売比率!AL5</f>
        <v>4.95</v>
      </c>
      <c r="BT284" s="21"/>
      <c r="BU284" s="81">
        <f>$H$284*月別販売比率!AQ5</f>
        <v>5.5</v>
      </c>
      <c r="BV284" s="21"/>
      <c r="BW284" s="81">
        <f>$H$284*月別販売比率!AV5</f>
        <v>3.3491906524734154</v>
      </c>
      <c r="BX284" s="21"/>
      <c r="BY284" s="81">
        <f>$H$284*月別販売比率!BA5</f>
        <v>3.0592716387776004</v>
      </c>
      <c r="BZ284" s="21"/>
      <c r="CA284" s="81">
        <f>$H$284*月別販売比率!BF5</f>
        <v>4.4000000000000004</v>
      </c>
      <c r="CB284" s="21"/>
      <c r="CC284" s="81">
        <f>H284*月別販売比率!$C$21</f>
        <v>3.8975338113712112</v>
      </c>
      <c r="CD284" s="21"/>
      <c r="CE284" s="81">
        <f>H284*月別販売比率!$H$21</f>
        <v>3.8500000000000005</v>
      </c>
      <c r="CF284" s="21"/>
      <c r="CG284" s="81">
        <f>H284*月別販売比率!$M$21</f>
        <v>5.5585029018009697</v>
      </c>
      <c r="CH284" s="21"/>
      <c r="CI284" s="81">
        <f>H284*月別販売比率!$R$21</f>
        <v>4.4000000000000004</v>
      </c>
      <c r="CJ284" s="21">
        <v>40</v>
      </c>
      <c r="CK284" s="81">
        <f>H284*月別販売比率!$W$21</f>
        <v>4.1891696180642564</v>
      </c>
      <c r="CL284" s="21"/>
      <c r="CM284" s="81">
        <f>H284*月別販売比率!$AB$21</f>
        <v>6.6</v>
      </c>
      <c r="CN284" s="21"/>
      <c r="CO284" s="81">
        <f>H284*月別販売比率!$AG$21</f>
        <v>5.5</v>
      </c>
      <c r="CP284" s="21"/>
      <c r="CQ284" s="81">
        <f>H284*月別販売比率!$AL$21</f>
        <v>4.95</v>
      </c>
      <c r="CR284" s="21"/>
      <c r="CS284" s="81">
        <f>H284*月別販売比率!$AQ$21</f>
        <v>5.5</v>
      </c>
      <c r="CT284" s="21"/>
      <c r="CU284" s="81">
        <f>H284*月別販売比率!$AV$21</f>
        <v>3.3491906524734154</v>
      </c>
      <c r="CV284" s="21"/>
      <c r="CW284" s="81">
        <f>H284*月別販売比率!$BA$21</f>
        <v>3.0592716387776004</v>
      </c>
      <c r="CX284" s="21"/>
      <c r="CY284" s="81">
        <f>H284*月別販売比率!$BF$21</f>
        <v>4.4000000000000004</v>
      </c>
      <c r="CZ284" s="21"/>
      <c r="DA284" s="28"/>
      <c r="DB284" s="294"/>
    </row>
    <row r="285" spans="2:106" ht="30.75" customHeight="1">
      <c r="C285" s="457"/>
      <c r="D285" s="442"/>
      <c r="E285" s="94" t="s">
        <v>50</v>
      </c>
      <c r="F285" s="57">
        <v>13</v>
      </c>
      <c r="G285" s="46">
        <f t="shared" si="394"/>
        <v>64350</v>
      </c>
      <c r="H285" s="45">
        <f t="shared" si="395"/>
        <v>13</v>
      </c>
      <c r="I285" s="46">
        <f t="shared" si="396"/>
        <v>64350</v>
      </c>
      <c r="J285" s="9">
        <v>0</v>
      </c>
      <c r="K285" s="21">
        <f t="shared" si="384"/>
        <v>18</v>
      </c>
      <c r="L285" s="21">
        <v>10</v>
      </c>
      <c r="M285" s="21">
        <v>8</v>
      </c>
      <c r="N285" s="42"/>
      <c r="O285" s="19"/>
      <c r="P285" s="19"/>
      <c r="Q285" s="124"/>
      <c r="R285" s="328"/>
      <c r="S285" s="124"/>
      <c r="T285" s="124"/>
      <c r="U285" s="124"/>
      <c r="V285" s="124"/>
      <c r="W285" s="124"/>
      <c r="X285" s="124"/>
      <c r="Y285" s="124"/>
      <c r="Z285" s="124"/>
      <c r="AA285" s="124"/>
      <c r="AB285" s="124"/>
      <c r="AC285" s="124"/>
      <c r="AD285" s="124"/>
      <c r="AE285" s="124"/>
      <c r="AF285" s="124"/>
      <c r="AG285" s="124"/>
      <c r="AH285" s="124"/>
      <c r="AI285" s="129">
        <f t="shared" si="385"/>
        <v>16.96</v>
      </c>
      <c r="AJ285" s="129">
        <f t="shared" si="386"/>
        <v>15.969832635730267</v>
      </c>
      <c r="AK285" s="129">
        <f t="shared" si="387"/>
        <v>14.409832635730266</v>
      </c>
      <c r="AL285" s="129">
        <f t="shared" si="388"/>
        <v>13.109832635730266</v>
      </c>
      <c r="AM285" s="129">
        <f t="shared" si="389"/>
        <v>11.939832635730266</v>
      </c>
      <c r="AN285" s="399">
        <f t="shared" si="390"/>
        <v>10.639832635730265</v>
      </c>
      <c r="AO285" s="393">
        <f t="shared" si="391"/>
        <v>9.8482057542365489</v>
      </c>
      <c r="AP285" s="96">
        <f t="shared" si="392"/>
        <v>9.1251051850709342</v>
      </c>
      <c r="AQ285" s="91">
        <f t="shared" si="393"/>
        <v>8.0851051850709332</v>
      </c>
      <c r="AR285" s="198"/>
      <c r="AS285" s="81">
        <f>$H$285*月別販売比率!AG5</f>
        <v>1.3</v>
      </c>
      <c r="AT285" s="21"/>
      <c r="AU285" s="81">
        <f>$H$285*月別販売比率!AL5</f>
        <v>1.17</v>
      </c>
      <c r="AV285" s="21"/>
      <c r="AW285" s="81">
        <f>$H$285*月別販売比率!AQ5</f>
        <v>1.3</v>
      </c>
      <c r="AX285" s="21"/>
      <c r="AY285" s="81">
        <f>$H$285*月別販売比率!AV5</f>
        <v>0.79162688149371641</v>
      </c>
      <c r="AZ285" s="21"/>
      <c r="BA285" s="81">
        <f>$H$285*月別販売比率!BA5</f>
        <v>0.72310056916561471</v>
      </c>
      <c r="BB285" s="21"/>
      <c r="BC285" s="81">
        <f>$H$285*月別販売比率!BF5</f>
        <v>1.04</v>
      </c>
      <c r="BD285" s="21"/>
      <c r="BE285" s="245">
        <f>$H$285*月別販売比率!C5</f>
        <v>0.92123526450592264</v>
      </c>
      <c r="BF285" s="241"/>
      <c r="BG285" s="81">
        <f>$H$285*月別販売比率!H5</f>
        <v>0.91000000000000014</v>
      </c>
      <c r="BH285" s="21"/>
      <c r="BI285" s="81">
        <f>$H$285*月別販売比率!M5</f>
        <v>1.3138279586075021</v>
      </c>
      <c r="BJ285" s="21"/>
      <c r="BK285" s="81">
        <f>$H$285*月別販売比率!R5</f>
        <v>1.04</v>
      </c>
      <c r="BL285" s="21"/>
      <c r="BM285" s="81">
        <f>$H$285*月別販売比率!W5</f>
        <v>0.9901673642697334</v>
      </c>
      <c r="BN285" s="21"/>
      <c r="BO285" s="81">
        <f>$H$285*月別販売比率!AB5</f>
        <v>1.56</v>
      </c>
      <c r="BP285" s="21"/>
      <c r="BQ285" s="245">
        <f>$H$285*月別販売比率!AG5</f>
        <v>1.3</v>
      </c>
      <c r="BR285" s="241">
        <v>5</v>
      </c>
      <c r="BS285" s="81">
        <f>$H$285*月別販売比率!AL5</f>
        <v>1.17</v>
      </c>
      <c r="BT285" s="21"/>
      <c r="BU285" s="81">
        <f>$H$285*月別販売比率!AQ5</f>
        <v>1.3</v>
      </c>
      <c r="BV285" s="21"/>
      <c r="BW285" s="81">
        <f>$H$285*月別販売比率!AV5</f>
        <v>0.79162688149371641</v>
      </c>
      <c r="BX285" s="21"/>
      <c r="BY285" s="81">
        <f>$H$285*月別販売比率!BA5</f>
        <v>0.72310056916561471</v>
      </c>
      <c r="BZ285" s="21"/>
      <c r="CA285" s="81">
        <f>$H$285*月別販売比率!BF5</f>
        <v>1.04</v>
      </c>
      <c r="CB285" s="21"/>
      <c r="CC285" s="81">
        <f>H285*月別販売比率!$C$21</f>
        <v>0.92123526450592264</v>
      </c>
      <c r="CD285" s="21"/>
      <c r="CE285" s="81">
        <f>H285*月別販売比率!$H$21</f>
        <v>0.91000000000000014</v>
      </c>
      <c r="CF285" s="21"/>
      <c r="CG285" s="81">
        <f>H285*月別販売比率!$M$21</f>
        <v>1.3138279586075021</v>
      </c>
      <c r="CH285" s="21"/>
      <c r="CI285" s="81">
        <f>H285*月別販売比率!$R$21</f>
        <v>1.04</v>
      </c>
      <c r="CJ285" s="21"/>
      <c r="CK285" s="81">
        <f>H285*月別販売比率!$W$21</f>
        <v>0.9901673642697334</v>
      </c>
      <c r="CL285" s="21"/>
      <c r="CM285" s="81">
        <f>H285*月別販売比率!$AB$21</f>
        <v>1.56</v>
      </c>
      <c r="CN285" s="21"/>
      <c r="CO285" s="81">
        <f>H285*月別販売比率!$AG$21</f>
        <v>1.3</v>
      </c>
      <c r="CP285" s="21"/>
      <c r="CQ285" s="81">
        <f>H285*月別販売比率!$AL$21</f>
        <v>1.17</v>
      </c>
      <c r="CR285" s="21"/>
      <c r="CS285" s="81">
        <f>H285*月別販売比率!$AQ$21</f>
        <v>1.3</v>
      </c>
      <c r="CT285" s="21"/>
      <c r="CU285" s="81">
        <f>H285*月別販売比率!$AV$21</f>
        <v>0.79162688149371641</v>
      </c>
      <c r="CV285" s="21"/>
      <c r="CW285" s="81">
        <f>H285*月別販売比率!$BA$21</f>
        <v>0.72310056916561471</v>
      </c>
      <c r="CX285" s="21"/>
      <c r="CY285" s="81">
        <f>H285*月別販売比率!$BF$21</f>
        <v>1.04</v>
      </c>
      <c r="CZ285" s="21"/>
      <c r="DA285" s="28"/>
      <c r="DB285" s="294"/>
    </row>
    <row r="286" spans="2:106" ht="30.75" customHeight="1">
      <c r="B286" s="25"/>
      <c r="C286" s="457"/>
      <c r="D286" s="441">
        <v>2</v>
      </c>
      <c r="E286" s="94" t="s">
        <v>47</v>
      </c>
      <c r="F286" s="57">
        <v>81</v>
      </c>
      <c r="G286" s="46">
        <f t="shared" si="394"/>
        <v>400950</v>
      </c>
      <c r="H286" s="45">
        <f t="shared" si="395"/>
        <v>81</v>
      </c>
      <c r="I286" s="46">
        <f t="shared" si="396"/>
        <v>400950</v>
      </c>
      <c r="J286" s="9">
        <v>0</v>
      </c>
      <c r="K286" s="21">
        <f t="shared" si="384"/>
        <v>0</v>
      </c>
      <c r="L286" s="21">
        <v>0</v>
      </c>
      <c r="M286" s="21">
        <v>0</v>
      </c>
      <c r="N286" s="42"/>
      <c r="O286" s="288"/>
      <c r="P286" s="288"/>
      <c r="Q286" s="328"/>
      <c r="R286" s="328"/>
      <c r="S286" s="328"/>
      <c r="T286" s="328"/>
      <c r="U286" s="331">
        <v>45770</v>
      </c>
      <c r="V286" s="328"/>
      <c r="W286" s="328"/>
      <c r="X286" s="328"/>
      <c r="Y286" s="328"/>
      <c r="Z286" s="124"/>
      <c r="AA286" s="331">
        <v>45958</v>
      </c>
      <c r="AB286" s="124"/>
      <c r="AC286" s="124"/>
      <c r="AD286" s="124"/>
      <c r="AE286" s="124"/>
      <c r="AF286" s="328"/>
      <c r="AG286" s="331"/>
      <c r="AH286" s="331"/>
      <c r="AI286" s="129">
        <f t="shared" si="385"/>
        <v>53.519999999999996</v>
      </c>
      <c r="AJ286" s="129">
        <f t="shared" si="386"/>
        <v>47.350495653396273</v>
      </c>
      <c r="AK286" s="129">
        <f t="shared" si="387"/>
        <v>37.630495653396274</v>
      </c>
      <c r="AL286" s="129">
        <f t="shared" si="388"/>
        <v>29.530495653396272</v>
      </c>
      <c r="AM286" s="129">
        <f t="shared" si="389"/>
        <v>22.240495653396273</v>
      </c>
      <c r="AN286" s="399">
        <f t="shared" si="390"/>
        <v>14.140495653396274</v>
      </c>
      <c r="AO286" s="393">
        <f t="shared" si="391"/>
        <v>9.2080512379354253</v>
      </c>
      <c r="AP286" s="96">
        <f t="shared" si="392"/>
        <v>4.7025784608265955</v>
      </c>
      <c r="AQ286" s="91">
        <f t="shared" si="393"/>
        <v>-1.777421539173405</v>
      </c>
      <c r="AR286" s="198"/>
      <c r="AS286" s="81">
        <f>$H$286*月別販売比率!AG5</f>
        <v>8.1</v>
      </c>
      <c r="AT286" s="21"/>
      <c r="AU286" s="81">
        <f>$H$286*月別販売比率!AL5</f>
        <v>7.29</v>
      </c>
      <c r="AV286" s="21"/>
      <c r="AW286" s="81">
        <f>$H$286*月別販売比率!AQ5</f>
        <v>8.1</v>
      </c>
      <c r="AX286" s="21"/>
      <c r="AY286" s="81">
        <f>$H$286*月別販売比率!AV5</f>
        <v>4.9324444154608482</v>
      </c>
      <c r="AZ286" s="21"/>
      <c r="BA286" s="81">
        <f>$H$286*月別販売比率!BA5</f>
        <v>4.5054727771088299</v>
      </c>
      <c r="BB286" s="21"/>
      <c r="BC286" s="81">
        <f>$H$286*月別販売比率!BF5</f>
        <v>6.48</v>
      </c>
      <c r="BD286" s="21"/>
      <c r="BE286" s="245">
        <f>$H$286*月別販売比率!C5</f>
        <v>5.7400043403830567</v>
      </c>
      <c r="BF286" s="241">
        <v>34</v>
      </c>
      <c r="BG286" s="81">
        <f>$H$286*月別販売比率!H5</f>
        <v>5.6700000000000008</v>
      </c>
      <c r="BH286" s="21"/>
      <c r="BI286" s="81">
        <f>$H$286*月別販売比率!M5</f>
        <v>8.186158819015974</v>
      </c>
      <c r="BJ286" s="21"/>
      <c r="BK286" s="81">
        <f>$H$286*月別販売比率!R5</f>
        <v>6.48</v>
      </c>
      <c r="BL286" s="21"/>
      <c r="BM286" s="81">
        <f>$H$286*月別販売比率!W5</f>
        <v>6.1695043466037234</v>
      </c>
      <c r="BN286" s="21"/>
      <c r="BO286" s="81">
        <f>$H$286*月別販売比率!AB5</f>
        <v>9.7199999999999989</v>
      </c>
      <c r="BP286" s="21"/>
      <c r="BQ286" s="245">
        <f>$H$286*月別販売比率!AG5</f>
        <v>8.1</v>
      </c>
      <c r="BR286" s="241">
        <v>75</v>
      </c>
      <c r="BS286" s="81">
        <f>$H$286*月別販売比率!AL5</f>
        <v>7.29</v>
      </c>
      <c r="BT286" s="21"/>
      <c r="BU286" s="81">
        <f>$H$286*月別販売比率!AQ5</f>
        <v>8.1</v>
      </c>
      <c r="BV286" s="21"/>
      <c r="BW286" s="81">
        <f>$H$286*月別販売比率!AV5</f>
        <v>4.9324444154608482</v>
      </c>
      <c r="BX286" s="21"/>
      <c r="BY286" s="81">
        <f>$H$286*月別販売比率!BA5</f>
        <v>4.5054727771088299</v>
      </c>
      <c r="BZ286" s="21"/>
      <c r="CA286" s="81">
        <f>$H$286*月別販売比率!BF5</f>
        <v>6.48</v>
      </c>
      <c r="CB286" s="21"/>
      <c r="CC286" s="81">
        <f>H286*月別販売比率!$C$21</f>
        <v>5.7400043403830567</v>
      </c>
      <c r="CD286" s="21"/>
      <c r="CE286" s="81">
        <f>H286*月別販売比率!$H$21</f>
        <v>5.6700000000000008</v>
      </c>
      <c r="CF286" s="21"/>
      <c r="CG286" s="81">
        <f>H286*月別販売比率!$M$21</f>
        <v>8.186158819015974</v>
      </c>
      <c r="CH286" s="21"/>
      <c r="CI286" s="81">
        <f>H286*月別販売比率!$R$21</f>
        <v>6.48</v>
      </c>
      <c r="CJ286" s="21">
        <v>60</v>
      </c>
      <c r="CK286" s="81">
        <f>H286*月別販売比率!$W$21</f>
        <v>6.1695043466037234</v>
      </c>
      <c r="CL286" s="21"/>
      <c r="CM286" s="81">
        <f>H286*月別販売比率!$AB$21</f>
        <v>9.7199999999999989</v>
      </c>
      <c r="CN286" s="21"/>
      <c r="CO286" s="81">
        <f>H286*月別販売比率!$AG$21</f>
        <v>8.1</v>
      </c>
      <c r="CP286" s="21"/>
      <c r="CQ286" s="81">
        <f>H286*月別販売比率!$AL$21</f>
        <v>7.29</v>
      </c>
      <c r="CR286" s="21"/>
      <c r="CS286" s="81">
        <f>H286*月別販売比率!$AQ$21</f>
        <v>8.1</v>
      </c>
      <c r="CT286" s="21"/>
      <c r="CU286" s="81">
        <f>H286*月別販売比率!$AV$21</f>
        <v>4.9324444154608482</v>
      </c>
      <c r="CV286" s="21"/>
      <c r="CW286" s="81">
        <f>H286*月別販売比率!$BA$21</f>
        <v>4.5054727771088299</v>
      </c>
      <c r="CX286" s="21"/>
      <c r="CY286" s="81">
        <f>H286*月別販売比率!$BF$21</f>
        <v>6.48</v>
      </c>
      <c r="CZ286" s="21"/>
      <c r="DA286" s="28"/>
      <c r="DB286" s="294"/>
    </row>
    <row r="287" spans="2:106" ht="30.75" customHeight="1">
      <c r="B287" s="25"/>
      <c r="C287" s="457"/>
      <c r="D287" s="441"/>
      <c r="E287" s="94" t="s">
        <v>51</v>
      </c>
      <c r="F287" s="57">
        <v>77</v>
      </c>
      <c r="G287" s="46">
        <f t="shared" si="394"/>
        <v>381150</v>
      </c>
      <c r="H287" s="45">
        <f t="shared" si="395"/>
        <v>77</v>
      </c>
      <c r="I287" s="46">
        <f t="shared" si="396"/>
        <v>381150</v>
      </c>
      <c r="J287" s="9">
        <v>0</v>
      </c>
      <c r="K287" s="21">
        <f t="shared" si="384"/>
        <v>0</v>
      </c>
      <c r="L287" s="21">
        <v>0</v>
      </c>
      <c r="M287" s="21">
        <v>0</v>
      </c>
      <c r="N287" s="42"/>
      <c r="O287" s="19"/>
      <c r="P287" s="288"/>
      <c r="Q287" s="328"/>
      <c r="R287" s="328"/>
      <c r="S287" s="328"/>
      <c r="T287" s="328"/>
      <c r="U287" s="331">
        <v>45770</v>
      </c>
      <c r="V287" s="328"/>
      <c r="W287" s="328"/>
      <c r="X287" s="328"/>
      <c r="Y287" s="328"/>
      <c r="Z287" s="124"/>
      <c r="AA287" s="331">
        <v>45958</v>
      </c>
      <c r="AB287" s="124"/>
      <c r="AC287" s="124"/>
      <c r="AD287" s="124"/>
      <c r="AE287" s="124"/>
      <c r="AF287" s="124"/>
      <c r="AG287" s="331"/>
      <c r="AH287" s="331"/>
      <c r="AI287" s="129">
        <f t="shared" si="385"/>
        <v>53.84</v>
      </c>
      <c r="AJ287" s="129">
        <f t="shared" si="386"/>
        <v>47.975162534710044</v>
      </c>
      <c r="AK287" s="129">
        <f t="shared" si="387"/>
        <v>38.735162534710042</v>
      </c>
      <c r="AL287" s="129">
        <f t="shared" si="388"/>
        <v>31.035162534710043</v>
      </c>
      <c r="AM287" s="129">
        <f t="shared" si="389"/>
        <v>24.105162534710043</v>
      </c>
      <c r="AN287" s="399">
        <f t="shared" si="390"/>
        <v>16.405162534710044</v>
      </c>
      <c r="AO287" s="393">
        <f t="shared" si="391"/>
        <v>11.716295621247262</v>
      </c>
      <c r="AP287" s="96">
        <f t="shared" si="392"/>
        <v>7.4333153269586214</v>
      </c>
      <c r="AQ287" s="91">
        <f t="shared" si="393"/>
        <v>1.2733153269586213</v>
      </c>
      <c r="AR287" s="198"/>
      <c r="AS287" s="81">
        <f>$H$287*月別販売比率!AG5</f>
        <v>7.7</v>
      </c>
      <c r="AT287" s="21"/>
      <c r="AU287" s="81">
        <f>$H$287*月別販売比率!AL5</f>
        <v>6.93</v>
      </c>
      <c r="AV287" s="21"/>
      <c r="AW287" s="81">
        <f>$H$287*月別販売比率!AQ5</f>
        <v>7.7</v>
      </c>
      <c r="AX287" s="21"/>
      <c r="AY287" s="81">
        <f>$H$287*月別販売比率!AV5</f>
        <v>4.6888669134627818</v>
      </c>
      <c r="AZ287" s="21"/>
      <c r="BA287" s="81">
        <f>$H$287*月別販売比率!BA5</f>
        <v>4.2829802942886408</v>
      </c>
      <c r="BB287" s="21"/>
      <c r="BC287" s="81">
        <f>$H$287*月別販売比率!BF5</f>
        <v>6.16</v>
      </c>
      <c r="BD287" s="21"/>
      <c r="BE287" s="245">
        <f>$H$287*月別販売比率!C5</f>
        <v>5.4565473359196952</v>
      </c>
      <c r="BF287" s="241">
        <v>28</v>
      </c>
      <c r="BG287" s="81">
        <f>$H$287*月別販売比率!H5</f>
        <v>5.3900000000000006</v>
      </c>
      <c r="BH287" s="21"/>
      <c r="BI287" s="81">
        <f>$H$287*月別販売比率!M5</f>
        <v>7.7819040625213578</v>
      </c>
      <c r="BJ287" s="21"/>
      <c r="BK287" s="81">
        <f>$H$287*月別販売比率!R5</f>
        <v>6.16</v>
      </c>
      <c r="BL287" s="21"/>
      <c r="BM287" s="81">
        <f>$H$287*月別販売比率!W5</f>
        <v>5.8648374652899591</v>
      </c>
      <c r="BN287" s="21"/>
      <c r="BO287" s="81">
        <f>$H$287*月別販売比率!AB5</f>
        <v>9.24</v>
      </c>
      <c r="BP287" s="21"/>
      <c r="BQ287" s="245">
        <f>$H$287*月別販売比率!AG5</f>
        <v>7.7</v>
      </c>
      <c r="BR287" s="241">
        <v>75</v>
      </c>
      <c r="BS287" s="81">
        <f>$H$287*月別販売比率!AL5</f>
        <v>6.93</v>
      </c>
      <c r="BT287" s="21"/>
      <c r="BU287" s="81">
        <f>$H$287*月別販売比率!AQ5</f>
        <v>7.7</v>
      </c>
      <c r="BV287" s="21"/>
      <c r="BW287" s="81">
        <f>$H$287*月別販売比率!AV5</f>
        <v>4.6888669134627818</v>
      </c>
      <c r="BX287" s="21"/>
      <c r="BY287" s="81">
        <f>$H$287*月別販売比率!BA5</f>
        <v>4.2829802942886408</v>
      </c>
      <c r="BZ287" s="21"/>
      <c r="CA287" s="81">
        <f>$H$287*月別販売比率!BF5</f>
        <v>6.16</v>
      </c>
      <c r="CB287" s="21"/>
      <c r="CC287" s="81">
        <f>H287*月別販売比率!$C$21</f>
        <v>5.4565473359196952</v>
      </c>
      <c r="CD287" s="21"/>
      <c r="CE287" s="81">
        <f>H287*月別販売比率!$H$21</f>
        <v>5.3900000000000006</v>
      </c>
      <c r="CF287" s="21"/>
      <c r="CG287" s="81">
        <f>H287*月別販売比率!$M$21</f>
        <v>7.7819040625213578</v>
      </c>
      <c r="CH287" s="21"/>
      <c r="CI287" s="81">
        <f>H287*月別販売比率!$R$21</f>
        <v>6.16</v>
      </c>
      <c r="CJ287" s="21">
        <v>60</v>
      </c>
      <c r="CK287" s="81">
        <f>H287*月別販売比率!$W$21</f>
        <v>5.8648374652899591</v>
      </c>
      <c r="CL287" s="21"/>
      <c r="CM287" s="81">
        <f>H287*月別販売比率!$AB$21</f>
        <v>9.24</v>
      </c>
      <c r="CN287" s="21"/>
      <c r="CO287" s="81">
        <f>H287*月別販売比率!$AG$21</f>
        <v>7.7</v>
      </c>
      <c r="CP287" s="21"/>
      <c r="CQ287" s="81">
        <f>H287*月別販売比率!$AL$21</f>
        <v>6.93</v>
      </c>
      <c r="CR287" s="21"/>
      <c r="CS287" s="81">
        <f>H287*月別販売比率!$AQ$21</f>
        <v>7.7</v>
      </c>
      <c r="CT287" s="21"/>
      <c r="CU287" s="81">
        <f>H287*月別販売比率!$AV$21</f>
        <v>4.6888669134627818</v>
      </c>
      <c r="CV287" s="21"/>
      <c r="CW287" s="81">
        <f>H287*月別販売比率!$BA$21</f>
        <v>4.2829802942886408</v>
      </c>
      <c r="CX287" s="21"/>
      <c r="CY287" s="81">
        <f>H287*月別販売比率!$BF$21</f>
        <v>6.16</v>
      </c>
      <c r="CZ287" s="21"/>
      <c r="DA287" s="28"/>
      <c r="DB287" s="294"/>
    </row>
    <row r="288" spans="2:106" ht="30.75" customHeight="1">
      <c r="B288" s="25"/>
      <c r="C288" s="457"/>
      <c r="D288" s="441"/>
      <c r="E288" s="94" t="s">
        <v>49</v>
      </c>
      <c r="F288" s="57">
        <v>37</v>
      </c>
      <c r="G288" s="46">
        <f t="shared" si="394"/>
        <v>183150</v>
      </c>
      <c r="H288" s="45">
        <f t="shared" si="395"/>
        <v>37</v>
      </c>
      <c r="I288" s="46">
        <f t="shared" si="396"/>
        <v>183150</v>
      </c>
      <c r="J288" s="9">
        <v>0</v>
      </c>
      <c r="K288" s="21">
        <f t="shared" si="384"/>
        <v>5</v>
      </c>
      <c r="L288" s="21">
        <v>0</v>
      </c>
      <c r="M288" s="21">
        <v>5</v>
      </c>
      <c r="N288" s="42"/>
      <c r="O288" s="288"/>
      <c r="P288" s="288"/>
      <c r="Q288" s="328"/>
      <c r="R288" s="328"/>
      <c r="S288" s="328"/>
      <c r="T288" s="328"/>
      <c r="U288" s="331">
        <v>45770</v>
      </c>
      <c r="V288" s="328"/>
      <c r="W288" s="328"/>
      <c r="X288" s="328"/>
      <c r="Y288" s="328"/>
      <c r="Z288" s="124"/>
      <c r="AA288" s="331">
        <v>45958</v>
      </c>
      <c r="AB288" s="124"/>
      <c r="AC288" s="124"/>
      <c r="AD288" s="124"/>
      <c r="AE288" s="124"/>
      <c r="AF288" s="124"/>
      <c r="AG288" s="331"/>
      <c r="AH288" s="331"/>
      <c r="AI288" s="129">
        <f t="shared" si="385"/>
        <v>32.04</v>
      </c>
      <c r="AJ288" s="129">
        <f t="shared" si="386"/>
        <v>29.221831347847679</v>
      </c>
      <c r="AK288" s="129">
        <f t="shared" si="387"/>
        <v>24.781831347847678</v>
      </c>
      <c r="AL288" s="129">
        <f t="shared" si="388"/>
        <v>21.081831347847679</v>
      </c>
      <c r="AM288" s="129">
        <f t="shared" si="389"/>
        <v>17.751831347847677</v>
      </c>
      <c r="AN288" s="399">
        <f t="shared" si="390"/>
        <v>14.051831347847678</v>
      </c>
      <c r="AO288" s="393">
        <f t="shared" si="391"/>
        <v>11.798739454365561</v>
      </c>
      <c r="AP288" s="96">
        <f t="shared" si="392"/>
        <v>9.7406839882788123</v>
      </c>
      <c r="AQ288" s="91">
        <f t="shared" si="393"/>
        <v>6.7806839882788124</v>
      </c>
      <c r="AR288" s="198"/>
      <c r="AS288" s="81">
        <f>$H$288*月別販売比率!AG5</f>
        <v>3.7</v>
      </c>
      <c r="AT288" s="21"/>
      <c r="AU288" s="81">
        <f>$H$288*月別販売比率!AL5</f>
        <v>3.33</v>
      </c>
      <c r="AV288" s="21"/>
      <c r="AW288" s="81">
        <f>$H$288*月別販売比率!AQ5</f>
        <v>3.7</v>
      </c>
      <c r="AX288" s="21"/>
      <c r="AY288" s="81">
        <f>$H$288*月別販売比率!AV5</f>
        <v>2.2530918934821158</v>
      </c>
      <c r="AZ288" s="21"/>
      <c r="BA288" s="81">
        <f>$H$288*月別販売比率!BA5</f>
        <v>2.0580554660867496</v>
      </c>
      <c r="BB288" s="21"/>
      <c r="BC288" s="81">
        <f>$H$288*月別販売比率!BF5</f>
        <v>2.96</v>
      </c>
      <c r="BD288" s="21"/>
      <c r="BE288" s="245">
        <f>$H$288*月別販売比率!C5</f>
        <v>2.6219772912860875</v>
      </c>
      <c r="BF288" s="241">
        <v>13</v>
      </c>
      <c r="BG288" s="81">
        <f>$H$288*月別販売比率!H5</f>
        <v>2.5900000000000003</v>
      </c>
      <c r="BH288" s="21"/>
      <c r="BI288" s="81">
        <f>$H$288*月別販売比率!M5</f>
        <v>3.7393564975751983</v>
      </c>
      <c r="BJ288" s="21"/>
      <c r="BK288" s="81">
        <f>$H$288*月別販売比率!R5</f>
        <v>2.96</v>
      </c>
      <c r="BL288" s="21"/>
      <c r="BM288" s="81">
        <f>$H$288*月別販売比率!W5</f>
        <v>2.8181686521523184</v>
      </c>
      <c r="BN288" s="21"/>
      <c r="BO288" s="81">
        <f>$H$288*月別販売比率!AB5</f>
        <v>4.4399999999999995</v>
      </c>
      <c r="BP288" s="21"/>
      <c r="BQ288" s="245">
        <f>$H$288*月別販売比率!AG5</f>
        <v>3.7</v>
      </c>
      <c r="BR288" s="241">
        <v>50</v>
      </c>
      <c r="BS288" s="81">
        <f>$H$288*月別販売比率!AL5</f>
        <v>3.33</v>
      </c>
      <c r="BT288" s="21"/>
      <c r="BU288" s="81">
        <f>$H$288*月別販売比率!AQ5</f>
        <v>3.7</v>
      </c>
      <c r="BV288" s="21"/>
      <c r="BW288" s="81">
        <f>$H$288*月別販売比率!AV5</f>
        <v>2.2530918934821158</v>
      </c>
      <c r="BX288" s="21"/>
      <c r="BY288" s="81">
        <f>$H$288*月別販売比率!BA5</f>
        <v>2.0580554660867496</v>
      </c>
      <c r="BZ288" s="21"/>
      <c r="CA288" s="81">
        <f>$H$288*月別販売比率!BF5</f>
        <v>2.96</v>
      </c>
      <c r="CB288" s="21"/>
      <c r="CC288" s="81">
        <f>H288*月別販売比率!$C$21</f>
        <v>2.6219772912860875</v>
      </c>
      <c r="CD288" s="21"/>
      <c r="CE288" s="81">
        <f>H288*月別販売比率!$H$21</f>
        <v>2.5900000000000003</v>
      </c>
      <c r="CF288" s="21"/>
      <c r="CG288" s="81">
        <f>H288*月別販売比率!$M$21</f>
        <v>3.7393564975751983</v>
      </c>
      <c r="CH288" s="21"/>
      <c r="CI288" s="81">
        <f>H288*月別販売比率!$R$21</f>
        <v>2.96</v>
      </c>
      <c r="CJ288" s="21">
        <v>30</v>
      </c>
      <c r="CK288" s="81">
        <f>H288*月別販売比率!$W$21</f>
        <v>2.8181686521523184</v>
      </c>
      <c r="CL288" s="21"/>
      <c r="CM288" s="81">
        <f>H288*月別販売比率!$AB$21</f>
        <v>4.4399999999999995</v>
      </c>
      <c r="CN288" s="21"/>
      <c r="CO288" s="81">
        <f>H288*月別販売比率!$AG$21</f>
        <v>3.7</v>
      </c>
      <c r="CP288" s="21"/>
      <c r="CQ288" s="81">
        <f>H288*月別販売比率!$AL$21</f>
        <v>3.33</v>
      </c>
      <c r="CR288" s="21"/>
      <c r="CS288" s="81">
        <f>H288*月別販売比率!$AQ$21</f>
        <v>3.7</v>
      </c>
      <c r="CT288" s="21"/>
      <c r="CU288" s="81">
        <f>H288*月別販売比率!$AV$21</f>
        <v>2.2530918934821158</v>
      </c>
      <c r="CV288" s="21"/>
      <c r="CW288" s="81">
        <f>H288*月別販売比率!$BA$21</f>
        <v>2.0580554660867496</v>
      </c>
      <c r="CX288" s="21"/>
      <c r="CY288" s="81">
        <f>H288*月別販売比率!$BF$21</f>
        <v>2.96</v>
      </c>
      <c r="CZ288" s="21"/>
      <c r="DA288" s="28"/>
      <c r="DB288" s="294"/>
    </row>
    <row r="289" spans="2:107" ht="30.75" customHeight="1">
      <c r="B289" s="25"/>
      <c r="C289" s="457"/>
      <c r="D289" s="442"/>
      <c r="E289" s="94" t="s">
        <v>50</v>
      </c>
      <c r="F289" s="57">
        <v>19</v>
      </c>
      <c r="G289" s="46">
        <f t="shared" si="394"/>
        <v>94050</v>
      </c>
      <c r="H289" s="45">
        <f t="shared" si="395"/>
        <v>19</v>
      </c>
      <c r="I289" s="46">
        <f t="shared" si="396"/>
        <v>94050</v>
      </c>
      <c r="J289" s="9">
        <v>0</v>
      </c>
      <c r="K289" s="21">
        <f t="shared" si="384"/>
        <v>21</v>
      </c>
      <c r="L289" s="21">
        <v>7</v>
      </c>
      <c r="M289" s="21">
        <v>14</v>
      </c>
      <c r="N289" s="42"/>
      <c r="O289" s="19"/>
      <c r="P289" s="19"/>
      <c r="Q289" s="124"/>
      <c r="R289" s="328"/>
      <c r="S289" s="124"/>
      <c r="T289" s="124"/>
      <c r="U289" s="124"/>
      <c r="V289" s="124"/>
      <c r="W289" s="124"/>
      <c r="X289" s="124"/>
      <c r="Y289" s="124"/>
      <c r="Z289" s="124"/>
      <c r="AA289" s="124"/>
      <c r="AB289" s="124"/>
      <c r="AC289" s="124"/>
      <c r="AD289" s="124"/>
      <c r="AE289" s="124"/>
      <c r="AF289" s="124"/>
      <c r="AG289" s="124"/>
      <c r="AH289" s="124"/>
      <c r="AI289" s="129">
        <f t="shared" si="385"/>
        <v>19.48</v>
      </c>
      <c r="AJ289" s="129">
        <f t="shared" si="386"/>
        <v>18.03283231375962</v>
      </c>
      <c r="AK289" s="129">
        <f t="shared" si="387"/>
        <v>15.752832313759621</v>
      </c>
      <c r="AL289" s="129">
        <f t="shared" si="388"/>
        <v>13.85283231375962</v>
      </c>
      <c r="AM289" s="129">
        <f t="shared" si="389"/>
        <v>12.142832313759619</v>
      </c>
      <c r="AN289" s="399">
        <f t="shared" si="390"/>
        <v>10.242832313759619</v>
      </c>
      <c r="AO289" s="393">
        <f t="shared" si="391"/>
        <v>9.0858391792688025</v>
      </c>
      <c r="AP289" s="96">
        <f t="shared" si="392"/>
        <v>8.0289998858729046</v>
      </c>
      <c r="AQ289" s="91">
        <f t="shared" si="393"/>
        <v>6.508999885872905</v>
      </c>
      <c r="AR289" s="198"/>
      <c r="AS289" s="81">
        <f>$H$289*月別販売比率!AG5</f>
        <v>1.9000000000000001</v>
      </c>
      <c r="AT289" s="21"/>
      <c r="AU289" s="81">
        <f>$H$289*月別販売比率!AL5</f>
        <v>1.71</v>
      </c>
      <c r="AV289" s="21"/>
      <c r="AW289" s="81">
        <f>$H$289*月別販売比率!AQ5</f>
        <v>1.9000000000000001</v>
      </c>
      <c r="AX289" s="21"/>
      <c r="AY289" s="81">
        <f>$H$289*月別販売比率!AV5</f>
        <v>1.1569931344908162</v>
      </c>
      <c r="AZ289" s="21"/>
      <c r="BA289" s="81">
        <f>$H$289*月別販売比率!BA5</f>
        <v>1.0568392933958983</v>
      </c>
      <c r="BB289" s="21"/>
      <c r="BC289" s="81">
        <f>$H$289*月別販売比率!BF5</f>
        <v>1.52</v>
      </c>
      <c r="BD289" s="21"/>
      <c r="BE289" s="245">
        <f>$H$289*月別販売比率!C5</f>
        <v>1.3464207712009639</v>
      </c>
      <c r="BF289" s="241"/>
      <c r="BG289" s="81">
        <f>$H$289*月別販売比率!H5</f>
        <v>1.33</v>
      </c>
      <c r="BH289" s="21"/>
      <c r="BI289" s="81">
        <f>$H$289*月別販売比率!M5</f>
        <v>1.9202100933494259</v>
      </c>
      <c r="BJ289" s="21"/>
      <c r="BK289" s="81">
        <f>$H$289*月別販売比率!R5</f>
        <v>1.52</v>
      </c>
      <c r="BL289" s="21"/>
      <c r="BM289" s="81">
        <f>$H$289*月別販売比率!W5</f>
        <v>1.4471676862403795</v>
      </c>
      <c r="BN289" s="21"/>
      <c r="BO289" s="81">
        <f>$H$289*月別販売比率!AB5</f>
        <v>2.2799999999999998</v>
      </c>
      <c r="BP289" s="21"/>
      <c r="BQ289" s="245">
        <f>$H$289*月別販売比率!AG5</f>
        <v>1.9000000000000001</v>
      </c>
      <c r="BR289" s="241"/>
      <c r="BS289" s="81">
        <f>$H$289*月別販売比率!AL5</f>
        <v>1.71</v>
      </c>
      <c r="BT289" s="21"/>
      <c r="BU289" s="81">
        <f>$H$289*月別販売比率!AQ5</f>
        <v>1.9000000000000001</v>
      </c>
      <c r="BV289" s="21"/>
      <c r="BW289" s="81">
        <f>$H$289*月別販売比率!AV5</f>
        <v>1.1569931344908162</v>
      </c>
      <c r="BX289" s="21"/>
      <c r="BY289" s="81">
        <f>$H$289*月別販売比率!BA5</f>
        <v>1.0568392933958983</v>
      </c>
      <c r="BZ289" s="21"/>
      <c r="CA289" s="81">
        <f>$H$289*月別販売比率!BF5</f>
        <v>1.52</v>
      </c>
      <c r="CB289" s="21"/>
      <c r="CC289" s="81">
        <f>H289*月別販売比率!$C$21</f>
        <v>1.3464207712009639</v>
      </c>
      <c r="CD289" s="21"/>
      <c r="CE289" s="81">
        <f>H289*月別販売比率!$H$21</f>
        <v>1.33</v>
      </c>
      <c r="CF289" s="21"/>
      <c r="CG289" s="81">
        <f>H289*月別販売比率!$M$21</f>
        <v>1.9202100933494259</v>
      </c>
      <c r="CH289" s="21"/>
      <c r="CI289" s="81">
        <f>H289*月別販売比率!$R$21</f>
        <v>1.52</v>
      </c>
      <c r="CJ289" s="21"/>
      <c r="CK289" s="81">
        <f>H289*月別販売比率!$W$21</f>
        <v>1.4471676862403795</v>
      </c>
      <c r="CL289" s="21"/>
      <c r="CM289" s="81">
        <f>H289*月別販売比率!$AB$21</f>
        <v>2.2799999999999998</v>
      </c>
      <c r="CN289" s="21"/>
      <c r="CO289" s="81">
        <f>H289*月別販売比率!$AG$21</f>
        <v>1.9000000000000001</v>
      </c>
      <c r="CP289" s="21"/>
      <c r="CQ289" s="81">
        <f>H289*月別販売比率!$AL$21</f>
        <v>1.71</v>
      </c>
      <c r="CR289" s="21"/>
      <c r="CS289" s="81">
        <f>H289*月別販売比率!$AQ$21</f>
        <v>1.9000000000000001</v>
      </c>
      <c r="CT289" s="21"/>
      <c r="CU289" s="81">
        <f>H289*月別販売比率!$AV$21</f>
        <v>1.1569931344908162</v>
      </c>
      <c r="CV289" s="21"/>
      <c r="CW289" s="81">
        <f>H289*月別販売比率!$BA$21</f>
        <v>1.0568392933958983</v>
      </c>
      <c r="CX289" s="21"/>
      <c r="CY289" s="81">
        <f>H289*月別販売比率!$BF$21</f>
        <v>1.52</v>
      </c>
      <c r="CZ289" s="21"/>
      <c r="DA289" s="28"/>
      <c r="DB289" s="294"/>
    </row>
    <row r="290" spans="2:107" ht="30.75" customHeight="1">
      <c r="C290" s="457"/>
      <c r="D290" s="441">
        <v>3</v>
      </c>
      <c r="E290" s="94" t="s">
        <v>47</v>
      </c>
      <c r="F290" s="57">
        <v>43</v>
      </c>
      <c r="G290" s="46">
        <f t="shared" si="394"/>
        <v>212850</v>
      </c>
      <c r="H290" s="45">
        <f t="shared" si="395"/>
        <v>43</v>
      </c>
      <c r="I290" s="46">
        <f t="shared" si="396"/>
        <v>212850</v>
      </c>
      <c r="J290" s="9">
        <v>0</v>
      </c>
      <c r="K290" s="21">
        <f t="shared" si="384"/>
        <v>0</v>
      </c>
      <c r="L290" s="21">
        <v>0</v>
      </c>
      <c r="M290" s="21">
        <v>0</v>
      </c>
      <c r="N290" s="42"/>
      <c r="O290" s="288"/>
      <c r="P290" s="288"/>
      <c r="Q290" s="328"/>
      <c r="R290" s="328"/>
      <c r="S290" s="328"/>
      <c r="T290" s="328"/>
      <c r="U290" s="331">
        <v>45770</v>
      </c>
      <c r="V290" s="328"/>
      <c r="W290" s="328"/>
      <c r="X290" s="328"/>
      <c r="Y290" s="328"/>
      <c r="Z290" s="124"/>
      <c r="AA290" s="331">
        <v>45958</v>
      </c>
      <c r="AB290" s="328"/>
      <c r="AC290" s="328"/>
      <c r="AD290" s="328"/>
      <c r="AE290" s="124"/>
      <c r="AF290" s="328"/>
      <c r="AG290" s="331"/>
      <c r="AH290" s="331"/>
      <c r="AI290" s="129">
        <f t="shared" si="385"/>
        <v>36.56</v>
      </c>
      <c r="AJ290" s="129">
        <f t="shared" si="386"/>
        <v>33.28483102587704</v>
      </c>
      <c r="AK290" s="129">
        <f t="shared" si="387"/>
        <v>28.12483102587704</v>
      </c>
      <c r="AL290" s="129">
        <f t="shared" si="388"/>
        <v>23.824831025877039</v>
      </c>
      <c r="AM290" s="129">
        <f t="shared" si="389"/>
        <v>19.954831025877038</v>
      </c>
      <c r="AN290" s="399">
        <f t="shared" si="390"/>
        <v>15.654831025877037</v>
      </c>
      <c r="AO290" s="393">
        <f t="shared" si="391"/>
        <v>13.03637287939782</v>
      </c>
      <c r="AP290" s="96">
        <f t="shared" si="392"/>
        <v>10.644578689080788</v>
      </c>
      <c r="AQ290" s="91">
        <f t="shared" si="393"/>
        <v>7.2045786890807886</v>
      </c>
      <c r="AR290" s="198"/>
      <c r="AS290" s="81">
        <f>$H$290*月別販売比率!AG5</f>
        <v>4.3</v>
      </c>
      <c r="AT290" s="21"/>
      <c r="AU290" s="81">
        <f>$H$290*月別販売比率!AL5</f>
        <v>3.8699999999999997</v>
      </c>
      <c r="AV290" s="21"/>
      <c r="AW290" s="81">
        <f>$H$290*月別販売比率!AQ5</f>
        <v>4.3</v>
      </c>
      <c r="AX290" s="21"/>
      <c r="AY290" s="81">
        <f>$H$290*月別販売比率!AV5</f>
        <v>2.6184581464792158</v>
      </c>
      <c r="AZ290" s="21"/>
      <c r="BA290" s="81">
        <f>$H$290*月別販売比率!BA5</f>
        <v>2.3917941903170332</v>
      </c>
      <c r="BB290" s="21"/>
      <c r="BC290" s="81">
        <f>$H$290*月別販売比率!BF5</f>
        <v>3.44</v>
      </c>
      <c r="BD290" s="21"/>
      <c r="BE290" s="245">
        <f>$H$290*月別販売比率!C5</f>
        <v>3.0471627979811289</v>
      </c>
      <c r="BF290" s="241">
        <v>46</v>
      </c>
      <c r="BG290" s="81">
        <f>$H$290*月別販売比率!H5</f>
        <v>3.0100000000000002</v>
      </c>
      <c r="BH290" s="21"/>
      <c r="BI290" s="81">
        <f>$H$290*月別販売比率!M5</f>
        <v>4.3457386323171221</v>
      </c>
      <c r="BJ290" s="21"/>
      <c r="BK290" s="81">
        <f>$H$290*月別販売比率!R5</f>
        <v>3.44</v>
      </c>
      <c r="BL290" s="21"/>
      <c r="BM290" s="81">
        <f>$H$290*月別販売比率!W5</f>
        <v>3.2751689741229644</v>
      </c>
      <c r="BN290" s="21"/>
      <c r="BO290" s="81">
        <f>$H$290*月別販売比率!AB5</f>
        <v>5.16</v>
      </c>
      <c r="BP290" s="21"/>
      <c r="BQ290" s="245">
        <f>$H$290*月別販売比率!AG5</f>
        <v>4.3</v>
      </c>
      <c r="BR290" s="241">
        <v>30</v>
      </c>
      <c r="BS290" s="81">
        <f>$H$290*月別販売比率!AL5</f>
        <v>3.8699999999999997</v>
      </c>
      <c r="BT290" s="21"/>
      <c r="BU290" s="81">
        <f>$H$290*月別販売比率!AQ5</f>
        <v>4.3</v>
      </c>
      <c r="BV290" s="21"/>
      <c r="BW290" s="81">
        <f>$H$290*月別販売比率!AV5</f>
        <v>2.6184581464792158</v>
      </c>
      <c r="BX290" s="21"/>
      <c r="BY290" s="81">
        <f>$H$290*月別販売比率!BA5</f>
        <v>2.3917941903170332</v>
      </c>
      <c r="BZ290" s="21"/>
      <c r="CA290" s="81">
        <f>$H$290*月別販売比率!BF5</f>
        <v>3.44</v>
      </c>
      <c r="CB290" s="21"/>
      <c r="CC290" s="81">
        <f>H290*月別販売比率!$C$21</f>
        <v>3.0471627979811289</v>
      </c>
      <c r="CD290" s="21"/>
      <c r="CE290" s="81">
        <f>H290*月別販売比率!$H$21</f>
        <v>3.0100000000000002</v>
      </c>
      <c r="CF290" s="21"/>
      <c r="CG290" s="81">
        <f>H290*月別販売比率!$M$21</f>
        <v>4.3457386323171221</v>
      </c>
      <c r="CH290" s="21"/>
      <c r="CI290" s="81">
        <f>H290*月別販売比率!$R$21</f>
        <v>3.44</v>
      </c>
      <c r="CJ290" s="21">
        <v>40</v>
      </c>
      <c r="CK290" s="81">
        <f>H290*月別販売比率!$W$21</f>
        <v>3.2751689741229644</v>
      </c>
      <c r="CL290" s="21"/>
      <c r="CM290" s="81">
        <f>H290*月別販売比率!$AB$21</f>
        <v>5.16</v>
      </c>
      <c r="CN290" s="21"/>
      <c r="CO290" s="81">
        <f>H290*月別販売比率!$AG$21</f>
        <v>4.3</v>
      </c>
      <c r="CP290" s="21"/>
      <c r="CQ290" s="81">
        <f>H290*月別販売比率!$AL$21</f>
        <v>3.8699999999999997</v>
      </c>
      <c r="CR290" s="21"/>
      <c r="CS290" s="81">
        <f>H290*月別販売比率!$AQ$21</f>
        <v>4.3</v>
      </c>
      <c r="CT290" s="21"/>
      <c r="CU290" s="81">
        <f>H290*月別販売比率!$AV$21</f>
        <v>2.6184581464792158</v>
      </c>
      <c r="CV290" s="21"/>
      <c r="CW290" s="81">
        <f>H290*月別販売比率!$BA$21</f>
        <v>2.3917941903170332</v>
      </c>
      <c r="CX290" s="21"/>
      <c r="CY290" s="81">
        <f>H290*月別販売比率!$BF$21</f>
        <v>3.44</v>
      </c>
      <c r="CZ290" s="21"/>
      <c r="DA290" s="28"/>
      <c r="DB290" s="294"/>
    </row>
    <row r="291" spans="2:107" ht="30.75" customHeight="1">
      <c r="C291" s="457"/>
      <c r="D291" s="441"/>
      <c r="E291" s="94" t="s">
        <v>51</v>
      </c>
      <c r="F291" s="57">
        <v>17</v>
      </c>
      <c r="G291" s="46">
        <f t="shared" si="394"/>
        <v>84150</v>
      </c>
      <c r="H291" s="164">
        <v>70</v>
      </c>
      <c r="I291" s="46">
        <f t="shared" si="396"/>
        <v>346500</v>
      </c>
      <c r="J291" s="9">
        <v>0</v>
      </c>
      <c r="K291" s="21">
        <f t="shared" si="384"/>
        <v>9</v>
      </c>
      <c r="L291" s="21">
        <v>0</v>
      </c>
      <c r="M291" s="21">
        <v>9</v>
      </c>
      <c r="N291" s="42"/>
      <c r="O291" s="19"/>
      <c r="P291" s="19"/>
      <c r="Q291" s="124"/>
      <c r="R291" s="328"/>
      <c r="S291" s="328"/>
      <c r="T291" s="328"/>
      <c r="U291" s="331">
        <v>45770</v>
      </c>
      <c r="V291" s="328"/>
      <c r="W291" s="328"/>
      <c r="X291" s="328"/>
      <c r="Y291" s="328"/>
      <c r="Z291" s="124"/>
      <c r="AA291" s="331">
        <v>45958</v>
      </c>
      <c r="AB291" s="328"/>
      <c r="AC291" s="328"/>
      <c r="AD291" s="328"/>
      <c r="AE291" s="124"/>
      <c r="AF291" s="124"/>
      <c r="AG291" s="331"/>
      <c r="AH291" s="331"/>
      <c r="AI291" s="129">
        <f t="shared" si="385"/>
        <v>63.4</v>
      </c>
      <c r="AJ291" s="129">
        <f t="shared" si="386"/>
        <v>58.068329577009123</v>
      </c>
      <c r="AK291" s="129">
        <f t="shared" si="387"/>
        <v>49.668329577009125</v>
      </c>
      <c r="AL291" s="129">
        <f t="shared" si="388"/>
        <v>42.668329577009125</v>
      </c>
      <c r="AM291" s="129">
        <f t="shared" si="389"/>
        <v>36.368329577009128</v>
      </c>
      <c r="AN291" s="399">
        <f t="shared" si="390"/>
        <v>29.368329577009128</v>
      </c>
      <c r="AO291" s="393">
        <f t="shared" si="391"/>
        <v>25.105723292042963</v>
      </c>
      <c r="AP291" s="96">
        <f t="shared" si="392"/>
        <v>21.212104842689655</v>
      </c>
      <c r="AQ291" s="91">
        <f t="shared" si="393"/>
        <v>15.612104842689654</v>
      </c>
      <c r="AR291" s="198"/>
      <c r="AS291" s="81">
        <f>$H$291*月別販売比率!AG5</f>
        <v>7</v>
      </c>
      <c r="AT291" s="21"/>
      <c r="AU291" s="81">
        <f>$H$291*月別販売比率!AL5</f>
        <v>6.3</v>
      </c>
      <c r="AV291" s="21"/>
      <c r="AW291" s="81">
        <f>$H$291*月別販売比率!AQ5</f>
        <v>7</v>
      </c>
      <c r="AX291" s="21"/>
      <c r="AY291" s="81">
        <f>$H$291*月別販売比率!AV5</f>
        <v>4.2626062849661652</v>
      </c>
      <c r="AZ291" s="21"/>
      <c r="BA291" s="81">
        <f>$H$291*月別販売比率!BA5</f>
        <v>3.8936184493533097</v>
      </c>
      <c r="BB291" s="21"/>
      <c r="BC291" s="81">
        <f>$H$291*月別販売比率!BF5</f>
        <v>5.6000000000000005</v>
      </c>
      <c r="BD291" s="21"/>
      <c r="BE291" s="245">
        <f>$H$291*月別販売比率!C5</f>
        <v>4.9604975781088143</v>
      </c>
      <c r="BF291" s="241">
        <v>29</v>
      </c>
      <c r="BG291" s="81">
        <f>$H$291*月別販売比率!H5</f>
        <v>4.9000000000000004</v>
      </c>
      <c r="BH291" s="21"/>
      <c r="BI291" s="81">
        <f>$H$291*月別販売比率!M5</f>
        <v>7.0744582386557804</v>
      </c>
      <c r="BJ291" s="21"/>
      <c r="BK291" s="81">
        <f>$H$291*月別販売比率!R5</f>
        <v>5.6000000000000005</v>
      </c>
      <c r="BL291" s="21"/>
      <c r="BM291" s="81">
        <f>$H$291*月別販売比率!W5</f>
        <v>5.3316704229908725</v>
      </c>
      <c r="BN291" s="21"/>
      <c r="BO291" s="81">
        <f>$H$291*月別販売比率!AB5</f>
        <v>8.4</v>
      </c>
      <c r="BP291" s="21"/>
      <c r="BQ291" s="245">
        <f>$H$291*月別販売比率!AG5</f>
        <v>7</v>
      </c>
      <c r="BR291" s="241">
        <v>25</v>
      </c>
      <c r="BS291" s="81">
        <f>$H$291*月別販売比率!AL5</f>
        <v>6.3</v>
      </c>
      <c r="BT291" s="21"/>
      <c r="BU291" s="81">
        <f>$H$291*月別販売比率!AQ5</f>
        <v>7</v>
      </c>
      <c r="BV291" s="21"/>
      <c r="BW291" s="81">
        <f>$H$291*月別販売比率!AV5</f>
        <v>4.2626062849661652</v>
      </c>
      <c r="BX291" s="21"/>
      <c r="BY291" s="81">
        <f>$H$291*月別販売比率!BA5</f>
        <v>3.8936184493533097</v>
      </c>
      <c r="BZ291" s="21"/>
      <c r="CA291" s="81">
        <f>$H$291*月別販売比率!BF5</f>
        <v>5.6000000000000005</v>
      </c>
      <c r="CB291" s="21"/>
      <c r="CC291" s="81">
        <f>H291*月別販売比率!$C$21</f>
        <v>4.9604975781088143</v>
      </c>
      <c r="CD291" s="21"/>
      <c r="CE291" s="81">
        <f>H291*月別販売比率!$H$21</f>
        <v>4.9000000000000004</v>
      </c>
      <c r="CF291" s="21"/>
      <c r="CG291" s="81">
        <f>H291*月別販売比率!$M$21</f>
        <v>7.0744582386557804</v>
      </c>
      <c r="CH291" s="21"/>
      <c r="CI291" s="81">
        <f>H291*月別販売比率!$R$21</f>
        <v>5.6000000000000005</v>
      </c>
      <c r="CJ291" s="21">
        <v>60</v>
      </c>
      <c r="CK291" s="81">
        <f>H291*月別販売比率!$W$21</f>
        <v>5.3316704229908725</v>
      </c>
      <c r="CL291" s="21"/>
      <c r="CM291" s="81">
        <f>H291*月別販売比率!$AB$21</f>
        <v>8.4</v>
      </c>
      <c r="CN291" s="21"/>
      <c r="CO291" s="81">
        <f>H291*月別販売比率!$AG$21</f>
        <v>7</v>
      </c>
      <c r="CP291" s="21"/>
      <c r="CQ291" s="81">
        <f>H291*月別販売比率!$AL$21</f>
        <v>6.3</v>
      </c>
      <c r="CR291" s="21"/>
      <c r="CS291" s="81">
        <f>H291*月別販売比率!$AQ$21</f>
        <v>7</v>
      </c>
      <c r="CT291" s="21"/>
      <c r="CU291" s="81">
        <f>H291*月別販売比率!$AV$21</f>
        <v>4.2626062849661652</v>
      </c>
      <c r="CV291" s="21"/>
      <c r="CW291" s="81">
        <f>H291*月別販売比率!$BA$21</f>
        <v>3.8936184493533097</v>
      </c>
      <c r="CX291" s="21"/>
      <c r="CY291" s="81">
        <f>H291*月別販売比率!$BF$21</f>
        <v>5.6000000000000005</v>
      </c>
      <c r="CZ291" s="21"/>
      <c r="DA291" s="28"/>
      <c r="DB291" s="294"/>
    </row>
    <row r="292" spans="2:107" ht="30.75" customHeight="1">
      <c r="C292" s="457"/>
      <c r="D292" s="441"/>
      <c r="E292" s="94" t="s">
        <v>49</v>
      </c>
      <c r="F292" s="57">
        <v>13</v>
      </c>
      <c r="G292" s="46">
        <f t="shared" si="394"/>
        <v>64350</v>
      </c>
      <c r="H292" s="45">
        <f t="shared" si="395"/>
        <v>13</v>
      </c>
      <c r="I292" s="46">
        <f t="shared" si="396"/>
        <v>64350</v>
      </c>
      <c r="J292" s="9">
        <v>1</v>
      </c>
      <c r="K292" s="21">
        <f t="shared" si="384"/>
        <v>17</v>
      </c>
      <c r="L292" s="21">
        <v>0</v>
      </c>
      <c r="M292" s="21">
        <v>17</v>
      </c>
      <c r="N292" s="42"/>
      <c r="O292" s="19"/>
      <c r="P292" s="19"/>
      <c r="Q292" s="124"/>
      <c r="R292" s="124"/>
      <c r="S292" s="124"/>
      <c r="T292" s="124"/>
      <c r="U292" s="328"/>
      <c r="V292" s="328"/>
      <c r="W292" s="328"/>
      <c r="X292" s="328"/>
      <c r="Y292" s="328"/>
      <c r="Z292" s="124"/>
      <c r="AA292" s="331">
        <v>45958</v>
      </c>
      <c r="AB292" s="124"/>
      <c r="AC292" s="124"/>
      <c r="AD292" s="124"/>
      <c r="AE292" s="124"/>
      <c r="AF292" s="124"/>
      <c r="AG292" s="331"/>
      <c r="AH292" s="331"/>
      <c r="AI292" s="129">
        <f t="shared" si="385"/>
        <v>26.96</v>
      </c>
      <c r="AJ292" s="129">
        <f t="shared" si="386"/>
        <v>25.969832635730267</v>
      </c>
      <c r="AK292" s="129">
        <f t="shared" si="387"/>
        <v>24.409832635730268</v>
      </c>
      <c r="AL292" s="129">
        <f t="shared" si="388"/>
        <v>23.109832635730267</v>
      </c>
      <c r="AM292" s="129">
        <f t="shared" si="389"/>
        <v>21.939832635730269</v>
      </c>
      <c r="AN292" s="399">
        <f t="shared" si="390"/>
        <v>20.639832635730269</v>
      </c>
      <c r="AO292" s="393">
        <f t="shared" si="391"/>
        <v>19.848205754236552</v>
      </c>
      <c r="AP292" s="96">
        <f t="shared" si="392"/>
        <v>19.125105185070936</v>
      </c>
      <c r="AQ292" s="91">
        <f t="shared" si="393"/>
        <v>18.085105185070937</v>
      </c>
      <c r="AR292" s="198"/>
      <c r="AS292" s="81">
        <f>$H$292*月別販売比率!AG5</f>
        <v>1.3</v>
      </c>
      <c r="AT292" s="21"/>
      <c r="AU292" s="81">
        <f>$H$292*月別販売比率!AL5</f>
        <v>1.17</v>
      </c>
      <c r="AV292" s="21"/>
      <c r="AW292" s="81">
        <f>$H$292*月別販売比率!AQ5</f>
        <v>1.3</v>
      </c>
      <c r="AX292" s="21"/>
      <c r="AY292" s="81">
        <f>$H$292*月別販売比率!AV5</f>
        <v>0.79162688149371641</v>
      </c>
      <c r="AZ292" s="21"/>
      <c r="BA292" s="81">
        <f>$H$292*月別販売比率!BA5</f>
        <v>0.72310056916561471</v>
      </c>
      <c r="BB292" s="21"/>
      <c r="BC292" s="81">
        <f>$H$292*月別販売比率!BF5</f>
        <v>1.04</v>
      </c>
      <c r="BD292" s="21"/>
      <c r="BE292" s="245">
        <f>$H$292*月別販売比率!C5</f>
        <v>0.92123526450592264</v>
      </c>
      <c r="BF292" s="241"/>
      <c r="BG292" s="81">
        <f>$H$292*月別販売比率!H5</f>
        <v>0.91000000000000014</v>
      </c>
      <c r="BH292" s="21"/>
      <c r="BI292" s="81">
        <f>$H$292*月別販売比率!M5</f>
        <v>1.3138279586075021</v>
      </c>
      <c r="BJ292" s="21"/>
      <c r="BK292" s="81">
        <f>$H$292*月別販売比率!R5</f>
        <v>1.04</v>
      </c>
      <c r="BL292" s="21"/>
      <c r="BM292" s="81">
        <f>$H$292*月別販売比率!W5</f>
        <v>0.9901673642697334</v>
      </c>
      <c r="BN292" s="21"/>
      <c r="BO292" s="81">
        <f>$H$292*月別販売比率!AB5</f>
        <v>1.56</v>
      </c>
      <c r="BP292" s="21"/>
      <c r="BQ292" s="245">
        <f>$H$292*月別販売比率!AG5</f>
        <v>1.3</v>
      </c>
      <c r="BR292" s="241">
        <v>40</v>
      </c>
      <c r="BS292" s="81">
        <f>$H$292*月別販売比率!AL5</f>
        <v>1.17</v>
      </c>
      <c r="BT292" s="21"/>
      <c r="BU292" s="81">
        <f>$H$292*月別販売比率!AQ5</f>
        <v>1.3</v>
      </c>
      <c r="BV292" s="21"/>
      <c r="BW292" s="81">
        <f>$H$292*月別販売比率!AV5</f>
        <v>0.79162688149371641</v>
      </c>
      <c r="BX292" s="21"/>
      <c r="BY292" s="81">
        <f>$H$292*月別販売比率!BA5</f>
        <v>0.72310056916561471</v>
      </c>
      <c r="BZ292" s="21"/>
      <c r="CA292" s="81">
        <f>$H$292*月別販売比率!BF5</f>
        <v>1.04</v>
      </c>
      <c r="CB292" s="21"/>
      <c r="CC292" s="81">
        <f>H292*月別販売比率!$C$21</f>
        <v>0.92123526450592264</v>
      </c>
      <c r="CD292" s="21"/>
      <c r="CE292" s="81">
        <f>H292*月別販売比率!$H$21</f>
        <v>0.91000000000000014</v>
      </c>
      <c r="CF292" s="21"/>
      <c r="CG292" s="81">
        <f>H292*月別販売比率!$M$21</f>
        <v>1.3138279586075021</v>
      </c>
      <c r="CH292" s="21"/>
      <c r="CI292" s="81">
        <f>H292*月別販売比率!$R$21</f>
        <v>1.04</v>
      </c>
      <c r="CJ292" s="21">
        <v>10</v>
      </c>
      <c r="CK292" s="81">
        <f>H292*月別販売比率!$W$21</f>
        <v>0.9901673642697334</v>
      </c>
      <c r="CL292" s="21"/>
      <c r="CM292" s="81">
        <f>H292*月別販売比率!$AB$21</f>
        <v>1.56</v>
      </c>
      <c r="CN292" s="21"/>
      <c r="CO292" s="81">
        <f>H292*月別販売比率!$AG$21</f>
        <v>1.3</v>
      </c>
      <c r="CP292" s="21"/>
      <c r="CQ292" s="81">
        <f>H292*月別販売比率!$AL$21</f>
        <v>1.17</v>
      </c>
      <c r="CR292" s="21"/>
      <c r="CS292" s="81">
        <f>H292*月別販売比率!$AQ$21</f>
        <v>1.3</v>
      </c>
      <c r="CT292" s="21"/>
      <c r="CU292" s="81">
        <f>H292*月別販売比率!$AV$21</f>
        <v>0.79162688149371641</v>
      </c>
      <c r="CV292" s="21"/>
      <c r="CW292" s="81">
        <f>H292*月別販売比率!$BA$21</f>
        <v>0.72310056916561471</v>
      </c>
      <c r="CX292" s="21"/>
      <c r="CY292" s="81">
        <f>H292*月別販売比率!$BF$21</f>
        <v>1.04</v>
      </c>
      <c r="CZ292" s="21"/>
      <c r="DA292" s="28"/>
      <c r="DB292" s="294"/>
    </row>
    <row r="293" spans="2:107" ht="30.75" customHeight="1">
      <c r="C293" s="457"/>
      <c r="D293" s="441"/>
      <c r="E293" s="119" t="s">
        <v>50</v>
      </c>
      <c r="F293" s="126">
        <v>9</v>
      </c>
      <c r="G293" s="53">
        <f t="shared" si="394"/>
        <v>44550</v>
      </c>
      <c r="H293" s="52">
        <f t="shared" si="395"/>
        <v>9</v>
      </c>
      <c r="I293" s="53">
        <f t="shared" si="396"/>
        <v>44550</v>
      </c>
      <c r="J293" s="127">
        <v>0</v>
      </c>
      <c r="K293" s="103">
        <f t="shared" si="384"/>
        <v>25</v>
      </c>
      <c r="L293" s="103">
        <v>11</v>
      </c>
      <c r="M293" s="103">
        <v>14</v>
      </c>
      <c r="N293" s="44"/>
      <c r="O293" s="313"/>
      <c r="P293" s="123"/>
      <c r="Q293" s="238"/>
      <c r="R293" s="238"/>
      <c r="S293" s="238"/>
      <c r="T293" s="238"/>
      <c r="U293" s="238"/>
      <c r="V293" s="238"/>
      <c r="W293" s="238"/>
      <c r="X293" s="238"/>
      <c r="Y293" s="238"/>
      <c r="Z293" s="238"/>
      <c r="AA293" s="238"/>
      <c r="AB293" s="238"/>
      <c r="AC293" s="238"/>
      <c r="AD293" s="238"/>
      <c r="AE293" s="238"/>
      <c r="AF293" s="238"/>
      <c r="AG293" s="238"/>
      <c r="AH293" s="238"/>
      <c r="AI293" s="238">
        <f t="shared" si="385"/>
        <v>24.28</v>
      </c>
      <c r="AJ293" s="238">
        <f t="shared" si="386"/>
        <v>23.594499517044031</v>
      </c>
      <c r="AK293" s="238">
        <f t="shared" si="387"/>
        <v>22.51449951704403</v>
      </c>
      <c r="AL293" s="238">
        <f t="shared" si="388"/>
        <v>21.614499517044031</v>
      </c>
      <c r="AM293" s="238">
        <f t="shared" si="389"/>
        <v>20.804499517044032</v>
      </c>
      <c r="AN293" s="401">
        <f t="shared" si="390"/>
        <v>19.904499517044034</v>
      </c>
      <c r="AO293" s="395">
        <f t="shared" si="391"/>
        <v>19.356450137548386</v>
      </c>
      <c r="AP293" s="403">
        <f t="shared" si="392"/>
        <v>18.855842051202959</v>
      </c>
      <c r="AQ293" s="90">
        <f t="shared" si="393"/>
        <v>18.13584205120296</v>
      </c>
      <c r="AR293" s="238"/>
      <c r="AS293" s="282">
        <f>$H$293*月別販売比率!AG5</f>
        <v>0.9</v>
      </c>
      <c r="AT293" s="103"/>
      <c r="AU293" s="282">
        <f>$H$293*月別販売比率!AL5</f>
        <v>0.80999999999999994</v>
      </c>
      <c r="AV293" s="103"/>
      <c r="AW293" s="282">
        <f>$H$293*月別販売比率!AQ5</f>
        <v>0.9</v>
      </c>
      <c r="AX293" s="103"/>
      <c r="AY293" s="282">
        <f>$H$293*月別販売比率!AV5</f>
        <v>0.5480493794956498</v>
      </c>
      <c r="AZ293" s="103"/>
      <c r="BA293" s="282">
        <f>$H$293*月別販売比率!BA5</f>
        <v>0.50060808634542553</v>
      </c>
      <c r="BB293" s="117"/>
      <c r="BC293" s="282">
        <f>$H$293*月別販売比率!BF5</f>
        <v>0.72</v>
      </c>
      <c r="BD293" s="103"/>
      <c r="BE293" s="301">
        <f>$H$293*月別販売比率!C5</f>
        <v>0.63777826004256177</v>
      </c>
      <c r="BF293" s="352"/>
      <c r="BG293" s="282">
        <f>$H$293*月別販売比率!H5</f>
        <v>0.63000000000000012</v>
      </c>
      <c r="BH293" s="103"/>
      <c r="BI293" s="282">
        <f>$H$293*月別販売比率!M5</f>
        <v>0.90957320211288606</v>
      </c>
      <c r="BJ293" s="103"/>
      <c r="BK293" s="282">
        <f>$H$293*月別販売比率!R5</f>
        <v>0.72</v>
      </c>
      <c r="BL293" s="103"/>
      <c r="BM293" s="282">
        <f>$H$293*月別販売比率!W5</f>
        <v>0.68550048295596933</v>
      </c>
      <c r="BN293" s="103"/>
      <c r="BO293" s="282">
        <f>$H$293*月別販売比率!AB5</f>
        <v>1.08</v>
      </c>
      <c r="BP293" s="103"/>
      <c r="BQ293" s="301">
        <f>$H$293*月別販売比率!AG5</f>
        <v>0.9</v>
      </c>
      <c r="BR293" s="302"/>
      <c r="BS293" s="282">
        <f>$H$293*月別販売比率!AL5</f>
        <v>0.80999999999999994</v>
      </c>
      <c r="BT293" s="103"/>
      <c r="BU293" s="282">
        <f>$H$293*月別販売比率!AQ5</f>
        <v>0.9</v>
      </c>
      <c r="BV293" s="103"/>
      <c r="BW293" s="282">
        <f>$H$293*月別販売比率!AV5</f>
        <v>0.5480493794956498</v>
      </c>
      <c r="BX293" s="103"/>
      <c r="BY293" s="282">
        <f>$H$293*月別販売比率!BA5</f>
        <v>0.50060808634542553</v>
      </c>
      <c r="BZ293" s="103"/>
      <c r="CA293" s="282">
        <f>$H$293*月別販売比率!BF5</f>
        <v>0.72</v>
      </c>
      <c r="CB293" s="103"/>
      <c r="CC293" s="282">
        <f>H293*月別販売比率!$C$21</f>
        <v>0.63777826004256177</v>
      </c>
      <c r="CD293" s="103"/>
      <c r="CE293" s="282">
        <f>H293*月別販売比率!$H$21</f>
        <v>0.63000000000000012</v>
      </c>
      <c r="CF293" s="103"/>
      <c r="CG293" s="282">
        <f>H293*月別販売比率!$M$21</f>
        <v>0.90957320211288606</v>
      </c>
      <c r="CH293" s="103"/>
      <c r="CI293" s="282">
        <f>H293*月別販売比率!$R$21</f>
        <v>0.72</v>
      </c>
      <c r="CJ293" s="103"/>
      <c r="CK293" s="282">
        <f>H293*月別販売比率!$W$21</f>
        <v>0.68550048295596933</v>
      </c>
      <c r="CL293" s="103"/>
      <c r="CM293" s="282">
        <f>H293*月別販売比率!$AB$21</f>
        <v>1.08</v>
      </c>
      <c r="CN293" s="103"/>
      <c r="CO293" s="282">
        <f>H293*月別販売比率!$AG$21</f>
        <v>0.9</v>
      </c>
      <c r="CP293" s="103"/>
      <c r="CQ293" s="282">
        <f>H293*月別販売比率!$AL$21</f>
        <v>0.80999999999999994</v>
      </c>
      <c r="CR293" s="103"/>
      <c r="CS293" s="282">
        <f>H293*月別販売比率!$AQ$21</f>
        <v>0.9</v>
      </c>
      <c r="CT293" s="103"/>
      <c r="CU293" s="282">
        <f>H293*月別販売比率!$AV$21</f>
        <v>0.5480493794956498</v>
      </c>
      <c r="CV293" s="103"/>
      <c r="CW293" s="282">
        <f>H293*月別販売比率!$BA$21</f>
        <v>0.50060808634542553</v>
      </c>
      <c r="CX293" s="103"/>
      <c r="CY293" s="282">
        <f>H293*月別販売比率!$BF$21</f>
        <v>0.72</v>
      </c>
      <c r="CZ293" s="103"/>
      <c r="DA293" s="303"/>
      <c r="DB293" s="300"/>
    </row>
    <row r="294" spans="2:107" ht="30.75" customHeight="1">
      <c r="C294" s="485" t="s">
        <v>23</v>
      </c>
      <c r="D294" s="486"/>
      <c r="E294" s="487"/>
      <c r="F294" s="270">
        <f t="shared" ref="F294:N294" si="397">F6+F38+F65+F116+F127+F27+F138+F76+F89+F155+F99+F49+F164+F171+F182+F195+F211+F112+F281+F271</f>
        <v>13809</v>
      </c>
      <c r="G294" s="270">
        <f t="shared" si="397"/>
        <v>56753730</v>
      </c>
      <c r="H294" s="270">
        <f t="shared" si="397"/>
        <v>23887</v>
      </c>
      <c r="I294" s="270">
        <f t="shared" si="397"/>
        <v>115764377.45309424</v>
      </c>
      <c r="J294" s="63">
        <f t="shared" si="397"/>
        <v>2765</v>
      </c>
      <c r="K294" s="253">
        <f t="shared" si="397"/>
        <v>4863</v>
      </c>
      <c r="L294" s="253">
        <f t="shared" si="397"/>
        <v>1175</v>
      </c>
      <c r="M294" s="253">
        <f t="shared" si="397"/>
        <v>2157</v>
      </c>
      <c r="N294" s="254">
        <f t="shared" si="397"/>
        <v>1535</v>
      </c>
      <c r="O294" s="237"/>
      <c r="P294" s="237"/>
      <c r="Q294" s="237"/>
      <c r="R294" s="237"/>
      <c r="S294" s="237"/>
      <c r="T294" s="237"/>
      <c r="U294" s="237"/>
      <c r="V294" s="237"/>
      <c r="W294" s="237"/>
      <c r="X294" s="237"/>
      <c r="Y294" s="237"/>
      <c r="Z294" s="237"/>
      <c r="AA294" s="237"/>
      <c r="AB294" s="237"/>
      <c r="AC294" s="237"/>
      <c r="AD294" s="237"/>
      <c r="AE294" s="237"/>
      <c r="AF294" s="237"/>
      <c r="AG294" s="237"/>
      <c r="AH294" s="237"/>
      <c r="AI294" s="237"/>
      <c r="AJ294" s="237"/>
      <c r="AK294" s="237"/>
      <c r="AL294" s="237"/>
      <c r="AM294" s="237"/>
      <c r="AN294" s="237"/>
      <c r="AO294" s="237"/>
      <c r="AP294" s="237"/>
      <c r="AQ294" s="237"/>
      <c r="AR294" s="237"/>
      <c r="AS294" s="63" t="e">
        <f>AS6+AS38+AS65+AS116+AS127+AS27+AS138+AS76+AS89+AS155+#REF!+AS99+AS49+#REF!+#REF!+AS171+AS164+AS211+#REF!+#REF!+#REF!+AS112+AS281+AS271</f>
        <v>#REF!</v>
      </c>
      <c r="AT294" s="63" t="e">
        <f>AT6+AT38+AT65+AT116+AT127+AT27+AT138+AT76+AT89+AT155+#REF!+AT99+AT49+#REF!+#REF!+AT171+AT164+AT211+#REF!+#REF!+#REF!+AT112+AT281+AT271</f>
        <v>#REF!</v>
      </c>
      <c r="AU294" s="63" t="e">
        <f>AU6+AU38+AU65+AU116+AU127+AU27+AU138+AU76+AU89+AU155+#REF!+AU99+AU49+#REF!+#REF!+AU171+AU164+AU211+#REF!+#REF!+#REF!+AU112+AU281+AU271</f>
        <v>#REF!</v>
      </c>
      <c r="AV294" s="63" t="e">
        <f>AV6+AV38+AV65+AV116+AV127+AV27+AV138+AV76+AV89+AV155+#REF!+AV99+AV49+#REF!+#REF!+AV171+AV164+AV211+#REF!+#REF!+#REF!+AV112+AV281+AV271</f>
        <v>#REF!</v>
      </c>
      <c r="AW294" s="63" t="e">
        <f>AW6+AW38+AW65+AW116+AW127+AW27+AW138+AW76+AW89+AW155+#REF!+AW99+AW49+#REF!+#REF!+AW171+AW164+AW211+#REF!+#REF!+#REF!+AW112+AW281+AW271</f>
        <v>#REF!</v>
      </c>
      <c r="AX294" s="63" t="e">
        <f>AX6+AX38+AX65+AX116+AX127+AX27+AX138+AX76+AX89+AX155+#REF!+AX99+AX49+#REF!+#REF!+AX171+AX164+AX211+#REF!+#REF!+#REF!+AX112+AX281+AX271</f>
        <v>#REF!</v>
      </c>
      <c r="AY294" s="63" t="e">
        <f>AY6+AY38+AY65+AY116+AY127+AY27+AY138+AY76+AY89+AY155+#REF!+AY99+AY49+#REF!+#REF!+AY171+AY164+AY211+#REF!+#REF!+#REF!+AY112+AY281+AY271</f>
        <v>#REF!</v>
      </c>
      <c r="AZ294" s="63" t="e">
        <f>AZ6+AZ38+AZ65+AZ116+AZ127+AZ27+AZ138+AZ76+AZ89+AZ155+#REF!+AZ99+AZ49+#REF!+#REF!+AZ171+AZ164+AZ211+#REF!+#REF!+#REF!+AZ112+AZ281+AZ271</f>
        <v>#REF!</v>
      </c>
      <c r="BA294" s="63" t="e">
        <f>BA6+BA38+BA65+BA116+BA127+BA27+BA138+BA76+BA89+BA155+#REF!+BA99+BA49+#REF!+#REF!+BA171+BA164+BA211+#REF!+#REF!+#REF!+BA112+BA281+BA271</f>
        <v>#REF!</v>
      </c>
      <c r="BB294" s="63" t="e">
        <f>BB6+BB38+BB65+BB116+BB127+BB27+BB138+BB76+BB89+BB155+#REF!+BB99+BB49+#REF!+#REF!+BB171+BB164+BB211+#REF!+#REF!+#REF!+BB112+BB281+BB271</f>
        <v>#REF!</v>
      </c>
      <c r="BC294" s="63" t="e">
        <f>BC6+BC38+BC65+BC116+BC127+BC27+BC138+BC76+BC89+BC155+#REF!+BC99+BC49+#REF!+#REF!+BC171+BC164+BC211+#REF!+#REF!+#REF!+BC112+BC281+BC271</f>
        <v>#REF!</v>
      </c>
      <c r="BD294" s="63" t="e">
        <f>BD6+BD38+BD65+BD116+BD127+BD27+BD138+BD76+BD89+BD155+#REF!+BD99+BD49+#REF!+#REF!+BD171+BD164+BD211+#REF!+#REF!+#REF!+BD112+BD281+BD271</f>
        <v>#REF!</v>
      </c>
      <c r="BE294" s="63" t="e">
        <f>BE6+BE38+BE65+BE116+BE127+BE27+BE138+BE76+BE89+BE155+#REF!+BE99+BE49+#REF!+#REF!+BE171+BE164+BE211+#REF!+#REF!+#REF!+BE112+BE281+BE271</f>
        <v>#REF!</v>
      </c>
      <c r="BF294" s="63" t="e">
        <f>BF6+BF38+BF65+BF116+BF127+BF27+BF138+BF76+BF89+BF155+#REF!+BF99+BF49+#REF!+#REF!+BF171+BF164+BF211+#REF!+#REF!+#REF!+BF112+BF281+BF271</f>
        <v>#REF!</v>
      </c>
      <c r="BG294" s="63" t="e">
        <f>BG6+BG38+BG65+BG116+BG127+BG27+BG138+BG76+BG89+BG155+#REF!+BG99+BG49+#REF!+#REF!+BG171+BG164+BG211+#REF!+#REF!+#REF!+BG112+BG281+BG271</f>
        <v>#REF!</v>
      </c>
      <c r="BH294" s="63" t="e">
        <f>BH6+BH38+BH65+BH116+BH127+BH27+BH138+BH76+BH89+BH155+#REF!+BH99+BH49+#REF!+#REF!+BH171+BH164+BH211+#REF!+#REF!+#REF!+BH112+BH281+BH271</f>
        <v>#REF!</v>
      </c>
      <c r="BI294" s="63" t="e">
        <f>BI6+BI38+BI65+BI116+BI127+BI27+BI138+BI76+BI89+BI155+#REF!+BI99+BI49+#REF!+#REF!+BI171+BI164+BI211+#REF!+#REF!+#REF!+BI112+BI281+BI271</f>
        <v>#REF!</v>
      </c>
      <c r="BJ294" s="63" t="e">
        <f>BJ6+BJ38+#REF!+#REF!+#REF!+BJ27+BJ138+BJ76+BJ89+BJ155+#REF!+BJ99+BJ49+#REF!+#REF!+BJ171+BJ164+BJ211+#REF!+#REF!+#REF!+BJ112+BJ281+BJ271</f>
        <v>#REF!</v>
      </c>
      <c r="BK294" s="63" t="e">
        <f>BK6+BK38+BK65+BK116+BK127+BK27+BK138+BK76+BK89+BK155+#REF!+BK99+BK49+#REF!+#REF!+BK171+BK164+BK211+#REF!+#REF!+#REF!+BK112+BK281+BK271</f>
        <v>#REF!</v>
      </c>
      <c r="BL294" s="63" t="e">
        <f>BL6+BL38+BL65+BL116+BL127+BL27+BL138+BL76+BL89+BL155+#REF!+BL99+BL49+#REF!+#REF!+BL171+BL164+BL211+#REF!+#REF!+#REF!+BL112+BL281+BL271</f>
        <v>#REF!</v>
      </c>
      <c r="BM294" s="63" t="e">
        <f>BM6+BM38+BM65+BM116+BM127+BM27+BM138+BM76+BM89+BM155+#REF!+BM99+BM49+#REF!+#REF!+BM171+BM164+BM211+#REF!+#REF!+#REF!+BM112+BM281+BM271</f>
        <v>#REF!</v>
      </c>
      <c r="BN294" s="63" t="e">
        <f>BN6+BN38+BN65+BN116+BN127+BN27+BN138+BN76+BN89+BN155+#REF!+BN99+BN49+#REF!+#REF!+BN171+BN164+BN211+#REF!+#REF!+#REF!+BN112+BN281+BN271</f>
        <v>#REF!</v>
      </c>
      <c r="BO294" s="63" t="e">
        <f>BO6+BO38+BO65+BO116+BO127+BO27+BO138+BO76+BO89+BO155+#REF!+BO99+BO49+#REF!+#REF!+BO171+BO164+BO211+#REF!+#REF!+#REF!+BO112+BO281+BO271</f>
        <v>#REF!</v>
      </c>
      <c r="BP294" s="63" t="e">
        <f>BP6+BP38+BP65+BP116+BP127+BP27+BP138+BP76+BP89+BP155+#REF!+BP99+BP49+#REF!+#REF!+BP171+BP164+BP211+#REF!+#REF!+#REF!+BP112+BP281+BP271</f>
        <v>#REF!</v>
      </c>
      <c r="BQ294" s="63" t="e">
        <f>BQ6+BQ38+BQ65+BQ116+BQ127+BQ27+BQ138+BQ76+BQ89+BQ155+#REF!+BQ99+BQ49+#REF!+#REF!+BQ171+BQ164+BQ211+#REF!+#REF!+#REF!+BQ112+BQ281+BQ271</f>
        <v>#REF!</v>
      </c>
      <c r="BR294" s="63" t="e">
        <f>BR6+BR38+BR65+BR116+BR127+BR27+BR138+BR76+BR89+BR155+#REF!+BR99+BR49+#REF!+#REF!+BR171+BR164+BR211+#REF!+#REF!+#REF!+BR112+BR281+BR271</f>
        <v>#REF!</v>
      </c>
      <c r="BS294" s="63" t="e">
        <f>BS6+BS38+BS65+BS116+BS127+BS27+BS138+BS76+BS89+BS155+#REF!+BS99+BS49+#REF!+#REF!+BS171+BS164+BS211+#REF!+#REF!+#REF!+BS112+BS281+BS271</f>
        <v>#REF!</v>
      </c>
      <c r="BT294" s="63" t="e">
        <f>BT6+BT38+BT65+BT116+BT127+BT27+BT138+BT76+BT89+BT155+#REF!+BT99+BT49+#REF!+#REF!+BT171+BT164+BT211+#REF!+#REF!+#REF!+BT112+BT281+BT271</f>
        <v>#REF!</v>
      </c>
      <c r="BU294" s="63" t="e">
        <f>BU6+BU38+BU65+BU116+BU127+BU27+BU138+BU76+BU89+BU155+#REF!+BU99+BU49+#REF!+#REF!+BU171+BU164+BU211+#REF!+#REF!+#REF!+BU112+BU281+BU271</f>
        <v>#REF!</v>
      </c>
      <c r="BV294" s="63" t="e">
        <f>BV6+BV38+BV65+BV116+BV127+BV27+BV138+BV76+BV89+BV155+#REF!+BV99+BV49+#REF!+#REF!+BV171+BV164+BV211+#REF!+#REF!+#REF!+BV112+BV281+BV271</f>
        <v>#REF!</v>
      </c>
      <c r="BW294" s="63" t="e">
        <f>BW6+BW38+BW65+BW116+BW127+BW27+BW138+BW76+BW89+BW155+#REF!+BW99+BW49+#REF!+#REF!+BW171+BW164+BW211+#REF!+#REF!+#REF!+BW112+BW281+BW271</f>
        <v>#REF!</v>
      </c>
      <c r="BX294" s="63" t="e">
        <f>BX6+BX38+BX65+BX116+BX127+BX27+BX138+BX76+BX89+BX155+#REF!+BX99+BX49+#REF!+#REF!+BX171+BX164+BX211+#REF!+#REF!+#REF!+BX112+BX281+BX271</f>
        <v>#REF!</v>
      </c>
      <c r="BY294" s="63" t="e">
        <f>BY6+BY38+BY65+BY116+BY127+BY27+BY138+BY76+BY89+BY155+#REF!+BY99+BY49+#REF!+#REF!+BY171+BY164+BY211+#REF!+#REF!+#REF!+BY112+BY281+BY271</f>
        <v>#REF!</v>
      </c>
      <c r="BZ294" s="63" t="e">
        <f>BZ6+BZ38+BZ65+BZ116+BZ127+BZ27+BZ138+BZ76+BZ89+BZ155+#REF!+BZ99+BZ49+#REF!+#REF!+BZ171+BZ164+BZ211+#REF!+#REF!+#REF!+BZ112+BZ281+BZ271</f>
        <v>#REF!</v>
      </c>
      <c r="CA294" s="63" t="e">
        <f>CA6+CA38+CA65+CA116+CA127+CA27+CA138+CA76+CA89+CA155+#REF!+CA99+CA49+#REF!+#REF!+CA171+CA164+CA211+#REF!+#REF!+#REF!+CA112+CA281+CA271</f>
        <v>#REF!</v>
      </c>
      <c r="CB294" s="63" t="e">
        <f>CB6+CB38+CB65+CB116+CB127+CB27+CB138+CB76+CB89+CB155+#REF!+CB99+CB49+#REF!+#REF!+CB171+CB164+CB211+#REF!+#REF!+#REF!+CB112+CB281+CB271</f>
        <v>#REF!</v>
      </c>
      <c r="CC294" s="63" t="e">
        <f>CC6+CC38+CC65+CC116+CC127+CC27+CC138+CC76+CC89+CC155+#REF!+CC99+CC49+#REF!+#REF!+CC171+CC164+CC211+#REF!+#REF!+#REF!+CC112+CC281+CC271</f>
        <v>#REF!</v>
      </c>
      <c r="CD294" s="63" t="e">
        <f>CD6+CD38+CD65+CD116+CD127+CD27+CD138+CD76+CD89+CD155+#REF!+CD99+CD49+#REF!+#REF!+CD171+CD164+CD211+#REF!+#REF!+#REF!+CD112+CD281+CD271</f>
        <v>#REF!</v>
      </c>
      <c r="CE294" s="63" t="e">
        <f>CE6+CE38+CE65+CE116+CE127+CE27+CE138+CE76+CE89+CE155+#REF!+CE99+CE49+#REF!+#REF!+CE171+CE164+CE211+#REF!+#REF!+#REF!+CE112+CE281+CE271</f>
        <v>#REF!</v>
      </c>
      <c r="CF294" s="63" t="e">
        <f>CF6+CF38+CF65+CF116+CF127+CF27+CF138+CF76+CF89+CF155+#REF!+CF99+CF49+#REF!+#REF!+CF171+CF164+CF211+#REF!+#REF!+#REF!+CF112+CF281+CF271</f>
        <v>#REF!</v>
      </c>
      <c r="CG294" s="63" t="e">
        <f>CG6+CG38+CG65+CG116+CG127+CG27+CG138+CG76+CG89+CG155+#REF!+CG99+CG49+#REF!+#REF!+CG171+CG164+CG211+#REF!+#REF!+#REF!+CG112+CG281+CG271</f>
        <v>#REF!</v>
      </c>
      <c r="CH294" s="63" t="e">
        <f>CH6+CH38+CH65+CH116+CH127+CH27+CH138+CH76+CH89+CH155+#REF!+CH99+CH49+#REF!+#REF!+CH171+CH164+CH211+#REF!+#REF!+#REF!+CH112+CH281+CH271</f>
        <v>#REF!</v>
      </c>
      <c r="CI294" s="63">
        <f>CI6+CI38+CI65+CI116+CI127+CI27+CI138+CI76+CI89+CI155+CI99+CI49+CI164+CI171+CI182+CI195+CI211+CI112+CI281+CI271</f>
        <v>2238.1824006359197</v>
      </c>
      <c r="CJ294" s="63">
        <f t="shared" ref="CJ294:CZ294" si="398">CJ6+CJ38+CJ65+CJ116+CJ127+CJ27+CJ138+CJ76+CJ89+CJ155+CJ99+CJ49+CJ164+CJ171+CJ182+CJ195+CJ211+CJ112+CJ281+CJ271</f>
        <v>3994</v>
      </c>
      <c r="CK294" s="63">
        <f t="shared" si="398"/>
        <v>2079.348002497049</v>
      </c>
      <c r="CL294" s="63">
        <f t="shared" si="398"/>
        <v>2678</v>
      </c>
      <c r="CM294" s="63">
        <f t="shared" si="398"/>
        <v>3028.9305207334774</v>
      </c>
      <c r="CN294" s="63">
        <f t="shared" si="398"/>
        <v>300</v>
      </c>
      <c r="CO294" s="63">
        <f t="shared" si="398"/>
        <v>2587.1299586331461</v>
      </c>
      <c r="CP294" s="63">
        <f t="shared" si="398"/>
        <v>3335</v>
      </c>
      <c r="CQ294" s="63">
        <f t="shared" si="398"/>
        <v>2175.6508527555411</v>
      </c>
      <c r="CR294" s="63">
        <f t="shared" si="398"/>
        <v>2298</v>
      </c>
      <c r="CS294" s="63">
        <f t="shared" si="398"/>
        <v>2523.0858526503052</v>
      </c>
      <c r="CT294" s="63">
        <f t="shared" si="398"/>
        <v>1365</v>
      </c>
      <c r="CU294" s="63">
        <f t="shared" si="398"/>
        <v>1672.5562964711082</v>
      </c>
      <c r="CV294" s="63">
        <f t="shared" si="398"/>
        <v>510</v>
      </c>
      <c r="CW294" s="63">
        <f t="shared" si="398"/>
        <v>1405.1903325476733</v>
      </c>
      <c r="CX294" s="63">
        <f t="shared" si="398"/>
        <v>0</v>
      </c>
      <c r="CY294" s="63">
        <f t="shared" si="398"/>
        <v>2006.2630076534365</v>
      </c>
      <c r="CZ294" s="63">
        <f t="shared" si="398"/>
        <v>0</v>
      </c>
      <c r="DA294" s="64"/>
      <c r="DB294" s="64"/>
      <c r="DC294" s="65"/>
    </row>
    <row r="295" spans="2:107" ht="41.25" customHeight="1">
      <c r="C295" s="17" t="s">
        <v>24</v>
      </c>
      <c r="D295" s="31"/>
      <c r="E295" s="33"/>
      <c r="F295" s="482"/>
      <c r="G295" s="483"/>
      <c r="H295" s="483"/>
      <c r="I295" s="484"/>
    </row>
    <row r="298" spans="2:107" ht="42" customHeight="1">
      <c r="C298" s="343"/>
    </row>
    <row r="304" spans="2:107" s="25" customFormat="1">
      <c r="B304" s="2"/>
      <c r="C304" s="3"/>
      <c r="D304" s="3"/>
      <c r="E304" s="34"/>
      <c r="F304" s="1"/>
      <c r="G304" s="1"/>
      <c r="H304"/>
      <c r="I304" s="1"/>
      <c r="J304" s="2"/>
      <c r="K304" s="2"/>
      <c r="L304" s="2"/>
      <c r="M304" s="2"/>
      <c r="N304"/>
      <c r="O304"/>
      <c r="P304"/>
      <c r="Q304"/>
      <c r="R304"/>
      <c r="S304"/>
      <c r="T304"/>
      <c r="U304"/>
      <c r="V304"/>
      <c r="W304"/>
      <c r="X304"/>
      <c r="Y304"/>
      <c r="Z304"/>
      <c r="AA304"/>
      <c r="AB304"/>
      <c r="AC304"/>
      <c r="AD304"/>
      <c r="AE304"/>
      <c r="AF304"/>
      <c r="AG304"/>
      <c r="AH304"/>
      <c r="AI304"/>
      <c r="AJ304"/>
      <c r="AK304"/>
      <c r="AL304"/>
      <c r="AM304"/>
      <c r="AN304"/>
      <c r="AO304"/>
      <c r="AP304"/>
      <c r="AQ304"/>
      <c r="AR304"/>
      <c r="AT304" s="2"/>
      <c r="AV304" s="2"/>
      <c r="AX304" s="2"/>
      <c r="AZ304" s="2"/>
      <c r="BB304" s="2"/>
      <c r="BD304" s="2"/>
      <c r="BF304" s="2"/>
      <c r="BH304" s="2"/>
      <c r="BJ304" s="2"/>
      <c r="BL304" s="2"/>
      <c r="BN304" s="2"/>
      <c r="BP304" s="2"/>
      <c r="BR304" s="2"/>
      <c r="BT304" s="2"/>
      <c r="BV304" s="2"/>
      <c r="BX304" s="2"/>
      <c r="BZ304" s="2"/>
      <c r="CB304" s="2"/>
      <c r="CD304" s="2"/>
      <c r="CF304" s="2"/>
      <c r="CH304" s="2"/>
      <c r="CJ304" s="2"/>
      <c r="CL304" s="2"/>
      <c r="CN304" s="2"/>
      <c r="CP304" s="2"/>
      <c r="CR304" s="2"/>
      <c r="CT304" s="2"/>
      <c r="CV304" s="2"/>
      <c r="CX304" s="2"/>
      <c r="CZ304" s="2"/>
      <c r="DA304" s="27"/>
      <c r="DB304" s="27"/>
      <c r="DC304"/>
    </row>
  </sheetData>
  <autoFilter ref="B5:DC295" xr:uid="{00000000-0009-0000-0000-000000000000}"/>
  <mergeCells count="154">
    <mergeCell ref="D267:D270"/>
    <mergeCell ref="C225:C236"/>
    <mergeCell ref="D225:D228"/>
    <mergeCell ref="D229:D232"/>
    <mergeCell ref="D233:D236"/>
    <mergeCell ref="C238:C252"/>
    <mergeCell ref="D248:D252"/>
    <mergeCell ref="D187:D190"/>
    <mergeCell ref="C196:C210"/>
    <mergeCell ref="D196:D200"/>
    <mergeCell ref="D201:D205"/>
    <mergeCell ref="D206:D210"/>
    <mergeCell ref="C224:E224"/>
    <mergeCell ref="C258:E258"/>
    <mergeCell ref="C259:C270"/>
    <mergeCell ref="C253:E253"/>
    <mergeCell ref="C254:C257"/>
    <mergeCell ref="D259:D262"/>
    <mergeCell ref="D263:D266"/>
    <mergeCell ref="F295:I295"/>
    <mergeCell ref="C182:E182"/>
    <mergeCell ref="C183:C194"/>
    <mergeCell ref="D191:D194"/>
    <mergeCell ref="C195:E195"/>
    <mergeCell ref="C237:E237"/>
    <mergeCell ref="C271:E271"/>
    <mergeCell ref="C272:C280"/>
    <mergeCell ref="D272:D274"/>
    <mergeCell ref="D275:D277"/>
    <mergeCell ref="D278:D280"/>
    <mergeCell ref="C294:E294"/>
    <mergeCell ref="C112:E112"/>
    <mergeCell ref="C113:C115"/>
    <mergeCell ref="C281:E281"/>
    <mergeCell ref="C282:C293"/>
    <mergeCell ref="D282:D285"/>
    <mergeCell ref="D286:D289"/>
    <mergeCell ref="D290:D293"/>
    <mergeCell ref="C164:E164"/>
    <mergeCell ref="C165:C170"/>
    <mergeCell ref="D165:D167"/>
    <mergeCell ref="D168:D170"/>
    <mergeCell ref="C211:E211"/>
    <mergeCell ref="C212:C223"/>
    <mergeCell ref="D212:D215"/>
    <mergeCell ref="D216:D219"/>
    <mergeCell ref="D220:D223"/>
    <mergeCell ref="D183:D186"/>
    <mergeCell ref="C171:E171"/>
    <mergeCell ref="C172:C181"/>
    <mergeCell ref="D172:D176"/>
    <mergeCell ref="D177:D181"/>
    <mergeCell ref="D238:D242"/>
    <mergeCell ref="D243:D247"/>
    <mergeCell ref="C50:C64"/>
    <mergeCell ref="D50:D54"/>
    <mergeCell ref="D55:D59"/>
    <mergeCell ref="D60:D64"/>
    <mergeCell ref="C99:E99"/>
    <mergeCell ref="C100:C111"/>
    <mergeCell ref="D100:D103"/>
    <mergeCell ref="D104:D107"/>
    <mergeCell ref="D108:D111"/>
    <mergeCell ref="C49:E49"/>
    <mergeCell ref="C90:C98"/>
    <mergeCell ref="D90:D92"/>
    <mergeCell ref="D93:D95"/>
    <mergeCell ref="D96:D98"/>
    <mergeCell ref="C155:E155"/>
    <mergeCell ref="C156:C163"/>
    <mergeCell ref="D156:D159"/>
    <mergeCell ref="D160:D163"/>
    <mergeCell ref="C76:E76"/>
    <mergeCell ref="C77:C88"/>
    <mergeCell ref="D77:D80"/>
    <mergeCell ref="D81:D84"/>
    <mergeCell ref="D85:D88"/>
    <mergeCell ref="C89:E89"/>
    <mergeCell ref="C27:E27"/>
    <mergeCell ref="C28:C37"/>
    <mergeCell ref="D28:D32"/>
    <mergeCell ref="D33:D37"/>
    <mergeCell ref="C138:E138"/>
    <mergeCell ref="C139:C154"/>
    <mergeCell ref="D139:D142"/>
    <mergeCell ref="D143:D146"/>
    <mergeCell ref="D147:D150"/>
    <mergeCell ref="D151:D154"/>
    <mergeCell ref="C116:E116"/>
    <mergeCell ref="C117:C126"/>
    <mergeCell ref="D117:D121"/>
    <mergeCell ref="D122:D126"/>
    <mergeCell ref="C127:E127"/>
    <mergeCell ref="C128:C137"/>
    <mergeCell ref="D128:D132"/>
    <mergeCell ref="D133:D137"/>
    <mergeCell ref="C38:E38"/>
    <mergeCell ref="C39:C48"/>
    <mergeCell ref="D39:D43"/>
    <mergeCell ref="D44:D48"/>
    <mergeCell ref="C65:E65"/>
    <mergeCell ref="C66:C75"/>
    <mergeCell ref="D66:D70"/>
    <mergeCell ref="D71:D75"/>
    <mergeCell ref="CW4:CX4"/>
    <mergeCell ref="CY4:CZ4"/>
    <mergeCell ref="DA4:DA5"/>
    <mergeCell ref="DB4:DB5"/>
    <mergeCell ref="C6:E6"/>
    <mergeCell ref="C7:C26"/>
    <mergeCell ref="D7:D11"/>
    <mergeCell ref="D12:D16"/>
    <mergeCell ref="D17:D21"/>
    <mergeCell ref="D22:D26"/>
    <mergeCell ref="CK4:CL4"/>
    <mergeCell ref="CM4:CN4"/>
    <mergeCell ref="CO4:CP4"/>
    <mergeCell ref="CQ4:CR4"/>
    <mergeCell ref="CS4:CT4"/>
    <mergeCell ref="CU4:CV4"/>
    <mergeCell ref="BY4:BZ4"/>
    <mergeCell ref="CA4:CB4"/>
    <mergeCell ref="CC4:CD4"/>
    <mergeCell ref="CE4:CF4"/>
    <mergeCell ref="CG4:CH4"/>
    <mergeCell ref="CI4:CJ4"/>
    <mergeCell ref="BM4:BN4"/>
    <mergeCell ref="BO4:BP4"/>
    <mergeCell ref="BQ4:BR4"/>
    <mergeCell ref="BS4:BT4"/>
    <mergeCell ref="BU4:BV4"/>
    <mergeCell ref="BW4:BX4"/>
    <mergeCell ref="BA4:BB4"/>
    <mergeCell ref="BC4:BD4"/>
    <mergeCell ref="BE4:BF4"/>
    <mergeCell ref="BG4:BH4"/>
    <mergeCell ref="BI4:BJ4"/>
    <mergeCell ref="BK4:BL4"/>
    <mergeCell ref="BU3:BV3"/>
    <mergeCell ref="C4:E4"/>
    <mergeCell ref="F4:G4"/>
    <mergeCell ref="H4:I4"/>
    <mergeCell ref="J4:N4"/>
    <mergeCell ref="O4:AB4"/>
    <mergeCell ref="AS4:AT4"/>
    <mergeCell ref="AU4:AV4"/>
    <mergeCell ref="AW4:AX4"/>
    <mergeCell ref="AY4:AZ4"/>
    <mergeCell ref="U1:V1"/>
    <mergeCell ref="AS2:AT2"/>
    <mergeCell ref="J3:N3"/>
    <mergeCell ref="BK3:BL3"/>
    <mergeCell ref="BQ3:BR3"/>
    <mergeCell ref="BS3:BT3"/>
  </mergeCells>
  <phoneticPr fontId="1"/>
  <conditionalFormatting sqref="AI7:AR37 AI282:AR293 AI39:AR126 AI128:AR137 AI139:AR280">
    <cfRule type="cellIs" dxfId="3" priority="1" operator="lessThan">
      <formula>1</formula>
    </cfRule>
  </conditionalFormatting>
  <pageMargins left="0.7" right="0.7" top="0.75" bottom="0.75" header="0.3" footer="0.3"/>
  <pageSetup paperSize="9" scale="1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C292"/>
  <sheetViews>
    <sheetView view="pageBreakPreview" topLeftCell="B1" zoomScale="55" zoomScaleNormal="55" zoomScaleSheetLayoutView="55" workbookViewId="0">
      <pane xSplit="4" ySplit="5" topLeftCell="F212" activePane="bottomRight" state="frozen"/>
      <selection activeCell="B1" sqref="B1"/>
      <selection pane="topRight" activeCell="F1" sqref="F1"/>
      <selection pane="bottomLeft" activeCell="B6" sqref="B6"/>
      <selection pane="bottomRight" activeCell="C221" sqref="C221:E221"/>
    </sheetView>
  </sheetViews>
  <sheetFormatPr defaultColWidth="8.8984375" defaultRowHeight="18" outlineLevelCol="1"/>
  <cols>
    <col min="2" max="2" width="9" style="2" customWidth="1"/>
    <col min="3" max="3" width="23.5" style="3" customWidth="1"/>
    <col min="4" max="4" width="8.3984375" style="3" customWidth="1"/>
    <col min="5" max="5" width="8.3984375" style="34" customWidth="1"/>
    <col min="6" max="7" width="14.59765625" style="1" customWidth="1"/>
    <col min="8" max="8" width="16.3984375" customWidth="1"/>
    <col min="9" max="9" width="16.3984375" style="1" customWidth="1"/>
    <col min="10" max="11" width="10.5" style="2" customWidth="1"/>
    <col min="12" max="14" width="10.5" style="2" customWidth="1" outlineLevel="1"/>
    <col min="15" max="34" width="10.5" style="2" hidden="1" customWidth="1"/>
    <col min="35" max="43" width="10.5" style="2" customWidth="1"/>
    <col min="44" max="44" width="1.5" style="2" customWidth="1"/>
    <col min="45" max="45" width="10.59765625" style="25" hidden="1" customWidth="1"/>
    <col min="46" max="46" width="10.59765625" style="2" hidden="1" customWidth="1"/>
    <col min="47" max="47" width="10.59765625" style="25" hidden="1" customWidth="1"/>
    <col min="48" max="48" width="10.59765625" style="2" hidden="1" customWidth="1"/>
    <col min="49" max="49" width="10.59765625" style="25" hidden="1" customWidth="1"/>
    <col min="50" max="50" width="10.59765625" style="2" hidden="1" customWidth="1"/>
    <col min="51" max="51" width="10.59765625" style="25" hidden="1" customWidth="1"/>
    <col min="52" max="52" width="10.59765625" style="2" hidden="1" customWidth="1"/>
    <col min="53" max="53" width="10.59765625" style="25" hidden="1" customWidth="1"/>
    <col min="54" max="54" width="10.59765625" style="2" hidden="1" customWidth="1"/>
    <col min="55" max="55" width="10.59765625" style="25" hidden="1" customWidth="1"/>
    <col min="56" max="56" width="10.59765625" style="2" hidden="1" customWidth="1"/>
    <col min="57" max="57" width="10.59765625" style="25" hidden="1" customWidth="1"/>
    <col min="58" max="58" width="10.59765625" style="2" hidden="1" customWidth="1"/>
    <col min="59" max="59" width="10.59765625" style="25" hidden="1" customWidth="1"/>
    <col min="60" max="60" width="10.59765625" style="2" hidden="1" customWidth="1"/>
    <col min="61" max="61" width="10.59765625" style="25" hidden="1" customWidth="1"/>
    <col min="62" max="62" width="10.59765625" style="2" hidden="1" customWidth="1"/>
    <col min="63" max="63" width="10.59765625" style="25" hidden="1" customWidth="1"/>
    <col min="64" max="64" width="10.59765625" style="2" hidden="1" customWidth="1"/>
    <col min="65" max="65" width="10.59765625" style="25" hidden="1" customWidth="1"/>
    <col min="66" max="66" width="10.59765625" style="2" hidden="1" customWidth="1"/>
    <col min="67" max="67" width="10.59765625" style="25" hidden="1" customWidth="1"/>
    <col min="68" max="68" width="10.59765625" style="2" hidden="1" customWidth="1"/>
    <col min="69" max="69" width="10.59765625" style="25" hidden="1" customWidth="1"/>
    <col min="70" max="70" width="10.59765625" style="2" hidden="1" customWidth="1"/>
    <col min="71" max="71" width="10.59765625" style="25" hidden="1" customWidth="1"/>
    <col min="72" max="72" width="10.59765625" style="2" hidden="1" customWidth="1"/>
    <col min="73" max="73" width="10.59765625" style="25" hidden="1" customWidth="1"/>
    <col min="74" max="74" width="10.59765625" style="2" hidden="1" customWidth="1"/>
    <col min="75" max="75" width="10.59765625" style="25" hidden="1" customWidth="1"/>
    <col min="76" max="76" width="10.59765625" style="2" hidden="1" customWidth="1"/>
    <col min="77" max="77" width="10.59765625" style="25" hidden="1" customWidth="1"/>
    <col min="78" max="78" width="10.59765625" style="2" hidden="1" customWidth="1"/>
    <col min="79" max="79" width="10.59765625" style="25" hidden="1" customWidth="1"/>
    <col min="80" max="80" width="10.59765625" style="2" hidden="1" customWidth="1"/>
    <col min="81" max="81" width="10.59765625" style="25" hidden="1" customWidth="1"/>
    <col min="82" max="82" width="10.59765625" style="2" hidden="1" customWidth="1"/>
    <col min="83" max="83" width="10.59765625" style="25" hidden="1" customWidth="1"/>
    <col min="84" max="84" width="10.59765625" style="2" hidden="1" customWidth="1"/>
    <col min="85" max="85" width="10.59765625" style="25" hidden="1" customWidth="1"/>
    <col min="86" max="86" width="10.59765625" style="2" hidden="1" customWidth="1"/>
    <col min="87" max="87" width="10.59765625" style="25" customWidth="1"/>
    <col min="88" max="88" width="10.59765625" style="2" customWidth="1"/>
    <col min="89" max="89" width="10.59765625" style="25" customWidth="1"/>
    <col min="90" max="90" width="10.59765625" style="2" customWidth="1"/>
    <col min="91" max="91" width="10.59765625" style="25" customWidth="1"/>
    <col min="92" max="92" width="10.59765625" style="2" customWidth="1"/>
    <col min="93" max="93" width="10.59765625" style="25" customWidth="1"/>
    <col min="94" max="94" width="10.59765625" style="2" customWidth="1"/>
    <col min="95" max="95" width="10.59765625" style="25" customWidth="1"/>
    <col min="96" max="96" width="10.59765625" style="2" customWidth="1"/>
    <col min="97" max="97" width="10.59765625" style="25" customWidth="1"/>
    <col min="98" max="98" width="10.59765625" style="2" customWidth="1"/>
    <col min="99" max="99" width="10.59765625" style="25" customWidth="1"/>
    <col min="100" max="100" width="10.59765625" style="2" customWidth="1"/>
    <col min="101" max="101" width="10.59765625" style="25" customWidth="1"/>
    <col min="102" max="102" width="10.59765625" style="2" customWidth="1"/>
    <col min="103" max="103" width="10.59765625" style="25" customWidth="1"/>
    <col min="104" max="104" width="10.59765625" style="2" customWidth="1"/>
    <col min="105" max="106" width="13" style="27" customWidth="1"/>
  </cols>
  <sheetData>
    <row r="1" spans="2:106" ht="18.75" hidden="1" customHeight="1">
      <c r="U1" s="434" t="s">
        <v>324</v>
      </c>
      <c r="V1" s="434"/>
    </row>
    <row r="2" spans="2:106" ht="19.8">
      <c r="C2" s="414" t="s">
        <v>484</v>
      </c>
      <c r="G2" s="263"/>
      <c r="K2" s="66"/>
      <c r="L2" s="66"/>
      <c r="M2" s="66"/>
      <c r="N2" s="66"/>
      <c r="X2" s="250"/>
      <c r="AH2" s="362" t="s">
        <v>324</v>
      </c>
      <c r="AI2" s="250"/>
      <c r="AJ2" s="250"/>
      <c r="AL2" s="250"/>
      <c r="AM2" s="250"/>
      <c r="AN2" s="250" t="s">
        <v>497</v>
      </c>
      <c r="AO2" s="66"/>
      <c r="AP2" s="66"/>
      <c r="AQ2" s="66"/>
      <c r="AR2" s="66"/>
      <c r="AS2" s="493" t="s">
        <v>323</v>
      </c>
      <c r="AT2" s="493"/>
      <c r="AV2" s="318" t="s">
        <v>327</v>
      </c>
      <c r="BS2" s="2"/>
      <c r="BU2" s="2"/>
      <c r="CI2" s="318" t="s">
        <v>327</v>
      </c>
      <c r="CK2" s="380" t="s">
        <v>347</v>
      </c>
      <c r="CM2" s="413" t="s">
        <v>323</v>
      </c>
      <c r="CN2" s="413"/>
      <c r="CU2" s="2"/>
      <c r="CW2" s="2"/>
      <c r="CY2" s="2"/>
    </row>
    <row r="3" spans="2:106" ht="22.5" customHeight="1">
      <c r="C3" s="255" t="s">
        <v>27</v>
      </c>
      <c r="D3" s="255"/>
      <c r="E3" s="255"/>
      <c r="F3" s="255"/>
      <c r="G3" s="317"/>
      <c r="H3" s="398" t="s">
        <v>352</v>
      </c>
      <c r="I3" s="255"/>
      <c r="J3" s="451">
        <v>46224</v>
      </c>
      <c r="K3" s="451"/>
      <c r="L3" s="451"/>
      <c r="M3" s="451"/>
      <c r="N3" s="451"/>
      <c r="O3" s="236"/>
      <c r="P3" s="236"/>
      <c r="X3" s="326"/>
      <c r="Y3" s="326"/>
      <c r="Z3" s="326"/>
      <c r="AA3" s="326"/>
      <c r="AI3" s="326"/>
      <c r="AJ3" s="326"/>
      <c r="AL3" s="326"/>
      <c r="AM3" s="326"/>
      <c r="AN3" s="326" t="s">
        <v>115</v>
      </c>
      <c r="AO3" s="236"/>
      <c r="AP3" s="236"/>
      <c r="AQ3" s="236"/>
      <c r="AR3" s="236"/>
      <c r="BK3" s="433" t="s">
        <v>332</v>
      </c>
      <c r="BL3" s="433"/>
      <c r="BQ3" s="433" t="s">
        <v>333</v>
      </c>
      <c r="BR3" s="433"/>
      <c r="BS3" s="433" t="s">
        <v>334</v>
      </c>
      <c r="BT3" s="433"/>
      <c r="BU3" s="433" t="s">
        <v>350</v>
      </c>
      <c r="BV3" s="433"/>
    </row>
    <row r="4" spans="2:106" ht="31.5" customHeight="1">
      <c r="C4" s="452" t="s">
        <v>42</v>
      </c>
      <c r="D4" s="453"/>
      <c r="E4" s="454"/>
      <c r="F4" s="455" t="s">
        <v>289</v>
      </c>
      <c r="G4" s="456"/>
      <c r="H4" s="455" t="s">
        <v>290</v>
      </c>
      <c r="I4" s="456"/>
      <c r="J4" s="452" t="s">
        <v>30</v>
      </c>
      <c r="K4" s="453"/>
      <c r="L4" s="453"/>
      <c r="M4" s="453"/>
      <c r="N4" s="454"/>
      <c r="O4" s="467"/>
      <c r="P4" s="468"/>
      <c r="Q4" s="468"/>
      <c r="R4" s="468"/>
      <c r="S4" s="468"/>
      <c r="T4" s="468"/>
      <c r="U4" s="468"/>
      <c r="V4" s="468"/>
      <c r="W4" s="468"/>
      <c r="X4" s="468"/>
      <c r="Y4" s="468"/>
      <c r="Z4" s="468"/>
      <c r="AA4" s="468"/>
      <c r="AB4" s="468"/>
      <c r="AC4" s="397"/>
      <c r="AD4" s="397"/>
      <c r="AE4" s="397"/>
      <c r="AF4" s="397"/>
      <c r="AG4" s="397"/>
      <c r="AH4" s="397" t="s">
        <v>353</v>
      </c>
      <c r="AI4" s="323"/>
      <c r="AJ4" s="323"/>
      <c r="AK4" s="323"/>
      <c r="AL4" s="323"/>
      <c r="AM4" s="323"/>
      <c r="AN4" s="323"/>
      <c r="AO4" s="323"/>
      <c r="AP4" s="323"/>
      <c r="AQ4" s="323"/>
      <c r="AR4" s="323"/>
      <c r="AS4" s="465">
        <v>45566</v>
      </c>
      <c r="AT4" s="466"/>
      <c r="AU4" s="465">
        <v>45597</v>
      </c>
      <c r="AV4" s="466"/>
      <c r="AW4" s="465">
        <v>45627</v>
      </c>
      <c r="AX4" s="466"/>
      <c r="AY4" s="465">
        <v>45658</v>
      </c>
      <c r="AZ4" s="466"/>
      <c r="BA4" s="464">
        <v>45689</v>
      </c>
      <c r="BB4" s="453"/>
      <c r="BC4" s="464">
        <v>45717</v>
      </c>
      <c r="BD4" s="453"/>
      <c r="BE4" s="464">
        <v>45748</v>
      </c>
      <c r="BF4" s="453"/>
      <c r="BG4" s="464">
        <v>45778</v>
      </c>
      <c r="BH4" s="453"/>
      <c r="BI4" s="464">
        <v>45809</v>
      </c>
      <c r="BJ4" s="453"/>
      <c r="BK4" s="464">
        <v>45839</v>
      </c>
      <c r="BL4" s="453"/>
      <c r="BM4" s="464">
        <v>45870</v>
      </c>
      <c r="BN4" s="453"/>
      <c r="BO4" s="464">
        <v>45901</v>
      </c>
      <c r="BP4" s="453"/>
      <c r="BQ4" s="464">
        <v>45931</v>
      </c>
      <c r="BR4" s="453"/>
      <c r="BS4" s="464">
        <v>45962</v>
      </c>
      <c r="BT4" s="453"/>
      <c r="BU4" s="464">
        <v>45992</v>
      </c>
      <c r="BV4" s="453"/>
      <c r="BW4" s="464">
        <v>46023</v>
      </c>
      <c r="BX4" s="453"/>
      <c r="BY4" s="464">
        <v>46054</v>
      </c>
      <c r="BZ4" s="453"/>
      <c r="CA4" s="464">
        <v>46082</v>
      </c>
      <c r="CB4" s="453"/>
      <c r="CC4" s="464">
        <v>46113</v>
      </c>
      <c r="CD4" s="453"/>
      <c r="CE4" s="464">
        <v>46143</v>
      </c>
      <c r="CF4" s="453"/>
      <c r="CG4" s="464">
        <v>46174</v>
      </c>
      <c r="CH4" s="453"/>
      <c r="CI4" s="464">
        <v>46204</v>
      </c>
      <c r="CJ4" s="453"/>
      <c r="CK4" s="464">
        <v>46235</v>
      </c>
      <c r="CL4" s="453"/>
      <c r="CM4" s="464">
        <v>46266</v>
      </c>
      <c r="CN4" s="453"/>
      <c r="CO4" s="464">
        <v>46296</v>
      </c>
      <c r="CP4" s="453"/>
      <c r="CQ4" s="464">
        <v>46327</v>
      </c>
      <c r="CR4" s="453"/>
      <c r="CS4" s="464">
        <v>46357</v>
      </c>
      <c r="CT4" s="453"/>
      <c r="CU4" s="464">
        <v>46388</v>
      </c>
      <c r="CV4" s="453"/>
      <c r="CW4" s="464">
        <v>46054</v>
      </c>
      <c r="CX4" s="453"/>
      <c r="CY4" s="464">
        <v>46082</v>
      </c>
      <c r="CZ4" s="453"/>
      <c r="DA4" s="469"/>
      <c r="DB4" s="462"/>
    </row>
    <row r="5" spans="2:106" ht="29.25" customHeight="1">
      <c r="B5" s="2" t="s">
        <v>26</v>
      </c>
      <c r="C5" s="11" t="s">
        <v>43</v>
      </c>
      <c r="D5" s="30" t="s">
        <v>44</v>
      </c>
      <c r="E5" s="32" t="s">
        <v>45</v>
      </c>
      <c r="F5" s="12" t="s">
        <v>75</v>
      </c>
      <c r="G5" s="13" t="s">
        <v>76</v>
      </c>
      <c r="H5" s="14" t="s">
        <v>20</v>
      </c>
      <c r="I5" s="13" t="s">
        <v>41</v>
      </c>
      <c r="J5" s="15" t="s">
        <v>28</v>
      </c>
      <c r="K5" s="67" t="s">
        <v>114</v>
      </c>
      <c r="L5" s="20" t="s">
        <v>67</v>
      </c>
      <c r="M5" s="20" t="s">
        <v>66</v>
      </c>
      <c r="N5" s="16" t="s">
        <v>65</v>
      </c>
      <c r="O5" s="18" t="s">
        <v>325</v>
      </c>
      <c r="P5" s="18" t="s">
        <v>328</v>
      </c>
      <c r="Q5" s="18" t="s">
        <v>56</v>
      </c>
      <c r="R5" s="18" t="s">
        <v>57</v>
      </c>
      <c r="S5" s="18" t="s">
        <v>329</v>
      </c>
      <c r="T5" s="18" t="s">
        <v>331</v>
      </c>
      <c r="U5" s="18" t="s">
        <v>33</v>
      </c>
      <c r="V5" s="18" t="s">
        <v>109</v>
      </c>
      <c r="W5" s="18" t="s">
        <v>110</v>
      </c>
      <c r="X5" s="18" t="s">
        <v>111</v>
      </c>
      <c r="Y5" s="18" t="s">
        <v>52</v>
      </c>
      <c r="Z5" s="18" t="s">
        <v>53</v>
      </c>
      <c r="AA5" s="18" t="s">
        <v>54</v>
      </c>
      <c r="AB5" s="18" t="s">
        <v>349</v>
      </c>
      <c r="AC5" s="18" t="s">
        <v>56</v>
      </c>
      <c r="AD5" s="18" t="s">
        <v>57</v>
      </c>
      <c r="AE5" s="18" t="s">
        <v>58</v>
      </c>
      <c r="AF5" s="18" t="s">
        <v>59</v>
      </c>
      <c r="AG5" s="18" t="s">
        <v>33</v>
      </c>
      <c r="AH5" s="18" t="s">
        <v>109</v>
      </c>
      <c r="AI5" s="18" t="s">
        <v>111</v>
      </c>
      <c r="AJ5" s="18" t="s">
        <v>52</v>
      </c>
      <c r="AK5" s="18" t="s">
        <v>53</v>
      </c>
      <c r="AL5" s="18" t="s">
        <v>54</v>
      </c>
      <c r="AM5" s="18" t="s">
        <v>55</v>
      </c>
      <c r="AN5" s="18" t="s">
        <v>56</v>
      </c>
      <c r="AO5" s="18" t="s">
        <v>57</v>
      </c>
      <c r="AP5" s="18" t="s">
        <v>58</v>
      </c>
      <c r="AQ5" s="18" t="s">
        <v>59</v>
      </c>
      <c r="AR5" s="18"/>
      <c r="AS5" s="324" t="s">
        <v>32</v>
      </c>
      <c r="AT5" s="325" t="s">
        <v>40</v>
      </c>
      <c r="AU5" s="324" t="s">
        <v>32</v>
      </c>
      <c r="AV5" s="325" t="s">
        <v>40</v>
      </c>
      <c r="AW5" s="324" t="s">
        <v>32</v>
      </c>
      <c r="AX5" s="325" t="s">
        <v>40</v>
      </c>
      <c r="AY5" s="324" t="s">
        <v>32</v>
      </c>
      <c r="AZ5" s="325" t="s">
        <v>40</v>
      </c>
      <c r="BA5" s="26" t="s">
        <v>32</v>
      </c>
      <c r="BB5" s="20" t="s">
        <v>40</v>
      </c>
      <c r="BC5" s="26" t="s">
        <v>32</v>
      </c>
      <c r="BD5" s="20" t="s">
        <v>40</v>
      </c>
      <c r="BE5" s="26" t="s">
        <v>32</v>
      </c>
      <c r="BF5" s="20" t="s">
        <v>40</v>
      </c>
      <c r="BG5" s="26" t="s">
        <v>32</v>
      </c>
      <c r="BH5" s="20" t="s">
        <v>40</v>
      </c>
      <c r="BI5" s="26" t="s">
        <v>32</v>
      </c>
      <c r="BJ5" s="20" t="s">
        <v>40</v>
      </c>
      <c r="BK5" s="26" t="s">
        <v>32</v>
      </c>
      <c r="BL5" s="20" t="s">
        <v>40</v>
      </c>
      <c r="BM5" s="26" t="s">
        <v>32</v>
      </c>
      <c r="BN5" s="20" t="s">
        <v>40</v>
      </c>
      <c r="BO5" s="26" t="s">
        <v>32</v>
      </c>
      <c r="BP5" s="20" t="s">
        <v>40</v>
      </c>
      <c r="BQ5" s="26" t="s">
        <v>32</v>
      </c>
      <c r="BR5" s="20" t="s">
        <v>40</v>
      </c>
      <c r="BS5" s="26" t="s">
        <v>32</v>
      </c>
      <c r="BT5" s="20" t="s">
        <v>40</v>
      </c>
      <c r="BU5" s="26" t="s">
        <v>32</v>
      </c>
      <c r="BV5" s="20" t="s">
        <v>40</v>
      </c>
      <c r="BW5" s="26" t="s">
        <v>32</v>
      </c>
      <c r="BX5" s="20" t="s">
        <v>40</v>
      </c>
      <c r="BY5" s="26" t="s">
        <v>32</v>
      </c>
      <c r="BZ5" s="20" t="s">
        <v>40</v>
      </c>
      <c r="CA5" s="26" t="s">
        <v>32</v>
      </c>
      <c r="CB5" s="20" t="s">
        <v>40</v>
      </c>
      <c r="CC5" s="26" t="s">
        <v>32</v>
      </c>
      <c r="CD5" s="20" t="s">
        <v>40</v>
      </c>
      <c r="CE5" s="26" t="s">
        <v>32</v>
      </c>
      <c r="CF5" s="20" t="s">
        <v>40</v>
      </c>
      <c r="CG5" s="26" t="s">
        <v>32</v>
      </c>
      <c r="CH5" s="20" t="s">
        <v>40</v>
      </c>
      <c r="CI5" s="26" t="s">
        <v>32</v>
      </c>
      <c r="CJ5" s="20" t="s">
        <v>40</v>
      </c>
      <c r="CK5" s="26" t="s">
        <v>32</v>
      </c>
      <c r="CL5" s="20" t="s">
        <v>40</v>
      </c>
      <c r="CM5" s="26" t="s">
        <v>32</v>
      </c>
      <c r="CN5" s="20" t="s">
        <v>40</v>
      </c>
      <c r="CO5" s="26" t="s">
        <v>32</v>
      </c>
      <c r="CP5" s="20" t="s">
        <v>40</v>
      </c>
      <c r="CQ5" s="26" t="s">
        <v>32</v>
      </c>
      <c r="CR5" s="20" t="s">
        <v>40</v>
      </c>
      <c r="CS5" s="26" t="s">
        <v>32</v>
      </c>
      <c r="CT5" s="20" t="s">
        <v>40</v>
      </c>
      <c r="CU5" s="26" t="s">
        <v>32</v>
      </c>
      <c r="CV5" s="20" t="s">
        <v>40</v>
      </c>
      <c r="CW5" s="26" t="s">
        <v>32</v>
      </c>
      <c r="CX5" s="20" t="s">
        <v>40</v>
      </c>
      <c r="CY5" s="26" t="s">
        <v>32</v>
      </c>
      <c r="CZ5" s="20" t="s">
        <v>40</v>
      </c>
      <c r="DA5" s="470"/>
      <c r="DB5" s="463"/>
    </row>
    <row r="6" spans="2:106" ht="30.75" customHeight="1">
      <c r="B6" s="2">
        <v>1</v>
      </c>
      <c r="C6" s="435" t="s">
        <v>476</v>
      </c>
      <c r="D6" s="436"/>
      <c r="E6" s="445"/>
      <c r="F6" s="130">
        <f>SUM(F7:F26)</f>
        <v>1314</v>
      </c>
      <c r="G6" s="131">
        <f>SUM(G7:G26)</f>
        <v>5781600</v>
      </c>
      <c r="H6" s="130">
        <v>3500</v>
      </c>
      <c r="I6" s="131">
        <f t="shared" ref="I6:N6" si="0">SUM(I7:I26)</f>
        <v>15400000</v>
      </c>
      <c r="J6" s="133">
        <f>SUM(J7:J26)</f>
        <v>95</v>
      </c>
      <c r="K6" s="134">
        <f t="shared" si="0"/>
        <v>876</v>
      </c>
      <c r="L6" s="134">
        <f t="shared" si="0"/>
        <v>123</v>
      </c>
      <c r="M6" s="134">
        <f t="shared" si="0"/>
        <v>55</v>
      </c>
      <c r="N6" s="135">
        <f t="shared" si="0"/>
        <v>698</v>
      </c>
      <c r="O6" s="138"/>
      <c r="P6" s="138"/>
      <c r="Q6" s="138"/>
      <c r="R6" s="138"/>
      <c r="S6" s="138"/>
      <c r="T6" s="138"/>
      <c r="U6" s="138"/>
      <c r="V6" s="138"/>
      <c r="W6" s="138"/>
      <c r="X6" s="138"/>
      <c r="Y6" s="152"/>
      <c r="Z6" s="152"/>
      <c r="AA6" s="152"/>
      <c r="AB6" s="152"/>
      <c r="AC6" s="152"/>
      <c r="AD6" s="152"/>
      <c r="AE6" s="152"/>
      <c r="AF6" s="152"/>
      <c r="AG6" s="152"/>
      <c r="AH6" s="152"/>
      <c r="AI6" s="138"/>
      <c r="AJ6" s="138"/>
      <c r="AK6" s="138"/>
      <c r="AL6" s="138"/>
      <c r="AM6" s="138"/>
      <c r="AN6" s="138"/>
      <c r="AO6" s="138"/>
      <c r="AP6" s="138"/>
      <c r="AQ6" s="138"/>
      <c r="AR6" s="138"/>
      <c r="AS6" s="136">
        <f t="shared" ref="AS6:CB6" si="1">SUM(AS7:AS26)</f>
        <v>350.00000000000006</v>
      </c>
      <c r="AT6" s="134">
        <f t="shared" si="1"/>
        <v>0</v>
      </c>
      <c r="AU6" s="136">
        <f t="shared" si="1"/>
        <v>314.99999999999994</v>
      </c>
      <c r="AV6" s="134">
        <f t="shared" si="1"/>
        <v>432</v>
      </c>
      <c r="AW6" s="136">
        <f t="shared" si="1"/>
        <v>350.00000000000006</v>
      </c>
      <c r="AX6" s="134">
        <f t="shared" si="1"/>
        <v>784</v>
      </c>
      <c r="AY6" s="136">
        <f t="shared" si="1"/>
        <v>213.13031424830825</v>
      </c>
      <c r="AZ6" s="134">
        <f t="shared" si="1"/>
        <v>0</v>
      </c>
      <c r="BA6" s="136">
        <f t="shared" si="1"/>
        <v>194.68092246766548</v>
      </c>
      <c r="BB6" s="134">
        <f t="shared" si="1"/>
        <v>525</v>
      </c>
      <c r="BC6" s="136">
        <f t="shared" si="1"/>
        <v>280.00000000000011</v>
      </c>
      <c r="BD6" s="134">
        <f t="shared" si="1"/>
        <v>140</v>
      </c>
      <c r="BE6" s="136">
        <f t="shared" si="1"/>
        <v>248.02487890544072</v>
      </c>
      <c r="BF6" s="134">
        <f t="shared" si="1"/>
        <v>0</v>
      </c>
      <c r="BG6" s="136">
        <f t="shared" si="1"/>
        <v>245.00000000000006</v>
      </c>
      <c r="BH6" s="134">
        <f t="shared" si="1"/>
        <v>438</v>
      </c>
      <c r="BI6" s="136">
        <f t="shared" si="1"/>
        <v>353.72291193278897</v>
      </c>
      <c r="BJ6" s="134">
        <f>SUM(BJ7:BJ26)</f>
        <v>396</v>
      </c>
      <c r="BK6" s="136">
        <f t="shared" si="1"/>
        <v>280.00000000000011</v>
      </c>
      <c r="BL6" s="134">
        <f t="shared" si="1"/>
        <v>0</v>
      </c>
      <c r="BM6" s="136">
        <f t="shared" si="1"/>
        <v>266.58352114954357</v>
      </c>
      <c r="BN6" s="134">
        <f t="shared" si="1"/>
        <v>565</v>
      </c>
      <c r="BO6" s="136">
        <f t="shared" si="1"/>
        <v>420.00000000000006</v>
      </c>
      <c r="BP6" s="134">
        <f t="shared" si="1"/>
        <v>290</v>
      </c>
      <c r="BQ6" s="136">
        <f t="shared" si="1"/>
        <v>350.00000000000006</v>
      </c>
      <c r="BR6" s="134">
        <f t="shared" si="1"/>
        <v>354</v>
      </c>
      <c r="BS6" s="136">
        <f t="shared" si="1"/>
        <v>314.99999999999994</v>
      </c>
      <c r="BT6" s="134">
        <f t="shared" si="1"/>
        <v>781</v>
      </c>
      <c r="BU6" s="136">
        <f t="shared" si="1"/>
        <v>350.00000000000006</v>
      </c>
      <c r="BV6" s="134">
        <f t="shared" si="1"/>
        <v>365</v>
      </c>
      <c r="BW6" s="136">
        <f t="shared" si="1"/>
        <v>213.13031424830825</v>
      </c>
      <c r="BX6" s="134">
        <f t="shared" si="1"/>
        <v>0</v>
      </c>
      <c r="BY6" s="136">
        <f t="shared" si="1"/>
        <v>194.68092246766548</v>
      </c>
      <c r="BZ6" s="134">
        <f t="shared" si="1"/>
        <v>359</v>
      </c>
      <c r="CA6" s="136">
        <f t="shared" si="1"/>
        <v>280.00000000000011</v>
      </c>
      <c r="CB6" s="134">
        <f t="shared" si="1"/>
        <v>0</v>
      </c>
      <c r="CC6" s="136">
        <f t="shared" ref="CC6:CD6" si="2">SUM(CC7:CC26)</f>
        <v>248.02487890544072</v>
      </c>
      <c r="CD6" s="134">
        <f t="shared" si="2"/>
        <v>0</v>
      </c>
      <c r="CE6" s="136">
        <f t="shared" ref="CE6:CF6" si="3">SUM(CE7:CE26)</f>
        <v>245.00000000000006</v>
      </c>
      <c r="CF6" s="134">
        <f t="shared" si="3"/>
        <v>670</v>
      </c>
      <c r="CG6" s="136">
        <f t="shared" ref="CG6:CJ6" si="4">SUM(CG7:CG26)</f>
        <v>353.72291193278897</v>
      </c>
      <c r="CH6" s="134">
        <f t="shared" si="4"/>
        <v>611</v>
      </c>
      <c r="CI6" s="136">
        <f t="shared" si="4"/>
        <v>280.00000000000011</v>
      </c>
      <c r="CJ6" s="134">
        <f t="shared" si="4"/>
        <v>591</v>
      </c>
      <c r="CK6" s="136">
        <f t="shared" ref="CK6:CN6" si="5">SUM(CK7:CK26)</f>
        <v>266.58352114954357</v>
      </c>
      <c r="CL6" s="134">
        <f t="shared" si="5"/>
        <v>600</v>
      </c>
      <c r="CM6" s="136">
        <f t="shared" si="5"/>
        <v>420.00000000000006</v>
      </c>
      <c r="CN6" s="134">
        <f t="shared" si="5"/>
        <v>0</v>
      </c>
      <c r="CO6" s="136">
        <f t="shared" ref="CO6:CR6" si="6">SUM(CO7:CO26)</f>
        <v>350.00000000000006</v>
      </c>
      <c r="CP6" s="134">
        <f t="shared" si="6"/>
        <v>0</v>
      </c>
      <c r="CQ6" s="136">
        <f t="shared" si="6"/>
        <v>314.99999999999994</v>
      </c>
      <c r="CR6" s="134">
        <f t="shared" si="6"/>
        <v>593</v>
      </c>
      <c r="CS6" s="136">
        <f t="shared" ref="CS6:CX6" si="7">SUM(CS7:CS26)</f>
        <v>350.00000000000006</v>
      </c>
      <c r="CT6" s="134">
        <f t="shared" si="7"/>
        <v>0</v>
      </c>
      <c r="CU6" s="136">
        <f>SUM(CU7:CU26)</f>
        <v>213.13031424830825</v>
      </c>
      <c r="CV6" s="134">
        <f t="shared" si="7"/>
        <v>0</v>
      </c>
      <c r="CW6" s="136">
        <f t="shared" si="7"/>
        <v>194.68092246766548</v>
      </c>
      <c r="CX6" s="134">
        <f t="shared" si="7"/>
        <v>0</v>
      </c>
      <c r="CY6" s="136">
        <f t="shared" ref="CY6:CZ6" si="8">SUM(CY7:CY26)</f>
        <v>280.00000000000011</v>
      </c>
      <c r="CZ6" s="134">
        <f t="shared" si="8"/>
        <v>0</v>
      </c>
      <c r="DA6" s="141"/>
      <c r="DB6" s="293"/>
    </row>
    <row r="7" spans="2:106" ht="30.75" customHeight="1">
      <c r="C7" s="446" t="s">
        <v>501</v>
      </c>
      <c r="D7" s="443">
        <v>1</v>
      </c>
      <c r="E7" s="99" t="s">
        <v>46</v>
      </c>
      <c r="F7" s="56">
        <v>48</v>
      </c>
      <c r="G7" s="46">
        <f>F7*4400</f>
        <v>211200</v>
      </c>
      <c r="H7" s="45">
        <f>F7*($H$6/$F$6)</f>
        <v>127.85388127853882</v>
      </c>
      <c r="I7" s="46">
        <f>H7*4400</f>
        <v>562557.07762557082</v>
      </c>
      <c r="J7" s="49">
        <v>3</v>
      </c>
      <c r="K7" s="39">
        <f>SUM(L7:N7)</f>
        <v>35</v>
      </c>
      <c r="L7" s="39">
        <v>10</v>
      </c>
      <c r="M7" s="39">
        <v>0</v>
      </c>
      <c r="N7" s="42">
        <v>25</v>
      </c>
      <c r="O7" s="289"/>
      <c r="P7" s="289">
        <v>45622</v>
      </c>
      <c r="Q7" s="331">
        <v>45646</v>
      </c>
      <c r="R7" s="124"/>
      <c r="S7" s="124"/>
      <c r="T7" s="328"/>
      <c r="U7" s="328"/>
      <c r="V7" s="331">
        <v>45792</v>
      </c>
      <c r="W7" s="124"/>
      <c r="X7" s="328"/>
      <c r="Y7" s="331">
        <v>45884</v>
      </c>
      <c r="Z7" s="330"/>
      <c r="AA7" s="331"/>
      <c r="AB7" s="331"/>
      <c r="AC7" s="331">
        <v>45662</v>
      </c>
      <c r="AD7" s="331"/>
      <c r="AE7" s="331"/>
      <c r="AF7" s="331"/>
      <c r="AG7" s="331"/>
      <c r="AH7" s="331"/>
      <c r="AI7" s="129">
        <f t="shared" ref="AI7:AI8" si="9">SUM(J7:K7)-CI7+CJ7</f>
        <v>47.771689497716892</v>
      </c>
      <c r="AJ7" s="129">
        <f>AI7-CK7+CL7</f>
        <v>63.033478679468722</v>
      </c>
      <c r="AK7" s="129">
        <f t="shared" ref="AK7" si="10">AJ7-CM7+CN7</f>
        <v>47.691012926044067</v>
      </c>
      <c r="AL7" s="399">
        <f t="shared" ref="AL7" si="11">AK7-CO7+CP7</f>
        <v>34.905624798190182</v>
      </c>
      <c r="AM7" s="393">
        <f t="shared" ref="AM7" si="12">AL7-CQ7+CR7</f>
        <v>48.398775483121689</v>
      </c>
      <c r="AN7" s="393">
        <f t="shared" ref="AN7" si="13">AM7-CS7+CT7</f>
        <v>35.613387355267804</v>
      </c>
      <c r="AO7" s="393">
        <f t="shared" ref="AO7" si="14">AN7-CU7+CV7</f>
        <v>27.827805099621841</v>
      </c>
      <c r="AP7" s="96">
        <f t="shared" ref="AP7" si="15">AO7-CW7+CX7</f>
        <v>20.716173228656892</v>
      </c>
      <c r="AQ7" s="91">
        <f t="shared" ref="AQ7" si="16">AP7-CY7+CZ7</f>
        <v>10.487862726373786</v>
      </c>
      <c r="AR7" s="129"/>
      <c r="AS7" s="41">
        <f>$H$7*月別販売比率!AG5</f>
        <v>12.785388127853883</v>
      </c>
      <c r="AT7" s="39"/>
      <c r="AU7" s="283">
        <f>$H$7*月別販売比率!AL5</f>
        <v>11.506849315068493</v>
      </c>
      <c r="AV7" s="280">
        <v>12</v>
      </c>
      <c r="AW7" s="283">
        <f>$H$7*月別販売比率!AQ5</f>
        <v>12.785388127853883</v>
      </c>
      <c r="AX7" s="280">
        <v>46</v>
      </c>
      <c r="AY7" s="283">
        <f>$H$7*月別販売比率!AV5</f>
        <v>7.7855822556459637</v>
      </c>
      <c r="AZ7" s="280"/>
      <c r="BA7" s="283">
        <f>$H$7*月別販売比率!BA5</f>
        <v>7.11163187096495</v>
      </c>
      <c r="BB7" s="280">
        <v>10</v>
      </c>
      <c r="BC7" s="283">
        <f>$H$7*月別販売比率!BF5</f>
        <v>10.228310502283106</v>
      </c>
      <c r="BD7" s="280"/>
      <c r="BE7" s="41">
        <f>$H$7*月別販売比率!C21</f>
        <v>9.0602695490571961</v>
      </c>
      <c r="BF7" s="39"/>
      <c r="BG7" s="283">
        <f>$H$7*月別販売比率!H21</f>
        <v>8.9497716894977177</v>
      </c>
      <c r="BH7" s="280">
        <v>26</v>
      </c>
      <c r="BI7" s="283">
        <f>$H$7*月別販売比率!M21</f>
        <v>12.921384910786815</v>
      </c>
      <c r="BJ7" s="280">
        <v>30</v>
      </c>
      <c r="BK7" s="41">
        <f>$H$7*月別販売比率!R21</f>
        <v>10.228310502283106</v>
      </c>
      <c r="BL7" s="39"/>
      <c r="BM7" s="283">
        <f>$H$7*月別販売比率!W21</f>
        <v>9.7382108182481684</v>
      </c>
      <c r="BN7" s="280">
        <v>25</v>
      </c>
      <c r="BO7" s="283">
        <f>$H$7*月別販売比率!AB21</f>
        <v>15.342465753424658</v>
      </c>
      <c r="BP7" s="280">
        <v>20</v>
      </c>
      <c r="BQ7" s="283">
        <f>$H$7*月別販売比率!AG21</f>
        <v>12.785388127853883</v>
      </c>
      <c r="BR7" s="280"/>
      <c r="BS7" s="283">
        <f>$H$7*月別販売比率!AL21</f>
        <v>11.506849315068493</v>
      </c>
      <c r="BT7" s="280">
        <v>40</v>
      </c>
      <c r="BU7" s="283">
        <f>$H$7*月別販売比率!AQ21</f>
        <v>12.785388127853883</v>
      </c>
      <c r="BV7" s="280">
        <v>10</v>
      </c>
      <c r="BW7" s="41">
        <f>$H$7*月別販売比率!AV21</f>
        <v>7.7855822556459637</v>
      </c>
      <c r="BX7" s="39"/>
      <c r="BY7" s="283">
        <f>$H$7*月別販売比率!BA21</f>
        <v>7.11163187096495</v>
      </c>
      <c r="BZ7" s="280">
        <v>20</v>
      </c>
      <c r="CA7" s="41">
        <f>$H$7*月別販売比率!BF21</f>
        <v>10.228310502283106</v>
      </c>
      <c r="CB7" s="39"/>
      <c r="CC7" s="41">
        <f>H7*月別販売比率!$C$21</f>
        <v>9.0602695490571961</v>
      </c>
      <c r="CD7" s="39"/>
      <c r="CE7" s="41">
        <f>H7*月別販売比率!$H$21</f>
        <v>8.9497716894977177</v>
      </c>
      <c r="CF7" s="280">
        <v>30</v>
      </c>
      <c r="CG7" s="41">
        <f>$H$7*月別販売比率!M21</f>
        <v>12.921384910786815</v>
      </c>
      <c r="CH7" s="280">
        <v>25</v>
      </c>
      <c r="CI7" s="41">
        <f>H7*月別販売比率!$R$21</f>
        <v>10.228310502283106</v>
      </c>
      <c r="CJ7" s="39">
        <v>20</v>
      </c>
      <c r="CK7" s="41">
        <f>H7*月別販売比率!$W$21</f>
        <v>9.7382108182481684</v>
      </c>
      <c r="CL7" s="39">
        <v>25</v>
      </c>
      <c r="CM7" s="41">
        <f>H7*月別販売比率!$AB$21</f>
        <v>15.342465753424658</v>
      </c>
      <c r="CN7" s="39"/>
      <c r="CO7" s="41">
        <f>H7*月別販売比率!$AG$21</f>
        <v>12.785388127853883</v>
      </c>
      <c r="CP7" s="39"/>
      <c r="CQ7" s="41">
        <f>H7*月別販売比率!$AL$21</f>
        <v>11.506849315068493</v>
      </c>
      <c r="CR7" s="39">
        <v>25</v>
      </c>
      <c r="CS7" s="41">
        <f>H7*月別販売比率!$AQ$21</f>
        <v>12.785388127853883</v>
      </c>
      <c r="CT7" s="39"/>
      <c r="CU7" s="41">
        <f>H7*月別販売比率!$AV$21</f>
        <v>7.7855822556459637</v>
      </c>
      <c r="CV7" s="39"/>
      <c r="CW7" s="41">
        <f>H7*月別販売比率!$BA$21</f>
        <v>7.11163187096495</v>
      </c>
      <c r="CX7" s="39"/>
      <c r="CY7" s="41">
        <f>H7*月別販売比率!$BF$21</f>
        <v>10.228310502283106</v>
      </c>
      <c r="CZ7" s="39"/>
      <c r="DA7" s="28"/>
      <c r="DB7" s="294"/>
    </row>
    <row r="8" spans="2:106" ht="30.75" customHeight="1">
      <c r="C8" s="457"/>
      <c r="D8" s="441"/>
      <c r="E8" s="94" t="s">
        <v>47</v>
      </c>
      <c r="F8" s="57">
        <v>144</v>
      </c>
      <c r="G8" s="5">
        <f t="shared" ref="G8:I26" si="17">F8*4400</f>
        <v>633600</v>
      </c>
      <c r="H8" s="45">
        <f>F8*($H$6/$F$6)</f>
        <v>383.56164383561645</v>
      </c>
      <c r="I8" s="5">
        <f t="shared" si="17"/>
        <v>1687671.2328767125</v>
      </c>
      <c r="J8" s="9">
        <v>5</v>
      </c>
      <c r="K8" s="21">
        <f t="shared" ref="K8:K26" si="18">SUM(L8:N8)</f>
        <v>85</v>
      </c>
      <c r="L8" s="21">
        <v>10</v>
      </c>
      <c r="M8" s="21">
        <v>5</v>
      </c>
      <c r="N8" s="95">
        <v>70</v>
      </c>
      <c r="O8" s="19"/>
      <c r="P8" s="289">
        <v>45622</v>
      </c>
      <c r="Q8" s="331">
        <v>45646</v>
      </c>
      <c r="R8" s="124"/>
      <c r="S8" s="124"/>
      <c r="T8" s="124"/>
      <c r="U8" s="124"/>
      <c r="V8" s="124"/>
      <c r="W8" s="124"/>
      <c r="X8" s="124"/>
      <c r="Y8" s="124"/>
      <c r="Z8" s="124"/>
      <c r="AA8" s="328"/>
      <c r="AB8" s="331">
        <v>45979</v>
      </c>
      <c r="AC8" s="330"/>
      <c r="AD8" s="330"/>
      <c r="AE8" s="330"/>
      <c r="AF8" s="330"/>
      <c r="AG8" s="331"/>
      <c r="AH8" s="331"/>
      <c r="AI8" s="129">
        <f t="shared" si="9"/>
        <v>124.31506849315068</v>
      </c>
      <c r="AJ8" s="124">
        <f t="shared" ref="AJ8:AJ26" si="19">AI8-CK8+CL8</f>
        <v>185.10043603840617</v>
      </c>
      <c r="AK8" s="124">
        <f t="shared" ref="AK8:AK26" si="20">AJ8-CM8+CN8</f>
        <v>139.0730387781322</v>
      </c>
      <c r="AL8" s="400">
        <f t="shared" ref="AL8:AL26" si="21">AK8-CO8+CP8</f>
        <v>100.71687439457055</v>
      </c>
      <c r="AM8" s="394">
        <f t="shared" ref="AM8:AM26" si="22">AL8-CQ8+CR8</f>
        <v>131.19632644936507</v>
      </c>
      <c r="AN8" s="394">
        <f t="shared" ref="AN8:AN26" si="23">AM8-CS8+CT8</f>
        <v>92.840162065803426</v>
      </c>
      <c r="AO8" s="394">
        <f t="shared" ref="AO8:AO26" si="24">AN8-CU8+CV8</f>
        <v>69.483415298865538</v>
      </c>
      <c r="AP8" s="97">
        <f t="shared" ref="AP8:AP26" si="25">AO8-CW8+CX8</f>
        <v>48.14851968597069</v>
      </c>
      <c r="AQ8" s="24">
        <f t="shared" ref="AQ8:AQ26" si="26">AP8-CY8+CZ8</f>
        <v>17.463588179121373</v>
      </c>
      <c r="AR8" s="124"/>
      <c r="AS8" s="41">
        <f>$H$8*月別販売比率!AG5</f>
        <v>38.356164383561648</v>
      </c>
      <c r="AT8" s="21"/>
      <c r="AU8" s="283">
        <f>$H$8*月別販売比率!AL5</f>
        <v>34.520547945205479</v>
      </c>
      <c r="AV8" s="241">
        <v>37</v>
      </c>
      <c r="AW8" s="283">
        <f>$H$8*月別販売比率!AQ5</f>
        <v>38.356164383561648</v>
      </c>
      <c r="AX8" s="241">
        <v>81</v>
      </c>
      <c r="AY8" s="283">
        <f>$H$8*月別販売比率!AV5</f>
        <v>23.356746766937892</v>
      </c>
      <c r="AZ8" s="241"/>
      <c r="BA8" s="283">
        <f>$H$8*月別販売比率!BA5</f>
        <v>21.334895612894847</v>
      </c>
      <c r="BB8" s="241">
        <v>75</v>
      </c>
      <c r="BC8" s="283">
        <f>$H$8*月別販売比率!BF5</f>
        <v>30.684931506849317</v>
      </c>
      <c r="BD8" s="241"/>
      <c r="BE8" s="41">
        <f>$H$8*月別販売比率!C21</f>
        <v>27.180808647171585</v>
      </c>
      <c r="BF8" s="21"/>
      <c r="BG8" s="283">
        <f>$H$8*月別販売比率!H21</f>
        <v>26.849315068493155</v>
      </c>
      <c r="BH8" s="241">
        <v>50</v>
      </c>
      <c r="BI8" s="283">
        <f>$H$8*月別販売比率!M21</f>
        <v>38.764154732360439</v>
      </c>
      <c r="BJ8" s="241">
        <v>55</v>
      </c>
      <c r="BK8" s="41">
        <f>$H$8*月別販売比率!R21</f>
        <v>30.684931506849317</v>
      </c>
      <c r="BL8" s="21"/>
      <c r="BM8" s="283">
        <f>$H$8*月別販売比率!W21</f>
        <v>29.214632454744507</v>
      </c>
      <c r="BN8" s="241">
        <v>30</v>
      </c>
      <c r="BO8" s="283">
        <f>$H$8*月別販売比率!AB21</f>
        <v>46.027397260273972</v>
      </c>
      <c r="BP8" s="241">
        <v>50</v>
      </c>
      <c r="BQ8" s="283">
        <f>$H$8*月別販売比率!AG21</f>
        <v>38.356164383561648</v>
      </c>
      <c r="BR8" s="241">
        <v>79</v>
      </c>
      <c r="BS8" s="283">
        <f>$H$8*月別販売比率!AL21</f>
        <v>34.520547945205479</v>
      </c>
      <c r="BT8" s="241">
        <v>85</v>
      </c>
      <c r="BU8" s="283">
        <f>$H$8*月別販売比率!AQ21</f>
        <v>38.356164383561648</v>
      </c>
      <c r="BV8" s="241">
        <v>50</v>
      </c>
      <c r="BW8" s="41">
        <f>$H$8*月別販売比率!AV21</f>
        <v>23.356746766937892</v>
      </c>
      <c r="BX8" s="21"/>
      <c r="BY8" s="283">
        <f>$H$8*月別販売比率!BA21</f>
        <v>21.334895612894847</v>
      </c>
      <c r="BZ8" s="241">
        <v>8</v>
      </c>
      <c r="CA8" s="41">
        <f>$H$8*月別販売比率!BF21</f>
        <v>30.684931506849317</v>
      </c>
      <c r="CB8" s="21"/>
      <c r="CC8" s="41">
        <f>H8*月別販売比率!$C$21</f>
        <v>27.180808647171585</v>
      </c>
      <c r="CD8" s="21"/>
      <c r="CE8" s="41">
        <f>H8*月別販売比率!$H$21</f>
        <v>26.849315068493155</v>
      </c>
      <c r="CF8" s="241">
        <v>80</v>
      </c>
      <c r="CG8" s="41">
        <f>$H$8*月別販売比率!M21</f>
        <v>38.764154732360439</v>
      </c>
      <c r="CH8" s="241">
        <v>70</v>
      </c>
      <c r="CI8" s="41">
        <f>H8*月別販売比率!$R$21</f>
        <v>30.684931506849317</v>
      </c>
      <c r="CJ8" s="21">
        <v>65</v>
      </c>
      <c r="CK8" s="41">
        <f>H8*月別販売比率!$W$21</f>
        <v>29.214632454744507</v>
      </c>
      <c r="CL8" s="21">
        <v>90</v>
      </c>
      <c r="CM8" s="41">
        <f>H8*月別販売比率!$AB$21</f>
        <v>46.027397260273972</v>
      </c>
      <c r="CN8" s="21"/>
      <c r="CO8" s="41">
        <f>H8*月別販売比率!$AG$21</f>
        <v>38.356164383561648</v>
      </c>
      <c r="CP8" s="21"/>
      <c r="CQ8" s="41">
        <f>H8*月別販売比率!$AL$21</f>
        <v>34.520547945205479</v>
      </c>
      <c r="CR8" s="21">
        <v>65</v>
      </c>
      <c r="CS8" s="41">
        <f>H8*月別販売比率!$AQ$21</f>
        <v>38.356164383561648</v>
      </c>
      <c r="CT8" s="21"/>
      <c r="CU8" s="41">
        <f>H8*月別販売比率!$AV$21</f>
        <v>23.356746766937892</v>
      </c>
      <c r="CV8" s="21"/>
      <c r="CW8" s="41">
        <f>H8*月別販売比率!$BA$21</f>
        <v>21.334895612894847</v>
      </c>
      <c r="CX8" s="21"/>
      <c r="CY8" s="41">
        <f>H8*月別販売比率!$BF$21</f>
        <v>30.684931506849317</v>
      </c>
      <c r="CZ8" s="21"/>
      <c r="DA8" s="28"/>
      <c r="DB8" s="294"/>
    </row>
    <row r="9" spans="2:106" ht="30.75" customHeight="1">
      <c r="C9" s="457"/>
      <c r="D9" s="441"/>
      <c r="E9" s="94" t="s">
        <v>51</v>
      </c>
      <c r="F9" s="57">
        <v>127</v>
      </c>
      <c r="G9" s="5">
        <f t="shared" si="17"/>
        <v>558800</v>
      </c>
      <c r="H9" s="45">
        <f t="shared" ref="H9:H26" si="27">F9*($H$6/$F$6)</f>
        <v>338.28006088280063</v>
      </c>
      <c r="I9" s="5">
        <f t="shared" si="17"/>
        <v>1488432.2678843227</v>
      </c>
      <c r="J9" s="9">
        <v>29</v>
      </c>
      <c r="K9" s="21">
        <f>SUM(L9:N9)</f>
        <v>134</v>
      </c>
      <c r="L9" s="21">
        <v>9</v>
      </c>
      <c r="M9" s="21">
        <v>15</v>
      </c>
      <c r="N9" s="95">
        <v>110</v>
      </c>
      <c r="O9" s="19"/>
      <c r="P9" s="289">
        <v>45622</v>
      </c>
      <c r="Q9" s="330"/>
      <c r="R9" s="124"/>
      <c r="S9" s="124"/>
      <c r="T9" s="124"/>
      <c r="U9" s="124"/>
      <c r="V9" s="124"/>
      <c r="W9" s="124"/>
      <c r="X9" s="124"/>
      <c r="Y9" s="124"/>
      <c r="Z9" s="124"/>
      <c r="AA9" s="328"/>
      <c r="AB9" s="331">
        <v>45979</v>
      </c>
      <c r="AC9" s="330"/>
      <c r="AD9" s="330"/>
      <c r="AE9" s="330"/>
      <c r="AF9" s="330"/>
      <c r="AG9" s="331"/>
      <c r="AH9" s="331"/>
      <c r="AI9" s="124">
        <f>SUM(J9:K9)-CI9+CJ9</f>
        <v>160.93759512937595</v>
      </c>
      <c r="AJ9" s="124">
        <f t="shared" si="19"/>
        <v>200.17191233942768</v>
      </c>
      <c r="AK9" s="124">
        <f t="shared" si="20"/>
        <v>159.5783050334916</v>
      </c>
      <c r="AL9" s="400">
        <f t="shared" si="21"/>
        <v>125.75029894521154</v>
      </c>
      <c r="AM9" s="394">
        <f t="shared" si="22"/>
        <v>140.30509346575948</v>
      </c>
      <c r="AN9" s="394">
        <f t="shared" si="23"/>
        <v>106.47708737747942</v>
      </c>
      <c r="AO9" s="394">
        <f t="shared" si="24"/>
        <v>85.877734326082816</v>
      </c>
      <c r="AP9" s="97">
        <f t="shared" si="25"/>
        <v>67.061541667488058</v>
      </c>
      <c r="AQ9" s="24">
        <f t="shared" si="26"/>
        <v>39.999136796864008</v>
      </c>
      <c r="AR9" s="124"/>
      <c r="AS9" s="41">
        <f>$H$9*月別販売比率!AG5</f>
        <v>33.828006088280063</v>
      </c>
      <c r="AT9" s="21"/>
      <c r="AU9" s="283">
        <f>$H$9*月別販売比率!AL5</f>
        <v>30.445205479452056</v>
      </c>
      <c r="AV9" s="241">
        <v>55</v>
      </c>
      <c r="AW9" s="283">
        <f>$H$9*月別販売比率!AQ5</f>
        <v>33.828006088280063</v>
      </c>
      <c r="AX9" s="241">
        <v>71</v>
      </c>
      <c r="AY9" s="283">
        <f>$H$9*月別販売比率!AV5</f>
        <v>20.599353051396612</v>
      </c>
      <c r="AZ9" s="241"/>
      <c r="BA9" s="283">
        <f>$H$9*月別販売比率!BA5</f>
        <v>18.816192658594762</v>
      </c>
      <c r="BB9" s="241">
        <v>65</v>
      </c>
      <c r="BC9" s="283">
        <f>$H$9*月別販売比率!BF5</f>
        <v>27.06240487062405</v>
      </c>
      <c r="BD9" s="241"/>
      <c r="BE9" s="41">
        <f>$H$9*月別販売比率!C21</f>
        <v>23.971963181880497</v>
      </c>
      <c r="BF9" s="21"/>
      <c r="BG9" s="283">
        <f>$H$9*月別販売比率!H21</f>
        <v>23.679604261796047</v>
      </c>
      <c r="BH9" s="241">
        <v>45</v>
      </c>
      <c r="BI9" s="283">
        <f>$H$9*月別販売比率!M21</f>
        <v>34.187830909790108</v>
      </c>
      <c r="BJ9" s="241">
        <v>45</v>
      </c>
      <c r="BK9" s="41">
        <f>$H$9*月別販売比率!R21</f>
        <v>27.06240487062405</v>
      </c>
      <c r="BL9" s="21"/>
      <c r="BM9" s="283">
        <f>$H$9*月別販売比率!W21</f>
        <v>25.765682789948279</v>
      </c>
      <c r="BN9" s="241">
        <v>10</v>
      </c>
      <c r="BO9" s="283">
        <f>$H$9*月別販売比率!AB21</f>
        <v>40.593607305936075</v>
      </c>
      <c r="BP9" s="241"/>
      <c r="BQ9" s="283">
        <f>$H$9*月別販売比率!AG21</f>
        <v>33.828006088280063</v>
      </c>
      <c r="BR9" s="241">
        <v>90</v>
      </c>
      <c r="BS9" s="283">
        <f>$H$9*月別販売比率!AL21</f>
        <v>30.445205479452056</v>
      </c>
      <c r="BT9" s="241">
        <v>48</v>
      </c>
      <c r="BU9" s="283">
        <f>$H$9*月別販売比率!AQ21</f>
        <v>33.828006088280063</v>
      </c>
      <c r="BV9" s="241">
        <v>25</v>
      </c>
      <c r="BW9" s="41">
        <f>$H$9*月別販売比率!AV21</f>
        <v>20.599353051396612</v>
      </c>
      <c r="BX9" s="21"/>
      <c r="BY9" s="283">
        <f>$H$9*月別販売比率!BA21</f>
        <v>18.816192658594762</v>
      </c>
      <c r="BZ9" s="241">
        <v>8</v>
      </c>
      <c r="CA9" s="41">
        <f>$H$9*月別販売比率!BF21</f>
        <v>27.06240487062405</v>
      </c>
      <c r="CB9" s="21"/>
      <c r="CC9" s="41">
        <f>H9*月別販売比率!$C$21</f>
        <v>23.971963181880497</v>
      </c>
      <c r="CD9" s="21"/>
      <c r="CE9" s="41">
        <f>H9*月別販売比率!$H$21</f>
        <v>23.679604261796047</v>
      </c>
      <c r="CF9" s="241">
        <v>100</v>
      </c>
      <c r="CG9" s="41">
        <f>$H$9*月別販売比率!M21</f>
        <v>34.187830909790108</v>
      </c>
      <c r="CH9" s="241">
        <v>65</v>
      </c>
      <c r="CI9" s="41">
        <f>H9*月別販売比率!$R$21</f>
        <v>27.06240487062405</v>
      </c>
      <c r="CJ9" s="21">
        <v>25</v>
      </c>
      <c r="CK9" s="41">
        <f>H9*月別販売比率!$W$21</f>
        <v>25.765682789948279</v>
      </c>
      <c r="CL9" s="21">
        <v>65</v>
      </c>
      <c r="CM9" s="41">
        <f>H9*月別販売比率!$AB$21</f>
        <v>40.593607305936075</v>
      </c>
      <c r="CN9" s="21"/>
      <c r="CO9" s="41">
        <f>H9*月別販売比率!$AG$21</f>
        <v>33.828006088280063</v>
      </c>
      <c r="CP9" s="21"/>
      <c r="CQ9" s="41">
        <f>H9*月別販売比率!$AL$21</f>
        <v>30.445205479452056</v>
      </c>
      <c r="CR9" s="21">
        <v>45</v>
      </c>
      <c r="CS9" s="41">
        <f>H9*月別販売比率!$AQ$21</f>
        <v>33.828006088280063</v>
      </c>
      <c r="CT9" s="21"/>
      <c r="CU9" s="41">
        <f>H9*月別販売比率!$AV$21</f>
        <v>20.599353051396612</v>
      </c>
      <c r="CV9" s="21"/>
      <c r="CW9" s="41">
        <f>H9*月別販売比率!$BA$21</f>
        <v>18.816192658594762</v>
      </c>
      <c r="CX9" s="21"/>
      <c r="CY9" s="41">
        <f>H9*月別販売比率!$BF$21</f>
        <v>27.06240487062405</v>
      </c>
      <c r="CZ9" s="21"/>
      <c r="DA9" s="28"/>
      <c r="DB9" s="294"/>
    </row>
    <row r="10" spans="2:106" ht="30.75" customHeight="1">
      <c r="C10" s="457"/>
      <c r="D10" s="441"/>
      <c r="E10" s="94" t="s">
        <v>49</v>
      </c>
      <c r="F10" s="57">
        <v>46</v>
      </c>
      <c r="G10" s="5">
        <f t="shared" si="17"/>
        <v>202400</v>
      </c>
      <c r="H10" s="45">
        <f t="shared" si="27"/>
        <v>122.52663622526637</v>
      </c>
      <c r="I10" s="5">
        <f t="shared" si="17"/>
        <v>539117.19939117203</v>
      </c>
      <c r="J10" s="9">
        <v>23</v>
      </c>
      <c r="K10" s="21">
        <f t="shared" si="18"/>
        <v>35</v>
      </c>
      <c r="L10" s="21">
        <v>10</v>
      </c>
      <c r="M10" s="21">
        <v>0</v>
      </c>
      <c r="N10" s="95">
        <v>25</v>
      </c>
      <c r="O10" s="19"/>
      <c r="P10" s="289">
        <v>45622</v>
      </c>
      <c r="Q10" s="330"/>
      <c r="R10" s="124"/>
      <c r="S10" s="124"/>
      <c r="T10" s="328"/>
      <c r="U10" s="328"/>
      <c r="V10" s="331">
        <v>45792</v>
      </c>
      <c r="W10" s="124"/>
      <c r="X10" s="124"/>
      <c r="Y10" s="331">
        <v>45884</v>
      </c>
      <c r="Z10" s="330"/>
      <c r="AA10" s="331"/>
      <c r="AB10" s="331"/>
      <c r="AC10" s="331">
        <v>46017</v>
      </c>
      <c r="AD10" s="331"/>
      <c r="AE10" s="331"/>
      <c r="AF10" s="331"/>
      <c r="AG10" s="331"/>
      <c r="AH10" s="331"/>
      <c r="AI10" s="129">
        <f t="shared" ref="AI10:AI26" si="28">SUM(J10:K10)-CI10+CJ10</f>
        <v>68.197869101978682</v>
      </c>
      <c r="AJ10" s="124">
        <f t="shared" si="19"/>
        <v>78.865417067824183</v>
      </c>
      <c r="AK10" s="124">
        <f t="shared" si="20"/>
        <v>64.16222072079222</v>
      </c>
      <c r="AL10" s="400">
        <f t="shared" si="21"/>
        <v>51.90955709826558</v>
      </c>
      <c r="AM10" s="394">
        <f t="shared" si="22"/>
        <v>60.882159837991608</v>
      </c>
      <c r="AN10" s="394">
        <f t="shared" si="23"/>
        <v>48.629496215464968</v>
      </c>
      <c r="AO10" s="394">
        <f t="shared" si="24"/>
        <v>41.168313220470921</v>
      </c>
      <c r="AP10" s="97">
        <f t="shared" si="25"/>
        <v>34.352999344129508</v>
      </c>
      <c r="AQ10" s="24">
        <f t="shared" si="26"/>
        <v>24.550868446108197</v>
      </c>
      <c r="AR10" s="124"/>
      <c r="AS10" s="41">
        <f>$H$10*月別販売比率!AG5</f>
        <v>12.252663622526638</v>
      </c>
      <c r="AT10" s="21"/>
      <c r="AU10" s="283">
        <f>$H$10*月別販売比率!AL5</f>
        <v>11.027397260273974</v>
      </c>
      <c r="AV10" s="241">
        <v>20</v>
      </c>
      <c r="AW10" s="283">
        <f>$H$10*月別販売比率!AQ5</f>
        <v>12.252663622526638</v>
      </c>
      <c r="AX10" s="241">
        <v>26</v>
      </c>
      <c r="AY10" s="283">
        <f>$H$10*月別販売比率!AV5</f>
        <v>7.4611829949940489</v>
      </c>
      <c r="AZ10" s="241"/>
      <c r="BA10" s="283">
        <f>$H$10*月別販売比率!BA5</f>
        <v>6.8153138763414107</v>
      </c>
      <c r="BB10" s="241">
        <v>20</v>
      </c>
      <c r="BC10" s="283">
        <f>$H$10*月別販売比率!BF5</f>
        <v>9.8021308980213107</v>
      </c>
      <c r="BD10" s="241"/>
      <c r="BE10" s="41">
        <f>$H$10*月別販売比率!C21</f>
        <v>8.6827583178464796</v>
      </c>
      <c r="BF10" s="21"/>
      <c r="BG10" s="283">
        <f>$H$10*月別販売比率!H21</f>
        <v>8.5768645357686477</v>
      </c>
      <c r="BH10" s="241">
        <v>20</v>
      </c>
      <c r="BI10" s="283">
        <f>$H$10*月別販売比率!M21</f>
        <v>12.382993872837364</v>
      </c>
      <c r="BJ10" s="241">
        <v>20</v>
      </c>
      <c r="BK10" s="41">
        <f>$H$10*月別販売比率!R21</f>
        <v>9.8021308980213107</v>
      </c>
      <c r="BL10" s="21"/>
      <c r="BM10" s="283">
        <f>$H$10*月別販売比率!W21</f>
        <v>9.3324520341544961</v>
      </c>
      <c r="BN10" s="241">
        <v>10</v>
      </c>
      <c r="BO10" s="283">
        <f>$H$10*月別販売比率!AB21</f>
        <v>14.703196347031964</v>
      </c>
      <c r="BP10" s="241">
        <v>35</v>
      </c>
      <c r="BQ10" s="283">
        <f>$H$10*月別販売比率!AG21</f>
        <v>12.252663622526638</v>
      </c>
      <c r="BR10" s="241"/>
      <c r="BS10" s="283">
        <f>$H$10*月別販売比率!AL21</f>
        <v>11.027397260273974</v>
      </c>
      <c r="BT10" s="241">
        <v>17</v>
      </c>
      <c r="BU10" s="283">
        <f>$H$10*月別販売比率!AQ21</f>
        <v>12.252663622526638</v>
      </c>
      <c r="BV10" s="241">
        <v>10</v>
      </c>
      <c r="BW10" s="41">
        <f>$H$10*月別販売比率!AV21</f>
        <v>7.4611829949940489</v>
      </c>
      <c r="BX10" s="21"/>
      <c r="BY10" s="283">
        <f>$H$10*月別販売比率!BA21</f>
        <v>6.8153138763414107</v>
      </c>
      <c r="BZ10" s="241">
        <v>23</v>
      </c>
      <c r="CA10" s="41">
        <f>$H$10*月別販売比率!BF21</f>
        <v>9.8021308980213107</v>
      </c>
      <c r="CB10" s="21"/>
      <c r="CC10" s="41">
        <f>H10*月別販売比率!$C$21</f>
        <v>8.6827583178464796</v>
      </c>
      <c r="CD10" s="21"/>
      <c r="CE10" s="41">
        <f>H10*月別販売比率!$H$21</f>
        <v>8.5768645357686477</v>
      </c>
      <c r="CF10" s="241">
        <v>30</v>
      </c>
      <c r="CG10" s="41">
        <f>$H$10*月別販売比率!M21</f>
        <v>12.382993872837364</v>
      </c>
      <c r="CH10" s="241">
        <v>25</v>
      </c>
      <c r="CI10" s="41">
        <f>H10*月別販売比率!$R$21</f>
        <v>9.8021308980213107</v>
      </c>
      <c r="CJ10" s="21">
        <v>20</v>
      </c>
      <c r="CK10" s="41">
        <f>H10*月別販売比率!$W$21</f>
        <v>9.3324520341544961</v>
      </c>
      <c r="CL10" s="21">
        <v>20</v>
      </c>
      <c r="CM10" s="41">
        <f>H10*月別販売比率!$AB$21</f>
        <v>14.703196347031964</v>
      </c>
      <c r="CN10" s="21"/>
      <c r="CO10" s="41">
        <f>H10*月別販売比率!$AG$21</f>
        <v>12.252663622526638</v>
      </c>
      <c r="CP10" s="21"/>
      <c r="CQ10" s="41">
        <f>H10*月別販売比率!$AL$21</f>
        <v>11.027397260273974</v>
      </c>
      <c r="CR10" s="21">
        <v>20</v>
      </c>
      <c r="CS10" s="41">
        <f>H10*月別販売比率!$AQ$21</f>
        <v>12.252663622526638</v>
      </c>
      <c r="CT10" s="21"/>
      <c r="CU10" s="41">
        <f>H10*月別販売比率!$AV$21</f>
        <v>7.4611829949940489</v>
      </c>
      <c r="CV10" s="21"/>
      <c r="CW10" s="41">
        <f>H10*月別販売比率!$BA$21</f>
        <v>6.8153138763414107</v>
      </c>
      <c r="CX10" s="21"/>
      <c r="CY10" s="41">
        <f>H10*月別販売比率!$BF$21</f>
        <v>9.8021308980213107</v>
      </c>
      <c r="CZ10" s="21"/>
      <c r="DA10" s="28"/>
      <c r="DB10" s="294"/>
    </row>
    <row r="11" spans="2:106" ht="30.75" customHeight="1">
      <c r="C11" s="457"/>
      <c r="D11" s="442"/>
      <c r="E11" s="94" t="s">
        <v>50</v>
      </c>
      <c r="F11" s="57">
        <v>30</v>
      </c>
      <c r="G11" s="5">
        <f t="shared" si="17"/>
        <v>132000</v>
      </c>
      <c r="H11" s="45">
        <f t="shared" si="27"/>
        <v>79.908675799086765</v>
      </c>
      <c r="I11" s="5">
        <f t="shared" si="17"/>
        <v>351598.17351598176</v>
      </c>
      <c r="J11" s="9">
        <v>0</v>
      </c>
      <c r="K11" s="21">
        <f t="shared" si="18"/>
        <v>31</v>
      </c>
      <c r="L11" s="21">
        <v>7</v>
      </c>
      <c r="M11" s="21">
        <v>0</v>
      </c>
      <c r="N11" s="95">
        <v>24</v>
      </c>
      <c r="O11" s="19"/>
      <c r="P11" s="19"/>
      <c r="Q11" s="330"/>
      <c r="R11" s="328"/>
      <c r="S11" s="331">
        <v>45707</v>
      </c>
      <c r="T11" s="124"/>
      <c r="U11" s="328"/>
      <c r="V11" s="331">
        <v>45792</v>
      </c>
      <c r="W11" s="124"/>
      <c r="X11" s="124"/>
      <c r="Y11" s="124"/>
      <c r="Z11" s="124"/>
      <c r="AA11" s="124"/>
      <c r="AB11" s="124"/>
      <c r="AC11" s="124"/>
      <c r="AD11" s="331"/>
      <c r="AE11" s="331"/>
      <c r="AF11" s="331"/>
      <c r="AG11" s="331"/>
      <c r="AH11" s="331"/>
      <c r="AI11" s="124">
        <f t="shared" si="28"/>
        <v>24.607305936073057</v>
      </c>
      <c r="AJ11" s="124">
        <f t="shared" si="19"/>
        <v>33.520924174667954</v>
      </c>
      <c r="AK11" s="124">
        <f t="shared" si="20"/>
        <v>23.931883078777542</v>
      </c>
      <c r="AL11" s="400">
        <f t="shared" si="21"/>
        <v>15.941015498868865</v>
      </c>
      <c r="AM11" s="394">
        <f t="shared" si="22"/>
        <v>23.749234676951055</v>
      </c>
      <c r="AN11" s="394">
        <f t="shared" si="23"/>
        <v>15.758367097042377</v>
      </c>
      <c r="AO11" s="394">
        <f t="shared" si="24"/>
        <v>10.892378187263649</v>
      </c>
      <c r="AP11" s="97">
        <f t="shared" si="25"/>
        <v>6.4476082679105549</v>
      </c>
      <c r="AQ11" s="24">
        <f t="shared" si="26"/>
        <v>5.4914203983613241E-2</v>
      </c>
      <c r="AR11" s="124"/>
      <c r="AS11" s="41">
        <f>$H$11*月別販売比率!AG5</f>
        <v>7.9908675799086772</v>
      </c>
      <c r="AT11" s="21"/>
      <c r="AU11" s="283">
        <f>$H$11*月別販売比率!AL5</f>
        <v>7.191780821917809</v>
      </c>
      <c r="AV11" s="241"/>
      <c r="AW11" s="283">
        <f>$H$11*月別販売比率!AQ5</f>
        <v>7.9908675799086772</v>
      </c>
      <c r="AX11" s="241"/>
      <c r="AY11" s="283">
        <f>$H$11*月別販売比率!AV5</f>
        <v>4.8659889097787277</v>
      </c>
      <c r="AZ11" s="241"/>
      <c r="BA11" s="283">
        <f>$H$11*月別販売比率!BA5</f>
        <v>4.4447699193530941</v>
      </c>
      <c r="BB11" s="241">
        <v>15</v>
      </c>
      <c r="BC11" s="283">
        <f>$H$11*月別販売比率!BF5</f>
        <v>6.3926940639269416</v>
      </c>
      <c r="BD11" s="241"/>
      <c r="BE11" s="41">
        <f>$H$11*月別販売比率!C21</f>
        <v>5.6626684681607475</v>
      </c>
      <c r="BF11" s="21"/>
      <c r="BG11" s="283">
        <f>$H$11*月別販売比率!H21</f>
        <v>5.5936073059360742</v>
      </c>
      <c r="BH11" s="241">
        <v>10</v>
      </c>
      <c r="BI11" s="283">
        <f>$H$11*月別販売比率!M21</f>
        <v>8.075865569241758</v>
      </c>
      <c r="BJ11" s="241">
        <v>10</v>
      </c>
      <c r="BK11" s="41">
        <f>$H$11*月別販売比率!R21</f>
        <v>6.3926940639269416</v>
      </c>
      <c r="BL11" s="21"/>
      <c r="BM11" s="283">
        <f>$H$11*月別販売比率!W21</f>
        <v>6.0863817614051055</v>
      </c>
      <c r="BN11" s="241">
        <v>10</v>
      </c>
      <c r="BO11" s="283">
        <f>$H$11*月別販売比率!AB21</f>
        <v>9.589041095890412</v>
      </c>
      <c r="BP11" s="241">
        <v>20</v>
      </c>
      <c r="BQ11" s="283">
        <f>$H$11*月別販売比率!AG21</f>
        <v>7.9908675799086772</v>
      </c>
      <c r="BR11" s="241"/>
      <c r="BS11" s="283">
        <f>$H$11*月別販売比率!AL21</f>
        <v>7.191780821917809</v>
      </c>
      <c r="BT11" s="241">
        <v>30</v>
      </c>
      <c r="BU11" s="283">
        <f>$H$11*月別販売比率!AQ21</f>
        <v>7.9908675799086772</v>
      </c>
      <c r="BV11" s="241">
        <v>5</v>
      </c>
      <c r="BW11" s="41">
        <f>$H$11*月別販売比率!AV21</f>
        <v>4.8659889097787277</v>
      </c>
      <c r="BX11" s="21"/>
      <c r="BY11" s="283">
        <f>$H$11*月別販売比率!BA21</f>
        <v>4.4447699193530941</v>
      </c>
      <c r="BZ11" s="241">
        <v>5</v>
      </c>
      <c r="CA11" s="41">
        <f>$H$11*月別販売比率!BF21</f>
        <v>6.3926940639269416</v>
      </c>
      <c r="CB11" s="21"/>
      <c r="CC11" s="41">
        <f>H11*月別販売比率!$C$21</f>
        <v>5.6626684681607475</v>
      </c>
      <c r="CD11" s="21"/>
      <c r="CE11" s="41">
        <f>H11*月別販売比率!$H$21</f>
        <v>5.5936073059360742</v>
      </c>
      <c r="CF11" s="241">
        <v>20</v>
      </c>
      <c r="CG11" s="41">
        <f>$H$11*月別販売比率!M21</f>
        <v>8.075865569241758</v>
      </c>
      <c r="CH11" s="241">
        <v>24</v>
      </c>
      <c r="CI11" s="41">
        <f>H11*月別販売比率!$R$21</f>
        <v>6.3926940639269416</v>
      </c>
      <c r="CJ11" s="21"/>
      <c r="CK11" s="41">
        <f>H11*月別販売比率!$W$21</f>
        <v>6.0863817614051055</v>
      </c>
      <c r="CL11" s="21">
        <v>15</v>
      </c>
      <c r="CM11" s="41">
        <f>H11*月別販売比率!$AB$21</f>
        <v>9.589041095890412</v>
      </c>
      <c r="CN11" s="21"/>
      <c r="CO11" s="41">
        <f>H11*月別販売比率!$AG$21</f>
        <v>7.9908675799086772</v>
      </c>
      <c r="CP11" s="21"/>
      <c r="CQ11" s="41">
        <f>H11*月別販売比率!$AL$21</f>
        <v>7.191780821917809</v>
      </c>
      <c r="CR11" s="21">
        <v>15</v>
      </c>
      <c r="CS11" s="41">
        <f>H11*月別販売比率!$AQ$21</f>
        <v>7.9908675799086772</v>
      </c>
      <c r="CT11" s="21"/>
      <c r="CU11" s="41">
        <f>H11*月別販売比率!$AV$21</f>
        <v>4.8659889097787277</v>
      </c>
      <c r="CV11" s="21"/>
      <c r="CW11" s="41">
        <f>H11*月別販売比率!$BA$21</f>
        <v>4.4447699193530941</v>
      </c>
      <c r="CX11" s="21"/>
      <c r="CY11" s="41">
        <f>H11*月別販売比率!$BF$21</f>
        <v>6.3926940639269416</v>
      </c>
      <c r="CZ11" s="21"/>
      <c r="DA11" s="28"/>
      <c r="DB11" s="294"/>
    </row>
    <row r="12" spans="2:106" ht="30.75" customHeight="1">
      <c r="C12" s="457"/>
      <c r="D12" s="443">
        <v>2</v>
      </c>
      <c r="E12" s="94" t="s">
        <v>46</v>
      </c>
      <c r="F12" s="57">
        <v>84</v>
      </c>
      <c r="G12" s="5">
        <f t="shared" si="17"/>
        <v>369600</v>
      </c>
      <c r="H12" s="45">
        <f t="shared" si="27"/>
        <v>223.74429223744295</v>
      </c>
      <c r="I12" s="5">
        <f t="shared" si="17"/>
        <v>984474.88584474893</v>
      </c>
      <c r="J12" s="9">
        <v>0</v>
      </c>
      <c r="K12" s="21">
        <f t="shared" si="18"/>
        <v>45</v>
      </c>
      <c r="L12" s="21">
        <v>0</v>
      </c>
      <c r="M12" s="21">
        <v>0</v>
      </c>
      <c r="N12" s="95">
        <v>45</v>
      </c>
      <c r="O12" s="19"/>
      <c r="P12" s="289">
        <v>45622</v>
      </c>
      <c r="Q12" s="331">
        <v>45646</v>
      </c>
      <c r="R12" s="124"/>
      <c r="S12" s="124"/>
      <c r="T12" s="124"/>
      <c r="U12" s="328"/>
      <c r="V12" s="331">
        <v>45792</v>
      </c>
      <c r="W12" s="328"/>
      <c r="X12" s="328"/>
      <c r="Y12" s="331">
        <v>45884</v>
      </c>
      <c r="Z12" s="330"/>
      <c r="AA12" s="331"/>
      <c r="AB12" s="331">
        <v>45979</v>
      </c>
      <c r="AC12" s="330"/>
      <c r="AD12" s="330"/>
      <c r="AE12" s="330"/>
      <c r="AF12" s="328"/>
      <c r="AG12" s="331"/>
      <c r="AH12" s="331"/>
      <c r="AI12" s="129">
        <f>SUM(J12:K12)-CI12+CJ12</f>
        <v>82.100456621004568</v>
      </c>
      <c r="AJ12" s="124">
        <f t="shared" si="19"/>
        <v>100.05858768907027</v>
      </c>
      <c r="AK12" s="124">
        <f t="shared" si="20"/>
        <v>73.20927262057711</v>
      </c>
      <c r="AL12" s="400">
        <f t="shared" si="21"/>
        <v>50.83484339683281</v>
      </c>
      <c r="AM12" s="394">
        <f t="shared" si="22"/>
        <v>65.69785709546295</v>
      </c>
      <c r="AN12" s="394">
        <f t="shared" si="23"/>
        <v>43.32342787171865</v>
      </c>
      <c r="AO12" s="394">
        <f t="shared" si="24"/>
        <v>29.698658924338211</v>
      </c>
      <c r="AP12" s="97">
        <f t="shared" si="25"/>
        <v>17.253303150149549</v>
      </c>
      <c r="AQ12" s="24">
        <f t="shared" si="26"/>
        <v>-0.64624022884588683</v>
      </c>
      <c r="AR12" s="124"/>
      <c r="AS12" s="41">
        <f>$H$12*月別販売比率!AG5</f>
        <v>22.374429223744297</v>
      </c>
      <c r="AT12" s="21"/>
      <c r="AU12" s="283">
        <f>$H$12*月別販売比率!AL5</f>
        <v>20.136986301369866</v>
      </c>
      <c r="AV12" s="241">
        <v>36</v>
      </c>
      <c r="AW12" s="283">
        <f>$H$12*月別販売比率!AQ5</f>
        <v>22.374429223744297</v>
      </c>
      <c r="AX12" s="241">
        <v>60</v>
      </c>
      <c r="AY12" s="283">
        <f>$H$12*月別販売比率!AV5</f>
        <v>13.624768947380439</v>
      </c>
      <c r="AZ12" s="241"/>
      <c r="BA12" s="283">
        <f>$H$12*月別販売比率!BA5</f>
        <v>12.445355774188663</v>
      </c>
      <c r="BB12" s="241">
        <v>35</v>
      </c>
      <c r="BC12" s="283">
        <f>$H$12*月別販売比率!BF5</f>
        <v>17.899543378995435</v>
      </c>
      <c r="BD12" s="241"/>
      <c r="BE12" s="41">
        <f>$H$12*月別販売比率!C21</f>
        <v>15.855471710850093</v>
      </c>
      <c r="BF12" s="21"/>
      <c r="BG12" s="283">
        <f>$H$12*月別販売比率!H21</f>
        <v>15.662100456621008</v>
      </c>
      <c r="BH12" s="241">
        <v>27</v>
      </c>
      <c r="BI12" s="283">
        <f>$H$12*月別販売比率!M21</f>
        <v>22.612423593876926</v>
      </c>
      <c r="BJ12" s="241">
        <v>20</v>
      </c>
      <c r="BK12" s="41">
        <f>$H$12*月別販売比率!R21</f>
        <v>17.899543378995435</v>
      </c>
      <c r="BL12" s="21"/>
      <c r="BM12" s="283">
        <f>$H$12*月別販売比率!W21</f>
        <v>17.041868931934296</v>
      </c>
      <c r="BN12" s="241">
        <v>35</v>
      </c>
      <c r="BO12" s="283">
        <f>$H$12*月別販売比率!AB21</f>
        <v>26.849315068493151</v>
      </c>
      <c r="BP12" s="241">
        <v>30</v>
      </c>
      <c r="BQ12" s="283">
        <f>$H$12*月別販売比率!AG21</f>
        <v>22.374429223744297</v>
      </c>
      <c r="BR12" s="241">
        <v>25</v>
      </c>
      <c r="BS12" s="283">
        <f>$H$12*月別販売比率!AL21</f>
        <v>20.136986301369866</v>
      </c>
      <c r="BT12" s="241">
        <v>75</v>
      </c>
      <c r="BU12" s="283">
        <f>$H$12*月別販売比率!AQ21</f>
        <v>22.374429223744297</v>
      </c>
      <c r="BV12" s="241">
        <v>35</v>
      </c>
      <c r="BW12" s="41">
        <f>$H$12*月別販売比率!AV21</f>
        <v>13.624768947380439</v>
      </c>
      <c r="BX12" s="21"/>
      <c r="BY12" s="283">
        <f>$H$12*月別販売比率!BA21</f>
        <v>12.445355774188663</v>
      </c>
      <c r="BZ12" s="241">
        <v>16</v>
      </c>
      <c r="CA12" s="41">
        <f>$H$12*月別販売比率!BF21</f>
        <v>17.899543378995435</v>
      </c>
      <c r="CB12" s="21"/>
      <c r="CC12" s="41">
        <f>H12*月別販売比率!$C$21</f>
        <v>15.855471710850093</v>
      </c>
      <c r="CD12" s="21"/>
      <c r="CE12" s="41">
        <f>H12*月別販売比率!$H$21</f>
        <v>15.662100456621008</v>
      </c>
      <c r="CF12" s="241">
        <v>30</v>
      </c>
      <c r="CG12" s="41">
        <f>$H$12*月別販売比率!M21</f>
        <v>22.612423593876926</v>
      </c>
      <c r="CH12" s="241">
        <v>45</v>
      </c>
      <c r="CI12" s="41">
        <f>H12*月別販売比率!$R$21</f>
        <v>17.899543378995435</v>
      </c>
      <c r="CJ12" s="21">
        <v>55</v>
      </c>
      <c r="CK12" s="41">
        <f>H12*月別販売比率!$W$21</f>
        <v>17.041868931934296</v>
      </c>
      <c r="CL12" s="21">
        <v>35</v>
      </c>
      <c r="CM12" s="41">
        <f>H12*月別販売比率!$AB$21</f>
        <v>26.849315068493151</v>
      </c>
      <c r="CN12" s="21"/>
      <c r="CO12" s="41">
        <f>H12*月別販売比率!$AG$21</f>
        <v>22.374429223744297</v>
      </c>
      <c r="CP12" s="21"/>
      <c r="CQ12" s="41">
        <f>H12*月別販売比率!$AL$21</f>
        <v>20.136986301369866</v>
      </c>
      <c r="CR12" s="21">
        <v>35</v>
      </c>
      <c r="CS12" s="41">
        <f>H12*月別販売比率!$AQ$21</f>
        <v>22.374429223744297</v>
      </c>
      <c r="CT12" s="21"/>
      <c r="CU12" s="41">
        <f>H12*月別販売比率!$AV$21</f>
        <v>13.624768947380439</v>
      </c>
      <c r="CV12" s="21"/>
      <c r="CW12" s="41">
        <f>H12*月別販売比率!$BA$21</f>
        <v>12.445355774188663</v>
      </c>
      <c r="CX12" s="21"/>
      <c r="CY12" s="41">
        <f>H12*月別販売比率!$BF$21</f>
        <v>17.899543378995435</v>
      </c>
      <c r="CZ12" s="21"/>
      <c r="DA12" s="28"/>
      <c r="DB12" s="294"/>
    </row>
    <row r="13" spans="2:106" ht="30.75" customHeight="1">
      <c r="C13" s="457"/>
      <c r="D13" s="441"/>
      <c r="E13" s="94" t="s">
        <v>47</v>
      </c>
      <c r="F13" s="57">
        <v>116</v>
      </c>
      <c r="G13" s="5">
        <f t="shared" si="17"/>
        <v>510400</v>
      </c>
      <c r="H13" s="45">
        <f t="shared" si="27"/>
        <v>308.98021308980213</v>
      </c>
      <c r="I13" s="5">
        <f t="shared" si="17"/>
        <v>1359512.9375951295</v>
      </c>
      <c r="J13" s="9">
        <v>0</v>
      </c>
      <c r="K13" s="21">
        <f t="shared" si="18"/>
        <v>29</v>
      </c>
      <c r="L13" s="21">
        <v>0</v>
      </c>
      <c r="M13" s="21">
        <v>0</v>
      </c>
      <c r="N13" s="95">
        <v>29</v>
      </c>
      <c r="O13" s="288"/>
      <c r="P13" s="289">
        <v>45622</v>
      </c>
      <c r="Q13" s="331">
        <v>45646</v>
      </c>
      <c r="R13" s="124"/>
      <c r="S13" s="124"/>
      <c r="T13" s="328"/>
      <c r="U13" s="328"/>
      <c r="V13" s="331">
        <v>45792</v>
      </c>
      <c r="W13" s="328"/>
      <c r="X13" s="328"/>
      <c r="Y13" s="331">
        <v>45884</v>
      </c>
      <c r="Z13" s="330"/>
      <c r="AA13" s="331"/>
      <c r="AB13" s="331">
        <v>45979</v>
      </c>
      <c r="AC13" s="331">
        <v>45662</v>
      </c>
      <c r="AD13" s="331"/>
      <c r="AE13" s="331"/>
      <c r="AF13" s="330"/>
      <c r="AG13" s="331"/>
      <c r="AH13" s="331"/>
      <c r="AI13" s="129">
        <f t="shared" si="28"/>
        <v>98.281582952815825</v>
      </c>
      <c r="AJ13" s="124">
        <f t="shared" si="19"/>
        <v>144.74757347538275</v>
      </c>
      <c r="AK13" s="124">
        <f t="shared" si="20"/>
        <v>107.66994790460649</v>
      </c>
      <c r="AL13" s="400">
        <f t="shared" si="21"/>
        <v>76.771926595626269</v>
      </c>
      <c r="AM13" s="394">
        <f t="shared" si="22"/>
        <v>81.963707417544072</v>
      </c>
      <c r="AN13" s="394">
        <f t="shared" si="23"/>
        <v>51.065686108563852</v>
      </c>
      <c r="AO13" s="394">
        <f t="shared" si="24"/>
        <v>32.25052899075277</v>
      </c>
      <c r="AP13" s="97">
        <f t="shared" si="25"/>
        <v>15.064085302587475</v>
      </c>
      <c r="AQ13" s="24">
        <f t="shared" si="26"/>
        <v>-9.6543317445966963</v>
      </c>
      <c r="AR13" s="124"/>
      <c r="AS13" s="41">
        <f>$H$13*月別販売比率!AG5</f>
        <v>30.898021308980216</v>
      </c>
      <c r="AT13" s="21"/>
      <c r="AU13" s="283">
        <f>$H$13*月別販売比率!AL5</f>
        <v>27.80821917808219</v>
      </c>
      <c r="AV13" s="241">
        <v>47</v>
      </c>
      <c r="AW13" s="283">
        <f>$H$13*月別販売比率!AQ5</f>
        <v>30.898021308980216</v>
      </c>
      <c r="AX13" s="241">
        <v>115</v>
      </c>
      <c r="AY13" s="283">
        <f>$H$13*月別販売比率!AV5</f>
        <v>18.815157117811079</v>
      </c>
      <c r="AZ13" s="241"/>
      <c r="BA13" s="283">
        <f>$H$13*月別販売比率!BA5</f>
        <v>17.186443688165294</v>
      </c>
      <c r="BB13" s="241">
        <v>40</v>
      </c>
      <c r="BC13" s="283">
        <f>$H$13*月別販売比率!BF5</f>
        <v>24.718417047184172</v>
      </c>
      <c r="BD13" s="241"/>
      <c r="BE13" s="41">
        <f>$H$13*月別販売比率!C21</f>
        <v>21.895651410221554</v>
      </c>
      <c r="BF13" s="21"/>
      <c r="BG13" s="283">
        <f>$H$13*月別販売比率!H21</f>
        <v>21.62861491628615</v>
      </c>
      <c r="BH13" s="241">
        <v>35</v>
      </c>
      <c r="BI13" s="283">
        <f>$H$13*月別販売比率!M21</f>
        <v>31.226680201068131</v>
      </c>
      <c r="BJ13" s="241">
        <v>25</v>
      </c>
      <c r="BK13" s="41">
        <f>$H$13*月別販売比率!R21</f>
        <v>24.718417047184172</v>
      </c>
      <c r="BL13" s="21"/>
      <c r="BM13" s="283">
        <f>$H$13*月別販売比率!W21</f>
        <v>23.534009477433074</v>
      </c>
      <c r="BN13" s="241">
        <v>80</v>
      </c>
      <c r="BO13" s="283">
        <f>$H$13*月別販売比率!AB21</f>
        <v>37.077625570776256</v>
      </c>
      <c r="BP13" s="241"/>
      <c r="BQ13" s="283">
        <f>$H$13*月別販売比率!AG21</f>
        <v>30.898021308980216</v>
      </c>
      <c r="BR13" s="241">
        <v>60</v>
      </c>
      <c r="BS13" s="283">
        <f>$H$13*月別販売比率!AL21</f>
        <v>27.80821917808219</v>
      </c>
      <c r="BT13" s="241">
        <v>30</v>
      </c>
      <c r="BU13" s="283">
        <f>$H$13*月別販売比率!AQ21</f>
        <v>30.898021308980216</v>
      </c>
      <c r="BV13" s="241">
        <v>45</v>
      </c>
      <c r="BW13" s="41">
        <f>$H$13*月別販売比率!AV21</f>
        <v>18.815157117811079</v>
      </c>
      <c r="BX13" s="21"/>
      <c r="BY13" s="283">
        <f>$H$13*月別販売比率!BA21</f>
        <v>17.186443688165294</v>
      </c>
      <c r="BZ13" s="241">
        <v>83</v>
      </c>
      <c r="CA13" s="41">
        <f>$H$13*月別販売比率!BF21</f>
        <v>24.718417047184172</v>
      </c>
      <c r="CB13" s="21"/>
      <c r="CC13" s="41">
        <f>H13*月別販売比率!$C$21</f>
        <v>21.895651410221554</v>
      </c>
      <c r="CD13" s="21"/>
      <c r="CE13" s="41">
        <f>H13*月別販売比率!$H$21</f>
        <v>21.62861491628615</v>
      </c>
      <c r="CF13" s="241">
        <v>30</v>
      </c>
      <c r="CG13" s="41">
        <f>$H$13*月別販売比率!M21</f>
        <v>31.226680201068131</v>
      </c>
      <c r="CH13" s="241">
        <v>29</v>
      </c>
      <c r="CI13" s="41">
        <f>H13*月別販売比率!$R$21</f>
        <v>24.718417047184172</v>
      </c>
      <c r="CJ13" s="21">
        <v>94</v>
      </c>
      <c r="CK13" s="41">
        <f>H13*月別販売比率!$W$21</f>
        <v>23.534009477433074</v>
      </c>
      <c r="CL13" s="21">
        <v>70</v>
      </c>
      <c r="CM13" s="41">
        <f>H13*月別販売比率!$AB$21</f>
        <v>37.077625570776256</v>
      </c>
      <c r="CN13" s="21"/>
      <c r="CO13" s="41">
        <f>H13*月別販売比率!$AG$21</f>
        <v>30.898021308980216</v>
      </c>
      <c r="CP13" s="21"/>
      <c r="CQ13" s="41">
        <f>H13*月別販売比率!$AL$21</f>
        <v>27.80821917808219</v>
      </c>
      <c r="CR13" s="21">
        <v>33</v>
      </c>
      <c r="CS13" s="41">
        <f>H13*月別販売比率!$AQ$21</f>
        <v>30.898021308980216</v>
      </c>
      <c r="CT13" s="21"/>
      <c r="CU13" s="41">
        <f>H13*月別販売比率!$AV$21</f>
        <v>18.815157117811079</v>
      </c>
      <c r="CV13" s="21"/>
      <c r="CW13" s="41">
        <f>H13*月別販売比率!$BA$21</f>
        <v>17.186443688165294</v>
      </c>
      <c r="CX13" s="21"/>
      <c r="CY13" s="41">
        <f>H13*月別販売比率!$BF$21</f>
        <v>24.718417047184172</v>
      </c>
      <c r="CZ13" s="21"/>
      <c r="DA13" s="28"/>
      <c r="DB13" s="294"/>
    </row>
    <row r="14" spans="2:106" ht="30.75" customHeight="1">
      <c r="C14" s="457"/>
      <c r="D14" s="441"/>
      <c r="E14" s="94" t="s">
        <v>51</v>
      </c>
      <c r="F14" s="57">
        <v>184</v>
      </c>
      <c r="G14" s="5">
        <f t="shared" si="17"/>
        <v>809600</v>
      </c>
      <c r="H14" s="45">
        <f t="shared" si="27"/>
        <v>490.10654490106549</v>
      </c>
      <c r="I14" s="5">
        <f t="shared" si="17"/>
        <v>2156468.7975646881</v>
      </c>
      <c r="J14" s="9">
        <v>0</v>
      </c>
      <c r="K14" s="21">
        <f t="shared" si="18"/>
        <v>33</v>
      </c>
      <c r="L14" s="21">
        <v>9</v>
      </c>
      <c r="M14" s="21">
        <v>2</v>
      </c>
      <c r="N14" s="95">
        <v>22</v>
      </c>
      <c r="O14" s="19"/>
      <c r="P14" s="289">
        <v>45622</v>
      </c>
      <c r="Q14" s="331">
        <v>45646</v>
      </c>
      <c r="R14" s="124"/>
      <c r="S14" s="124"/>
      <c r="T14" s="124"/>
      <c r="U14" s="124"/>
      <c r="V14" s="124"/>
      <c r="W14" s="124"/>
      <c r="X14" s="124"/>
      <c r="Y14" s="124"/>
      <c r="Z14" s="124"/>
      <c r="AA14" s="328"/>
      <c r="AB14" s="331">
        <v>45979</v>
      </c>
      <c r="AC14" s="330"/>
      <c r="AD14" s="330"/>
      <c r="AE14" s="330"/>
      <c r="AF14" s="330"/>
      <c r="AG14" s="330"/>
      <c r="AH14" s="331"/>
      <c r="AI14" s="129">
        <f t="shared" si="28"/>
        <v>143.79147640791476</v>
      </c>
      <c r="AJ14" s="124">
        <f t="shared" si="19"/>
        <v>196.46166827129679</v>
      </c>
      <c r="AK14" s="124">
        <f t="shared" si="20"/>
        <v>137.64888288316894</v>
      </c>
      <c r="AL14" s="400">
        <f t="shared" si="21"/>
        <v>88.638228393062377</v>
      </c>
      <c r="AM14" s="394">
        <f t="shared" si="22"/>
        <v>149.52863935196649</v>
      </c>
      <c r="AN14" s="394">
        <f t="shared" si="23"/>
        <v>100.51798486185993</v>
      </c>
      <c r="AO14" s="394">
        <f t="shared" si="24"/>
        <v>70.673252881883741</v>
      </c>
      <c r="AP14" s="97">
        <f t="shared" si="25"/>
        <v>43.411997376518102</v>
      </c>
      <c r="AQ14" s="24">
        <f t="shared" si="26"/>
        <v>4.2034737844328589</v>
      </c>
      <c r="AR14" s="124"/>
      <c r="AS14" s="41">
        <f>$H$14*月別販売比率!AG5</f>
        <v>49.010654490106553</v>
      </c>
      <c r="AT14" s="21"/>
      <c r="AU14" s="283">
        <f>$H$14*月別販売比率!AL5</f>
        <v>44.109589041095894</v>
      </c>
      <c r="AV14" s="241">
        <v>72</v>
      </c>
      <c r="AW14" s="283">
        <f>$H$14*月別販売比率!AQ5</f>
        <v>49.010654490106553</v>
      </c>
      <c r="AX14" s="241">
        <v>120</v>
      </c>
      <c r="AY14" s="283">
        <f>$H$14*月別販売比率!AV5</f>
        <v>29.844731979976196</v>
      </c>
      <c r="AZ14" s="241"/>
      <c r="BA14" s="283">
        <f>$H$14*月別販売比率!BA5</f>
        <v>27.261255505365643</v>
      </c>
      <c r="BB14" s="241">
        <v>90</v>
      </c>
      <c r="BC14" s="283">
        <f>$H$14*月別販売比率!BF5</f>
        <v>39.208523592085243</v>
      </c>
      <c r="BD14" s="241"/>
      <c r="BE14" s="41">
        <f>$H$14*月別販売比率!C21</f>
        <v>34.731033271385918</v>
      </c>
      <c r="BF14" s="21"/>
      <c r="BG14" s="283">
        <f>$H$14*月別販売比率!H21</f>
        <v>34.307458143074591</v>
      </c>
      <c r="BH14" s="241">
        <v>65</v>
      </c>
      <c r="BI14" s="283">
        <f>$H$14*月別販売比率!M21</f>
        <v>49.531975491349456</v>
      </c>
      <c r="BJ14" s="241">
        <v>55</v>
      </c>
      <c r="BK14" s="41">
        <f>$H$14*月別販売比率!R21</f>
        <v>39.208523592085243</v>
      </c>
      <c r="BL14" s="21"/>
      <c r="BM14" s="283">
        <f>$H$14*月別販売比率!W21</f>
        <v>37.329808136617984</v>
      </c>
      <c r="BN14" s="241">
        <v>20</v>
      </c>
      <c r="BO14" s="283">
        <f>$H$14*月別販売比率!AB21</f>
        <v>58.812785388127857</v>
      </c>
      <c r="BP14" s="241">
        <v>50</v>
      </c>
      <c r="BQ14" s="283">
        <f>$H$14*月別販売比率!AG21</f>
        <v>49.010654490106553</v>
      </c>
      <c r="BR14" s="241">
        <v>50</v>
      </c>
      <c r="BS14" s="283">
        <f>$H$14*月別販売比率!AL21</f>
        <v>44.109589041095894</v>
      </c>
      <c r="BT14" s="241">
        <v>124</v>
      </c>
      <c r="BU14" s="283">
        <f>$H$14*月別販売比率!AQ21</f>
        <v>49.010654490106553</v>
      </c>
      <c r="BV14" s="241">
        <v>105</v>
      </c>
      <c r="BW14" s="41">
        <f>$H$14*月別販売比率!AV21</f>
        <v>29.844731979976196</v>
      </c>
      <c r="BX14" s="21"/>
      <c r="BY14" s="283">
        <f>$H$14*月別販売比率!BA21</f>
        <v>27.261255505365643</v>
      </c>
      <c r="BZ14" s="241">
        <v>33</v>
      </c>
      <c r="CA14" s="41">
        <f>$H$14*月別販売比率!BF21</f>
        <v>39.208523592085243</v>
      </c>
      <c r="CB14" s="21"/>
      <c r="CC14" s="41">
        <f>H14*月別販売比率!$C$21</f>
        <v>34.731033271385918</v>
      </c>
      <c r="CD14" s="21"/>
      <c r="CE14" s="41">
        <f>H14*月別販売比率!$H$21</f>
        <v>34.307458143074591</v>
      </c>
      <c r="CF14" s="241">
        <v>70</v>
      </c>
      <c r="CG14" s="41">
        <f>$H$14*月別販売比率!M21</f>
        <v>49.531975491349456</v>
      </c>
      <c r="CH14" s="241">
        <v>22</v>
      </c>
      <c r="CI14" s="41">
        <f>H14*月別販売比率!$R$21</f>
        <v>39.208523592085243</v>
      </c>
      <c r="CJ14" s="21">
        <v>150</v>
      </c>
      <c r="CK14" s="41">
        <f>H14*月別販売比率!$W$21</f>
        <v>37.329808136617984</v>
      </c>
      <c r="CL14" s="21">
        <v>90</v>
      </c>
      <c r="CM14" s="41">
        <f>H14*月別販売比率!$AB$21</f>
        <v>58.812785388127857</v>
      </c>
      <c r="CN14" s="21"/>
      <c r="CO14" s="41">
        <f>H14*月別販売比率!$AG$21</f>
        <v>49.010654490106553</v>
      </c>
      <c r="CP14" s="21"/>
      <c r="CQ14" s="41">
        <f>H14*月別販売比率!$AL$21</f>
        <v>44.109589041095894</v>
      </c>
      <c r="CR14" s="21">
        <v>105</v>
      </c>
      <c r="CS14" s="41">
        <f>H14*月別販売比率!$AQ$21</f>
        <v>49.010654490106553</v>
      </c>
      <c r="CT14" s="21"/>
      <c r="CU14" s="41">
        <f>H14*月別販売比率!$AV$21</f>
        <v>29.844731979976196</v>
      </c>
      <c r="CV14" s="21"/>
      <c r="CW14" s="41">
        <f>H14*月別販売比率!$BA$21</f>
        <v>27.261255505365643</v>
      </c>
      <c r="CX14" s="21"/>
      <c r="CY14" s="41">
        <f>H14*月別販売比率!$BF$21</f>
        <v>39.208523592085243</v>
      </c>
      <c r="CZ14" s="21"/>
      <c r="DA14" s="28"/>
      <c r="DB14" s="294"/>
    </row>
    <row r="15" spans="2:106" ht="30.75" customHeight="1">
      <c r="C15" s="457"/>
      <c r="D15" s="441"/>
      <c r="E15" s="94" t="s">
        <v>49</v>
      </c>
      <c r="F15" s="57">
        <v>54</v>
      </c>
      <c r="G15" s="5">
        <f t="shared" si="17"/>
        <v>237600</v>
      </c>
      <c r="H15" s="45">
        <f t="shared" si="27"/>
        <v>143.83561643835617</v>
      </c>
      <c r="I15" s="5">
        <f t="shared" si="17"/>
        <v>632876.71232876717</v>
      </c>
      <c r="J15" s="9">
        <v>4</v>
      </c>
      <c r="K15" s="21">
        <f>SUM(L15:N15)</f>
        <v>27</v>
      </c>
      <c r="L15" s="21">
        <v>8</v>
      </c>
      <c r="M15" s="21">
        <v>4</v>
      </c>
      <c r="N15" s="95">
        <v>15</v>
      </c>
      <c r="O15" s="19"/>
      <c r="P15" s="288"/>
      <c r="Q15" s="331">
        <v>45646</v>
      </c>
      <c r="R15" s="124"/>
      <c r="S15" s="124"/>
      <c r="T15" s="124"/>
      <c r="U15" s="328"/>
      <c r="V15" s="331">
        <v>45792</v>
      </c>
      <c r="W15" s="124"/>
      <c r="X15" s="328"/>
      <c r="Y15" s="331">
        <v>45884</v>
      </c>
      <c r="Z15" s="330"/>
      <c r="AA15" s="331"/>
      <c r="AB15" s="331"/>
      <c r="AC15" s="331">
        <v>46017</v>
      </c>
      <c r="AD15" s="331"/>
      <c r="AE15" s="331"/>
      <c r="AF15" s="330"/>
      <c r="AG15" s="331"/>
      <c r="AH15" s="331"/>
      <c r="AI15" s="124">
        <f t="shared" si="28"/>
        <v>49.493150684931507</v>
      </c>
      <c r="AJ15" s="124">
        <f t="shared" si="19"/>
        <v>58.537663514402318</v>
      </c>
      <c r="AK15" s="124">
        <f t="shared" si="20"/>
        <v>41.277389541799579</v>
      </c>
      <c r="AL15" s="400">
        <f t="shared" si="21"/>
        <v>26.893827897963959</v>
      </c>
      <c r="AM15" s="394">
        <f t="shared" si="22"/>
        <v>43.948622418511903</v>
      </c>
      <c r="AN15" s="394">
        <f t="shared" si="23"/>
        <v>29.565060774676283</v>
      </c>
      <c r="AO15" s="394">
        <f t="shared" si="24"/>
        <v>20.806280737074573</v>
      </c>
      <c r="AP15" s="97">
        <f t="shared" si="25"/>
        <v>12.805694882239004</v>
      </c>
      <c r="AQ15" s="24">
        <f t="shared" si="26"/>
        <v>1.2988455671705115</v>
      </c>
      <c r="AR15" s="124"/>
      <c r="AS15" s="41">
        <f>$H$15*月別販売比率!AG5</f>
        <v>14.383561643835618</v>
      </c>
      <c r="AT15" s="21"/>
      <c r="AU15" s="283">
        <f>$H$15*月別販売比率!AL5</f>
        <v>12.945205479452055</v>
      </c>
      <c r="AV15" s="241">
        <v>11</v>
      </c>
      <c r="AW15" s="283">
        <f>$H$15*月別販売比率!AQ5</f>
        <v>14.383561643835618</v>
      </c>
      <c r="AX15" s="241">
        <v>30</v>
      </c>
      <c r="AY15" s="283">
        <f>$H$15*月別販売比率!AV5</f>
        <v>8.75878003760171</v>
      </c>
      <c r="AZ15" s="241"/>
      <c r="BA15" s="283">
        <f>$H$15*月別販売比率!BA5</f>
        <v>8.0005858548355686</v>
      </c>
      <c r="BB15" s="241">
        <v>20</v>
      </c>
      <c r="BC15" s="283">
        <f>$H$15*月別販売比率!BF5</f>
        <v>11.506849315068493</v>
      </c>
      <c r="BD15" s="241"/>
      <c r="BE15" s="41">
        <f>$H$15*月別販売比率!C21</f>
        <v>10.192803242689344</v>
      </c>
      <c r="BF15" s="21"/>
      <c r="BG15" s="283">
        <f>$H$15*月別販売比率!H21</f>
        <v>10.068493150684933</v>
      </c>
      <c r="BH15" s="241">
        <v>20</v>
      </c>
      <c r="BI15" s="283">
        <f>$H$15*月別販売比率!M21</f>
        <v>14.536558024635164</v>
      </c>
      <c r="BJ15" s="241">
        <v>25</v>
      </c>
      <c r="BK15" s="41">
        <f>$H$15*月別販売比率!R21</f>
        <v>11.506849315068493</v>
      </c>
      <c r="BL15" s="21"/>
      <c r="BM15" s="283">
        <f>$H$15*月別販売比率!W21</f>
        <v>10.955487170529191</v>
      </c>
      <c r="BN15" s="241">
        <v>20</v>
      </c>
      <c r="BO15" s="283">
        <f>$H$15*月別販売比率!AB21</f>
        <v>17.260273972602739</v>
      </c>
      <c r="BP15" s="241">
        <v>20</v>
      </c>
      <c r="BQ15" s="283">
        <f>$H$15*月別販売比率!AG21</f>
        <v>14.383561643835618</v>
      </c>
      <c r="BR15" s="241"/>
      <c r="BS15" s="283">
        <f>$H$15*月別販売比率!AL21</f>
        <v>12.945205479452055</v>
      </c>
      <c r="BT15" s="241">
        <v>39</v>
      </c>
      <c r="BU15" s="283">
        <f>$H$15*月別販売比率!AQ21</f>
        <v>14.383561643835618</v>
      </c>
      <c r="BV15" s="241">
        <v>10</v>
      </c>
      <c r="BW15" s="41">
        <f>$H$15*月別販売比率!AV21</f>
        <v>8.75878003760171</v>
      </c>
      <c r="BX15" s="21"/>
      <c r="BY15" s="283">
        <f>$H$15*月別販売比率!BA21</f>
        <v>8.0005858548355686</v>
      </c>
      <c r="BZ15" s="241">
        <v>40</v>
      </c>
      <c r="CA15" s="41">
        <f>$H$15*月別販売比率!BF21</f>
        <v>11.506849315068493</v>
      </c>
      <c r="CB15" s="21"/>
      <c r="CC15" s="41">
        <f>H15*月別販売比率!$C$21</f>
        <v>10.192803242689344</v>
      </c>
      <c r="CD15" s="21"/>
      <c r="CE15" s="41">
        <f>H15*月別販売比率!$H$21</f>
        <v>10.068493150684933</v>
      </c>
      <c r="CF15" s="241">
        <v>40</v>
      </c>
      <c r="CG15" s="41">
        <f>$H$15*月別販売比率!M21</f>
        <v>14.536558024635164</v>
      </c>
      <c r="CH15" s="241">
        <v>15</v>
      </c>
      <c r="CI15" s="41">
        <f>H15*月別販売比率!$R$21</f>
        <v>11.506849315068493</v>
      </c>
      <c r="CJ15" s="21">
        <v>30</v>
      </c>
      <c r="CK15" s="41">
        <f>H15*月別販売比率!$W$21</f>
        <v>10.955487170529191</v>
      </c>
      <c r="CL15" s="21">
        <v>20</v>
      </c>
      <c r="CM15" s="41">
        <f>H15*月別販売比率!$AB$21</f>
        <v>17.260273972602739</v>
      </c>
      <c r="CN15" s="21"/>
      <c r="CO15" s="41">
        <f>H15*月別販売比率!$AG$21</f>
        <v>14.383561643835618</v>
      </c>
      <c r="CP15" s="21"/>
      <c r="CQ15" s="41">
        <f>H15*月別販売比率!$AL$21</f>
        <v>12.945205479452055</v>
      </c>
      <c r="CR15" s="21">
        <v>30</v>
      </c>
      <c r="CS15" s="41">
        <f>H15*月別販売比率!$AQ$21</f>
        <v>14.383561643835618</v>
      </c>
      <c r="CT15" s="21"/>
      <c r="CU15" s="41">
        <f>H15*月別販売比率!$AV$21</f>
        <v>8.75878003760171</v>
      </c>
      <c r="CV15" s="21"/>
      <c r="CW15" s="41">
        <f>H15*月別販売比率!$BA$21</f>
        <v>8.0005858548355686</v>
      </c>
      <c r="CX15" s="21"/>
      <c r="CY15" s="41">
        <f>H15*月別販売比率!$BF$21</f>
        <v>11.506849315068493</v>
      </c>
      <c r="CZ15" s="21"/>
      <c r="DA15" s="28"/>
      <c r="DB15" s="294"/>
    </row>
    <row r="16" spans="2:106" ht="30.75" customHeight="1">
      <c r="C16" s="457"/>
      <c r="D16" s="442"/>
      <c r="E16" s="94" t="s">
        <v>50</v>
      </c>
      <c r="F16" s="57">
        <v>26</v>
      </c>
      <c r="G16" s="5">
        <f t="shared" si="17"/>
        <v>114400</v>
      </c>
      <c r="H16" s="45">
        <f t="shared" si="27"/>
        <v>69.254185692541867</v>
      </c>
      <c r="I16" s="5">
        <f t="shared" si="17"/>
        <v>304718.41704718419</v>
      </c>
      <c r="J16" s="9">
        <v>0</v>
      </c>
      <c r="K16" s="21">
        <f t="shared" si="18"/>
        <v>29</v>
      </c>
      <c r="L16" s="21">
        <v>6</v>
      </c>
      <c r="M16" s="21">
        <v>14</v>
      </c>
      <c r="N16" s="95">
        <v>9</v>
      </c>
      <c r="O16" s="19"/>
      <c r="P16" s="19"/>
      <c r="Q16" s="330"/>
      <c r="R16" s="124"/>
      <c r="S16" s="124"/>
      <c r="T16" s="124"/>
      <c r="U16" s="124"/>
      <c r="V16" s="124"/>
      <c r="W16" s="124"/>
      <c r="X16" s="124"/>
      <c r="Y16" s="124"/>
      <c r="Z16" s="124"/>
      <c r="AA16" s="124"/>
      <c r="AB16" s="124"/>
      <c r="AC16" s="331">
        <v>45662</v>
      </c>
      <c r="AD16" s="330"/>
      <c r="AE16" s="328"/>
      <c r="AF16" s="330"/>
      <c r="AG16" s="331"/>
      <c r="AH16" s="331"/>
      <c r="AI16" s="124">
        <f t="shared" si="28"/>
        <v>28.459665144596649</v>
      </c>
      <c r="AJ16" s="124">
        <f t="shared" si="19"/>
        <v>38.18480095137889</v>
      </c>
      <c r="AK16" s="124">
        <f t="shared" si="20"/>
        <v>29.874298668273866</v>
      </c>
      <c r="AL16" s="400">
        <f t="shared" si="21"/>
        <v>22.948880099019679</v>
      </c>
      <c r="AM16" s="394">
        <f t="shared" si="22"/>
        <v>31.716003386690911</v>
      </c>
      <c r="AN16" s="394">
        <f t="shared" si="23"/>
        <v>24.790584817436724</v>
      </c>
      <c r="AO16" s="394">
        <f t="shared" si="24"/>
        <v>20.573394428961826</v>
      </c>
      <c r="AP16" s="97">
        <f t="shared" si="25"/>
        <v>16.721260498855813</v>
      </c>
      <c r="AQ16" s="24">
        <f t="shared" si="26"/>
        <v>11.180925643452463</v>
      </c>
      <c r="AR16" s="124"/>
      <c r="AS16" s="41">
        <f>$H$16*月別販売比率!AG5</f>
        <v>6.9254185692541874</v>
      </c>
      <c r="AT16" s="21"/>
      <c r="AU16" s="283">
        <f>$H$16*月別販売比率!AL5</f>
        <v>6.2328767123287676</v>
      </c>
      <c r="AV16" s="241">
        <v>10</v>
      </c>
      <c r="AW16" s="283">
        <f>$H$16*月別販売比率!AQ5</f>
        <v>6.9254185692541874</v>
      </c>
      <c r="AX16" s="241"/>
      <c r="AY16" s="283">
        <f>$H$16*月別販売比率!AV5</f>
        <v>4.2171903884748971</v>
      </c>
      <c r="AZ16" s="241"/>
      <c r="BA16" s="283">
        <f>$H$16*月別販売比率!BA5</f>
        <v>3.8521339301060147</v>
      </c>
      <c r="BB16" s="241"/>
      <c r="BC16" s="283">
        <f>$H$16*月別販売比率!BF5</f>
        <v>5.5403348554033496</v>
      </c>
      <c r="BD16" s="241"/>
      <c r="BE16" s="41">
        <f>$H$16*月別販売比率!C21</f>
        <v>4.9076460057393145</v>
      </c>
      <c r="BF16" s="21"/>
      <c r="BG16" s="283">
        <f>$H$16*月別販売比率!H21</f>
        <v>4.8477929984779315</v>
      </c>
      <c r="BH16" s="241">
        <v>5</v>
      </c>
      <c r="BI16" s="283">
        <f>$H$16*月別販売比率!M21</f>
        <v>6.9990834933428578</v>
      </c>
      <c r="BJ16" s="241">
        <v>5</v>
      </c>
      <c r="BK16" s="41">
        <f>$H$16*月別販売比率!R21</f>
        <v>5.5403348554033496</v>
      </c>
      <c r="BL16" s="21"/>
      <c r="BM16" s="283">
        <f>$H$16*月別販売比率!W21</f>
        <v>5.2748641932177582</v>
      </c>
      <c r="BN16" s="241">
        <v>5</v>
      </c>
      <c r="BO16" s="283">
        <f>$H$16*月別販売比率!AB21</f>
        <v>8.3105022831050235</v>
      </c>
      <c r="BP16" s="241">
        <v>20</v>
      </c>
      <c r="BQ16" s="283">
        <f>$H$16*月別販売比率!AG21</f>
        <v>6.9254185692541874</v>
      </c>
      <c r="BR16" s="241"/>
      <c r="BS16" s="283">
        <f>$H$16*月別販売比率!AL21</f>
        <v>6.2328767123287676</v>
      </c>
      <c r="BT16" s="241">
        <v>15</v>
      </c>
      <c r="BU16" s="283">
        <f>$H$16*月別販売比率!AQ21</f>
        <v>6.9254185692541874</v>
      </c>
      <c r="BV16" s="241">
        <v>5</v>
      </c>
      <c r="BW16" s="41">
        <f>$H$16*月別販売比率!AV21</f>
        <v>4.2171903884748971</v>
      </c>
      <c r="BX16" s="21"/>
      <c r="BY16" s="283">
        <f>$H$16*月別販売比率!BA21</f>
        <v>3.8521339301060147</v>
      </c>
      <c r="BZ16" s="241">
        <v>5</v>
      </c>
      <c r="CA16" s="41">
        <f>$H$16*月別販売比率!BF21</f>
        <v>5.5403348554033496</v>
      </c>
      <c r="CB16" s="21"/>
      <c r="CC16" s="41">
        <f>H16*月別販売比率!$C$21</f>
        <v>4.9076460057393145</v>
      </c>
      <c r="CD16" s="21"/>
      <c r="CE16" s="41">
        <f>H16*月別販売比率!$H$21</f>
        <v>4.8477929984779315</v>
      </c>
      <c r="CF16" s="241">
        <v>20</v>
      </c>
      <c r="CG16" s="41">
        <f>$H$16*月別販売比率!M21</f>
        <v>6.9990834933428578</v>
      </c>
      <c r="CH16" s="241">
        <v>9</v>
      </c>
      <c r="CI16" s="41">
        <f>H16*月別販売比率!$R$21</f>
        <v>5.5403348554033496</v>
      </c>
      <c r="CJ16" s="21">
        <v>5</v>
      </c>
      <c r="CK16" s="41">
        <f>H16*月別販売比率!$W$21</f>
        <v>5.2748641932177582</v>
      </c>
      <c r="CL16" s="21">
        <v>15</v>
      </c>
      <c r="CM16" s="41">
        <f>H16*月別販売比率!$AB$21</f>
        <v>8.3105022831050235</v>
      </c>
      <c r="CN16" s="21"/>
      <c r="CO16" s="41">
        <f>H16*月別販売比率!$AG$21</f>
        <v>6.9254185692541874</v>
      </c>
      <c r="CP16" s="21"/>
      <c r="CQ16" s="41">
        <f>H16*月別販売比率!$AL$21</f>
        <v>6.2328767123287676</v>
      </c>
      <c r="CR16" s="21">
        <v>15</v>
      </c>
      <c r="CS16" s="41">
        <f>H16*月別販売比率!$AQ$21</f>
        <v>6.9254185692541874</v>
      </c>
      <c r="CT16" s="21"/>
      <c r="CU16" s="41">
        <f>H16*月別販売比率!$AV$21</f>
        <v>4.2171903884748971</v>
      </c>
      <c r="CV16" s="21"/>
      <c r="CW16" s="41">
        <f>H16*月別販売比率!$BA$21</f>
        <v>3.8521339301060147</v>
      </c>
      <c r="CX16" s="21"/>
      <c r="CY16" s="41">
        <f>H16*月別販売比率!$BF$21</f>
        <v>5.5403348554033496</v>
      </c>
      <c r="CZ16" s="21"/>
      <c r="DA16" s="28"/>
      <c r="DB16" s="294"/>
    </row>
    <row r="17" spans="2:106" ht="30.75" customHeight="1">
      <c r="B17" s="25"/>
      <c r="C17" s="457"/>
      <c r="D17" s="459" t="s">
        <v>500</v>
      </c>
      <c r="E17" s="246" t="s">
        <v>46</v>
      </c>
      <c r="F17" s="57">
        <v>25</v>
      </c>
      <c r="G17" s="5">
        <f t="shared" si="17"/>
        <v>110000</v>
      </c>
      <c r="H17" s="45">
        <f t="shared" si="27"/>
        <v>66.590563165905635</v>
      </c>
      <c r="I17" s="5">
        <f t="shared" si="17"/>
        <v>292998.4779299848</v>
      </c>
      <c r="J17" s="9">
        <v>0</v>
      </c>
      <c r="K17" s="21">
        <f t="shared" si="18"/>
        <v>34</v>
      </c>
      <c r="L17" s="21">
        <v>0</v>
      </c>
      <c r="M17" s="21">
        <v>0</v>
      </c>
      <c r="N17" s="95">
        <v>34</v>
      </c>
      <c r="O17" s="19"/>
      <c r="P17" s="288"/>
      <c r="Q17" s="331"/>
      <c r="R17" s="328"/>
      <c r="S17" s="331">
        <v>45707</v>
      </c>
      <c r="T17" s="124"/>
      <c r="U17" s="124"/>
      <c r="V17" s="124"/>
      <c r="W17" s="328"/>
      <c r="X17" s="328"/>
      <c r="Y17" s="331">
        <v>45884</v>
      </c>
      <c r="Z17" s="330"/>
      <c r="AA17" s="330"/>
      <c r="AB17" s="331">
        <v>45979</v>
      </c>
      <c r="AC17" s="330"/>
      <c r="AD17" s="330"/>
      <c r="AE17" s="328"/>
      <c r="AF17" s="328"/>
      <c r="AG17" s="331"/>
      <c r="AH17" s="331"/>
      <c r="AI17" s="129">
        <f t="shared" si="28"/>
        <v>28.672754946727551</v>
      </c>
      <c r="AJ17" s="124">
        <f t="shared" si="19"/>
        <v>23.600770145556631</v>
      </c>
      <c r="AK17" s="124">
        <f t="shared" si="20"/>
        <v>15.609902565647953</v>
      </c>
      <c r="AL17" s="400">
        <f t="shared" si="21"/>
        <v>8.9508462490573883</v>
      </c>
      <c r="AM17" s="394">
        <f t="shared" si="22"/>
        <v>2.9576955641258813</v>
      </c>
      <c r="AN17" s="394">
        <f t="shared" si="23"/>
        <v>-3.7013607524646828</v>
      </c>
      <c r="AO17" s="394">
        <f t="shared" si="24"/>
        <v>-7.756351510613622</v>
      </c>
      <c r="AP17" s="97">
        <f t="shared" si="25"/>
        <v>-11.460326443407867</v>
      </c>
      <c r="AQ17" s="24">
        <f t="shared" si="26"/>
        <v>-16.787571496680318</v>
      </c>
      <c r="AR17" s="124"/>
      <c r="AS17" s="41">
        <f>$H$17*月別販売比率!AG5</f>
        <v>6.6590563165905641</v>
      </c>
      <c r="AT17" s="21"/>
      <c r="AU17" s="283">
        <f>$H$17*月別販売比率!AL5</f>
        <v>5.993150684931507</v>
      </c>
      <c r="AV17" s="241"/>
      <c r="AW17" s="283">
        <f>$H$17*月別販売比率!AQ5</f>
        <v>6.6590563165905641</v>
      </c>
      <c r="AX17" s="241"/>
      <c r="AY17" s="283">
        <f>$H$17*月別販売比率!AV5</f>
        <v>4.0549907581489393</v>
      </c>
      <c r="AZ17" s="241"/>
      <c r="BA17" s="283">
        <f>$H$17*月別販売比率!BA5</f>
        <v>3.7039749327942446</v>
      </c>
      <c r="BB17" s="241">
        <v>40</v>
      </c>
      <c r="BC17" s="283">
        <f>$H$17*月別販売比率!BF5</f>
        <v>5.3272450532724509</v>
      </c>
      <c r="BD17" s="241"/>
      <c r="BE17" s="41">
        <f>$H$17*月別販売比率!C21</f>
        <v>4.7188903901339563</v>
      </c>
      <c r="BF17" s="21"/>
      <c r="BG17" s="283">
        <f>$H$17*月別販売比率!H21</f>
        <v>4.6613394216133948</v>
      </c>
      <c r="BH17" s="241"/>
      <c r="BI17" s="283">
        <f>$H$17*月別販売比率!M21</f>
        <v>6.7298879743681326</v>
      </c>
      <c r="BJ17" s="241"/>
      <c r="BK17" s="41">
        <f>$H$17*月別販売比率!R21</f>
        <v>5.3272450532724509</v>
      </c>
      <c r="BL17" s="21"/>
      <c r="BM17" s="283">
        <f>$H$17*月別販売比率!W21</f>
        <v>5.0719848011709212</v>
      </c>
      <c r="BN17" s="241">
        <v>15</v>
      </c>
      <c r="BO17" s="283">
        <f>$H$17*月別販売比率!AB21</f>
        <v>7.9908675799086764</v>
      </c>
      <c r="BP17" s="241">
        <v>15</v>
      </c>
      <c r="BQ17" s="283">
        <f>$H$17*月別販売比率!AG21</f>
        <v>6.6590563165905641</v>
      </c>
      <c r="BR17" s="241"/>
      <c r="BS17" s="283">
        <f>$H$17*月別販売比率!AL21</f>
        <v>5.993150684931507</v>
      </c>
      <c r="BT17" s="241">
        <v>20</v>
      </c>
      <c r="BU17" s="283">
        <f>$H$17*月別販売比率!AQ21</f>
        <v>6.6590563165905641</v>
      </c>
      <c r="BV17" s="241"/>
      <c r="BW17" s="41">
        <f>$H$17*月別販売比率!AV21</f>
        <v>4.0549907581489393</v>
      </c>
      <c r="BX17" s="21"/>
      <c r="BY17" s="283">
        <f>$H$17*月別販売比率!BA21</f>
        <v>3.7039749327942446</v>
      </c>
      <c r="BZ17" s="241"/>
      <c r="CA17" s="41">
        <f>$H$17*月別販売比率!BF21</f>
        <v>5.3272450532724509</v>
      </c>
      <c r="CB17" s="21"/>
      <c r="CC17" s="41">
        <f>H17*月別販売比率!$C$21</f>
        <v>4.7188903901339563</v>
      </c>
      <c r="CD17" s="21"/>
      <c r="CE17" s="41">
        <f>H17*月別販売比率!$H$21</f>
        <v>4.6613394216133948</v>
      </c>
      <c r="CF17" s="241"/>
      <c r="CG17" s="41">
        <f>$H$17*月別販売比率!M21</f>
        <v>6.7298879743681326</v>
      </c>
      <c r="CH17" s="241">
        <v>35</v>
      </c>
      <c r="CI17" s="41">
        <f>H17*月別販売比率!$R$21</f>
        <v>5.3272450532724509</v>
      </c>
      <c r="CJ17" s="21"/>
      <c r="CK17" s="41">
        <f>H17*月別販売比率!$W$21</f>
        <v>5.0719848011709212</v>
      </c>
      <c r="CL17" s="21"/>
      <c r="CM17" s="41">
        <f>H17*月別販売比率!$AB$21</f>
        <v>7.9908675799086764</v>
      </c>
      <c r="CN17" s="21"/>
      <c r="CO17" s="41">
        <f>H17*月別販売比率!$AG$21</f>
        <v>6.6590563165905641</v>
      </c>
      <c r="CP17" s="21"/>
      <c r="CQ17" s="41">
        <f>H17*月別販売比率!$AL$21</f>
        <v>5.993150684931507</v>
      </c>
      <c r="CR17" s="21"/>
      <c r="CS17" s="41">
        <f>H17*月別販売比率!$AQ$21</f>
        <v>6.6590563165905641</v>
      </c>
      <c r="CT17" s="21"/>
      <c r="CU17" s="41">
        <f>H17*月別販売比率!$AV$21</f>
        <v>4.0549907581489393</v>
      </c>
      <c r="CV17" s="21"/>
      <c r="CW17" s="41">
        <f>H17*月別販売比率!$BA$21</f>
        <v>3.7039749327942446</v>
      </c>
      <c r="CX17" s="21"/>
      <c r="CY17" s="41">
        <f>H17*月別販売比率!$BF$21</f>
        <v>5.3272450532724509</v>
      </c>
      <c r="CZ17" s="21"/>
      <c r="DA17" s="28"/>
      <c r="DB17" s="294"/>
    </row>
    <row r="18" spans="2:106" ht="30.75" customHeight="1">
      <c r="B18" s="25"/>
      <c r="C18" s="457"/>
      <c r="D18" s="460"/>
      <c r="E18" s="246" t="s">
        <v>47</v>
      </c>
      <c r="F18" s="57">
        <v>10</v>
      </c>
      <c r="G18" s="5">
        <f t="shared" si="17"/>
        <v>44000</v>
      </c>
      <c r="H18" s="45">
        <f t="shared" si="27"/>
        <v>26.636225266362253</v>
      </c>
      <c r="I18" s="5">
        <f t="shared" si="17"/>
        <v>117199.39117199391</v>
      </c>
      <c r="J18" s="9">
        <v>0</v>
      </c>
      <c r="K18" s="21">
        <f t="shared" si="18"/>
        <v>15</v>
      </c>
      <c r="L18" s="21">
        <v>0</v>
      </c>
      <c r="M18" s="21">
        <v>0</v>
      </c>
      <c r="N18" s="95">
        <v>15</v>
      </c>
      <c r="O18" s="288"/>
      <c r="P18" s="288"/>
      <c r="Q18" s="331"/>
      <c r="R18" s="328"/>
      <c r="S18" s="331">
        <v>45707</v>
      </c>
      <c r="T18" s="124"/>
      <c r="U18" s="124"/>
      <c r="V18" s="331">
        <v>45792</v>
      </c>
      <c r="W18" s="328"/>
      <c r="X18" s="328"/>
      <c r="Y18" s="331">
        <v>45884</v>
      </c>
      <c r="Z18" s="330"/>
      <c r="AA18" s="331"/>
      <c r="AB18" s="331">
        <v>45979</v>
      </c>
      <c r="AC18" s="330"/>
      <c r="AD18" s="331"/>
      <c r="AE18" s="331"/>
      <c r="AF18" s="331"/>
      <c r="AG18" s="331"/>
      <c r="AH18" s="331"/>
      <c r="AI18" s="129">
        <f t="shared" si="28"/>
        <v>12.86910197869102</v>
      </c>
      <c r="AJ18" s="124">
        <f t="shared" si="19"/>
        <v>10.840308058222652</v>
      </c>
      <c r="AK18" s="124">
        <f t="shared" si="20"/>
        <v>7.6439610262591815</v>
      </c>
      <c r="AL18" s="400">
        <f t="shared" si="21"/>
        <v>4.980338499622956</v>
      </c>
      <c r="AM18" s="394">
        <f t="shared" si="22"/>
        <v>2.5830782256503535</v>
      </c>
      <c r="AN18" s="394">
        <f t="shared" si="23"/>
        <v>-8.0544300985871953E-2</v>
      </c>
      <c r="AO18" s="394">
        <f t="shared" si="24"/>
        <v>-1.7025406042454476</v>
      </c>
      <c r="AP18" s="97">
        <f t="shared" si="25"/>
        <v>-3.1841305773631454</v>
      </c>
      <c r="AQ18" s="24">
        <f t="shared" si="26"/>
        <v>-5.3150285986721251</v>
      </c>
      <c r="AR18" s="124"/>
      <c r="AS18" s="41">
        <f>$H$18*月別販売比率!AG5</f>
        <v>2.6636225266362255</v>
      </c>
      <c r="AT18" s="21"/>
      <c r="AU18" s="283">
        <f>$H$18*月別販売比率!AL5</f>
        <v>2.3972602739726026</v>
      </c>
      <c r="AV18" s="241"/>
      <c r="AW18" s="283">
        <f>$H$18*月別販売比率!AQ5</f>
        <v>2.6636225266362255</v>
      </c>
      <c r="AX18" s="241"/>
      <c r="AY18" s="283">
        <f>$H$18*月別販売比率!AV5</f>
        <v>1.6219963032595757</v>
      </c>
      <c r="AZ18" s="241"/>
      <c r="BA18" s="283">
        <f>$H$18*月別販売比率!BA5</f>
        <v>1.4815899731176978</v>
      </c>
      <c r="BB18" s="241">
        <v>30</v>
      </c>
      <c r="BC18" s="283">
        <f>$H$18*月別販売比率!BF5</f>
        <v>2.1308980213089801</v>
      </c>
      <c r="BD18" s="241"/>
      <c r="BE18" s="41">
        <f>$H$18*月別販売比率!C21</f>
        <v>1.8875561560535823</v>
      </c>
      <c r="BF18" s="21"/>
      <c r="BG18" s="283">
        <f>$H$18*月別販売比率!H21</f>
        <v>1.8645357686453579</v>
      </c>
      <c r="BH18" s="241"/>
      <c r="BI18" s="283">
        <f>$H$18*月別販売比率!M21</f>
        <v>2.6919551897472527</v>
      </c>
      <c r="BJ18" s="241"/>
      <c r="BK18" s="41">
        <f>$H$18*月別販売比率!R21</f>
        <v>2.1308980213089801</v>
      </c>
      <c r="BL18" s="21"/>
      <c r="BM18" s="283">
        <f>$H$18*月別販売比率!W21</f>
        <v>2.0287939204683685</v>
      </c>
      <c r="BN18" s="241">
        <v>10</v>
      </c>
      <c r="BO18" s="283">
        <f>$H$18*月別販売比率!AB21</f>
        <v>3.1963470319634704</v>
      </c>
      <c r="BP18" s="241">
        <v>15</v>
      </c>
      <c r="BQ18" s="283">
        <f>$H$18*月別販売比率!AG21</f>
        <v>2.6636225266362255</v>
      </c>
      <c r="BR18" s="241"/>
      <c r="BS18" s="283">
        <f>$H$18*月別販売比率!AL21</f>
        <v>2.3972602739726026</v>
      </c>
      <c r="BT18" s="241">
        <v>25</v>
      </c>
      <c r="BU18" s="283">
        <f>$H$18*月別販売比率!AQ21</f>
        <v>2.6636225266362255</v>
      </c>
      <c r="BV18" s="241"/>
      <c r="BW18" s="41">
        <f>$H$18*月別販売比率!AV21</f>
        <v>1.6219963032595757</v>
      </c>
      <c r="BX18" s="21"/>
      <c r="BY18" s="283">
        <f>$H$18*月別販売比率!BA21</f>
        <v>1.4815899731176978</v>
      </c>
      <c r="BZ18" s="241"/>
      <c r="CA18" s="41">
        <f>$H$18*月別販売比率!BF21</f>
        <v>2.1308980213089801</v>
      </c>
      <c r="CB18" s="21"/>
      <c r="CC18" s="41">
        <f>H18*月別販売比率!$C$21</f>
        <v>1.8875561560535823</v>
      </c>
      <c r="CD18" s="21"/>
      <c r="CE18" s="41">
        <f>H18*月別販売比率!$H$21</f>
        <v>1.8645357686453579</v>
      </c>
      <c r="CF18" s="241"/>
      <c r="CG18" s="41">
        <f>$H$18*月別販売比率!M21</f>
        <v>2.6919551897472527</v>
      </c>
      <c r="CH18" s="241">
        <v>15</v>
      </c>
      <c r="CI18" s="41">
        <f>H18*月別販売比率!$R$21</f>
        <v>2.1308980213089801</v>
      </c>
      <c r="CJ18" s="21"/>
      <c r="CK18" s="41">
        <f>H18*月別販売比率!$W$21</f>
        <v>2.0287939204683685</v>
      </c>
      <c r="CL18" s="21"/>
      <c r="CM18" s="41">
        <f>H18*月別販売比率!$AB$21</f>
        <v>3.1963470319634704</v>
      </c>
      <c r="CN18" s="21"/>
      <c r="CO18" s="41">
        <f>H18*月別販売比率!$AG$21</f>
        <v>2.6636225266362255</v>
      </c>
      <c r="CP18" s="21"/>
      <c r="CQ18" s="41">
        <f>H18*月別販売比率!$AL$21</f>
        <v>2.3972602739726026</v>
      </c>
      <c r="CR18" s="21"/>
      <c r="CS18" s="41">
        <f>H18*月別販売比率!$AQ$21</f>
        <v>2.6636225266362255</v>
      </c>
      <c r="CT18" s="21"/>
      <c r="CU18" s="41">
        <f>H18*月別販売比率!$AV$21</f>
        <v>1.6219963032595757</v>
      </c>
      <c r="CV18" s="21"/>
      <c r="CW18" s="41">
        <f>H18*月別販売比率!$BA$21</f>
        <v>1.4815899731176978</v>
      </c>
      <c r="CX18" s="21"/>
      <c r="CY18" s="41">
        <f>H18*月別販売比率!$BF$21</f>
        <v>2.1308980213089801</v>
      </c>
      <c r="CZ18" s="21"/>
      <c r="DA18" s="28"/>
      <c r="DB18" s="294"/>
    </row>
    <row r="19" spans="2:106" ht="30.75" customHeight="1">
      <c r="B19" s="25"/>
      <c r="C19" s="457"/>
      <c r="D19" s="460"/>
      <c r="E19" s="246" t="s">
        <v>51</v>
      </c>
      <c r="F19" s="57">
        <v>15</v>
      </c>
      <c r="G19" s="5">
        <f t="shared" si="17"/>
        <v>66000</v>
      </c>
      <c r="H19" s="45">
        <f t="shared" si="27"/>
        <v>39.954337899543383</v>
      </c>
      <c r="I19" s="5">
        <f t="shared" si="17"/>
        <v>175799.08675799088</v>
      </c>
      <c r="J19" s="9">
        <v>0</v>
      </c>
      <c r="K19" s="21">
        <f t="shared" si="18"/>
        <v>20</v>
      </c>
      <c r="L19" s="21">
        <v>0</v>
      </c>
      <c r="M19" s="21">
        <v>0</v>
      </c>
      <c r="N19" s="95">
        <v>20</v>
      </c>
      <c r="O19" s="288"/>
      <c r="P19" s="288"/>
      <c r="Q19" s="331"/>
      <c r="R19" s="328"/>
      <c r="S19" s="331">
        <v>45707</v>
      </c>
      <c r="T19" s="124"/>
      <c r="U19" s="124"/>
      <c r="V19" s="124"/>
      <c r="W19" s="328"/>
      <c r="X19" s="328"/>
      <c r="Y19" s="331">
        <v>45884</v>
      </c>
      <c r="Z19" s="330"/>
      <c r="AA19" s="330"/>
      <c r="AB19" s="331">
        <v>45979</v>
      </c>
      <c r="AC19" s="330"/>
      <c r="AD19" s="331"/>
      <c r="AE19" s="331"/>
      <c r="AF19" s="331"/>
      <c r="AG19" s="331"/>
      <c r="AH19" s="331"/>
      <c r="AI19" s="129">
        <f t="shared" si="28"/>
        <v>16.803652968036531</v>
      </c>
      <c r="AJ19" s="124">
        <f t="shared" si="19"/>
        <v>13.760462087333977</v>
      </c>
      <c r="AK19" s="124">
        <f t="shared" si="20"/>
        <v>8.9659415393887709</v>
      </c>
      <c r="AL19" s="400">
        <f t="shared" si="21"/>
        <v>4.9705077494344323</v>
      </c>
      <c r="AM19" s="394">
        <f t="shared" si="22"/>
        <v>1.3746173384755278</v>
      </c>
      <c r="AN19" s="394">
        <f t="shared" si="23"/>
        <v>-2.6208164514788108</v>
      </c>
      <c r="AO19" s="394">
        <f t="shared" si="24"/>
        <v>-5.0538109063681746</v>
      </c>
      <c r="AP19" s="97">
        <f t="shared" si="25"/>
        <v>-7.2761958660447217</v>
      </c>
      <c r="AQ19" s="24">
        <f t="shared" si="26"/>
        <v>-10.472542898008193</v>
      </c>
      <c r="AR19" s="124"/>
      <c r="AS19" s="41">
        <f>$H$19*月別販売比率!AG5</f>
        <v>3.9954337899543386</v>
      </c>
      <c r="AT19" s="21"/>
      <c r="AU19" s="283">
        <f>$H$19*月別販売比率!AL5</f>
        <v>3.5958904109589045</v>
      </c>
      <c r="AV19" s="241"/>
      <c r="AW19" s="283">
        <f>$H$19*月別販売比率!AQ5</f>
        <v>3.9954337899543386</v>
      </c>
      <c r="AX19" s="241"/>
      <c r="AY19" s="283">
        <f>$H$19*月別販売比率!AV5</f>
        <v>2.4329944548893638</v>
      </c>
      <c r="AZ19" s="241"/>
      <c r="BA19" s="283">
        <f>$H$19*月別販売比率!BA5</f>
        <v>2.222384959676547</v>
      </c>
      <c r="BB19" s="241">
        <v>30</v>
      </c>
      <c r="BC19" s="283">
        <f>$H$19*月別販売比率!BF5</f>
        <v>3.1963470319634708</v>
      </c>
      <c r="BD19" s="241"/>
      <c r="BE19" s="41">
        <f>$H$19*月別販売比率!C21</f>
        <v>2.8313342340803738</v>
      </c>
      <c r="BF19" s="21"/>
      <c r="BG19" s="283">
        <f>$H$19*月別販売比率!H21</f>
        <v>2.7968036529680371</v>
      </c>
      <c r="BH19" s="241"/>
      <c r="BI19" s="283">
        <f>$H$19*月別販売比率!M21</f>
        <v>4.037932784620879</v>
      </c>
      <c r="BJ19" s="241"/>
      <c r="BK19" s="41">
        <f>$H$19*月別販売比率!R21</f>
        <v>3.1963470319634708</v>
      </c>
      <c r="BL19" s="21"/>
      <c r="BM19" s="283">
        <f>$H$19*月別販売比率!W21</f>
        <v>3.0431908807025527</v>
      </c>
      <c r="BN19" s="241">
        <v>20</v>
      </c>
      <c r="BO19" s="283">
        <f>$H$19*月別販売比率!AB21</f>
        <v>4.794520547945206</v>
      </c>
      <c r="BP19" s="241">
        <v>10</v>
      </c>
      <c r="BQ19" s="283">
        <f>$H$19*月別販売比率!AG21</f>
        <v>3.9954337899543386</v>
      </c>
      <c r="BR19" s="241"/>
      <c r="BS19" s="283">
        <f>$H$19*月別販売比率!AL21</f>
        <v>3.5958904109589045</v>
      </c>
      <c r="BT19" s="241">
        <v>25</v>
      </c>
      <c r="BU19" s="283">
        <f>$H$19*月別販売比率!AQ21</f>
        <v>3.9954337899543386</v>
      </c>
      <c r="BV19" s="241"/>
      <c r="BW19" s="41">
        <f>$H$19*月別販売比率!AV21</f>
        <v>2.4329944548893638</v>
      </c>
      <c r="BX19" s="21"/>
      <c r="BY19" s="283">
        <f>$H$19*月別販売比率!BA21</f>
        <v>2.222384959676547</v>
      </c>
      <c r="BZ19" s="241"/>
      <c r="CA19" s="41">
        <f>$H$19*月別販売比率!BF21</f>
        <v>3.1963470319634708</v>
      </c>
      <c r="CB19" s="21"/>
      <c r="CC19" s="41">
        <f>H19*月別販売比率!$C$21</f>
        <v>2.8313342340803738</v>
      </c>
      <c r="CD19" s="21"/>
      <c r="CE19" s="41">
        <f>H19*月別販売比率!$H$21</f>
        <v>2.7968036529680371</v>
      </c>
      <c r="CF19" s="241"/>
      <c r="CG19" s="41">
        <f>$H$19*月別販売比率!M21</f>
        <v>4.037932784620879</v>
      </c>
      <c r="CH19" s="241">
        <v>20</v>
      </c>
      <c r="CI19" s="41">
        <f>H19*月別販売比率!$R$21</f>
        <v>3.1963470319634708</v>
      </c>
      <c r="CJ19" s="21"/>
      <c r="CK19" s="41">
        <f>H19*月別販売比率!$W$21</f>
        <v>3.0431908807025527</v>
      </c>
      <c r="CL19" s="21"/>
      <c r="CM19" s="41">
        <f>H19*月別販売比率!$AB$21</f>
        <v>4.794520547945206</v>
      </c>
      <c r="CN19" s="21"/>
      <c r="CO19" s="41">
        <f>H19*月別販売比率!$AG$21</f>
        <v>3.9954337899543386</v>
      </c>
      <c r="CP19" s="21"/>
      <c r="CQ19" s="41">
        <f>H19*月別販売比率!$AL$21</f>
        <v>3.5958904109589045</v>
      </c>
      <c r="CR19" s="21"/>
      <c r="CS19" s="41">
        <f>H19*月別販売比率!$AQ$21</f>
        <v>3.9954337899543386</v>
      </c>
      <c r="CT19" s="21"/>
      <c r="CU19" s="41">
        <f>H19*月別販売比率!$AV$21</f>
        <v>2.4329944548893638</v>
      </c>
      <c r="CV19" s="21"/>
      <c r="CW19" s="41">
        <f>H19*月別販売比率!$BA$21</f>
        <v>2.222384959676547</v>
      </c>
      <c r="CX19" s="21"/>
      <c r="CY19" s="41">
        <f>H19*月別販売比率!$BF$21</f>
        <v>3.1963470319634708</v>
      </c>
      <c r="CZ19" s="21"/>
      <c r="DA19" s="28"/>
      <c r="DB19" s="294"/>
    </row>
    <row r="20" spans="2:106" ht="30.75" customHeight="1">
      <c r="B20" s="25"/>
      <c r="C20" s="457"/>
      <c r="D20" s="460"/>
      <c r="E20" s="246" t="s">
        <v>49</v>
      </c>
      <c r="F20" s="57">
        <v>29</v>
      </c>
      <c r="G20" s="5">
        <f t="shared" si="17"/>
        <v>127600</v>
      </c>
      <c r="H20" s="45">
        <f t="shared" si="27"/>
        <v>77.245053272450534</v>
      </c>
      <c r="I20" s="5">
        <f t="shared" si="17"/>
        <v>339878.23439878237</v>
      </c>
      <c r="J20" s="9">
        <v>0</v>
      </c>
      <c r="K20" s="21">
        <f t="shared" si="18"/>
        <v>33</v>
      </c>
      <c r="L20" s="21">
        <v>4</v>
      </c>
      <c r="M20" s="21">
        <v>0</v>
      </c>
      <c r="N20" s="95">
        <v>29</v>
      </c>
      <c r="O20" s="288"/>
      <c r="P20" s="288"/>
      <c r="Q20" s="331"/>
      <c r="R20" s="328"/>
      <c r="S20" s="331">
        <v>45707</v>
      </c>
      <c r="T20" s="124"/>
      <c r="U20" s="124"/>
      <c r="V20" s="124"/>
      <c r="W20" s="124"/>
      <c r="X20" s="124"/>
      <c r="Y20" s="124"/>
      <c r="Z20" s="124"/>
      <c r="AA20" s="124"/>
      <c r="AB20" s="124"/>
      <c r="AC20" s="124"/>
      <c r="AD20" s="124"/>
      <c r="AE20" s="124"/>
      <c r="AF20" s="124"/>
      <c r="AG20" s="124"/>
      <c r="AH20" s="328"/>
      <c r="AI20" s="129">
        <f t="shared" si="28"/>
        <v>26.820395738203956</v>
      </c>
      <c r="AJ20" s="124">
        <f t="shared" si="19"/>
        <v>20.936893368845688</v>
      </c>
      <c r="AK20" s="124">
        <f t="shared" si="20"/>
        <v>11.667486976151624</v>
      </c>
      <c r="AL20" s="400">
        <f t="shared" si="21"/>
        <v>3.9429816489065699</v>
      </c>
      <c r="AM20" s="394">
        <f t="shared" si="22"/>
        <v>-3.0090731456139777</v>
      </c>
      <c r="AN20" s="394">
        <f t="shared" si="23"/>
        <v>-10.733578472859032</v>
      </c>
      <c r="AO20" s="394">
        <f t="shared" si="24"/>
        <v>-15.4373677523118</v>
      </c>
      <c r="AP20" s="97">
        <f t="shared" si="25"/>
        <v>-19.733978674353125</v>
      </c>
      <c r="AQ20" s="24">
        <f t="shared" si="26"/>
        <v>-25.913582936149169</v>
      </c>
      <c r="AR20" s="124"/>
      <c r="AS20" s="41">
        <f>$H$20*月別販売比率!AG5</f>
        <v>7.7245053272450539</v>
      </c>
      <c r="AT20" s="21"/>
      <c r="AU20" s="283">
        <f>$H$20*月別販売比率!AL5</f>
        <v>6.9520547945205475</v>
      </c>
      <c r="AV20" s="241"/>
      <c r="AW20" s="283">
        <f>$H$20*月別販売比率!AQ5</f>
        <v>7.7245053272450539</v>
      </c>
      <c r="AX20" s="241"/>
      <c r="AY20" s="283">
        <f>$H$20*月別販売比率!AV5</f>
        <v>4.7037892794527698</v>
      </c>
      <c r="AZ20" s="241"/>
      <c r="BA20" s="283">
        <f>$H$20*月別販売比率!BA5</f>
        <v>4.2966109220413236</v>
      </c>
      <c r="BB20" s="241">
        <v>40</v>
      </c>
      <c r="BC20" s="283">
        <f>$H$20*月別販売比率!BF5</f>
        <v>6.1796042617960429</v>
      </c>
      <c r="BD20" s="241"/>
      <c r="BE20" s="41">
        <f>$H$20*月別販売比率!C21</f>
        <v>5.4739128525553884</v>
      </c>
      <c r="BF20" s="21"/>
      <c r="BG20" s="283">
        <f>$H$20*月別販売比率!H21</f>
        <v>5.4071537290715375</v>
      </c>
      <c r="BH20" s="241"/>
      <c r="BI20" s="283">
        <f>$H$20*月別販売比率!M21</f>
        <v>7.8066700502670328</v>
      </c>
      <c r="BJ20" s="241"/>
      <c r="BK20" s="41">
        <f>$H$20*月別販売比率!R21</f>
        <v>6.1796042617960429</v>
      </c>
      <c r="BL20" s="21"/>
      <c r="BM20" s="283">
        <f>$H$20*月別販売比率!W21</f>
        <v>5.8835023693582684</v>
      </c>
      <c r="BN20" s="241">
        <v>55</v>
      </c>
      <c r="BO20" s="283">
        <f>$H$20*月別販売比率!AB21</f>
        <v>9.269406392694064</v>
      </c>
      <c r="BP20" s="241">
        <v>5</v>
      </c>
      <c r="BQ20" s="283">
        <f>$H$20*月別販売比率!AG21</f>
        <v>7.7245053272450539</v>
      </c>
      <c r="BR20" s="241"/>
      <c r="BS20" s="283">
        <f>$H$20*月別販売比率!AL21</f>
        <v>6.9520547945205475</v>
      </c>
      <c r="BT20" s="241">
        <v>10</v>
      </c>
      <c r="BU20" s="283">
        <f>$H$20*月別販売比率!AQ21</f>
        <v>7.7245053272450539</v>
      </c>
      <c r="BV20" s="241"/>
      <c r="BW20" s="41">
        <f>$H$20*月別販売比率!AV21</f>
        <v>4.7037892794527698</v>
      </c>
      <c r="BX20" s="21"/>
      <c r="BY20" s="283">
        <f>$H$20*月別販売比率!BA21</f>
        <v>4.2966109220413236</v>
      </c>
      <c r="BZ20" s="241"/>
      <c r="CA20" s="41">
        <f>$H$20*月別販売比率!BF21</f>
        <v>6.1796042617960429</v>
      </c>
      <c r="CB20" s="21"/>
      <c r="CC20" s="41">
        <f>H20*月別販売比率!$C$21</f>
        <v>5.4739128525553884</v>
      </c>
      <c r="CD20" s="21"/>
      <c r="CE20" s="41">
        <f>H20*月別販売比率!$H$21</f>
        <v>5.4071537290715375</v>
      </c>
      <c r="CF20" s="241"/>
      <c r="CG20" s="41">
        <f>$H$20*月別販売比率!M21</f>
        <v>7.8066700502670328</v>
      </c>
      <c r="CH20" s="241">
        <v>30</v>
      </c>
      <c r="CI20" s="41">
        <f>H20*月別販売比率!$R$21</f>
        <v>6.1796042617960429</v>
      </c>
      <c r="CJ20" s="21"/>
      <c r="CK20" s="41">
        <f>H20*月別販売比率!$W$21</f>
        <v>5.8835023693582684</v>
      </c>
      <c r="CL20" s="21"/>
      <c r="CM20" s="41">
        <f>H20*月別販売比率!$AB$21</f>
        <v>9.269406392694064</v>
      </c>
      <c r="CN20" s="21"/>
      <c r="CO20" s="41">
        <f>H20*月別販売比率!$AG$21</f>
        <v>7.7245053272450539</v>
      </c>
      <c r="CP20" s="21"/>
      <c r="CQ20" s="41">
        <f>H20*月別販売比率!$AL$21</f>
        <v>6.9520547945205475</v>
      </c>
      <c r="CR20" s="21"/>
      <c r="CS20" s="41">
        <f>H20*月別販売比率!$AQ$21</f>
        <v>7.7245053272450539</v>
      </c>
      <c r="CT20" s="21"/>
      <c r="CU20" s="41">
        <f>H20*月別販売比率!$AV$21</f>
        <v>4.7037892794527698</v>
      </c>
      <c r="CV20" s="21"/>
      <c r="CW20" s="41">
        <f>H20*月別販売比率!$BA$21</f>
        <v>4.2966109220413236</v>
      </c>
      <c r="CX20" s="21"/>
      <c r="CY20" s="41">
        <f>H20*月別販売比率!$BF$21</f>
        <v>6.1796042617960429</v>
      </c>
      <c r="CZ20" s="21"/>
      <c r="DA20" s="28"/>
      <c r="DB20" s="294"/>
    </row>
    <row r="21" spans="2:106" ht="30.75" customHeight="1">
      <c r="B21" s="25"/>
      <c r="C21" s="457"/>
      <c r="D21" s="461"/>
      <c r="E21" s="246" t="s">
        <v>50</v>
      </c>
      <c r="F21" s="57">
        <v>18</v>
      </c>
      <c r="G21" s="5">
        <f t="shared" si="17"/>
        <v>79200</v>
      </c>
      <c r="H21" s="45">
        <f t="shared" si="27"/>
        <v>47.945205479452056</v>
      </c>
      <c r="I21" s="5">
        <f t="shared" si="17"/>
        <v>210958.90410958906</v>
      </c>
      <c r="J21" s="9">
        <v>0</v>
      </c>
      <c r="K21" s="21">
        <f t="shared" si="18"/>
        <v>13</v>
      </c>
      <c r="L21" s="21">
        <v>4</v>
      </c>
      <c r="M21" s="21">
        <v>0</v>
      </c>
      <c r="N21" s="95">
        <v>9</v>
      </c>
      <c r="O21" s="19"/>
      <c r="P21" s="288"/>
      <c r="Q21" s="331"/>
      <c r="R21" s="328"/>
      <c r="S21" s="331">
        <v>45707</v>
      </c>
      <c r="T21" s="124"/>
      <c r="U21" s="124"/>
      <c r="V21" s="124"/>
      <c r="W21" s="124"/>
      <c r="X21" s="328"/>
      <c r="Y21" s="331">
        <v>45884</v>
      </c>
      <c r="Z21" s="330"/>
      <c r="AA21" s="330"/>
      <c r="AB21" s="330"/>
      <c r="AC21" s="330"/>
      <c r="AD21" s="330"/>
      <c r="AE21" s="330"/>
      <c r="AF21" s="330"/>
      <c r="AG21" s="330"/>
      <c r="AH21" s="331"/>
      <c r="AI21" s="129">
        <f t="shared" si="28"/>
        <v>9.1643835616438345</v>
      </c>
      <c r="AJ21" s="124">
        <f t="shared" si="19"/>
        <v>5.5125545048007716</v>
      </c>
      <c r="AK21" s="124">
        <f t="shared" si="20"/>
        <v>-0.2408701527334749</v>
      </c>
      <c r="AL21" s="400">
        <f t="shared" si="21"/>
        <v>-5.0353907006786809</v>
      </c>
      <c r="AM21" s="394">
        <f t="shared" si="22"/>
        <v>-9.3504591938293657</v>
      </c>
      <c r="AN21" s="394">
        <f t="shared" si="23"/>
        <v>-14.144979741774572</v>
      </c>
      <c r="AO21" s="394">
        <f t="shared" si="24"/>
        <v>-17.064573087641808</v>
      </c>
      <c r="AP21" s="97">
        <f t="shared" si="25"/>
        <v>-19.731435039253665</v>
      </c>
      <c r="AQ21" s="24">
        <f t="shared" si="26"/>
        <v>-23.56705147760983</v>
      </c>
      <c r="AR21" s="124"/>
      <c r="AS21" s="41">
        <f>$H$21*月別販売比率!AG5</f>
        <v>4.794520547945206</v>
      </c>
      <c r="AT21" s="21"/>
      <c r="AU21" s="283">
        <f>$H$21*月別販売比率!AL5</f>
        <v>4.3150684931506849</v>
      </c>
      <c r="AV21" s="241"/>
      <c r="AW21" s="283">
        <f>$H$21*月別販売比率!AQ5</f>
        <v>4.794520547945206</v>
      </c>
      <c r="AX21" s="241"/>
      <c r="AY21" s="283">
        <f>$H$21*月別販売比率!AV5</f>
        <v>2.9195933458672365</v>
      </c>
      <c r="AZ21" s="241"/>
      <c r="BA21" s="283">
        <f>$H$21*月別販売比率!BA5</f>
        <v>2.6668619516118559</v>
      </c>
      <c r="BB21" s="241">
        <v>15</v>
      </c>
      <c r="BC21" s="283">
        <f>$H$21*月別販売比率!BF5</f>
        <v>3.8356164383561646</v>
      </c>
      <c r="BD21" s="241"/>
      <c r="BE21" s="41">
        <f>$H$21*月別販売比率!C21</f>
        <v>3.3976010808964481</v>
      </c>
      <c r="BF21" s="21"/>
      <c r="BG21" s="283">
        <f>$H$21*月別販売比率!H21</f>
        <v>3.3561643835616444</v>
      </c>
      <c r="BH21" s="241"/>
      <c r="BI21" s="283">
        <f>$H$21*月別販売比率!M21</f>
        <v>4.8455193415450548</v>
      </c>
      <c r="BJ21" s="241"/>
      <c r="BK21" s="41">
        <f>$H$21*月別販売比率!R21</f>
        <v>3.8356164383561646</v>
      </c>
      <c r="BL21" s="21"/>
      <c r="BM21" s="283">
        <f>$H$21*月別販売比率!W21</f>
        <v>3.6518290568430634</v>
      </c>
      <c r="BN21" s="241">
        <v>35</v>
      </c>
      <c r="BO21" s="283">
        <f>$H$21*月別販売比率!AB21</f>
        <v>5.7534246575342465</v>
      </c>
      <c r="BP21" s="241"/>
      <c r="BQ21" s="283">
        <f>$H$21*月別販売比率!AG21</f>
        <v>4.794520547945206</v>
      </c>
      <c r="BR21" s="241"/>
      <c r="BS21" s="283">
        <f>$H$21*月別販売比率!AL21</f>
        <v>4.3150684931506849</v>
      </c>
      <c r="BT21" s="241">
        <v>10</v>
      </c>
      <c r="BU21" s="283">
        <f>$H$21*月別販売比率!AQ21</f>
        <v>4.794520547945206</v>
      </c>
      <c r="BV21" s="241"/>
      <c r="BW21" s="41">
        <f>$H$21*月別販売比率!AV21</f>
        <v>2.9195933458672365</v>
      </c>
      <c r="BX21" s="21"/>
      <c r="BY21" s="283">
        <f>$H$21*月別販売比率!BA21</f>
        <v>2.6668619516118559</v>
      </c>
      <c r="BZ21" s="241"/>
      <c r="CA21" s="41">
        <f>$H$21*月別販売比率!BF21</f>
        <v>3.8356164383561646</v>
      </c>
      <c r="CB21" s="21"/>
      <c r="CC21" s="41">
        <f>H21*月別販売比率!$C$21</f>
        <v>3.3976010808964481</v>
      </c>
      <c r="CD21" s="21"/>
      <c r="CE21" s="41">
        <f>H21*月別販売比率!$H$21</f>
        <v>3.3561643835616444</v>
      </c>
      <c r="CF21" s="241"/>
      <c r="CG21" s="41">
        <f>$H$21*月別販売比率!M21</f>
        <v>4.8455193415450548</v>
      </c>
      <c r="CH21" s="241">
        <v>15</v>
      </c>
      <c r="CI21" s="41">
        <f>H21*月別販売比率!$R$21</f>
        <v>3.8356164383561646</v>
      </c>
      <c r="CJ21" s="21"/>
      <c r="CK21" s="41">
        <f>H21*月別販売比率!$W$21</f>
        <v>3.6518290568430634</v>
      </c>
      <c r="CL21" s="21"/>
      <c r="CM21" s="41">
        <f>H21*月別販売比率!$AB$21</f>
        <v>5.7534246575342465</v>
      </c>
      <c r="CN21" s="21"/>
      <c r="CO21" s="41">
        <f>H21*月別販売比率!$AG$21</f>
        <v>4.794520547945206</v>
      </c>
      <c r="CP21" s="21"/>
      <c r="CQ21" s="41">
        <f>H21*月別販売比率!$AL$21</f>
        <v>4.3150684931506849</v>
      </c>
      <c r="CR21" s="21"/>
      <c r="CS21" s="41">
        <f>H21*月別販売比率!$AQ$21</f>
        <v>4.794520547945206</v>
      </c>
      <c r="CT21" s="21"/>
      <c r="CU21" s="41">
        <f>H21*月別販売比率!$AV$21</f>
        <v>2.9195933458672365</v>
      </c>
      <c r="CV21" s="21"/>
      <c r="CW21" s="41">
        <f>H21*月別販売比率!$BA$21</f>
        <v>2.6668619516118559</v>
      </c>
      <c r="CX21" s="21"/>
      <c r="CY21" s="41">
        <f>H21*月別販売比率!$BF$21</f>
        <v>3.8356164383561646</v>
      </c>
      <c r="CZ21" s="21"/>
      <c r="DA21" s="28"/>
      <c r="DB21" s="294"/>
    </row>
    <row r="22" spans="2:106" ht="30.75" customHeight="1">
      <c r="C22" s="457"/>
      <c r="D22" s="443">
        <v>4</v>
      </c>
      <c r="E22" s="94" t="s">
        <v>46</v>
      </c>
      <c r="F22" s="57">
        <v>100</v>
      </c>
      <c r="G22" s="5">
        <f t="shared" si="17"/>
        <v>440000</v>
      </c>
      <c r="H22" s="45">
        <f t="shared" si="27"/>
        <v>266.36225266362254</v>
      </c>
      <c r="I22" s="5">
        <f t="shared" si="17"/>
        <v>1171993.9117199392</v>
      </c>
      <c r="J22" s="9">
        <v>2</v>
      </c>
      <c r="K22" s="21">
        <f t="shared" si="18"/>
        <v>75</v>
      </c>
      <c r="L22" s="21">
        <v>10</v>
      </c>
      <c r="M22" s="21">
        <v>0</v>
      </c>
      <c r="N22" s="95">
        <v>65</v>
      </c>
      <c r="O22" s="19"/>
      <c r="P22" s="19"/>
      <c r="Q22" s="330"/>
      <c r="R22" s="124"/>
      <c r="S22" s="124"/>
      <c r="T22" s="124"/>
      <c r="U22" s="124"/>
      <c r="V22" s="124"/>
      <c r="W22" s="124"/>
      <c r="X22" s="124"/>
      <c r="Y22" s="124"/>
      <c r="Z22" s="124"/>
      <c r="AA22" s="124"/>
      <c r="AB22" s="124"/>
      <c r="AC22" s="124"/>
      <c r="AD22" s="124"/>
      <c r="AE22" s="124"/>
      <c r="AF22" s="124"/>
      <c r="AG22" s="331"/>
      <c r="AH22" s="331"/>
      <c r="AI22" s="129">
        <f t="shared" si="28"/>
        <v>105.6910197869102</v>
      </c>
      <c r="AJ22" s="124">
        <f t="shared" si="19"/>
        <v>135.40308058222652</v>
      </c>
      <c r="AK22" s="124">
        <f t="shared" si="20"/>
        <v>103.43961026259181</v>
      </c>
      <c r="AL22" s="400">
        <f t="shared" si="21"/>
        <v>76.803384996229553</v>
      </c>
      <c r="AM22" s="394">
        <f t="shared" si="22"/>
        <v>87.830782256503525</v>
      </c>
      <c r="AN22" s="394">
        <f t="shared" si="23"/>
        <v>61.194556990141265</v>
      </c>
      <c r="AO22" s="394">
        <f t="shared" si="24"/>
        <v>44.974593957545508</v>
      </c>
      <c r="AP22" s="97">
        <f t="shared" si="25"/>
        <v>30.158694226368532</v>
      </c>
      <c r="AQ22" s="24">
        <f t="shared" si="26"/>
        <v>8.849714013278728</v>
      </c>
      <c r="AR22" s="124"/>
      <c r="AS22" s="41">
        <f>$H$22*月別販売比率!AG5</f>
        <v>26.636225266362256</v>
      </c>
      <c r="AT22" s="21"/>
      <c r="AU22" s="283">
        <f>$H$22*月別販売比率!AL5</f>
        <v>23.972602739726028</v>
      </c>
      <c r="AV22" s="241">
        <v>40</v>
      </c>
      <c r="AW22" s="283">
        <f>$H$22*月別販売比率!AQ5</f>
        <v>26.636225266362256</v>
      </c>
      <c r="AX22" s="241">
        <v>50</v>
      </c>
      <c r="AY22" s="283">
        <f>$H$22*月別販売比率!AV5</f>
        <v>16.219963032595757</v>
      </c>
      <c r="AZ22" s="241"/>
      <c r="BA22" s="283">
        <f>$H$22*月別販売比率!BA5</f>
        <v>14.815899731176978</v>
      </c>
      <c r="BB22" s="241"/>
      <c r="BC22" s="283">
        <f>$H$22*月別販売比率!BF5</f>
        <v>21.308980213089804</v>
      </c>
      <c r="BD22" s="241">
        <v>45</v>
      </c>
      <c r="BE22" s="41">
        <f>$H$22*月別販売比率!C21</f>
        <v>18.875561560535825</v>
      </c>
      <c r="BF22" s="21"/>
      <c r="BG22" s="283">
        <f>$H$22*月別販売比率!H21</f>
        <v>18.645357686453579</v>
      </c>
      <c r="BH22" s="241">
        <v>40</v>
      </c>
      <c r="BI22" s="283">
        <f>$H$22*月別販売比率!M21</f>
        <v>26.91955189747253</v>
      </c>
      <c r="BJ22" s="241">
        <v>35</v>
      </c>
      <c r="BK22" s="41">
        <f>$H$22*月別販売比率!R21</f>
        <v>21.308980213089804</v>
      </c>
      <c r="BL22" s="21"/>
      <c r="BM22" s="283">
        <f>$H$22*月別販売比率!W21</f>
        <v>20.287939204683685</v>
      </c>
      <c r="BN22" s="241">
        <v>40</v>
      </c>
      <c r="BO22" s="283">
        <f>$H$22*月別販売比率!AB21</f>
        <v>31.963470319634705</v>
      </c>
      <c r="BP22" s="241"/>
      <c r="BQ22" s="283">
        <f>$H$22*月別販売比率!AG21</f>
        <v>26.636225266362256</v>
      </c>
      <c r="BR22" s="241">
        <v>15</v>
      </c>
      <c r="BS22" s="283">
        <f>$H$22*月別販売比率!AL21</f>
        <v>23.972602739726028</v>
      </c>
      <c r="BT22" s="241">
        <v>75</v>
      </c>
      <c r="BU22" s="283">
        <f>$H$22*月別販売比率!AQ21</f>
        <v>26.636225266362256</v>
      </c>
      <c r="BV22" s="241">
        <v>30</v>
      </c>
      <c r="BW22" s="41">
        <f>$H$22*月別販売比率!AV21</f>
        <v>16.219963032595757</v>
      </c>
      <c r="BX22" s="21"/>
      <c r="BY22" s="283">
        <f>$H$22*月別販売比率!BA21</f>
        <v>14.815899731176978</v>
      </c>
      <c r="BZ22" s="241"/>
      <c r="CA22" s="41">
        <f>$H$22*月別販売比率!BF21</f>
        <v>21.308980213089804</v>
      </c>
      <c r="CB22" s="21"/>
      <c r="CC22" s="41">
        <f>H22*月別販売比率!$C$21</f>
        <v>18.875561560535825</v>
      </c>
      <c r="CD22" s="21"/>
      <c r="CE22" s="41">
        <f>H22*月別販売比率!$H$21</f>
        <v>18.645357686453579</v>
      </c>
      <c r="CF22" s="241">
        <v>30</v>
      </c>
      <c r="CG22" s="41">
        <f>$H$22*月別販売比率!M21</f>
        <v>26.91955189747253</v>
      </c>
      <c r="CH22" s="241">
        <v>65</v>
      </c>
      <c r="CI22" s="41">
        <f>H22*月別販売比率!$R$21</f>
        <v>21.308980213089804</v>
      </c>
      <c r="CJ22" s="21">
        <v>50</v>
      </c>
      <c r="CK22" s="41">
        <f>H22*月別販売比率!$W$21</f>
        <v>20.287939204683685</v>
      </c>
      <c r="CL22" s="21">
        <v>50</v>
      </c>
      <c r="CM22" s="41">
        <f>H22*月別販売比率!$AB$21</f>
        <v>31.963470319634705</v>
      </c>
      <c r="CN22" s="21"/>
      <c r="CO22" s="41">
        <f>H22*月別販売比率!$AG$21</f>
        <v>26.636225266362256</v>
      </c>
      <c r="CP22" s="21"/>
      <c r="CQ22" s="41">
        <f>H22*月別販売比率!$AL$21</f>
        <v>23.972602739726028</v>
      </c>
      <c r="CR22" s="21">
        <v>35</v>
      </c>
      <c r="CS22" s="41">
        <f>H22*月別販売比率!$AQ$21</f>
        <v>26.636225266362256</v>
      </c>
      <c r="CT22" s="21"/>
      <c r="CU22" s="41">
        <f>H22*月別販売比率!$AV$21</f>
        <v>16.219963032595757</v>
      </c>
      <c r="CV22" s="21"/>
      <c r="CW22" s="41">
        <f>H22*月別販売比率!$BA$21</f>
        <v>14.815899731176978</v>
      </c>
      <c r="CX22" s="21"/>
      <c r="CY22" s="41">
        <f>H22*月別販売比率!$BF$21</f>
        <v>21.308980213089804</v>
      </c>
      <c r="CZ22" s="21"/>
      <c r="DA22" s="28"/>
      <c r="DB22" s="294"/>
    </row>
    <row r="23" spans="2:106" ht="30.75" customHeight="1">
      <c r="C23" s="457"/>
      <c r="D23" s="441"/>
      <c r="E23" s="94" t="s">
        <v>47</v>
      </c>
      <c r="F23" s="57">
        <v>133</v>
      </c>
      <c r="G23" s="5">
        <f t="shared" si="17"/>
        <v>585200</v>
      </c>
      <c r="H23" s="45">
        <f t="shared" si="27"/>
        <v>354.26179604261796</v>
      </c>
      <c r="I23" s="5">
        <f t="shared" si="17"/>
        <v>1558751.902587519</v>
      </c>
      <c r="J23" s="9">
        <v>19</v>
      </c>
      <c r="K23" s="21">
        <f t="shared" si="18"/>
        <v>129</v>
      </c>
      <c r="L23" s="21">
        <v>10</v>
      </c>
      <c r="M23" s="21">
        <v>10</v>
      </c>
      <c r="N23" s="95">
        <v>109</v>
      </c>
      <c r="O23" s="19"/>
      <c r="P23" s="289">
        <v>45622</v>
      </c>
      <c r="Q23" s="331">
        <v>45646</v>
      </c>
      <c r="R23" s="124"/>
      <c r="S23" s="124"/>
      <c r="T23" s="124"/>
      <c r="U23" s="124"/>
      <c r="V23" s="124"/>
      <c r="W23" s="124"/>
      <c r="X23" s="124"/>
      <c r="Y23" s="124"/>
      <c r="Z23" s="124"/>
      <c r="AA23" s="124"/>
      <c r="AB23" s="124"/>
      <c r="AC23" s="124"/>
      <c r="AD23" s="124"/>
      <c r="AE23" s="124"/>
      <c r="AF23" s="328"/>
      <c r="AG23" s="331"/>
      <c r="AH23" s="331"/>
      <c r="AI23" s="124">
        <f t="shared" si="28"/>
        <v>134.65905631659058</v>
      </c>
      <c r="AJ23" s="124">
        <f t="shared" si="19"/>
        <v>167.67609717436127</v>
      </c>
      <c r="AK23" s="124">
        <f t="shared" si="20"/>
        <v>125.16468164924711</v>
      </c>
      <c r="AL23" s="400">
        <f t="shared" si="21"/>
        <v>89.738502044985324</v>
      </c>
      <c r="AM23" s="394">
        <f t="shared" si="22"/>
        <v>142.85494040114969</v>
      </c>
      <c r="AN23" s="394">
        <f t="shared" si="23"/>
        <v>107.4287607968879</v>
      </c>
      <c r="AO23" s="394">
        <f t="shared" si="24"/>
        <v>85.856209963535548</v>
      </c>
      <c r="AP23" s="97">
        <f t="shared" si="25"/>
        <v>66.151063321070168</v>
      </c>
      <c r="AQ23" s="24">
        <f t="shared" si="26"/>
        <v>37.810119637660733</v>
      </c>
      <c r="AR23" s="124"/>
      <c r="AS23" s="41">
        <f>$H$23*月別販売比率!AG5</f>
        <v>35.426179604261797</v>
      </c>
      <c r="AT23" s="21"/>
      <c r="AU23" s="283">
        <f>$H$23*月別販売比率!AL5</f>
        <v>31.883561643835616</v>
      </c>
      <c r="AV23" s="241">
        <v>50</v>
      </c>
      <c r="AW23" s="283">
        <f>$H$23*月別販売比率!AQ5</f>
        <v>35.426179604261797</v>
      </c>
      <c r="AX23" s="241">
        <v>65</v>
      </c>
      <c r="AY23" s="283">
        <f>$H$23*月別販売比率!AV5</f>
        <v>21.572550833352356</v>
      </c>
      <c r="AZ23" s="241"/>
      <c r="BA23" s="283">
        <f>$H$23*月別販売比率!BA5</f>
        <v>19.70514664246538</v>
      </c>
      <c r="BB23" s="241"/>
      <c r="BC23" s="283">
        <f>$H$23*月別販売比率!BF5</f>
        <v>28.340943683409439</v>
      </c>
      <c r="BD23" s="241">
        <v>70</v>
      </c>
      <c r="BE23" s="41">
        <f>$H$23*月別販売比率!C21</f>
        <v>25.104496875512645</v>
      </c>
      <c r="BF23" s="21"/>
      <c r="BG23" s="283">
        <f>$H$23*月別販売比率!H21</f>
        <v>24.798325722983261</v>
      </c>
      <c r="BH23" s="241">
        <v>55</v>
      </c>
      <c r="BI23" s="283">
        <f>$H$23*月別販売比率!M21</f>
        <v>35.803004023638458</v>
      </c>
      <c r="BJ23" s="241">
        <v>50</v>
      </c>
      <c r="BK23" s="41">
        <f>$H$23*月別販売比率!R21</f>
        <v>28.340943683409439</v>
      </c>
      <c r="BL23" s="21"/>
      <c r="BM23" s="283">
        <f>$H$23*月別販売比率!W21</f>
        <v>26.982959142229301</v>
      </c>
      <c r="BN23" s="241">
        <v>70</v>
      </c>
      <c r="BO23" s="283">
        <f>$H$23*月別販売比率!AB21</f>
        <v>42.511415525114153</v>
      </c>
      <c r="BP23" s="241"/>
      <c r="BQ23" s="283">
        <f>$H$23*月別販売比率!AG21</f>
        <v>35.426179604261797</v>
      </c>
      <c r="BR23" s="241">
        <v>10</v>
      </c>
      <c r="BS23" s="283">
        <f>$H$23*月別販売比率!AL21</f>
        <v>31.883561643835616</v>
      </c>
      <c r="BT23" s="241">
        <v>54</v>
      </c>
      <c r="BU23" s="283">
        <f>$H$23*月別販売比率!AQ21</f>
        <v>35.426179604261797</v>
      </c>
      <c r="BV23" s="241">
        <v>20</v>
      </c>
      <c r="BW23" s="41">
        <f>$H$23*月別販売比率!AV21</f>
        <v>21.572550833352356</v>
      </c>
      <c r="BX23" s="21"/>
      <c r="BY23" s="283">
        <f>$H$23*月別販売比率!BA21</f>
        <v>19.70514664246538</v>
      </c>
      <c r="BZ23" s="241">
        <v>40</v>
      </c>
      <c r="CA23" s="41">
        <f>$H$23*月別販売比率!BF21</f>
        <v>28.340943683409439</v>
      </c>
      <c r="CB23" s="21"/>
      <c r="CC23" s="41">
        <f>H23*月別販売比率!$C$21</f>
        <v>25.104496875512645</v>
      </c>
      <c r="CD23" s="21"/>
      <c r="CE23" s="41">
        <f>H23*月別販売比率!$H$21</f>
        <v>24.798325722983261</v>
      </c>
      <c r="CF23" s="241">
        <v>120</v>
      </c>
      <c r="CG23" s="41">
        <f>$H$23*月別販売比率!M21</f>
        <v>35.803004023638458</v>
      </c>
      <c r="CH23" s="241">
        <v>59</v>
      </c>
      <c r="CI23" s="41">
        <f>H23*月別販売比率!$R$21</f>
        <v>28.340943683409439</v>
      </c>
      <c r="CJ23" s="21">
        <v>15</v>
      </c>
      <c r="CK23" s="41">
        <f>H23*月別販売比率!$W$21</f>
        <v>26.982959142229301</v>
      </c>
      <c r="CL23" s="21">
        <v>60</v>
      </c>
      <c r="CM23" s="41">
        <f>H23*月別販売比率!$AB$21</f>
        <v>42.511415525114153</v>
      </c>
      <c r="CN23" s="21"/>
      <c r="CO23" s="41">
        <f>H23*月別販売比率!$AG$21</f>
        <v>35.426179604261797</v>
      </c>
      <c r="CP23" s="21"/>
      <c r="CQ23" s="41">
        <f>H23*月別販売比率!$AL$21</f>
        <v>31.883561643835616</v>
      </c>
      <c r="CR23" s="21">
        <v>85</v>
      </c>
      <c r="CS23" s="41">
        <f>H23*月別販売比率!$AQ$21</f>
        <v>35.426179604261797</v>
      </c>
      <c r="CT23" s="21"/>
      <c r="CU23" s="41">
        <f>H23*月別販売比率!$AV$21</f>
        <v>21.572550833352356</v>
      </c>
      <c r="CV23" s="21"/>
      <c r="CW23" s="41">
        <f>H23*月別販売比率!$BA$21</f>
        <v>19.70514664246538</v>
      </c>
      <c r="CX23" s="21"/>
      <c r="CY23" s="41">
        <f>H23*月別販売比率!$BF$21</f>
        <v>28.340943683409439</v>
      </c>
      <c r="CZ23" s="21"/>
      <c r="DA23" s="28"/>
      <c r="DB23" s="294"/>
    </row>
    <row r="24" spans="2:106" ht="30.75" customHeight="1">
      <c r="C24" s="457"/>
      <c r="D24" s="441"/>
      <c r="E24" s="94" t="s">
        <v>51</v>
      </c>
      <c r="F24" s="57">
        <v>62</v>
      </c>
      <c r="G24" s="5">
        <f t="shared" si="17"/>
        <v>272800</v>
      </c>
      <c r="H24" s="45">
        <f t="shared" si="27"/>
        <v>165.14459665144597</v>
      </c>
      <c r="I24" s="5">
        <f t="shared" si="17"/>
        <v>726636.22526636219</v>
      </c>
      <c r="J24" s="9">
        <v>5</v>
      </c>
      <c r="K24" s="21">
        <f t="shared" si="18"/>
        <v>38</v>
      </c>
      <c r="L24" s="21">
        <v>9</v>
      </c>
      <c r="M24" s="21">
        <v>0</v>
      </c>
      <c r="N24" s="95">
        <v>29</v>
      </c>
      <c r="O24" s="288"/>
      <c r="P24" s="289">
        <v>45622</v>
      </c>
      <c r="Q24" s="330"/>
      <c r="R24" s="124"/>
      <c r="S24" s="124"/>
      <c r="T24" s="328"/>
      <c r="U24" s="331">
        <v>45752</v>
      </c>
      <c r="V24" s="124"/>
      <c r="W24" s="124"/>
      <c r="X24" s="124"/>
      <c r="Y24" s="124"/>
      <c r="Z24" s="124"/>
      <c r="AA24" s="328"/>
      <c r="AB24" s="328"/>
      <c r="AC24" s="331">
        <v>46017</v>
      </c>
      <c r="AD24" s="331"/>
      <c r="AE24" s="331"/>
      <c r="AF24" s="331"/>
      <c r="AG24" s="331"/>
      <c r="AH24" s="331"/>
      <c r="AI24" s="124">
        <f t="shared" si="28"/>
        <v>59.788432267884325</v>
      </c>
      <c r="AJ24" s="124">
        <f t="shared" si="19"/>
        <v>72.20990996098044</v>
      </c>
      <c r="AK24" s="124">
        <f t="shared" si="20"/>
        <v>52.392558362806923</v>
      </c>
      <c r="AL24" s="400">
        <f t="shared" si="21"/>
        <v>35.878098697662324</v>
      </c>
      <c r="AM24" s="394">
        <f t="shared" si="22"/>
        <v>61.01508499903219</v>
      </c>
      <c r="AN24" s="394">
        <f t="shared" si="23"/>
        <v>44.500625333887598</v>
      </c>
      <c r="AO24" s="394">
        <f t="shared" si="24"/>
        <v>34.444248253678225</v>
      </c>
      <c r="AP24" s="97">
        <f t="shared" si="25"/>
        <v>25.258390420348498</v>
      </c>
      <c r="AQ24" s="24">
        <f t="shared" si="26"/>
        <v>12.046822688232821</v>
      </c>
      <c r="AR24" s="124"/>
      <c r="AS24" s="41">
        <f>$H$24*月別販売比率!AG5</f>
        <v>16.514459665144596</v>
      </c>
      <c r="AT24" s="21"/>
      <c r="AU24" s="283">
        <f>$H$24*月別販売比率!AL5</f>
        <v>14.863013698630136</v>
      </c>
      <c r="AV24" s="241">
        <v>30</v>
      </c>
      <c r="AW24" s="283">
        <f>$H$24*月別販売比率!AQ5</f>
        <v>16.514459665144596</v>
      </c>
      <c r="AX24" s="241">
        <v>50</v>
      </c>
      <c r="AY24" s="283">
        <f>$H$24*月別販売比率!AV5</f>
        <v>10.056377080209369</v>
      </c>
      <c r="AZ24" s="241"/>
      <c r="BA24" s="283">
        <f>$H$24*月別販売比率!BA5</f>
        <v>9.1858578333297256</v>
      </c>
      <c r="BB24" s="241"/>
      <c r="BC24" s="283">
        <f>$H$24*月別販売比率!BF5</f>
        <v>13.211567732115677</v>
      </c>
      <c r="BD24" s="241">
        <v>25</v>
      </c>
      <c r="BE24" s="41">
        <f>$H$24*月別販売比率!C21</f>
        <v>11.70284816753221</v>
      </c>
      <c r="BF24" s="21"/>
      <c r="BG24" s="283">
        <f>$H$24*月別販売比率!H21</f>
        <v>11.560121765601219</v>
      </c>
      <c r="BH24" s="241">
        <v>20</v>
      </c>
      <c r="BI24" s="283">
        <f>$H$24*月別販売比率!M21</f>
        <v>16.690122176432968</v>
      </c>
      <c r="BJ24" s="241">
        <v>12</v>
      </c>
      <c r="BK24" s="41">
        <f>$H$24*月別販売比率!R21</f>
        <v>13.211567732115677</v>
      </c>
      <c r="BL24" s="21"/>
      <c r="BM24" s="283">
        <f>$H$24*月別販売比率!W21</f>
        <v>12.578522306903885</v>
      </c>
      <c r="BN24" s="241">
        <v>40</v>
      </c>
      <c r="BO24" s="283">
        <f>$H$24*月別販売比率!AB21</f>
        <v>19.817351598173516</v>
      </c>
      <c r="BP24" s="241"/>
      <c r="BQ24" s="283">
        <f>$H$24*月別販売比率!AG21</f>
        <v>16.514459665144596</v>
      </c>
      <c r="BR24" s="241">
        <v>10</v>
      </c>
      <c r="BS24" s="283">
        <f>$H$24*月別販売比率!AL21</f>
        <v>14.863013698630136</v>
      </c>
      <c r="BT24" s="241">
        <v>34</v>
      </c>
      <c r="BU24" s="283">
        <f>$H$24*月別販売比率!AQ21</f>
        <v>16.514459665144596</v>
      </c>
      <c r="BV24" s="241">
        <v>15</v>
      </c>
      <c r="BW24" s="41">
        <f>$H$24*月別販売比率!AV21</f>
        <v>10.056377080209369</v>
      </c>
      <c r="BX24" s="21"/>
      <c r="BY24" s="283">
        <f>$H$24*月別販売比率!BA21</f>
        <v>9.1858578333297256</v>
      </c>
      <c r="BZ24" s="241">
        <v>25</v>
      </c>
      <c r="CA24" s="41">
        <f>$H$24*月別販売比率!BF21</f>
        <v>13.211567732115677</v>
      </c>
      <c r="CB24" s="21"/>
      <c r="CC24" s="41">
        <f>H24*月別販売比率!$C$21</f>
        <v>11.70284816753221</v>
      </c>
      <c r="CD24" s="21"/>
      <c r="CE24" s="41">
        <f>H24*月別販売比率!$H$21</f>
        <v>11.560121765601219</v>
      </c>
      <c r="CF24" s="241">
        <v>30</v>
      </c>
      <c r="CG24" s="41">
        <f>$H$24*月別販売比率!M21</f>
        <v>16.690122176432968</v>
      </c>
      <c r="CH24" s="241">
        <v>29</v>
      </c>
      <c r="CI24" s="41">
        <f>H24*月別販売比率!$R$21</f>
        <v>13.211567732115677</v>
      </c>
      <c r="CJ24" s="21">
        <v>30</v>
      </c>
      <c r="CK24" s="41">
        <f>H24*月別販売比率!$W$21</f>
        <v>12.578522306903885</v>
      </c>
      <c r="CL24" s="21">
        <v>25</v>
      </c>
      <c r="CM24" s="41">
        <f>H24*月別販売比率!$AB$21</f>
        <v>19.817351598173516</v>
      </c>
      <c r="CN24" s="21"/>
      <c r="CO24" s="41">
        <f>H24*月別販売比率!$AG$21</f>
        <v>16.514459665144596</v>
      </c>
      <c r="CP24" s="21"/>
      <c r="CQ24" s="41">
        <f>H24*月別販売比率!$AL$21</f>
        <v>14.863013698630136</v>
      </c>
      <c r="CR24" s="21">
        <v>40</v>
      </c>
      <c r="CS24" s="41">
        <f>H24*月別販売比率!$AQ$21</f>
        <v>16.514459665144596</v>
      </c>
      <c r="CT24" s="21"/>
      <c r="CU24" s="41">
        <f>H24*月別販売比率!$AV$21</f>
        <v>10.056377080209369</v>
      </c>
      <c r="CV24" s="21"/>
      <c r="CW24" s="41">
        <f>H24*月別販売比率!$BA$21</f>
        <v>9.1858578333297256</v>
      </c>
      <c r="CX24" s="21"/>
      <c r="CY24" s="41">
        <f>H24*月別販売比率!$BF$21</f>
        <v>13.211567732115677</v>
      </c>
      <c r="CZ24" s="21"/>
      <c r="DA24" s="28"/>
      <c r="DB24" s="294"/>
    </row>
    <row r="25" spans="2:106" ht="30.75" customHeight="1">
      <c r="C25" s="457"/>
      <c r="D25" s="441"/>
      <c r="E25" s="94" t="s">
        <v>49</v>
      </c>
      <c r="F25" s="57">
        <v>31</v>
      </c>
      <c r="G25" s="5">
        <f t="shared" si="17"/>
        <v>136400</v>
      </c>
      <c r="H25" s="45">
        <f t="shared" si="27"/>
        <v>82.572298325722983</v>
      </c>
      <c r="I25" s="5">
        <f t="shared" si="17"/>
        <v>363318.1126331811</v>
      </c>
      <c r="J25" s="21">
        <v>5</v>
      </c>
      <c r="K25" s="21">
        <f t="shared" si="18"/>
        <v>9</v>
      </c>
      <c r="L25" s="21">
        <v>9</v>
      </c>
      <c r="M25" s="21">
        <v>0</v>
      </c>
      <c r="N25" s="95"/>
      <c r="O25" s="288"/>
      <c r="P25" s="289">
        <v>45622</v>
      </c>
      <c r="Q25" s="331">
        <v>45646</v>
      </c>
      <c r="R25" s="124"/>
      <c r="S25" s="124"/>
      <c r="T25" s="124"/>
      <c r="U25" s="124"/>
      <c r="V25" s="124"/>
      <c r="W25" s="328"/>
      <c r="X25" s="328"/>
      <c r="Y25" s="331">
        <v>45884</v>
      </c>
      <c r="Z25" s="330"/>
      <c r="AA25" s="331"/>
      <c r="AB25" s="331">
        <v>45979</v>
      </c>
      <c r="AC25" s="331">
        <v>45662</v>
      </c>
      <c r="AD25" s="331"/>
      <c r="AE25" s="331"/>
      <c r="AF25" s="330"/>
      <c r="AG25" s="330"/>
      <c r="AH25" s="331"/>
      <c r="AI25" s="124">
        <f t="shared" si="28"/>
        <v>24.394216133942162</v>
      </c>
      <c r="AJ25" s="124">
        <f t="shared" si="19"/>
        <v>28.10495498049022</v>
      </c>
      <c r="AK25" s="124">
        <f t="shared" si="20"/>
        <v>18.196279181403462</v>
      </c>
      <c r="AL25" s="400">
        <f t="shared" si="21"/>
        <v>9.9390493488311638</v>
      </c>
      <c r="AM25" s="394">
        <f t="shared" si="22"/>
        <v>27.507542499516095</v>
      </c>
      <c r="AN25" s="394">
        <f t="shared" si="23"/>
        <v>19.250312666943799</v>
      </c>
      <c r="AO25" s="394">
        <f t="shared" si="24"/>
        <v>14.222124126839114</v>
      </c>
      <c r="AP25" s="97">
        <f t="shared" si="25"/>
        <v>9.6291952101742524</v>
      </c>
      <c r="AQ25" s="24">
        <f t="shared" si="26"/>
        <v>3.0234113441164139</v>
      </c>
      <c r="AR25" s="124"/>
      <c r="AS25" s="41">
        <f>$H$25*月別販売比率!AG5</f>
        <v>8.2572298325722979</v>
      </c>
      <c r="AT25" s="21"/>
      <c r="AU25" s="283">
        <f>$H$25*月別販売比率!AL5</f>
        <v>7.4315068493150678</v>
      </c>
      <c r="AV25" s="241">
        <v>12</v>
      </c>
      <c r="AW25" s="283">
        <f>$H$25*月別販売比率!AQ5</f>
        <v>8.2572298325722979</v>
      </c>
      <c r="AX25" s="280">
        <v>50</v>
      </c>
      <c r="AY25" s="283">
        <f>$H$25*月別販売比率!AV5</f>
        <v>5.0281885401046846</v>
      </c>
      <c r="AZ25" s="280"/>
      <c r="BA25" s="283">
        <f>$H$25*月別販売比率!BA5</f>
        <v>4.5929289166648628</v>
      </c>
      <c r="BB25" s="280"/>
      <c r="BC25" s="283">
        <f>$H$25*月別販売比率!BF5</f>
        <v>6.6057838660578385</v>
      </c>
      <c r="BD25" s="280"/>
      <c r="BE25" s="41">
        <f>$H$25*月別販売比率!C21</f>
        <v>5.8514240837661049</v>
      </c>
      <c r="BF25" s="39"/>
      <c r="BG25" s="283">
        <f>$H$25*月別販売比率!H21</f>
        <v>5.7800608828006093</v>
      </c>
      <c r="BH25" s="280">
        <v>10</v>
      </c>
      <c r="BI25" s="283">
        <f>$H$25*月別販売比率!M21</f>
        <v>8.3450610882164842</v>
      </c>
      <c r="BJ25" s="280">
        <v>4</v>
      </c>
      <c r="BK25" s="41">
        <f>$H$25*月別販売比率!R21</f>
        <v>6.6057838660578385</v>
      </c>
      <c r="BL25" s="39"/>
      <c r="BM25" s="283">
        <f>$H$25*月別販売比率!W21</f>
        <v>6.2892611534519425</v>
      </c>
      <c r="BN25" s="280">
        <v>25</v>
      </c>
      <c r="BO25" s="283">
        <f>$H$25*月別販売比率!AB21</f>
        <v>9.9086757990867582</v>
      </c>
      <c r="BP25" s="280"/>
      <c r="BQ25" s="283">
        <f>$H$25*月別販売比率!AG21</f>
        <v>8.2572298325722979</v>
      </c>
      <c r="BR25" s="280">
        <v>5</v>
      </c>
      <c r="BS25" s="283">
        <f>$H$25*月別販売比率!AL21</f>
        <v>7.4315068493150678</v>
      </c>
      <c r="BT25" s="280">
        <v>20</v>
      </c>
      <c r="BU25" s="283">
        <f>$H$25*月別販売比率!AQ21</f>
        <v>8.2572298325722979</v>
      </c>
      <c r="BV25" s="280"/>
      <c r="BW25" s="41">
        <f>$H$25*月別販売比率!AV21</f>
        <v>5.0281885401046846</v>
      </c>
      <c r="BX25" s="39"/>
      <c r="BY25" s="283">
        <f>$H$25*月別販売比率!BA21</f>
        <v>4.5929289166648628</v>
      </c>
      <c r="BZ25" s="280">
        <v>33</v>
      </c>
      <c r="CA25" s="41">
        <f>$H$25*月別販売比率!BF21</f>
        <v>6.6057838660578385</v>
      </c>
      <c r="CB25" s="39"/>
      <c r="CC25" s="41">
        <f>H25*月別販売比率!$C$21</f>
        <v>5.8514240837661049</v>
      </c>
      <c r="CD25" s="39"/>
      <c r="CE25" s="41">
        <f>H25*月別販売比率!$H$21</f>
        <v>5.7800608828006093</v>
      </c>
      <c r="CF25" s="280">
        <v>20</v>
      </c>
      <c r="CG25" s="41">
        <f>$H$25*月別販売比率!M21</f>
        <v>8.3450610882164842</v>
      </c>
      <c r="CH25" s="280">
        <v>0</v>
      </c>
      <c r="CI25" s="41">
        <f>H25*月別販売比率!$R$21</f>
        <v>6.6057838660578385</v>
      </c>
      <c r="CJ25" s="39">
        <v>17</v>
      </c>
      <c r="CK25" s="41">
        <f>H25*月別販売比率!$W$21</f>
        <v>6.2892611534519425</v>
      </c>
      <c r="CL25" s="39">
        <v>10</v>
      </c>
      <c r="CM25" s="41">
        <f>H25*月別販売比率!$AB$21</f>
        <v>9.9086757990867582</v>
      </c>
      <c r="CN25" s="39"/>
      <c r="CO25" s="41">
        <f>H25*月別販売比率!$AG$21</f>
        <v>8.2572298325722979</v>
      </c>
      <c r="CP25" s="39"/>
      <c r="CQ25" s="41">
        <f>H25*月別販売比率!$AL$21</f>
        <v>7.4315068493150678</v>
      </c>
      <c r="CR25" s="39">
        <v>25</v>
      </c>
      <c r="CS25" s="41">
        <f>H25*月別販売比率!$AQ$21</f>
        <v>8.2572298325722979</v>
      </c>
      <c r="CT25" s="39"/>
      <c r="CU25" s="41">
        <f>H25*月別販売比率!$AV$21</f>
        <v>5.0281885401046846</v>
      </c>
      <c r="CV25" s="39"/>
      <c r="CW25" s="41">
        <f>H25*月別販売比率!$BA$21</f>
        <v>4.5929289166648628</v>
      </c>
      <c r="CX25" s="39"/>
      <c r="CY25" s="41">
        <f>H25*月別販売比率!$BF$21</f>
        <v>6.6057838660578385</v>
      </c>
      <c r="CZ25" s="39"/>
      <c r="DA25" s="50"/>
      <c r="DB25" s="295"/>
    </row>
    <row r="26" spans="2:106" ht="30.75" customHeight="1">
      <c r="C26" s="458"/>
      <c r="D26" s="444"/>
      <c r="E26" s="101" t="s">
        <v>50</v>
      </c>
      <c r="F26" s="58">
        <v>32</v>
      </c>
      <c r="G26" s="35">
        <f t="shared" si="17"/>
        <v>140800</v>
      </c>
      <c r="H26" s="52">
        <f t="shared" si="27"/>
        <v>85.235920852359214</v>
      </c>
      <c r="I26" s="35">
        <f t="shared" si="17"/>
        <v>375038.05175038055</v>
      </c>
      <c r="J26" s="103">
        <v>0</v>
      </c>
      <c r="K26" s="104">
        <f t="shared" si="18"/>
        <v>27</v>
      </c>
      <c r="L26" s="103">
        <v>8</v>
      </c>
      <c r="M26" s="103">
        <v>5</v>
      </c>
      <c r="N26" s="117">
        <v>14</v>
      </c>
      <c r="O26" s="123"/>
      <c r="P26" s="123"/>
      <c r="Q26" s="332"/>
      <c r="R26" s="238"/>
      <c r="S26" s="238"/>
      <c r="T26" s="238"/>
      <c r="U26" s="238"/>
      <c r="V26" s="238"/>
      <c r="W26" s="238"/>
      <c r="X26" s="238"/>
      <c r="Y26" s="238"/>
      <c r="Z26" s="238"/>
      <c r="AA26" s="238"/>
      <c r="AB26" s="238"/>
      <c r="AC26" s="238"/>
      <c r="AD26" s="331"/>
      <c r="AE26" s="331"/>
      <c r="AF26" s="330"/>
      <c r="AG26" s="330"/>
      <c r="AH26" s="331"/>
      <c r="AI26" s="129">
        <f t="shared" si="28"/>
        <v>35.181126331811264</v>
      </c>
      <c r="AJ26" s="238">
        <f t="shared" si="19"/>
        <v>38.688985786312486</v>
      </c>
      <c r="AK26" s="238">
        <f t="shared" si="20"/>
        <v>28.460675284029378</v>
      </c>
      <c r="AL26" s="401">
        <f t="shared" si="21"/>
        <v>19.937083198793456</v>
      </c>
      <c r="AM26" s="395">
        <f t="shared" si="22"/>
        <v>32.265850322081128</v>
      </c>
      <c r="AN26" s="395">
        <f t="shared" si="23"/>
        <v>23.742258236845206</v>
      </c>
      <c r="AO26" s="395">
        <f t="shared" si="24"/>
        <v>18.551870066414565</v>
      </c>
      <c r="AP26" s="403">
        <f t="shared" si="25"/>
        <v>13.810782152437932</v>
      </c>
      <c r="AQ26" s="90">
        <f t="shared" si="26"/>
        <v>6.991908484249195</v>
      </c>
      <c r="AR26" s="238"/>
      <c r="AS26" s="282">
        <f>$H$26*月別販売比率!AG5</f>
        <v>8.5235920852359222</v>
      </c>
      <c r="AT26" s="103"/>
      <c r="AU26" s="301">
        <f>$H$26*月別販売比率!AL5</f>
        <v>7.6712328767123292</v>
      </c>
      <c r="AV26" s="302"/>
      <c r="AW26" s="301">
        <f>$H$26*月別販売比率!AQ5</f>
        <v>8.5235920852359222</v>
      </c>
      <c r="AX26" s="339">
        <v>20</v>
      </c>
      <c r="AY26" s="301">
        <f>$H$26*月別販売比率!AV5</f>
        <v>5.1903881704306425</v>
      </c>
      <c r="AZ26" s="339"/>
      <c r="BA26" s="301">
        <f>$H$26*月別販売比率!BA5</f>
        <v>4.7410879139766333</v>
      </c>
      <c r="BB26" s="339"/>
      <c r="BC26" s="301">
        <f>$H$26*月別販売比率!BF5</f>
        <v>6.8188736681887372</v>
      </c>
      <c r="BD26" s="339"/>
      <c r="BE26" s="282">
        <f>$H$26*月別販売比率!C21</f>
        <v>6.0401796993714632</v>
      </c>
      <c r="BF26" s="104"/>
      <c r="BG26" s="301">
        <f>$H$26*月別販売比率!H21</f>
        <v>5.9665144596651452</v>
      </c>
      <c r="BH26" s="339">
        <v>10</v>
      </c>
      <c r="BI26" s="301">
        <f>$H$26*月別販売比率!M21</f>
        <v>8.6142566071912086</v>
      </c>
      <c r="BJ26" s="339">
        <v>5</v>
      </c>
      <c r="BK26" s="282">
        <f>$H$26*月別販売比率!R21</f>
        <v>6.8188736681887372</v>
      </c>
      <c r="BL26" s="104"/>
      <c r="BM26" s="301">
        <f>$H$26*月別販売比率!W21</f>
        <v>6.4921405454987795</v>
      </c>
      <c r="BN26" s="339">
        <v>10</v>
      </c>
      <c r="BO26" s="301">
        <f>$H$26*月別販売比率!AB21</f>
        <v>10.228310502283106</v>
      </c>
      <c r="BP26" s="339"/>
      <c r="BQ26" s="301">
        <f>$H$26*月別販売比率!AG21</f>
        <v>8.5235920852359222</v>
      </c>
      <c r="BR26" s="339">
        <v>10</v>
      </c>
      <c r="BS26" s="301">
        <f>$H$26*月別販売比率!AL21</f>
        <v>7.6712328767123292</v>
      </c>
      <c r="BT26" s="339">
        <v>5</v>
      </c>
      <c r="BU26" s="301">
        <f>$H$26*月別販売比率!AQ21</f>
        <v>8.5235920852359222</v>
      </c>
      <c r="BV26" s="339"/>
      <c r="BW26" s="282">
        <f>$H$26*月別販売比率!AV21</f>
        <v>5.1903881704306425</v>
      </c>
      <c r="BX26" s="104"/>
      <c r="BY26" s="301">
        <f>$H$26*月別販売比率!BA21</f>
        <v>4.7410879139766333</v>
      </c>
      <c r="BZ26" s="339">
        <v>20</v>
      </c>
      <c r="CA26" s="282">
        <f>$H$26*月別販売比率!BF21</f>
        <v>6.8188736681887372</v>
      </c>
      <c r="CB26" s="104"/>
      <c r="CC26" s="282">
        <f>H26*月別販売比率!$C$21</f>
        <v>6.0401796993714632</v>
      </c>
      <c r="CD26" s="104"/>
      <c r="CE26" s="282">
        <f>H26*月別販売比率!$H$21</f>
        <v>5.9665144596651452</v>
      </c>
      <c r="CF26" s="339">
        <v>20</v>
      </c>
      <c r="CG26" s="282">
        <f>$H$26*月別販売比率!M21</f>
        <v>8.6142566071912086</v>
      </c>
      <c r="CH26" s="339">
        <v>14</v>
      </c>
      <c r="CI26" s="282">
        <f>H26*月別販売比率!$R$21</f>
        <v>6.8188736681887372</v>
      </c>
      <c r="CJ26" s="104">
        <v>15</v>
      </c>
      <c r="CK26" s="282">
        <f>H26*月別販売比率!$W$21</f>
        <v>6.4921405454987795</v>
      </c>
      <c r="CL26" s="104">
        <v>10</v>
      </c>
      <c r="CM26" s="282">
        <f>H26*月別販売比率!$AB$21</f>
        <v>10.228310502283106</v>
      </c>
      <c r="CN26" s="104"/>
      <c r="CO26" s="282">
        <f>H26*月別販売比率!$AG$21</f>
        <v>8.5235920852359222</v>
      </c>
      <c r="CP26" s="104"/>
      <c r="CQ26" s="282">
        <f>H26*月別販売比率!$AL$21</f>
        <v>7.6712328767123292</v>
      </c>
      <c r="CR26" s="104">
        <v>20</v>
      </c>
      <c r="CS26" s="282">
        <f>H26*月別販売比率!$AQ$21</f>
        <v>8.5235920852359222</v>
      </c>
      <c r="CT26" s="104"/>
      <c r="CU26" s="282">
        <f>H26*月別販売比率!$AV$21</f>
        <v>5.1903881704306425</v>
      </c>
      <c r="CV26" s="104"/>
      <c r="CW26" s="282">
        <f>H26*月別販売比率!$BA$21</f>
        <v>4.7410879139766333</v>
      </c>
      <c r="CX26" s="104"/>
      <c r="CY26" s="282">
        <f>H26*月別販売比率!$BF$21</f>
        <v>6.8188736681887372</v>
      </c>
      <c r="CZ26" s="104"/>
      <c r="DA26" s="296"/>
      <c r="DB26" s="297"/>
    </row>
    <row r="27" spans="2:106" ht="30.75" customHeight="1">
      <c r="B27" s="2">
        <v>2</v>
      </c>
      <c r="C27" s="435" t="s">
        <v>1</v>
      </c>
      <c r="D27" s="436"/>
      <c r="E27" s="445"/>
      <c r="F27" s="130">
        <f>SUM(F28:F37)</f>
        <v>983</v>
      </c>
      <c r="G27" s="131">
        <f>SUM(G28:G37)</f>
        <v>4108940</v>
      </c>
      <c r="H27" s="130">
        <v>2200</v>
      </c>
      <c r="I27" s="131">
        <f t="shared" ref="I27:N27" si="29">SUM(I28:I37)</f>
        <v>11182584.33367243</v>
      </c>
      <c r="J27" s="133">
        <f t="shared" si="29"/>
        <v>303</v>
      </c>
      <c r="K27" s="134">
        <f t="shared" si="29"/>
        <v>263</v>
      </c>
      <c r="L27" s="134">
        <f t="shared" si="29"/>
        <v>87</v>
      </c>
      <c r="M27" s="134">
        <f t="shared" si="29"/>
        <v>176</v>
      </c>
      <c r="N27" s="135">
        <f t="shared" si="29"/>
        <v>0</v>
      </c>
      <c r="O27" s="138"/>
      <c r="P27" s="138"/>
      <c r="Q27" s="138"/>
      <c r="R27" s="138"/>
      <c r="S27" s="138"/>
      <c r="T27" s="138"/>
      <c r="U27" s="138"/>
      <c r="V27" s="138"/>
      <c r="W27" s="138"/>
      <c r="X27" s="152"/>
      <c r="Y27" s="152"/>
      <c r="Z27" s="152"/>
      <c r="AA27" s="152"/>
      <c r="AB27" s="152"/>
      <c r="AC27" s="152"/>
      <c r="AD27" s="152"/>
      <c r="AE27" s="152"/>
      <c r="AF27" s="152"/>
      <c r="AG27" s="152"/>
      <c r="AH27" s="152"/>
      <c r="AI27" s="138"/>
      <c r="AJ27" s="138"/>
      <c r="AK27" s="138"/>
      <c r="AL27" s="138"/>
      <c r="AM27" s="138"/>
      <c r="AN27" s="138"/>
      <c r="AO27" s="138"/>
      <c r="AP27" s="138"/>
      <c r="AQ27" s="138"/>
      <c r="AR27" s="138"/>
      <c r="AS27" s="136">
        <f>SUM(AS28:AS37)</f>
        <v>267.52594099694812</v>
      </c>
      <c r="AT27" s="134"/>
      <c r="AU27" s="136">
        <f>SUM(AU28:AU37)</f>
        <v>240.77334689725328</v>
      </c>
      <c r="AV27" s="134"/>
      <c r="AW27" s="136">
        <f>SUM(AW28:AW37)</f>
        <v>267.52594099694812</v>
      </c>
      <c r="AX27" s="134">
        <f>SUM(AX28:AX37)</f>
        <v>610</v>
      </c>
      <c r="AY27" s="136">
        <f>SUM(AY28:AY37)</f>
        <v>162.90825106929691</v>
      </c>
      <c r="AZ27" s="134"/>
      <c r="BA27" s="136">
        <f>SUM(BA28:BA37)</f>
        <v>148.80627707804604</v>
      </c>
      <c r="BB27" s="134"/>
      <c r="BC27" s="136">
        <f>SUM(BC28:BC37)</f>
        <v>214.02075279755852</v>
      </c>
      <c r="BD27" s="134"/>
      <c r="BE27" s="136">
        <f>SUM(BE28:BE37)</f>
        <v>189.58025462809181</v>
      </c>
      <c r="BF27" s="136">
        <f>SUM(BF28:BF37)</f>
        <v>345</v>
      </c>
      <c r="BG27" s="136">
        <f t="shared" ref="BG27:CB27" si="30">SUM(BG28:BG37)</f>
        <v>187.2681586978637</v>
      </c>
      <c r="BH27" s="134">
        <f t="shared" si="30"/>
        <v>403</v>
      </c>
      <c r="BI27" s="136">
        <f t="shared" si="30"/>
        <v>270.37158533428567</v>
      </c>
      <c r="BJ27" s="134">
        <f t="shared" si="30"/>
        <v>630</v>
      </c>
      <c r="BK27" s="136">
        <f t="shared" si="30"/>
        <v>214.02075279755852</v>
      </c>
      <c r="BL27" s="134">
        <f t="shared" si="30"/>
        <v>0</v>
      </c>
      <c r="BM27" s="136">
        <f t="shared" si="30"/>
        <v>203.76573528517565</v>
      </c>
      <c r="BN27" s="134">
        <f t="shared" si="30"/>
        <v>0</v>
      </c>
      <c r="BO27" s="136">
        <f t="shared" si="30"/>
        <v>321.03112919633776</v>
      </c>
      <c r="BP27" s="134">
        <f t="shared" si="30"/>
        <v>210</v>
      </c>
      <c r="BQ27" s="136">
        <f t="shared" si="30"/>
        <v>267.52594099694812</v>
      </c>
      <c r="BR27" s="134">
        <f t="shared" si="30"/>
        <v>390</v>
      </c>
      <c r="BS27" s="136">
        <f t="shared" si="30"/>
        <v>240.77334689725328</v>
      </c>
      <c r="BT27" s="134">
        <f t="shared" si="30"/>
        <v>600</v>
      </c>
      <c r="BU27" s="136">
        <f>SUM(BU28:BU37)</f>
        <v>267.52594099694812</v>
      </c>
      <c r="BV27" s="134">
        <f t="shared" si="30"/>
        <v>0</v>
      </c>
      <c r="BW27" s="136">
        <f>SUM(BW28:BW37)</f>
        <v>162.90825106929691</v>
      </c>
      <c r="BX27" s="134">
        <f t="shared" si="30"/>
        <v>0</v>
      </c>
      <c r="BY27" s="136">
        <f>SUM(BY28:BY37)</f>
        <v>148.80627707804604</v>
      </c>
      <c r="BZ27" s="134">
        <f t="shared" si="30"/>
        <v>0</v>
      </c>
      <c r="CA27" s="136">
        <f>SUM(CA28:CA37)</f>
        <v>214.02075279755852</v>
      </c>
      <c r="CB27" s="134">
        <f t="shared" si="30"/>
        <v>0</v>
      </c>
      <c r="CC27" s="136">
        <f>SUM(CC28:CC37)</f>
        <v>189.58025462809181</v>
      </c>
      <c r="CD27" s="134">
        <f t="shared" ref="CD27:CF27" si="31">SUM(CD28:CD37)</f>
        <v>0</v>
      </c>
      <c r="CE27" s="136">
        <f>SUM(CE28:CE37)</f>
        <v>187.2681586978637</v>
      </c>
      <c r="CF27" s="134">
        <f t="shared" si="31"/>
        <v>0</v>
      </c>
      <c r="CG27" s="136">
        <f>SUM(CG28:CG37)</f>
        <v>270.37158533428567</v>
      </c>
      <c r="CH27" s="134">
        <f t="shared" ref="CH27" si="32">SUM(CH28:CH37)</f>
        <v>570</v>
      </c>
      <c r="CI27" s="136">
        <f>SUM(CI28:CI37)</f>
        <v>214.02075279755852</v>
      </c>
      <c r="CJ27" s="134">
        <f t="shared" ref="CJ27" si="33">SUM(CJ28:CJ37)</f>
        <v>570</v>
      </c>
      <c r="CK27" s="136">
        <f>SUM(CK28:CK37)</f>
        <v>203.76573528517565</v>
      </c>
      <c r="CL27" s="134">
        <f t="shared" ref="CL27" si="34">SUM(CL28:CL37)</f>
        <v>0</v>
      </c>
      <c r="CM27" s="136">
        <f>SUM(CM28:CM37)</f>
        <v>321.03112919633776</v>
      </c>
      <c r="CN27" s="134">
        <f t="shared" ref="CN27" si="35">SUM(CN28:CN37)</f>
        <v>0</v>
      </c>
      <c r="CO27" s="136">
        <f>SUM(CO28:CO37)</f>
        <v>267.52594099694812</v>
      </c>
      <c r="CP27" s="134">
        <f t="shared" ref="CP27" si="36">SUM(CP28:CP37)</f>
        <v>330</v>
      </c>
      <c r="CQ27" s="136">
        <f>SUM(CQ28:CQ37)</f>
        <v>240.77334689725328</v>
      </c>
      <c r="CR27" s="134">
        <f t="shared" ref="CR27" si="37">SUM(CR28:CR37)</f>
        <v>0</v>
      </c>
      <c r="CS27" s="136">
        <f>SUM(CS28:CS37)</f>
        <v>267.52594099694812</v>
      </c>
      <c r="CT27" s="134">
        <f t="shared" ref="CT27" si="38">SUM(CT28:CT37)</f>
        <v>740</v>
      </c>
      <c r="CU27" s="136">
        <v>162.90825106929691</v>
      </c>
      <c r="CV27" s="134">
        <f t="shared" ref="CV27" si="39">SUM(CV28:CV37)</f>
        <v>0</v>
      </c>
      <c r="CW27" s="136">
        <f>SUM(CW28:CW37)</f>
        <v>148.80627707804604</v>
      </c>
      <c r="CX27" s="134">
        <f t="shared" ref="CX27:CZ27" si="40">SUM(CX28:CX37)</f>
        <v>0</v>
      </c>
      <c r="CY27" s="136">
        <f>SUM(CY28:CY37)</f>
        <v>214.02075279755852</v>
      </c>
      <c r="CZ27" s="134">
        <f t="shared" si="40"/>
        <v>0</v>
      </c>
      <c r="DA27" s="141"/>
      <c r="DB27" s="293"/>
    </row>
    <row r="28" spans="2:106" ht="30.75" customHeight="1">
      <c r="C28" s="446" t="s">
        <v>502</v>
      </c>
      <c r="D28" s="443">
        <v>1</v>
      </c>
      <c r="E28" s="99" t="s">
        <v>46</v>
      </c>
      <c r="F28" s="56">
        <v>144</v>
      </c>
      <c r="G28" s="46">
        <f>F28*4180</f>
        <v>601920</v>
      </c>
      <c r="H28" s="45">
        <f>F28*($H$27/$F$27)</f>
        <v>322.27873855544254</v>
      </c>
      <c r="I28" s="46">
        <f>H28*4180</f>
        <v>1347125.1271617499</v>
      </c>
      <c r="J28" s="49">
        <v>2</v>
      </c>
      <c r="K28" s="39">
        <f t="shared" ref="K28:K37" si="41">SUM(L28:N28)</f>
        <v>25</v>
      </c>
      <c r="L28" s="39">
        <v>7</v>
      </c>
      <c r="M28" s="39">
        <v>18</v>
      </c>
      <c r="N28" s="384"/>
      <c r="O28" s="43"/>
      <c r="P28" s="43"/>
      <c r="Q28" s="335"/>
      <c r="R28" s="129"/>
      <c r="S28" s="129"/>
      <c r="T28" s="129"/>
      <c r="U28" s="345"/>
      <c r="V28" s="331">
        <v>45786</v>
      </c>
      <c r="W28" s="124"/>
      <c r="X28" s="124"/>
      <c r="Y28" s="124"/>
      <c r="Z28" s="124"/>
      <c r="AA28" s="124"/>
      <c r="AB28" s="330"/>
      <c r="AC28" s="330"/>
      <c r="AD28" s="330"/>
      <c r="AE28" s="330"/>
      <c r="AF28" s="330"/>
      <c r="AG28" s="330"/>
      <c r="AH28" s="330"/>
      <c r="AI28" s="129">
        <f>SUM(J28:K28)-CI28+CJ28</f>
        <v>71.217700915564592</v>
      </c>
      <c r="AJ28" s="129">
        <f t="shared" ref="AJ28:AJ37" si="42">AI28-CK28+CL28</f>
        <v>46.670786368209434</v>
      </c>
      <c r="AK28" s="129">
        <f t="shared" ref="AK28:AK37" si="43">AJ28-CM28+CN28</f>
        <v>7.9973377415563291</v>
      </c>
      <c r="AL28" s="129">
        <f t="shared" ref="AL28:AL37" si="44">AK28-CO28+CP28</f>
        <v>15.769463886012076</v>
      </c>
      <c r="AM28" s="393">
        <f t="shared" ref="AM28:AM37" si="45">AL28-CQ28+CR28</f>
        <v>-13.235622583977751</v>
      </c>
      <c r="AN28" s="393">
        <f>0-CS28+CT28</f>
        <v>57.772126144455747</v>
      </c>
      <c r="AO28" s="393">
        <f t="shared" ref="AO28:AO37" si="46">AN28-CU28+CV28</f>
        <v>38.147163623350082</v>
      </c>
      <c r="AP28" s="96">
        <f t="shared" ref="AP28:AP37" si="47">AO28-CW28+CX28</f>
        <v>20.221014448010326</v>
      </c>
      <c r="AQ28" s="91">
        <f t="shared" ref="AQ28:AQ37" si="48">AP28-CY28+CZ28</f>
        <v>-5.5612846364250785</v>
      </c>
      <c r="AR28" s="198"/>
      <c r="AS28" s="81">
        <f>$H$28*月別販売比率!AG5</f>
        <v>32.227873855544253</v>
      </c>
      <c r="AT28" s="39"/>
      <c r="AU28" s="81">
        <f>$H$28*月別販売比率!AL5</f>
        <v>29.005086469989827</v>
      </c>
      <c r="AV28" s="39"/>
      <c r="AW28" s="245">
        <f>$H$28*月別販売比率!AQ5</f>
        <v>32.227873855544253</v>
      </c>
      <c r="AX28" s="280"/>
      <c r="AY28" s="81">
        <f>$H$28*月別販売比率!AV5</f>
        <v>19.624962521105669</v>
      </c>
      <c r="AZ28" s="39"/>
      <c r="BA28" s="81">
        <f>$H$28*月別販売比率!BA5</f>
        <v>17.926149175339756</v>
      </c>
      <c r="BB28" s="39"/>
      <c r="BC28" s="81">
        <f>$H$28*月別販売比率!BF5</f>
        <v>25.782299084435405</v>
      </c>
      <c r="BD28" s="39"/>
      <c r="BE28" s="245">
        <f>$H$28*月別販売比率!C21</f>
        <v>22.838041458289091</v>
      </c>
      <c r="BF28" s="280">
        <v>50</v>
      </c>
      <c r="BG28" s="245">
        <f>$H$28*月別販売比率!H21</f>
        <v>22.559511698880979</v>
      </c>
      <c r="BH28" s="280">
        <v>68</v>
      </c>
      <c r="BI28" s="245">
        <f>$H$28*月別販売比率!M21</f>
        <v>32.570678244530612</v>
      </c>
      <c r="BJ28" s="280">
        <v>95</v>
      </c>
      <c r="BK28" s="81">
        <f>$H$28*月別販売比率!R21</f>
        <v>25.782299084435405</v>
      </c>
      <c r="BL28" s="39"/>
      <c r="BM28" s="81">
        <f>$H$28*月別販売比率!W21</f>
        <v>24.546914547355158</v>
      </c>
      <c r="BN28" s="39"/>
      <c r="BO28" s="245">
        <f>$H$28*月別販売比率!AB21</f>
        <v>38.673448626653105</v>
      </c>
      <c r="BP28" s="280"/>
      <c r="BQ28" s="245">
        <f>$H$28*月別販売比率!AG21</f>
        <v>32.227873855544253</v>
      </c>
      <c r="BR28" s="280">
        <v>70</v>
      </c>
      <c r="BS28" s="245">
        <f>$H$28*月別販売比率!AL21</f>
        <v>29.005086469989827</v>
      </c>
      <c r="BT28" s="280">
        <v>70</v>
      </c>
      <c r="BU28" s="81">
        <f>$H$28*月別販売比率!AQ21</f>
        <v>32.227873855544253</v>
      </c>
      <c r="BV28" s="39"/>
      <c r="BW28" s="81">
        <f>$H$28*月別販売比率!AV21</f>
        <v>19.624962521105669</v>
      </c>
      <c r="BX28" s="39"/>
      <c r="BY28" s="81">
        <f>$H$28*月別販売比率!BA21</f>
        <v>17.926149175339756</v>
      </c>
      <c r="BZ28" s="39"/>
      <c r="CA28" s="81">
        <f>$H$28*月別販売比率!BF21</f>
        <v>25.782299084435405</v>
      </c>
      <c r="CB28" s="39"/>
      <c r="CC28" s="81">
        <f>H28*月別販売比率!$C$21</f>
        <v>22.838041458289091</v>
      </c>
      <c r="CD28" s="39"/>
      <c r="CE28" s="81">
        <f>H28*月別販売比率!$H$21</f>
        <v>22.559511698880979</v>
      </c>
      <c r="CF28" s="39"/>
      <c r="CG28" s="81">
        <f>$H$28*月別販売比率!M21</f>
        <v>32.570678244530612</v>
      </c>
      <c r="CH28" s="280">
        <v>17</v>
      </c>
      <c r="CI28" s="81">
        <f>H28*月別販売比率!$R$21</f>
        <v>25.782299084435405</v>
      </c>
      <c r="CJ28" s="39">
        <v>70</v>
      </c>
      <c r="CK28" s="41">
        <f>H28*月別販売比率!$W$21</f>
        <v>24.546914547355158</v>
      </c>
      <c r="CL28" s="39"/>
      <c r="CM28" s="81">
        <f>H28*月別販売比率!$AB$21</f>
        <v>38.673448626653105</v>
      </c>
      <c r="CN28" s="39"/>
      <c r="CO28" s="41">
        <f>H28*月別販売比率!$AG$21</f>
        <v>32.227873855544253</v>
      </c>
      <c r="CP28" s="39">
        <v>40</v>
      </c>
      <c r="CQ28" s="81">
        <f>H28*月別販売比率!$AL$21</f>
        <v>29.005086469989827</v>
      </c>
      <c r="CR28" s="39"/>
      <c r="CS28" s="41">
        <f>H28*月別販売比率!$AQ$21</f>
        <v>32.227873855544253</v>
      </c>
      <c r="CT28" s="39">
        <v>90</v>
      </c>
      <c r="CU28" s="81">
        <f>H28*月別販売比率!$AV$21</f>
        <v>19.624962521105669</v>
      </c>
      <c r="CV28" s="39"/>
      <c r="CW28" s="81">
        <f>H28*月別販売比率!$BA$21</f>
        <v>17.926149175339756</v>
      </c>
      <c r="CX28" s="39"/>
      <c r="CY28" s="81">
        <f>H28*月別販売比率!$BF$21</f>
        <v>25.782299084435405</v>
      </c>
      <c r="CZ28" s="39"/>
      <c r="DA28" s="50"/>
      <c r="DB28" s="295"/>
    </row>
    <row r="29" spans="2:106" ht="30.75" customHeight="1">
      <c r="C29" s="457"/>
      <c r="D29" s="441"/>
      <c r="E29" s="94" t="s">
        <v>47</v>
      </c>
      <c r="F29" s="57">
        <v>226</v>
      </c>
      <c r="G29" s="46">
        <f t="shared" ref="G29:G37" si="49">F29*4180</f>
        <v>944680</v>
      </c>
      <c r="H29" s="164">
        <v>550</v>
      </c>
      <c r="I29" s="46">
        <f t="shared" ref="I29:I37" si="50">H29*4180</f>
        <v>2299000</v>
      </c>
      <c r="J29" s="9">
        <v>107</v>
      </c>
      <c r="K29" s="21">
        <f>SUM(L29:N29)</f>
        <v>30</v>
      </c>
      <c r="L29" s="21">
        <v>10</v>
      </c>
      <c r="M29" s="21">
        <v>20</v>
      </c>
      <c r="N29" s="386"/>
      <c r="O29" s="19"/>
      <c r="P29" s="19"/>
      <c r="Q29" s="330"/>
      <c r="R29" s="124"/>
      <c r="S29" s="124"/>
      <c r="T29" s="124"/>
      <c r="U29" s="328"/>
      <c r="V29" s="331">
        <v>45786</v>
      </c>
      <c r="W29" s="124"/>
      <c r="X29" s="124"/>
      <c r="Y29" s="124"/>
      <c r="Z29" s="124"/>
      <c r="AA29" s="124"/>
      <c r="AB29" s="124"/>
      <c r="AC29" s="124"/>
      <c r="AD29" s="124"/>
      <c r="AE29" s="124"/>
      <c r="AF29" s="124"/>
      <c r="AG29" s="124"/>
      <c r="AH29" s="331"/>
      <c r="AI29" s="129">
        <f t="shared" ref="AI29:AI37" si="51">SUM(J29:K29)-CI29+CJ29</f>
        <v>193</v>
      </c>
      <c r="AJ29" s="129">
        <f t="shared" si="42"/>
        <v>151.10830381935745</v>
      </c>
      <c r="AK29" s="129">
        <f t="shared" si="43"/>
        <v>85.108303819357445</v>
      </c>
      <c r="AL29" s="399">
        <f t="shared" si="44"/>
        <v>100.10830381935745</v>
      </c>
      <c r="AM29" s="393">
        <f t="shared" si="45"/>
        <v>50.608303819357445</v>
      </c>
      <c r="AN29" s="393">
        <f t="shared" ref="AN29:AN37" si="52">AM29-CS29+CT29</f>
        <v>145.60830381935745</v>
      </c>
      <c r="AO29" s="393">
        <f t="shared" si="46"/>
        <v>112.11639729462328</v>
      </c>
      <c r="AP29" s="96">
        <f t="shared" si="47"/>
        <v>81.523680906847275</v>
      </c>
      <c r="AQ29" s="91">
        <f t="shared" si="48"/>
        <v>37.523680906847275</v>
      </c>
      <c r="AR29" s="198"/>
      <c r="AS29" s="81">
        <f>$H$29*月別販売比率!AG5</f>
        <v>55</v>
      </c>
      <c r="AT29" s="21"/>
      <c r="AU29" s="81">
        <f>$H$29*月別販売比率!AL5</f>
        <v>49.5</v>
      </c>
      <c r="AV29" s="21"/>
      <c r="AW29" s="245">
        <f>$H$29*月別販売比率!AQ5</f>
        <v>55</v>
      </c>
      <c r="AX29" s="241">
        <v>100</v>
      </c>
      <c r="AY29" s="81">
        <f>$H$29*月別販売比率!AV5</f>
        <v>33.491906524734155</v>
      </c>
      <c r="AZ29" s="21"/>
      <c r="BA29" s="81">
        <f>$H$29*月別販売比率!BA5</f>
        <v>30.592716387776004</v>
      </c>
      <c r="BB29" s="21"/>
      <c r="BC29" s="81">
        <f>$H$29*月別販売比率!BF5</f>
        <v>44</v>
      </c>
      <c r="BD29" s="21"/>
      <c r="BE29" s="245">
        <f>$H$29*月別販売比率!C21</f>
        <v>38.975338113712112</v>
      </c>
      <c r="BF29" s="241">
        <v>49</v>
      </c>
      <c r="BG29" s="245">
        <f>$H$29*月別販売比率!H21</f>
        <v>38.500000000000007</v>
      </c>
      <c r="BH29" s="241">
        <v>146</v>
      </c>
      <c r="BI29" s="245">
        <f>$H$29*月別販売比率!M21</f>
        <v>55.585029018009699</v>
      </c>
      <c r="BJ29" s="241">
        <v>155</v>
      </c>
      <c r="BK29" s="81">
        <f>$H$29*月別販売比率!R21</f>
        <v>44</v>
      </c>
      <c r="BL29" s="21"/>
      <c r="BM29" s="81">
        <f>$H$29*月別販売比率!W21</f>
        <v>41.891696180642569</v>
      </c>
      <c r="BN29" s="21"/>
      <c r="BO29" s="245">
        <f>$H$29*月別販売比率!AB21</f>
        <v>66</v>
      </c>
      <c r="BP29" s="241"/>
      <c r="BQ29" s="245">
        <f>$H$29*月別販売比率!AG21</f>
        <v>55</v>
      </c>
      <c r="BR29" s="241">
        <v>100</v>
      </c>
      <c r="BS29" s="245">
        <f>$H$29*月別販売比率!AL21</f>
        <v>49.5</v>
      </c>
      <c r="BT29" s="241">
        <v>95</v>
      </c>
      <c r="BU29" s="81">
        <f>$H$29*月別販売比率!AQ21</f>
        <v>55</v>
      </c>
      <c r="BV29" s="21"/>
      <c r="BW29" s="81">
        <f>$H$29*月別販売比率!AV21</f>
        <v>33.491906524734155</v>
      </c>
      <c r="BX29" s="21"/>
      <c r="BY29" s="81">
        <f>$H$29*月別販売比率!BA21</f>
        <v>30.592716387776004</v>
      </c>
      <c r="BZ29" s="21"/>
      <c r="CA29" s="81">
        <f>$H$29*月別販売比率!BF21</f>
        <v>44</v>
      </c>
      <c r="CB29" s="21"/>
      <c r="CC29" s="81">
        <f>H29*月別販売比率!$C$21</f>
        <v>38.975338113712112</v>
      </c>
      <c r="CD29" s="21"/>
      <c r="CE29" s="81">
        <f>H29*月別販売比率!$H$21</f>
        <v>38.500000000000007</v>
      </c>
      <c r="CF29" s="21"/>
      <c r="CG29" s="81">
        <f>$H$29*月別販売比率!M21</f>
        <v>55.585029018009699</v>
      </c>
      <c r="CH29" s="241">
        <v>137</v>
      </c>
      <c r="CI29" s="81">
        <f>H29*月別販売比率!$R$21</f>
        <v>44</v>
      </c>
      <c r="CJ29" s="21">
        <v>100</v>
      </c>
      <c r="CK29" s="41">
        <f>H29*月別販売比率!$W$21</f>
        <v>41.891696180642569</v>
      </c>
      <c r="CL29" s="21"/>
      <c r="CM29" s="81">
        <f>H29*月別販売比率!$AB$21</f>
        <v>66</v>
      </c>
      <c r="CN29" s="21"/>
      <c r="CO29" s="41">
        <f>H29*月別販売比率!$AG$21</f>
        <v>55</v>
      </c>
      <c r="CP29" s="21">
        <v>70</v>
      </c>
      <c r="CQ29" s="81">
        <f>H29*月別販売比率!$AL$21</f>
        <v>49.5</v>
      </c>
      <c r="CR29" s="21"/>
      <c r="CS29" s="41">
        <f>H29*月別販売比率!$AQ$21</f>
        <v>55</v>
      </c>
      <c r="CT29" s="21">
        <v>150</v>
      </c>
      <c r="CU29" s="81">
        <f>H29*月別販売比率!$AV$21</f>
        <v>33.491906524734155</v>
      </c>
      <c r="CV29" s="21"/>
      <c r="CW29" s="81">
        <f>H29*月別販売比率!$BA$21</f>
        <v>30.592716387776004</v>
      </c>
      <c r="CX29" s="21"/>
      <c r="CY29" s="81">
        <f>H29*月別販売比率!$BF$21</f>
        <v>44</v>
      </c>
      <c r="CZ29" s="21"/>
      <c r="DA29" s="28"/>
      <c r="DB29" s="294"/>
    </row>
    <row r="30" spans="2:106" ht="30.75" customHeight="1">
      <c r="C30" s="457"/>
      <c r="D30" s="441"/>
      <c r="E30" s="94" t="s">
        <v>51</v>
      </c>
      <c r="F30" s="57">
        <v>204</v>
      </c>
      <c r="G30" s="46">
        <f t="shared" si="49"/>
        <v>852720</v>
      </c>
      <c r="H30" s="45">
        <f t="shared" ref="H30:H33" si="53">F30*($H$27/$F$27)</f>
        <v>456.56154628687693</v>
      </c>
      <c r="I30" s="46">
        <f t="shared" si="50"/>
        <v>1908427.2634791455</v>
      </c>
      <c r="J30" s="9">
        <v>41</v>
      </c>
      <c r="K30" s="21">
        <f t="shared" si="41"/>
        <v>17</v>
      </c>
      <c r="L30" s="21">
        <v>5</v>
      </c>
      <c r="M30" s="21">
        <v>12</v>
      </c>
      <c r="N30" s="386"/>
      <c r="O30" s="19"/>
      <c r="P30" s="19"/>
      <c r="Q30" s="330"/>
      <c r="R30" s="124"/>
      <c r="S30" s="124"/>
      <c r="T30" s="124"/>
      <c r="U30" s="328"/>
      <c r="V30" s="331">
        <v>45786</v>
      </c>
      <c r="W30" s="124"/>
      <c r="X30" s="124"/>
      <c r="Y30" s="124"/>
      <c r="Z30" s="124"/>
      <c r="AA30" s="124"/>
      <c r="AB30" s="330"/>
      <c r="AC30" s="330"/>
      <c r="AD30" s="330"/>
      <c r="AE30" s="330"/>
      <c r="AF30" s="330"/>
      <c r="AG30" s="124"/>
      <c r="AH30" s="331"/>
      <c r="AI30" s="129">
        <f t="shared" si="51"/>
        <v>101.47507629704984</v>
      </c>
      <c r="AJ30" s="129">
        <f t="shared" si="42"/>
        <v>66.700280688296701</v>
      </c>
      <c r="AK30" s="129">
        <f t="shared" si="43"/>
        <v>11.912895133871473</v>
      </c>
      <c r="AL30" s="129">
        <f t="shared" si="44"/>
        <v>51.256740505183778</v>
      </c>
      <c r="AM30" s="393">
        <f t="shared" si="45"/>
        <v>10.166201339364854</v>
      </c>
      <c r="AN30" s="393">
        <f t="shared" si="52"/>
        <v>89.510046710677159</v>
      </c>
      <c r="AO30" s="393">
        <f t="shared" si="46"/>
        <v>61.708016472444129</v>
      </c>
      <c r="AP30" s="96">
        <f t="shared" si="47"/>
        <v>36.312638474046139</v>
      </c>
      <c r="AQ30" s="91">
        <f t="shared" si="48"/>
        <v>-0.21228522890401536</v>
      </c>
      <c r="AR30" s="198"/>
      <c r="AS30" s="81">
        <f>$H$30*月別販売比率!AG5</f>
        <v>45.656154628687695</v>
      </c>
      <c r="AT30" s="21"/>
      <c r="AU30" s="81">
        <f>$H$30*月別販売比率!AL5</f>
        <v>41.090539165818925</v>
      </c>
      <c r="AV30" s="21"/>
      <c r="AW30" s="245">
        <f>$H$30*月別販売比率!AQ5</f>
        <v>45.656154628687695</v>
      </c>
      <c r="AX30" s="241">
        <v>100</v>
      </c>
      <c r="AY30" s="81">
        <f>$H$30*月別販売比率!AV5</f>
        <v>27.802030238233034</v>
      </c>
      <c r="AZ30" s="21"/>
      <c r="BA30" s="81">
        <f>$H$30*月別販売比率!BA5</f>
        <v>25.395377998397986</v>
      </c>
      <c r="BB30" s="21"/>
      <c r="BC30" s="81">
        <f>$H$30*月別販売比率!BF5</f>
        <v>36.524923702950154</v>
      </c>
      <c r="BD30" s="21"/>
      <c r="BE30" s="245">
        <f>$H$30*月別販売比率!C21</f>
        <v>32.353892065909548</v>
      </c>
      <c r="BF30" s="241">
        <v>49</v>
      </c>
      <c r="BG30" s="245">
        <f>$H$30*月別販売比率!H21</f>
        <v>31.959308240081388</v>
      </c>
      <c r="BH30" s="241">
        <v>131</v>
      </c>
      <c r="BI30" s="245">
        <f>$H$30*月別販売比率!M21</f>
        <v>46.141794179751699</v>
      </c>
      <c r="BJ30" s="241">
        <v>135</v>
      </c>
      <c r="BK30" s="81">
        <f>$H$30*月別販売比率!R21</f>
        <v>36.524923702950154</v>
      </c>
      <c r="BL30" s="21"/>
      <c r="BM30" s="81">
        <f>$H$30*月別販売比率!W21</f>
        <v>34.774795608753138</v>
      </c>
      <c r="BN30" s="21"/>
      <c r="BO30" s="245">
        <f>$H$30*月別販売比率!AB21</f>
        <v>54.787385554425228</v>
      </c>
      <c r="BP30" s="241"/>
      <c r="BQ30" s="245">
        <f>$H$30*月別販売比率!AG21</f>
        <v>45.656154628687695</v>
      </c>
      <c r="BR30" s="241">
        <v>100</v>
      </c>
      <c r="BS30" s="245">
        <f>$H$30*月別販売比率!AL21</f>
        <v>41.090539165818925</v>
      </c>
      <c r="BT30" s="241">
        <v>95</v>
      </c>
      <c r="BU30" s="81">
        <f>$H$30*月別販売比率!AQ21</f>
        <v>45.656154628687695</v>
      </c>
      <c r="BV30" s="21"/>
      <c r="BW30" s="81">
        <f>$H$30*月別販売比率!AV21</f>
        <v>27.802030238233034</v>
      </c>
      <c r="BX30" s="21"/>
      <c r="BY30" s="81">
        <f>$H$30*月別販売比率!BA21</f>
        <v>25.395377998397986</v>
      </c>
      <c r="BZ30" s="21"/>
      <c r="CA30" s="81">
        <f>$H$30*月別販売比率!BF21</f>
        <v>36.524923702950154</v>
      </c>
      <c r="CB30" s="21"/>
      <c r="CC30" s="81">
        <f>H30*月別販売比率!$C$21</f>
        <v>32.353892065909548</v>
      </c>
      <c r="CD30" s="21"/>
      <c r="CE30" s="81">
        <f>H30*月別販売比率!$H$21</f>
        <v>31.959308240081388</v>
      </c>
      <c r="CF30" s="21"/>
      <c r="CG30" s="81">
        <f>$H$30*月別販売比率!M21</f>
        <v>46.141794179751699</v>
      </c>
      <c r="CH30" s="241">
        <v>57</v>
      </c>
      <c r="CI30" s="81">
        <f>H30*月別販売比率!$R$21</f>
        <v>36.524923702950154</v>
      </c>
      <c r="CJ30" s="21">
        <v>80</v>
      </c>
      <c r="CK30" s="41">
        <f>H30*月別販売比率!$W$21</f>
        <v>34.774795608753138</v>
      </c>
      <c r="CL30" s="21"/>
      <c r="CM30" s="81">
        <f>H30*月別販売比率!$AB$21</f>
        <v>54.787385554425228</v>
      </c>
      <c r="CN30" s="21"/>
      <c r="CO30" s="41">
        <f>H30*月別販売比率!$AG$21</f>
        <v>45.656154628687695</v>
      </c>
      <c r="CP30" s="21">
        <v>85</v>
      </c>
      <c r="CQ30" s="81">
        <f>H30*月別販売比率!$AL$21</f>
        <v>41.090539165818925</v>
      </c>
      <c r="CR30" s="21"/>
      <c r="CS30" s="41">
        <f>H30*月別販売比率!$AQ$21</f>
        <v>45.656154628687695</v>
      </c>
      <c r="CT30" s="21">
        <v>125</v>
      </c>
      <c r="CU30" s="81">
        <f>H30*月別販売比率!$AV$21</f>
        <v>27.802030238233034</v>
      </c>
      <c r="CV30" s="21"/>
      <c r="CW30" s="81">
        <f>H30*月別販売比率!$BA$21</f>
        <v>25.395377998397986</v>
      </c>
      <c r="CX30" s="21"/>
      <c r="CY30" s="81">
        <f>H30*月別販売比率!$BF$21</f>
        <v>36.524923702950154</v>
      </c>
      <c r="CZ30" s="21"/>
      <c r="DA30" s="28"/>
      <c r="DB30" s="294"/>
    </row>
    <row r="31" spans="2:106" ht="30.75" customHeight="1">
      <c r="C31" s="457"/>
      <c r="D31" s="441"/>
      <c r="E31" s="94" t="s">
        <v>49</v>
      </c>
      <c r="F31" s="57">
        <v>89</v>
      </c>
      <c r="G31" s="46">
        <f t="shared" si="49"/>
        <v>372020</v>
      </c>
      <c r="H31" s="45">
        <f t="shared" si="53"/>
        <v>199.18616480162768</v>
      </c>
      <c r="I31" s="46">
        <f t="shared" si="50"/>
        <v>832598.16887080367</v>
      </c>
      <c r="J31" s="9">
        <v>21</v>
      </c>
      <c r="K31" s="21">
        <f t="shared" si="41"/>
        <v>31</v>
      </c>
      <c r="L31" s="21">
        <v>10</v>
      </c>
      <c r="M31" s="21">
        <v>21</v>
      </c>
      <c r="N31" s="386"/>
      <c r="O31" s="19"/>
      <c r="P31" s="288"/>
      <c r="Q31" s="331">
        <v>45654</v>
      </c>
      <c r="R31" s="124"/>
      <c r="S31" s="124"/>
      <c r="T31" s="124"/>
      <c r="U31" s="124"/>
      <c r="V31" s="124"/>
      <c r="W31" s="124"/>
      <c r="X31" s="124"/>
      <c r="Y31" s="124"/>
      <c r="Z31" s="124"/>
      <c r="AA31" s="331">
        <v>45950</v>
      </c>
      <c r="AB31" s="124"/>
      <c r="AC31" s="124"/>
      <c r="AD31" s="124"/>
      <c r="AE31" s="124"/>
      <c r="AF31" s="124"/>
      <c r="AG31" s="124"/>
      <c r="AH31" s="124"/>
      <c r="AI31" s="129">
        <f t="shared" si="51"/>
        <v>86.065106815869783</v>
      </c>
      <c r="AJ31" s="129">
        <f t="shared" si="42"/>
        <v>70.893749908129436</v>
      </c>
      <c r="AK31" s="129">
        <f t="shared" si="43"/>
        <v>46.991410131934117</v>
      </c>
      <c r="AL31" s="399">
        <f t="shared" si="44"/>
        <v>42.072793651771349</v>
      </c>
      <c r="AM31" s="393">
        <f t="shared" si="45"/>
        <v>24.146038819624859</v>
      </c>
      <c r="AN31" s="393">
        <f t="shared" si="52"/>
        <v>59.227422339462095</v>
      </c>
      <c r="AO31" s="393">
        <f t="shared" si="46"/>
        <v>47.098105225723174</v>
      </c>
      <c r="AP31" s="96">
        <f t="shared" si="47"/>
        <v>36.018749138186799</v>
      </c>
      <c r="AQ31" s="91">
        <f t="shared" si="48"/>
        <v>20.083855954056581</v>
      </c>
      <c r="AR31" s="198"/>
      <c r="AS31" s="81">
        <f>$H$31*月別販売比率!AG5</f>
        <v>19.918616480162768</v>
      </c>
      <c r="AT31" s="21"/>
      <c r="AU31" s="81">
        <f>$H$31*月別販売比率!AL5</f>
        <v>17.926754832146489</v>
      </c>
      <c r="AV31" s="21"/>
      <c r="AW31" s="245">
        <f>$H$31*月別販売比率!AQ5</f>
        <v>19.918616480162768</v>
      </c>
      <c r="AX31" s="241">
        <v>100</v>
      </c>
      <c r="AY31" s="81">
        <f>$H$31*月別販売比率!AV5</f>
        <v>12.129317113738921</v>
      </c>
      <c r="AZ31" s="21"/>
      <c r="BA31" s="81">
        <f>$H$31*月別販売比率!BA5</f>
        <v>11.079356087536377</v>
      </c>
      <c r="BB31" s="21"/>
      <c r="BC31" s="81">
        <f>$H$31*月別販売比率!BF5</f>
        <v>15.934893184130216</v>
      </c>
      <c r="BD31" s="21"/>
      <c r="BE31" s="245">
        <f>$H$31*月別販売比率!C21</f>
        <v>14.115178401303675</v>
      </c>
      <c r="BF31" s="241">
        <v>29</v>
      </c>
      <c r="BG31" s="245">
        <f>$H$31*月別販売比率!H21</f>
        <v>13.943031536113939</v>
      </c>
      <c r="BH31" s="241">
        <v>31</v>
      </c>
      <c r="BI31" s="245">
        <f>$H$31*月別販売比率!M21</f>
        <v>20.130488637244614</v>
      </c>
      <c r="BJ31" s="241">
        <v>60</v>
      </c>
      <c r="BK31" s="81">
        <f>$H$31*月別販売比率!R21</f>
        <v>15.934893184130216</v>
      </c>
      <c r="BL31" s="21"/>
      <c r="BM31" s="81">
        <f>$H$31*月別販売比率!W21</f>
        <v>15.171356907740341</v>
      </c>
      <c r="BN31" s="21"/>
      <c r="BO31" s="245">
        <f>$H$31*月別販売比率!AB21</f>
        <v>23.902339776195323</v>
      </c>
      <c r="BP31" s="241"/>
      <c r="BQ31" s="245">
        <f>$H$31*月別販売比率!AG21</f>
        <v>19.918616480162768</v>
      </c>
      <c r="BR31" s="241">
        <v>60</v>
      </c>
      <c r="BS31" s="245">
        <f>$H$31*月別販売比率!AL21</f>
        <v>17.926754832146489</v>
      </c>
      <c r="BT31" s="241">
        <v>70</v>
      </c>
      <c r="BU31" s="81">
        <f>$H$31*月別販売比率!AQ21</f>
        <v>19.918616480162768</v>
      </c>
      <c r="BV31" s="21"/>
      <c r="BW31" s="81">
        <f>$H$31*月別販売比率!AV21</f>
        <v>12.129317113738921</v>
      </c>
      <c r="BX31" s="21"/>
      <c r="BY31" s="81">
        <f>$H$31*月別販売比率!BA21</f>
        <v>11.079356087536377</v>
      </c>
      <c r="BZ31" s="21"/>
      <c r="CA31" s="81">
        <f>$H$31*月別販売比率!BF21</f>
        <v>15.934893184130216</v>
      </c>
      <c r="CB31" s="21"/>
      <c r="CC31" s="81">
        <f>H31*月別販売比率!$C$21</f>
        <v>14.115178401303675</v>
      </c>
      <c r="CD31" s="21"/>
      <c r="CE31" s="81">
        <f>H31*月別販売比率!$H$21</f>
        <v>13.943031536113939</v>
      </c>
      <c r="CF31" s="21"/>
      <c r="CG31" s="81">
        <f>$H$31*月別販売比率!M21</f>
        <v>20.130488637244614</v>
      </c>
      <c r="CH31" s="241">
        <v>57</v>
      </c>
      <c r="CI31" s="81">
        <f>H31*月別販売比率!$R$21</f>
        <v>15.934893184130216</v>
      </c>
      <c r="CJ31" s="21">
        <v>50</v>
      </c>
      <c r="CK31" s="41">
        <f>H31*月別販売比率!$W$21</f>
        <v>15.171356907740341</v>
      </c>
      <c r="CL31" s="21"/>
      <c r="CM31" s="81">
        <f>H31*月別販売比率!$AB$21</f>
        <v>23.902339776195323</v>
      </c>
      <c r="CN31" s="21"/>
      <c r="CO31" s="41">
        <f>H31*月別販売比率!$AG$21</f>
        <v>19.918616480162768</v>
      </c>
      <c r="CP31" s="21">
        <v>15</v>
      </c>
      <c r="CQ31" s="81">
        <f>H31*月別販売比率!$AL$21</f>
        <v>17.926754832146489</v>
      </c>
      <c r="CR31" s="21"/>
      <c r="CS31" s="41">
        <f>H31*月別販売比率!$AQ$21</f>
        <v>19.918616480162768</v>
      </c>
      <c r="CT31" s="21">
        <v>55</v>
      </c>
      <c r="CU31" s="81">
        <f>H31*月別販売比率!$AV$21</f>
        <v>12.129317113738921</v>
      </c>
      <c r="CV31" s="21"/>
      <c r="CW31" s="81">
        <f>H31*月別販売比率!$BA$21</f>
        <v>11.079356087536377</v>
      </c>
      <c r="CX31" s="21"/>
      <c r="CY31" s="81">
        <f>H31*月別販売比率!$BF$21</f>
        <v>15.934893184130216</v>
      </c>
      <c r="CZ31" s="21"/>
      <c r="DA31" s="28"/>
      <c r="DB31" s="294"/>
    </row>
    <row r="32" spans="2:106" ht="30.75" customHeight="1">
      <c r="C32" s="457"/>
      <c r="D32" s="442"/>
      <c r="E32" s="94" t="s">
        <v>50</v>
      </c>
      <c r="F32" s="57">
        <v>50</v>
      </c>
      <c r="G32" s="46">
        <f t="shared" si="49"/>
        <v>209000</v>
      </c>
      <c r="H32" s="45">
        <f t="shared" si="53"/>
        <v>111.90233977619532</v>
      </c>
      <c r="I32" s="46">
        <f t="shared" si="50"/>
        <v>467751.78026449645</v>
      </c>
      <c r="J32" s="9">
        <v>0</v>
      </c>
      <c r="K32" s="21">
        <f t="shared" si="41"/>
        <v>22</v>
      </c>
      <c r="L32" s="21">
        <v>9</v>
      </c>
      <c r="M32" s="21">
        <v>13</v>
      </c>
      <c r="N32" s="386"/>
      <c r="O32" s="19"/>
      <c r="P32" s="19"/>
      <c r="Q32" s="330"/>
      <c r="R32" s="124"/>
      <c r="S32" s="124"/>
      <c r="T32" s="124"/>
      <c r="U32" s="124"/>
      <c r="V32" s="124"/>
      <c r="W32" s="124"/>
      <c r="X32" s="124"/>
      <c r="Y32" s="124"/>
      <c r="Z32" s="124"/>
      <c r="AA32" s="331">
        <v>45950</v>
      </c>
      <c r="AB32" s="330"/>
      <c r="AC32" s="330"/>
      <c r="AD32" s="330"/>
      <c r="AE32" s="330"/>
      <c r="AF32" s="328"/>
      <c r="AG32" s="331"/>
      <c r="AH32" s="331"/>
      <c r="AI32" s="129">
        <f t="shared" si="51"/>
        <v>43.047812817904372</v>
      </c>
      <c r="AJ32" s="129">
        <f t="shared" si="42"/>
        <v>34.524578600072722</v>
      </c>
      <c r="AK32" s="129">
        <f t="shared" si="43"/>
        <v>21.096297826929284</v>
      </c>
      <c r="AL32" s="399">
        <f t="shared" si="44"/>
        <v>19.906063849309753</v>
      </c>
      <c r="AM32" s="393">
        <f t="shared" si="45"/>
        <v>9.8348532694521751</v>
      </c>
      <c r="AN32" s="393">
        <f t="shared" si="52"/>
        <v>38.64461929183264</v>
      </c>
      <c r="AO32" s="393">
        <f t="shared" si="46"/>
        <v>31.830396194226505</v>
      </c>
      <c r="AP32" s="96">
        <f t="shared" si="47"/>
        <v>25.606038841677979</v>
      </c>
      <c r="AQ32" s="91">
        <f t="shared" si="48"/>
        <v>16.653851659582351</v>
      </c>
      <c r="AR32" s="198"/>
      <c r="AS32" s="81">
        <f>$H$32*月別販売比率!AG5</f>
        <v>11.190233977619533</v>
      </c>
      <c r="AT32" s="21"/>
      <c r="AU32" s="81">
        <f>$H$32*月別販売比率!AL5</f>
        <v>10.071210579857578</v>
      </c>
      <c r="AV32" s="21"/>
      <c r="AW32" s="245">
        <f>$H$32*月別販売比率!AQ5</f>
        <v>11.190233977619533</v>
      </c>
      <c r="AX32" s="241"/>
      <c r="AY32" s="81">
        <f>$H$32*月別販売比率!AV5</f>
        <v>6.8142230976061349</v>
      </c>
      <c r="AZ32" s="21"/>
      <c r="BA32" s="81">
        <f>$H$32*月別販売比率!BA5</f>
        <v>6.2243573525485258</v>
      </c>
      <c r="BB32" s="21"/>
      <c r="BC32" s="81">
        <f>$H$32*月別販売比率!BF5</f>
        <v>8.952187182095626</v>
      </c>
      <c r="BD32" s="21"/>
      <c r="BE32" s="245">
        <f>$H$32*月別販売比率!C21</f>
        <v>7.9298755063503785</v>
      </c>
      <c r="BF32" s="241">
        <v>25</v>
      </c>
      <c r="BG32" s="245">
        <f>$H$32*月別販売比率!H21</f>
        <v>7.8331637843336734</v>
      </c>
      <c r="BH32" s="241">
        <v>25</v>
      </c>
      <c r="BI32" s="245">
        <f>$H$32*月別販売比率!M21</f>
        <v>11.309263279350905</v>
      </c>
      <c r="BJ32" s="241">
        <v>35</v>
      </c>
      <c r="BK32" s="81">
        <f>$H$32*月別販売比率!R21</f>
        <v>8.952187182095626</v>
      </c>
      <c r="BL32" s="21"/>
      <c r="BM32" s="81">
        <f>$H$32*月別販売比率!W21</f>
        <v>8.5232342178316518</v>
      </c>
      <c r="BN32" s="21"/>
      <c r="BO32" s="245">
        <f>$H$32*月別販売比率!AB21</f>
        <v>13.428280773143438</v>
      </c>
      <c r="BP32" s="241"/>
      <c r="BQ32" s="245">
        <f>$H$32*月別販売比率!AG21</f>
        <v>11.190233977619533</v>
      </c>
      <c r="BR32" s="241">
        <v>30</v>
      </c>
      <c r="BS32" s="245">
        <f>$H$32*月別販売比率!AL21</f>
        <v>10.071210579857578</v>
      </c>
      <c r="BT32" s="241">
        <v>30</v>
      </c>
      <c r="BU32" s="81">
        <f>$H$32*月別販売比率!AQ21</f>
        <v>11.190233977619533</v>
      </c>
      <c r="BV32" s="21"/>
      <c r="BW32" s="81">
        <f>$H$32*月別販売比率!AV21</f>
        <v>6.8142230976061349</v>
      </c>
      <c r="BX32" s="21"/>
      <c r="BY32" s="81">
        <f>$H$32*月別販売比率!BA21</f>
        <v>6.2243573525485258</v>
      </c>
      <c r="BZ32" s="21"/>
      <c r="CA32" s="81">
        <f>$H$32*月別販売比率!BF21</f>
        <v>8.952187182095626</v>
      </c>
      <c r="CB32" s="21"/>
      <c r="CC32" s="81">
        <f>H32*月別販売比率!$C$21</f>
        <v>7.9298755063503785</v>
      </c>
      <c r="CD32" s="21"/>
      <c r="CE32" s="81">
        <f>H32*月別販売比率!$H$21</f>
        <v>7.8331637843336734</v>
      </c>
      <c r="CF32" s="21"/>
      <c r="CG32" s="81">
        <f>$H$32*月別販売比率!M21</f>
        <v>11.309263279350905</v>
      </c>
      <c r="CH32" s="241">
        <v>27</v>
      </c>
      <c r="CI32" s="81">
        <f>H32*月別販売比率!$R$21</f>
        <v>8.952187182095626</v>
      </c>
      <c r="CJ32" s="21">
        <v>30</v>
      </c>
      <c r="CK32" s="41">
        <f>H32*月別販売比率!$W$21</f>
        <v>8.5232342178316518</v>
      </c>
      <c r="CL32" s="21"/>
      <c r="CM32" s="81">
        <f>H32*月別販売比率!$AB$21</f>
        <v>13.428280773143438</v>
      </c>
      <c r="CN32" s="21"/>
      <c r="CO32" s="41">
        <f>H32*月別販売比率!$AG$21</f>
        <v>11.190233977619533</v>
      </c>
      <c r="CP32" s="21">
        <v>10</v>
      </c>
      <c r="CQ32" s="81">
        <f>H32*月別販売比率!$AL$21</f>
        <v>10.071210579857578</v>
      </c>
      <c r="CR32" s="21"/>
      <c r="CS32" s="41">
        <f>H32*月別販売比率!$AQ$21</f>
        <v>11.190233977619533</v>
      </c>
      <c r="CT32" s="21">
        <v>40</v>
      </c>
      <c r="CU32" s="81">
        <f>H32*月別販売比率!$AV$21</f>
        <v>6.8142230976061349</v>
      </c>
      <c r="CV32" s="21"/>
      <c r="CW32" s="81">
        <f>H32*月別販売比率!$BA$21</f>
        <v>6.2243573525485258</v>
      </c>
      <c r="CX32" s="21"/>
      <c r="CY32" s="81">
        <f>H32*月別販売比率!$BF$21</f>
        <v>8.952187182095626</v>
      </c>
      <c r="CZ32" s="21"/>
      <c r="DA32" s="28"/>
      <c r="DB32" s="294"/>
    </row>
    <row r="33" spans="2:106" ht="30.75" customHeight="1">
      <c r="C33" s="457"/>
      <c r="D33" s="443">
        <v>2</v>
      </c>
      <c r="E33" s="94" t="s">
        <v>46</v>
      </c>
      <c r="F33" s="57">
        <v>56</v>
      </c>
      <c r="G33" s="46">
        <f t="shared" si="49"/>
        <v>234080</v>
      </c>
      <c r="H33" s="45">
        <f t="shared" si="53"/>
        <v>125.33062054933876</v>
      </c>
      <c r="I33" s="46">
        <f t="shared" si="50"/>
        <v>523881.993896236</v>
      </c>
      <c r="J33" s="9">
        <v>12</v>
      </c>
      <c r="K33" s="21">
        <f t="shared" si="41"/>
        <v>34</v>
      </c>
      <c r="L33" s="21">
        <v>12</v>
      </c>
      <c r="M33" s="21">
        <v>22</v>
      </c>
      <c r="N33" s="386"/>
      <c r="O33" s="19"/>
      <c r="P33" s="19"/>
      <c r="Q33" s="331"/>
      <c r="R33" s="124"/>
      <c r="S33" s="124"/>
      <c r="T33" s="124"/>
      <c r="U33" s="328"/>
      <c r="V33" s="331">
        <v>45786</v>
      </c>
      <c r="W33" s="124"/>
      <c r="X33" s="124"/>
      <c r="Y33" s="124"/>
      <c r="Z33" s="124"/>
      <c r="AA33" s="124"/>
      <c r="AB33" s="124"/>
      <c r="AC33" s="124"/>
      <c r="AD33" s="124"/>
      <c r="AE33" s="124"/>
      <c r="AF33" s="124"/>
      <c r="AG33" s="124"/>
      <c r="AH33" s="331"/>
      <c r="AI33" s="129">
        <f t="shared" si="51"/>
        <v>65.973550356052897</v>
      </c>
      <c r="AJ33" s="129">
        <f t="shared" si="42"/>
        <v>56.427528032081447</v>
      </c>
      <c r="AK33" s="129">
        <f t="shared" si="43"/>
        <v>41.3878535661608</v>
      </c>
      <c r="AL33" s="399">
        <f t="shared" si="44"/>
        <v>38.854791511226921</v>
      </c>
      <c r="AM33" s="393">
        <f t="shared" si="45"/>
        <v>27.575035661786433</v>
      </c>
      <c r="AN33" s="393">
        <f t="shared" si="52"/>
        <v>35.041973606852558</v>
      </c>
      <c r="AO33" s="393">
        <f t="shared" si="46"/>
        <v>27.410043737533687</v>
      </c>
      <c r="AP33" s="96">
        <f t="shared" si="47"/>
        <v>20.438763502679336</v>
      </c>
      <c r="AQ33" s="91">
        <f t="shared" si="48"/>
        <v>10.412313858732235</v>
      </c>
      <c r="AR33" s="198"/>
      <c r="AS33" s="81">
        <f>$H$33*月別販売比率!AG5</f>
        <v>12.533062054933877</v>
      </c>
      <c r="AT33" s="21"/>
      <c r="AU33" s="81">
        <f>$H$33*月別販売比率!AL5</f>
        <v>11.279755849440487</v>
      </c>
      <c r="AV33" s="21"/>
      <c r="AW33" s="245">
        <f>$H$33*月別販売比率!AQ5</f>
        <v>12.533062054933877</v>
      </c>
      <c r="AX33" s="241">
        <v>50</v>
      </c>
      <c r="AY33" s="81">
        <f>$H$33*月別販売比率!AV5</f>
        <v>7.6319298693188715</v>
      </c>
      <c r="AZ33" s="21"/>
      <c r="BA33" s="81">
        <f>$H$33*月別販売比率!BA5</f>
        <v>6.9712802348543494</v>
      </c>
      <c r="BB33" s="21"/>
      <c r="BC33" s="81">
        <f>$H$33*月別販売比率!BF5</f>
        <v>10.026449643947101</v>
      </c>
      <c r="BD33" s="21"/>
      <c r="BE33" s="245">
        <f>$H$33*月別販売比率!C21</f>
        <v>8.8814605671124234</v>
      </c>
      <c r="BF33" s="241">
        <v>44</v>
      </c>
      <c r="BG33" s="245">
        <f>$H$33*月別販売比率!H21</f>
        <v>8.7731434384537135</v>
      </c>
      <c r="BH33" s="241">
        <v>1</v>
      </c>
      <c r="BI33" s="245">
        <f>$H$33*月別販売比率!M21</f>
        <v>12.666374872873014</v>
      </c>
      <c r="BJ33" s="241">
        <v>40</v>
      </c>
      <c r="BK33" s="81">
        <f>$H$33*月別販売比率!R21</f>
        <v>10.026449643947101</v>
      </c>
      <c r="BL33" s="21"/>
      <c r="BM33" s="81">
        <f>$H$33*月別販売比率!W21</f>
        <v>9.5460223239714495</v>
      </c>
      <c r="BN33" s="21"/>
      <c r="BO33" s="245">
        <f>$H$33*月別販売比率!AB21</f>
        <v>15.039674465920651</v>
      </c>
      <c r="BP33" s="241"/>
      <c r="BQ33" s="245">
        <f>$H$33*月別販売比率!AG21</f>
        <v>12.533062054933877</v>
      </c>
      <c r="BR33" s="241">
        <v>30</v>
      </c>
      <c r="BS33" s="245">
        <f>$H$33*月別販売比率!AL21</f>
        <v>11.279755849440487</v>
      </c>
      <c r="BT33" s="241">
        <v>60</v>
      </c>
      <c r="BU33" s="81">
        <f>$H$33*月別販売比率!AQ21</f>
        <v>12.533062054933877</v>
      </c>
      <c r="BV33" s="21"/>
      <c r="BW33" s="81">
        <f>$H$33*月別販売比率!AV21</f>
        <v>7.6319298693188715</v>
      </c>
      <c r="BX33" s="21"/>
      <c r="BY33" s="81">
        <f>$H$33*月別販売比率!BA21</f>
        <v>6.9712802348543494</v>
      </c>
      <c r="BZ33" s="21"/>
      <c r="CA33" s="81">
        <f>$H$33*月別販売比率!BF21</f>
        <v>10.026449643947101</v>
      </c>
      <c r="CB33" s="21"/>
      <c r="CC33" s="81">
        <f>H33*月別販売比率!$C$21</f>
        <v>8.8814605671124234</v>
      </c>
      <c r="CD33" s="21"/>
      <c r="CE33" s="81">
        <f>H33*月別販売比率!$H$21</f>
        <v>8.7731434384537135</v>
      </c>
      <c r="CF33" s="21"/>
      <c r="CG33" s="81">
        <f>$H$33*月別販売比率!M21</f>
        <v>12.666374872873014</v>
      </c>
      <c r="CH33" s="241">
        <v>37</v>
      </c>
      <c r="CI33" s="81">
        <f>H33*月別販売比率!$R$21</f>
        <v>10.026449643947101</v>
      </c>
      <c r="CJ33" s="21">
        <v>30</v>
      </c>
      <c r="CK33" s="41">
        <f>H33*月別販売比率!$W$21</f>
        <v>9.5460223239714495</v>
      </c>
      <c r="CL33" s="21"/>
      <c r="CM33" s="81">
        <f>H33*月別販売比率!$AB$21</f>
        <v>15.039674465920651</v>
      </c>
      <c r="CN33" s="21"/>
      <c r="CO33" s="41">
        <f>H33*月別販売比率!$AG$21</f>
        <v>12.533062054933877</v>
      </c>
      <c r="CP33" s="21">
        <v>10</v>
      </c>
      <c r="CQ33" s="81">
        <f>H33*月別販売比率!$AL$21</f>
        <v>11.279755849440487</v>
      </c>
      <c r="CR33" s="21"/>
      <c r="CS33" s="41">
        <f>H33*月別販売比率!$AQ$21</f>
        <v>12.533062054933877</v>
      </c>
      <c r="CT33" s="21">
        <v>20</v>
      </c>
      <c r="CU33" s="81">
        <f>H33*月別販売比率!$AV$21</f>
        <v>7.6319298693188715</v>
      </c>
      <c r="CV33" s="21"/>
      <c r="CW33" s="81">
        <f>H33*月別販売比率!$BA$21</f>
        <v>6.9712802348543494</v>
      </c>
      <c r="CX33" s="21"/>
      <c r="CY33" s="81">
        <f>H33*月別販売比率!$BF$21</f>
        <v>10.026449643947101</v>
      </c>
      <c r="CZ33" s="21"/>
      <c r="DA33" s="28"/>
      <c r="DB33" s="294"/>
    </row>
    <row r="34" spans="2:106" ht="30.75" customHeight="1">
      <c r="C34" s="457"/>
      <c r="D34" s="441"/>
      <c r="E34" s="94" t="s">
        <v>47</v>
      </c>
      <c r="F34" s="57">
        <v>88</v>
      </c>
      <c r="G34" s="46">
        <f t="shared" si="49"/>
        <v>367840</v>
      </c>
      <c r="H34" s="164">
        <v>380</v>
      </c>
      <c r="I34" s="46">
        <f t="shared" si="50"/>
        <v>1588400</v>
      </c>
      <c r="J34" s="9">
        <v>67</v>
      </c>
      <c r="K34" s="21">
        <f t="shared" si="41"/>
        <v>25</v>
      </c>
      <c r="L34" s="21">
        <v>10</v>
      </c>
      <c r="M34" s="21">
        <v>15</v>
      </c>
      <c r="N34" s="386"/>
      <c r="O34" s="288"/>
      <c r="P34" s="288"/>
      <c r="Q34" s="331">
        <v>45654</v>
      </c>
      <c r="R34" s="124"/>
      <c r="S34" s="124"/>
      <c r="T34" s="124"/>
      <c r="U34" s="124"/>
      <c r="V34" s="124"/>
      <c r="W34" s="124"/>
      <c r="X34" s="124"/>
      <c r="Y34" s="124"/>
      <c r="Z34" s="124"/>
      <c r="AA34" s="331">
        <v>45950</v>
      </c>
      <c r="AB34" s="330"/>
      <c r="AC34" s="330"/>
      <c r="AD34" s="330"/>
      <c r="AE34" s="330"/>
      <c r="AF34" s="330"/>
      <c r="AG34" s="331"/>
      <c r="AH34" s="331"/>
      <c r="AI34" s="129">
        <f t="shared" si="51"/>
        <v>141.6</v>
      </c>
      <c r="AJ34" s="129">
        <f t="shared" si="42"/>
        <v>112.6566462751924</v>
      </c>
      <c r="AK34" s="129">
        <f t="shared" si="43"/>
        <v>67.056646275192406</v>
      </c>
      <c r="AL34" s="399">
        <f t="shared" si="44"/>
        <v>74.056646275192406</v>
      </c>
      <c r="AM34" s="393">
        <f t="shared" si="45"/>
        <v>39.856646275192411</v>
      </c>
      <c r="AN34" s="393">
        <f t="shared" si="52"/>
        <v>116.85664627519242</v>
      </c>
      <c r="AO34" s="393">
        <f t="shared" si="46"/>
        <v>93.716783585376092</v>
      </c>
      <c r="AP34" s="96">
        <f t="shared" si="47"/>
        <v>72.579997717458127</v>
      </c>
      <c r="AQ34" s="91">
        <f t="shared" si="48"/>
        <v>42.179997717458122</v>
      </c>
      <c r="AR34" s="198"/>
      <c r="AS34" s="81">
        <f>$H$34*月別販売比率!AG5</f>
        <v>38</v>
      </c>
      <c r="AT34" s="21"/>
      <c r="AU34" s="81">
        <f>$H$34*月別販売比率!AL5</f>
        <v>34.199999999999996</v>
      </c>
      <c r="AV34" s="21"/>
      <c r="AW34" s="245">
        <f>$H$34*月別販売比率!AQ5</f>
        <v>38</v>
      </c>
      <c r="AX34" s="241">
        <v>100</v>
      </c>
      <c r="AY34" s="81">
        <f>$H$34*月別販売比率!AV5</f>
        <v>23.139862689816326</v>
      </c>
      <c r="AZ34" s="21"/>
      <c r="BA34" s="81">
        <f>$H$34*月別販売比率!BA5</f>
        <v>21.136785867917968</v>
      </c>
      <c r="BB34" s="21"/>
      <c r="BC34" s="81">
        <f>$H$34*月別販売比率!BF5</f>
        <v>30.400000000000002</v>
      </c>
      <c r="BD34" s="21"/>
      <c r="BE34" s="245">
        <f>$H$34*月別販売比率!C21</f>
        <v>26.928415424019278</v>
      </c>
      <c r="BF34" s="241">
        <v>55</v>
      </c>
      <c r="BG34" s="245">
        <f>$H$34*月別販売比率!H21</f>
        <v>26.6</v>
      </c>
      <c r="BH34" s="241"/>
      <c r="BI34" s="245">
        <f>$H$34*月別販売比率!M21</f>
        <v>38.404201866988522</v>
      </c>
      <c r="BJ34" s="241">
        <v>60</v>
      </c>
      <c r="BK34" s="81">
        <f>$H$34*月別販売比率!R21</f>
        <v>30.400000000000002</v>
      </c>
      <c r="BL34" s="21"/>
      <c r="BM34" s="81">
        <f>$H$34*月別販売比率!W21</f>
        <v>28.943353724807594</v>
      </c>
      <c r="BN34" s="21"/>
      <c r="BO34" s="245">
        <f>$H$34*月別販売比率!AB21</f>
        <v>45.6</v>
      </c>
      <c r="BP34" s="241">
        <v>80</v>
      </c>
      <c r="BQ34" s="245">
        <f>$H$34*月別販売比率!AG21</f>
        <v>38</v>
      </c>
      <c r="BR34" s="241"/>
      <c r="BS34" s="245">
        <f>$H$34*月別販売比率!AL21</f>
        <v>34.199999999999996</v>
      </c>
      <c r="BT34" s="241">
        <v>60</v>
      </c>
      <c r="BU34" s="81">
        <f>$H$34*月別販売比率!AQ21</f>
        <v>38</v>
      </c>
      <c r="BV34" s="21"/>
      <c r="BW34" s="81">
        <f>$H$34*月別販売比率!AV21</f>
        <v>23.139862689816326</v>
      </c>
      <c r="BX34" s="21"/>
      <c r="BY34" s="81">
        <f>$H$34*月別販売比率!BA21</f>
        <v>21.136785867917968</v>
      </c>
      <c r="BZ34" s="21"/>
      <c r="CA34" s="81">
        <f>$H$34*月別販売比率!BF21</f>
        <v>30.400000000000002</v>
      </c>
      <c r="CB34" s="21"/>
      <c r="CC34" s="81">
        <f>H34*月別販売比率!$C$21</f>
        <v>26.928415424019278</v>
      </c>
      <c r="CD34" s="21"/>
      <c r="CE34" s="81">
        <f>H34*月別販売比率!$H$21</f>
        <v>26.6</v>
      </c>
      <c r="CF34" s="21"/>
      <c r="CG34" s="81">
        <f>$H$34*月別販売比率!M21</f>
        <v>38.404201866988522</v>
      </c>
      <c r="CH34" s="241">
        <v>97</v>
      </c>
      <c r="CI34" s="81">
        <f>H34*月別販売比率!$R$21</f>
        <v>30.400000000000002</v>
      </c>
      <c r="CJ34" s="21">
        <v>80</v>
      </c>
      <c r="CK34" s="41">
        <f>H34*月別販売比率!$W$21</f>
        <v>28.943353724807594</v>
      </c>
      <c r="CL34" s="21"/>
      <c r="CM34" s="81">
        <f>H34*月別販売比率!$AB$21</f>
        <v>45.6</v>
      </c>
      <c r="CN34" s="21"/>
      <c r="CO34" s="41">
        <f>H34*月別販売比率!$AG$21</f>
        <v>38</v>
      </c>
      <c r="CP34" s="21">
        <v>45</v>
      </c>
      <c r="CQ34" s="81">
        <f>H34*月別販売比率!$AL$21</f>
        <v>34.199999999999996</v>
      </c>
      <c r="CR34" s="21"/>
      <c r="CS34" s="41">
        <f>H34*月別販売比率!$AQ$21</f>
        <v>38</v>
      </c>
      <c r="CT34" s="21">
        <v>115</v>
      </c>
      <c r="CU34" s="81">
        <f>H34*月別販売比率!$AV$21</f>
        <v>23.139862689816326</v>
      </c>
      <c r="CV34" s="21"/>
      <c r="CW34" s="81">
        <f>H34*月別販売比率!$BA$21</f>
        <v>21.136785867917968</v>
      </c>
      <c r="CX34" s="21"/>
      <c r="CY34" s="81">
        <f>H34*月別販売比率!$BF$21</f>
        <v>30.400000000000002</v>
      </c>
      <c r="CZ34" s="21"/>
      <c r="DA34" s="28"/>
      <c r="DB34" s="294"/>
    </row>
    <row r="35" spans="2:106" ht="30.75" customHeight="1">
      <c r="C35" s="457"/>
      <c r="D35" s="441"/>
      <c r="E35" s="94" t="s">
        <v>51</v>
      </c>
      <c r="F35" s="57">
        <v>66</v>
      </c>
      <c r="G35" s="46">
        <f t="shared" si="49"/>
        <v>275880</v>
      </c>
      <c r="H35" s="164">
        <v>300</v>
      </c>
      <c r="I35" s="46">
        <f t="shared" si="50"/>
        <v>1254000</v>
      </c>
      <c r="J35" s="9">
        <v>47</v>
      </c>
      <c r="K35" s="21">
        <f t="shared" si="41"/>
        <v>24</v>
      </c>
      <c r="L35" s="21">
        <v>9</v>
      </c>
      <c r="M35" s="21">
        <v>15</v>
      </c>
      <c r="N35" s="386"/>
      <c r="O35" s="19"/>
      <c r="P35" s="288"/>
      <c r="Q35" s="331">
        <v>45654</v>
      </c>
      <c r="R35" s="124"/>
      <c r="S35" s="124"/>
      <c r="T35" s="124"/>
      <c r="U35" s="124"/>
      <c r="V35" s="124"/>
      <c r="W35" s="124"/>
      <c r="X35" s="124"/>
      <c r="Y35" s="124"/>
      <c r="Z35" s="124"/>
      <c r="AA35" s="124"/>
      <c r="AB35" s="124"/>
      <c r="AC35" s="124"/>
      <c r="AD35" s="124"/>
      <c r="AE35" s="124"/>
      <c r="AF35" s="328"/>
      <c r="AG35" s="331"/>
      <c r="AH35" s="331"/>
      <c r="AI35" s="129">
        <f t="shared" si="51"/>
        <v>117</v>
      </c>
      <c r="AJ35" s="129">
        <f t="shared" si="42"/>
        <v>94.149983901467692</v>
      </c>
      <c r="AK35" s="129">
        <f t="shared" si="43"/>
        <v>58.149983901467692</v>
      </c>
      <c r="AL35" s="399">
        <f t="shared" si="44"/>
        <v>58.149983901467692</v>
      </c>
      <c r="AM35" s="393">
        <f t="shared" si="45"/>
        <v>31.149983901467692</v>
      </c>
      <c r="AN35" s="393">
        <f t="shared" si="52"/>
        <v>91.149983901467692</v>
      </c>
      <c r="AO35" s="393">
        <f t="shared" si="46"/>
        <v>72.881671251612701</v>
      </c>
      <c r="AP35" s="96">
        <f t="shared" si="47"/>
        <v>56.194735040098521</v>
      </c>
      <c r="AQ35" s="91">
        <f t="shared" si="48"/>
        <v>32.194735040098521</v>
      </c>
      <c r="AR35" s="198"/>
      <c r="AS35" s="81">
        <f>$H$35*月別販売比率!AG5</f>
        <v>30</v>
      </c>
      <c r="AT35" s="21"/>
      <c r="AU35" s="81">
        <f>$H$35*月別販売比率!AL5</f>
        <v>27</v>
      </c>
      <c r="AV35" s="21"/>
      <c r="AW35" s="245">
        <f>$H$35*月別販売比率!AQ5</f>
        <v>30</v>
      </c>
      <c r="AX35" s="241">
        <v>90</v>
      </c>
      <c r="AY35" s="81">
        <f>$H$35*月別販売比率!AV5</f>
        <v>18.268312649854995</v>
      </c>
      <c r="AZ35" s="21"/>
      <c r="BA35" s="81">
        <f>$H$35*月別販売比率!BA5</f>
        <v>16.686936211514183</v>
      </c>
      <c r="BB35" s="21"/>
      <c r="BC35" s="81">
        <f>$H$35*月別販売比率!BF5</f>
        <v>24</v>
      </c>
      <c r="BD35" s="21"/>
      <c r="BE35" s="245">
        <f>$H$35*月別販売比率!C21</f>
        <v>21.259275334752061</v>
      </c>
      <c r="BF35" s="241">
        <v>20</v>
      </c>
      <c r="BG35" s="245">
        <f>$H$35*月別販売比率!H21</f>
        <v>21.000000000000004</v>
      </c>
      <c r="BH35" s="241"/>
      <c r="BI35" s="245">
        <f>$H$35*月別販売比率!M21</f>
        <v>30.319106737096199</v>
      </c>
      <c r="BJ35" s="241">
        <v>40</v>
      </c>
      <c r="BK35" s="81">
        <f>$H$35*月別販売比率!R21</f>
        <v>24</v>
      </c>
      <c r="BL35" s="21"/>
      <c r="BM35" s="81">
        <f>$H$35*月別販売比率!W21</f>
        <v>22.850016098532308</v>
      </c>
      <c r="BN35" s="21"/>
      <c r="BO35" s="245">
        <f>$H$35*月別販売比率!AB21</f>
        <v>36</v>
      </c>
      <c r="BP35" s="241">
        <v>70</v>
      </c>
      <c r="BQ35" s="245">
        <f>$H$35*月別販売比率!AG21</f>
        <v>30</v>
      </c>
      <c r="BR35" s="241"/>
      <c r="BS35" s="245">
        <f>$H$35*月別販売比率!AL21</f>
        <v>27</v>
      </c>
      <c r="BT35" s="241">
        <v>60</v>
      </c>
      <c r="BU35" s="81">
        <f>$H$35*月別販売比率!AQ21</f>
        <v>30</v>
      </c>
      <c r="BV35" s="21"/>
      <c r="BW35" s="81">
        <f>$H$35*月別販売比率!AV21</f>
        <v>18.268312649854995</v>
      </c>
      <c r="BX35" s="21"/>
      <c r="BY35" s="81">
        <f>$H$35*月別販売比率!BA21</f>
        <v>16.686936211514183</v>
      </c>
      <c r="BZ35" s="21"/>
      <c r="CA35" s="81">
        <f>$H$35*月別販売比率!BF21</f>
        <v>24</v>
      </c>
      <c r="CB35" s="21"/>
      <c r="CC35" s="81">
        <f>H35*月別販売比率!$C$21</f>
        <v>21.259275334752061</v>
      </c>
      <c r="CD35" s="21"/>
      <c r="CE35" s="81">
        <f>H35*月別販売比率!$H$21</f>
        <v>21.000000000000004</v>
      </c>
      <c r="CF35" s="21"/>
      <c r="CG35" s="81">
        <f>$H$35*月別販売比率!M21</f>
        <v>30.319106737096199</v>
      </c>
      <c r="CH35" s="241">
        <v>77</v>
      </c>
      <c r="CI35" s="81">
        <f>H35*月別販売比率!$R$21</f>
        <v>24</v>
      </c>
      <c r="CJ35" s="21">
        <v>70</v>
      </c>
      <c r="CK35" s="41">
        <f>H35*月別販売比率!$W$21</f>
        <v>22.850016098532308</v>
      </c>
      <c r="CL35" s="21"/>
      <c r="CM35" s="81">
        <f>H35*月別販売比率!$AB$21</f>
        <v>36</v>
      </c>
      <c r="CN35" s="21"/>
      <c r="CO35" s="41">
        <f>H35*月別販売比率!$AG$21</f>
        <v>30</v>
      </c>
      <c r="CP35" s="21">
        <v>30</v>
      </c>
      <c r="CQ35" s="81">
        <f>H35*月別販売比率!$AL$21</f>
        <v>27</v>
      </c>
      <c r="CR35" s="21"/>
      <c r="CS35" s="41">
        <f>H35*月別販売比率!$AQ$21</f>
        <v>30</v>
      </c>
      <c r="CT35" s="21">
        <v>90</v>
      </c>
      <c r="CU35" s="81">
        <f>H35*月別販売比率!$AV$21</f>
        <v>18.268312649854995</v>
      </c>
      <c r="CV35" s="21"/>
      <c r="CW35" s="81">
        <f>H35*月別販売比率!$BA$21</f>
        <v>16.686936211514183</v>
      </c>
      <c r="CX35" s="21"/>
      <c r="CY35" s="81">
        <f>H35*月別販売比率!$BF$21</f>
        <v>24</v>
      </c>
      <c r="CZ35" s="21"/>
      <c r="DA35" s="28"/>
      <c r="DB35" s="294"/>
    </row>
    <row r="36" spans="2:106" ht="30.75" customHeight="1">
      <c r="C36" s="457"/>
      <c r="D36" s="441"/>
      <c r="E36" s="94" t="s">
        <v>49</v>
      </c>
      <c r="F36" s="57">
        <v>37</v>
      </c>
      <c r="G36" s="46">
        <f t="shared" si="49"/>
        <v>154660</v>
      </c>
      <c r="H36" s="164">
        <v>130</v>
      </c>
      <c r="I36" s="46">
        <f t="shared" si="50"/>
        <v>543400</v>
      </c>
      <c r="J36" s="9">
        <v>6</v>
      </c>
      <c r="K36" s="21">
        <f t="shared" si="41"/>
        <v>29</v>
      </c>
      <c r="L36" s="21">
        <v>10</v>
      </c>
      <c r="M36" s="21">
        <v>19</v>
      </c>
      <c r="N36" s="386"/>
      <c r="O36" s="288"/>
      <c r="P36" s="288"/>
      <c r="Q36" s="331">
        <v>45654</v>
      </c>
      <c r="R36" s="124"/>
      <c r="S36" s="124"/>
      <c r="T36" s="124"/>
      <c r="U36" s="124"/>
      <c r="V36" s="124"/>
      <c r="W36" s="124"/>
      <c r="X36" s="124"/>
      <c r="Y36" s="328"/>
      <c r="Z36" s="124"/>
      <c r="AA36" s="124"/>
      <c r="AB36" s="330"/>
      <c r="AC36" s="331"/>
      <c r="AD36" s="124"/>
      <c r="AE36" s="328"/>
      <c r="AF36" s="328"/>
      <c r="AG36" s="331"/>
      <c r="AH36" s="331"/>
      <c r="AI36" s="129">
        <f t="shared" si="51"/>
        <v>54.6</v>
      </c>
      <c r="AJ36" s="129">
        <f t="shared" si="42"/>
        <v>44.698326357302669</v>
      </c>
      <c r="AK36" s="129">
        <f t="shared" si="43"/>
        <v>29.098326357302668</v>
      </c>
      <c r="AL36" s="399">
        <f t="shared" si="44"/>
        <v>31.098326357302668</v>
      </c>
      <c r="AM36" s="393">
        <f t="shared" si="45"/>
        <v>19.398326357302668</v>
      </c>
      <c r="AN36" s="393">
        <f t="shared" si="52"/>
        <v>41.398326357302665</v>
      </c>
      <c r="AO36" s="393">
        <f t="shared" si="46"/>
        <v>33.482057542365503</v>
      </c>
      <c r="AP36" s="96">
        <f t="shared" si="47"/>
        <v>26.251051850709356</v>
      </c>
      <c r="AQ36" s="91">
        <f t="shared" si="48"/>
        <v>15.851051850709355</v>
      </c>
      <c r="AR36" s="198"/>
      <c r="AS36" s="81">
        <f>$H$36*月別販売比率!AG5</f>
        <v>13</v>
      </c>
      <c r="AT36" s="21"/>
      <c r="AU36" s="81">
        <f>$H$36*月別販売比率!AL5</f>
        <v>11.7</v>
      </c>
      <c r="AV36" s="21"/>
      <c r="AW36" s="245">
        <f>$H$36*月別販売比率!AQ5</f>
        <v>13</v>
      </c>
      <c r="AX36" s="241">
        <v>70</v>
      </c>
      <c r="AY36" s="81">
        <f>$H$36*月別販売比率!AV5</f>
        <v>7.9162688149371636</v>
      </c>
      <c r="AZ36" s="21"/>
      <c r="BA36" s="81">
        <f>$H$36*月別販売比率!BA5</f>
        <v>7.2310056916561471</v>
      </c>
      <c r="BB36" s="21"/>
      <c r="BC36" s="81">
        <f>$H$36*月別販売比率!BF5</f>
        <v>10.4</v>
      </c>
      <c r="BD36" s="21"/>
      <c r="BE36" s="245">
        <f>$H$36*月別販売比率!C21</f>
        <v>9.2123526450592266</v>
      </c>
      <c r="BF36" s="241">
        <v>0</v>
      </c>
      <c r="BG36" s="245">
        <f>$H$36*月別販売比率!H21</f>
        <v>9.1000000000000014</v>
      </c>
      <c r="BH36" s="241"/>
      <c r="BI36" s="245">
        <f>$H$36*月別販売比率!M21</f>
        <v>13.13827958607502</v>
      </c>
      <c r="BJ36" s="241">
        <v>0</v>
      </c>
      <c r="BK36" s="81">
        <f>$H$36*月別販売比率!R21</f>
        <v>10.4</v>
      </c>
      <c r="BL36" s="21"/>
      <c r="BM36" s="81">
        <f>$H$36*月別販売比率!W21</f>
        <v>9.9016736426973342</v>
      </c>
      <c r="BN36" s="21"/>
      <c r="BO36" s="245">
        <f>$H$36*月別販売比率!AB21</f>
        <v>15.6</v>
      </c>
      <c r="BP36" s="241">
        <v>40</v>
      </c>
      <c r="BQ36" s="245">
        <f>$H$36*月別販売比率!AG21</f>
        <v>13</v>
      </c>
      <c r="BR36" s="241"/>
      <c r="BS36" s="245">
        <f>$H$36*月別販売比率!AL21</f>
        <v>11.7</v>
      </c>
      <c r="BT36" s="241">
        <v>30</v>
      </c>
      <c r="BU36" s="81">
        <f>$H$36*月別販売比率!AQ21</f>
        <v>13</v>
      </c>
      <c r="BV36" s="21"/>
      <c r="BW36" s="81">
        <f>$H$36*月別販売比率!AV21</f>
        <v>7.9162688149371636</v>
      </c>
      <c r="BX36" s="21"/>
      <c r="BY36" s="81">
        <f>$H$36*月別販売比率!BA21</f>
        <v>7.2310056916561471</v>
      </c>
      <c r="BZ36" s="21"/>
      <c r="CA36" s="81">
        <f>$H$36*月別販売比率!BF21</f>
        <v>10.4</v>
      </c>
      <c r="CB36" s="21"/>
      <c r="CC36" s="81">
        <f>H36*月別販売比率!$C$21</f>
        <v>9.2123526450592266</v>
      </c>
      <c r="CD36" s="21"/>
      <c r="CE36" s="81">
        <f>H36*月別販売比率!$H$21</f>
        <v>9.1000000000000014</v>
      </c>
      <c r="CF36" s="21"/>
      <c r="CG36" s="81">
        <f>$H$36*月別販売比率!M21</f>
        <v>13.13827958607502</v>
      </c>
      <c r="CH36" s="241">
        <v>37</v>
      </c>
      <c r="CI36" s="81">
        <f>H36*月別販売比率!$R$21</f>
        <v>10.4</v>
      </c>
      <c r="CJ36" s="21">
        <v>30</v>
      </c>
      <c r="CK36" s="41">
        <f>H36*月別販売比率!$W$21</f>
        <v>9.9016736426973342</v>
      </c>
      <c r="CL36" s="21"/>
      <c r="CM36" s="81">
        <f>H36*月別販売比率!$AB$21</f>
        <v>15.6</v>
      </c>
      <c r="CN36" s="21"/>
      <c r="CO36" s="41">
        <f>H36*月別販売比率!$AG$21</f>
        <v>13</v>
      </c>
      <c r="CP36" s="21">
        <v>15</v>
      </c>
      <c r="CQ36" s="81">
        <f>H36*月別販売比率!$AL$21</f>
        <v>11.7</v>
      </c>
      <c r="CR36" s="21"/>
      <c r="CS36" s="41">
        <f>H36*月別販売比率!$AQ$21</f>
        <v>13</v>
      </c>
      <c r="CT36" s="21">
        <v>35</v>
      </c>
      <c r="CU36" s="81">
        <f>H36*月別販売比率!$AV$21</f>
        <v>7.9162688149371636</v>
      </c>
      <c r="CV36" s="21"/>
      <c r="CW36" s="81">
        <f>H36*月別販売比率!$BA$21</f>
        <v>7.2310056916561471</v>
      </c>
      <c r="CX36" s="21"/>
      <c r="CY36" s="81">
        <f>H36*月別販売比率!$BF$21</f>
        <v>10.4</v>
      </c>
      <c r="CZ36" s="21"/>
      <c r="DA36" s="28"/>
      <c r="DB36" s="294"/>
    </row>
    <row r="37" spans="2:106" ht="30.75" customHeight="1">
      <c r="C37" s="458"/>
      <c r="D37" s="444"/>
      <c r="E37" s="101" t="s">
        <v>50</v>
      </c>
      <c r="F37" s="58">
        <v>23</v>
      </c>
      <c r="G37" s="53">
        <f t="shared" si="49"/>
        <v>96140</v>
      </c>
      <c r="H37" s="392">
        <v>100</v>
      </c>
      <c r="I37" s="53">
        <f t="shared" si="50"/>
        <v>418000</v>
      </c>
      <c r="J37" s="113">
        <v>0</v>
      </c>
      <c r="K37" s="104">
        <f t="shared" si="41"/>
        <v>26</v>
      </c>
      <c r="L37" s="104">
        <v>5</v>
      </c>
      <c r="M37" s="104">
        <v>21</v>
      </c>
      <c r="N37" s="387"/>
      <c r="O37" s="290"/>
      <c r="P37" s="290"/>
      <c r="Q37" s="334"/>
      <c r="R37" s="329"/>
      <c r="S37" s="329"/>
      <c r="T37" s="329"/>
      <c r="U37" s="329"/>
      <c r="V37" s="334">
        <v>45786</v>
      </c>
      <c r="W37" s="238"/>
      <c r="X37" s="238"/>
      <c r="Y37" s="238"/>
      <c r="Z37" s="238"/>
      <c r="AA37" s="238"/>
      <c r="AB37" s="238"/>
      <c r="AC37" s="238"/>
      <c r="AD37" s="238"/>
      <c r="AE37" s="238"/>
      <c r="AF37" s="328"/>
      <c r="AG37" s="331"/>
      <c r="AH37" s="331"/>
      <c r="AI37" s="238">
        <f t="shared" si="51"/>
        <v>48</v>
      </c>
      <c r="AJ37" s="238">
        <f t="shared" si="42"/>
        <v>40.3833279671559</v>
      </c>
      <c r="AK37" s="238">
        <f t="shared" si="43"/>
        <v>28.3833279671559</v>
      </c>
      <c r="AL37" s="401">
        <f t="shared" si="44"/>
        <v>28.3833279671559</v>
      </c>
      <c r="AM37" s="395">
        <f t="shared" si="45"/>
        <v>19.3833279671559</v>
      </c>
      <c r="AN37" s="395">
        <f t="shared" si="52"/>
        <v>29.3833279671559</v>
      </c>
      <c r="AO37" s="395">
        <f t="shared" si="46"/>
        <v>23.293890417204235</v>
      </c>
      <c r="AP37" s="403">
        <f t="shared" si="47"/>
        <v>17.731578346699507</v>
      </c>
      <c r="AQ37" s="90">
        <f t="shared" si="48"/>
        <v>9.7315783466995072</v>
      </c>
      <c r="AR37" s="238"/>
      <c r="AS37" s="282">
        <f>$H$37*月別販売比率!AG5</f>
        <v>10</v>
      </c>
      <c r="AT37" s="104"/>
      <c r="AU37" s="282">
        <f>$H$37*月別販売比率!AL5</f>
        <v>9</v>
      </c>
      <c r="AV37" s="104"/>
      <c r="AW37" s="301">
        <f>$H$37*月別販売比率!AQ5</f>
        <v>10</v>
      </c>
      <c r="AX37" s="339"/>
      <c r="AY37" s="282">
        <f>$H$37*月別販売比率!AV5</f>
        <v>6.089437549951664</v>
      </c>
      <c r="AZ37" s="104"/>
      <c r="BA37" s="282">
        <f>$H$37*月別販売比率!BA5</f>
        <v>5.5623120705047286</v>
      </c>
      <c r="BB37" s="104"/>
      <c r="BC37" s="282">
        <f>$H$37*月別販売比率!BF5</f>
        <v>8</v>
      </c>
      <c r="BD37" s="104"/>
      <c r="BE37" s="301">
        <f>$H$37*月別販売比率!C21</f>
        <v>7.0864251115840204</v>
      </c>
      <c r="BF37" s="339">
        <v>24</v>
      </c>
      <c r="BG37" s="301">
        <f>$H$37*月別販売比率!H21</f>
        <v>7.0000000000000009</v>
      </c>
      <c r="BH37" s="339">
        <v>1</v>
      </c>
      <c r="BI37" s="301">
        <f>$H$37*月別販売比率!M21</f>
        <v>10.106368912365401</v>
      </c>
      <c r="BJ37" s="339">
        <v>10</v>
      </c>
      <c r="BK37" s="282">
        <f>$H$37*月別販売比率!R21</f>
        <v>8</v>
      </c>
      <c r="BL37" s="104"/>
      <c r="BM37" s="282">
        <f>$H$37*月別販売比率!W21</f>
        <v>7.6166720328441029</v>
      </c>
      <c r="BN37" s="104"/>
      <c r="BO37" s="301">
        <f>$H$37*月別販売比率!AB21</f>
        <v>12</v>
      </c>
      <c r="BP37" s="339">
        <v>20</v>
      </c>
      <c r="BQ37" s="301">
        <f>$H$37*月別販売比率!AG21</f>
        <v>10</v>
      </c>
      <c r="BR37" s="339"/>
      <c r="BS37" s="301">
        <f>$H$37*月別販売比率!AL21</f>
        <v>9</v>
      </c>
      <c r="BT37" s="339">
        <v>30</v>
      </c>
      <c r="BU37" s="282">
        <f>$H$37*月別販売比率!AQ21</f>
        <v>10</v>
      </c>
      <c r="BV37" s="104"/>
      <c r="BW37" s="282">
        <f>$H$37*月別販売比率!AV21</f>
        <v>6.089437549951664</v>
      </c>
      <c r="BX37" s="104"/>
      <c r="BY37" s="282">
        <f>$H$37*月別販売比率!BA21</f>
        <v>5.5623120705047286</v>
      </c>
      <c r="BZ37" s="104"/>
      <c r="CA37" s="282">
        <f>$H$37*月別販売比率!BF21</f>
        <v>8</v>
      </c>
      <c r="CB37" s="104"/>
      <c r="CC37" s="282">
        <f>H37*月別販売比率!$C$21</f>
        <v>7.0864251115840204</v>
      </c>
      <c r="CD37" s="104"/>
      <c r="CE37" s="282">
        <f>H37*月別販売比率!$H$21</f>
        <v>7.0000000000000009</v>
      </c>
      <c r="CF37" s="104"/>
      <c r="CG37" s="282">
        <f>$H$37*月別販売比率!M21</f>
        <v>10.106368912365401</v>
      </c>
      <c r="CH37" s="339">
        <v>27</v>
      </c>
      <c r="CI37" s="282">
        <f>H37*月別販売比率!$R$21</f>
        <v>8</v>
      </c>
      <c r="CJ37" s="104">
        <v>30</v>
      </c>
      <c r="CK37" s="282">
        <f>H37*月別販売比率!$W$21</f>
        <v>7.6166720328441029</v>
      </c>
      <c r="CL37" s="104"/>
      <c r="CM37" s="282">
        <f>H37*月別販売比率!$AB$21</f>
        <v>12</v>
      </c>
      <c r="CN37" s="104"/>
      <c r="CO37" s="41">
        <f>H37*月別販売比率!$AG$21</f>
        <v>10</v>
      </c>
      <c r="CP37" s="104">
        <v>10</v>
      </c>
      <c r="CQ37" s="282">
        <f>H37*月別販売比率!$AL$21</f>
        <v>9</v>
      </c>
      <c r="CR37" s="104"/>
      <c r="CS37" s="41">
        <f>H37*月別販売比率!$AQ$21</f>
        <v>10</v>
      </c>
      <c r="CT37" s="104">
        <v>20</v>
      </c>
      <c r="CU37" s="282">
        <f>H37*月別販売比率!$AV$21</f>
        <v>6.089437549951664</v>
      </c>
      <c r="CV37" s="104"/>
      <c r="CW37" s="282">
        <f>H37*月別販売比率!$BA$21</f>
        <v>5.5623120705047286</v>
      </c>
      <c r="CX37" s="104"/>
      <c r="CY37" s="282">
        <f>H37*月別販売比率!$BF$21</f>
        <v>8</v>
      </c>
      <c r="CZ37" s="104"/>
      <c r="DA37" s="296"/>
      <c r="DB37" s="297"/>
    </row>
    <row r="38" spans="2:106" ht="30.75" customHeight="1">
      <c r="B38" s="2">
        <v>3</v>
      </c>
      <c r="C38" s="471" t="s">
        <v>5</v>
      </c>
      <c r="D38" s="472"/>
      <c r="E38" s="437"/>
      <c r="F38" s="130">
        <f>SUM(F39:F48)</f>
        <v>691</v>
      </c>
      <c r="G38" s="131">
        <f>SUM(G39:G48)</f>
        <v>2508330</v>
      </c>
      <c r="H38" s="130">
        <v>1970</v>
      </c>
      <c r="I38" s="131">
        <f t="shared" ref="I38:N38" si="54">SUM(I39:I48)</f>
        <v>7613544.1389290877</v>
      </c>
      <c r="J38" s="133">
        <f t="shared" si="54"/>
        <v>178</v>
      </c>
      <c r="K38" s="134">
        <f t="shared" si="54"/>
        <v>508</v>
      </c>
      <c r="L38" s="134">
        <f t="shared" si="54"/>
        <v>50</v>
      </c>
      <c r="M38" s="134">
        <f t="shared" si="54"/>
        <v>114</v>
      </c>
      <c r="N38" s="135">
        <f t="shared" si="54"/>
        <v>344</v>
      </c>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6">
        <f t="shared" ref="AS38:CB38" si="55">SUM(AS39:AS48)</f>
        <v>209.739507959479</v>
      </c>
      <c r="AT38" s="134">
        <f t="shared" si="55"/>
        <v>416</v>
      </c>
      <c r="AU38" s="136">
        <f t="shared" si="55"/>
        <v>188.76555716353107</v>
      </c>
      <c r="AV38" s="134">
        <f t="shared" si="55"/>
        <v>0</v>
      </c>
      <c r="AW38" s="136">
        <f t="shared" si="55"/>
        <v>209.739507959479</v>
      </c>
      <c r="AX38" s="134">
        <f t="shared" si="55"/>
        <v>0</v>
      </c>
      <c r="AY38" s="136">
        <f t="shared" si="55"/>
        <v>127.71956354768373</v>
      </c>
      <c r="AZ38" s="134">
        <f t="shared" si="55"/>
        <v>311</v>
      </c>
      <c r="BA38" s="136">
        <f t="shared" si="55"/>
        <v>116.66365967847325</v>
      </c>
      <c r="BB38" s="134">
        <f t="shared" si="55"/>
        <v>0</v>
      </c>
      <c r="BC38" s="136">
        <f t="shared" si="55"/>
        <v>167.7916063675832</v>
      </c>
      <c r="BD38" s="134">
        <f t="shared" si="55"/>
        <v>224</v>
      </c>
      <c r="BE38" s="136">
        <f t="shared" si="55"/>
        <v>148.63033160953287</v>
      </c>
      <c r="BF38" s="134">
        <f t="shared" si="55"/>
        <v>0</v>
      </c>
      <c r="BG38" s="136">
        <f t="shared" si="55"/>
        <v>146.81765557163536</v>
      </c>
      <c r="BH38" s="134">
        <f t="shared" si="55"/>
        <v>538</v>
      </c>
      <c r="BI38" s="136">
        <f>SUM(BI39:BI48)</f>
        <v>211.97048429364941</v>
      </c>
      <c r="BJ38" s="134">
        <f t="shared" ref="BJ38" si="56">SUM(BJ39:BJ48)</f>
        <v>0</v>
      </c>
      <c r="BK38" s="136">
        <f t="shared" si="55"/>
        <v>167.7916063675832</v>
      </c>
      <c r="BL38" s="134">
        <f t="shared" si="55"/>
        <v>465</v>
      </c>
      <c r="BM38" s="136">
        <f t="shared" si="55"/>
        <v>159.75170444574468</v>
      </c>
      <c r="BN38" s="134">
        <f>SUM(BN39:BN48)</f>
        <v>346</v>
      </c>
      <c r="BO38" s="136">
        <f t="shared" si="55"/>
        <v>251.6874095513748</v>
      </c>
      <c r="BP38" s="134">
        <f t="shared" si="55"/>
        <v>0</v>
      </c>
      <c r="BQ38" s="136">
        <f t="shared" si="55"/>
        <v>209.739507959479</v>
      </c>
      <c r="BR38" s="134">
        <f t="shared" si="55"/>
        <v>0</v>
      </c>
      <c r="BS38" s="136">
        <f t="shared" si="55"/>
        <v>188.76555716353107</v>
      </c>
      <c r="BT38" s="134">
        <f t="shared" si="55"/>
        <v>0</v>
      </c>
      <c r="BU38" s="136">
        <f t="shared" si="55"/>
        <v>209.739507959479</v>
      </c>
      <c r="BV38" s="134">
        <f t="shared" si="55"/>
        <v>417</v>
      </c>
      <c r="BW38" s="136">
        <f t="shared" si="55"/>
        <v>127.71956354768373</v>
      </c>
      <c r="BX38" s="134">
        <f t="shared" si="55"/>
        <v>0</v>
      </c>
      <c r="BY38" s="136">
        <f t="shared" si="55"/>
        <v>116.66365967847325</v>
      </c>
      <c r="BZ38" s="134">
        <f t="shared" si="55"/>
        <v>0</v>
      </c>
      <c r="CA38" s="136">
        <f t="shared" si="55"/>
        <v>167.7916063675832</v>
      </c>
      <c r="CB38" s="134">
        <f t="shared" si="55"/>
        <v>0</v>
      </c>
      <c r="CC38" s="136">
        <f t="shared" ref="CC38:CD38" si="57">SUM(CC39:CC48)</f>
        <v>148.63033160953287</v>
      </c>
      <c r="CD38" s="134">
        <f t="shared" si="57"/>
        <v>110</v>
      </c>
      <c r="CE38" s="136">
        <f t="shared" ref="CE38:CF38" si="58">SUM(CE39:CE48)</f>
        <v>146.81765557163536</v>
      </c>
      <c r="CF38" s="134">
        <f t="shared" si="58"/>
        <v>0</v>
      </c>
      <c r="CG38" s="136">
        <f t="shared" ref="CG38:CJ38" si="59">SUM(CG39:CG48)</f>
        <v>211.97048429364941</v>
      </c>
      <c r="CH38" s="134">
        <f t="shared" si="59"/>
        <v>0</v>
      </c>
      <c r="CI38" s="136">
        <f t="shared" si="59"/>
        <v>167.7916063675832</v>
      </c>
      <c r="CJ38" s="134">
        <f t="shared" si="59"/>
        <v>289</v>
      </c>
      <c r="CK38" s="136">
        <f t="shared" ref="CK38:CN38" si="60">SUM(CK39:CK48)</f>
        <v>159.75170444574468</v>
      </c>
      <c r="CL38" s="134">
        <f t="shared" si="60"/>
        <v>0</v>
      </c>
      <c r="CM38" s="136">
        <f t="shared" si="60"/>
        <v>251.6874095513748</v>
      </c>
      <c r="CN38" s="134">
        <f t="shared" si="60"/>
        <v>0</v>
      </c>
      <c r="CO38" s="136">
        <f t="shared" ref="CO38:CR38" si="61">SUM(CO39:CO48)</f>
        <v>209.739507959479</v>
      </c>
      <c r="CP38" s="134">
        <f t="shared" si="61"/>
        <v>0</v>
      </c>
      <c r="CQ38" s="136">
        <f t="shared" si="61"/>
        <v>188.76555716353107</v>
      </c>
      <c r="CR38" s="134">
        <f t="shared" si="61"/>
        <v>610</v>
      </c>
      <c r="CS38" s="136">
        <f t="shared" ref="CS38:CX38" si="62">SUM(CS39:CS48)</f>
        <v>209.739507959479</v>
      </c>
      <c r="CT38" s="134">
        <f t="shared" si="62"/>
        <v>0</v>
      </c>
      <c r="CU38" s="136">
        <v>127.71956354768373</v>
      </c>
      <c r="CV38" s="134">
        <f t="shared" si="62"/>
        <v>0</v>
      </c>
      <c r="CW38" s="136">
        <f t="shared" si="62"/>
        <v>116.66365967847325</v>
      </c>
      <c r="CX38" s="134">
        <f t="shared" si="62"/>
        <v>0</v>
      </c>
      <c r="CY38" s="136">
        <f t="shared" ref="CY38:CZ38" si="63">SUM(CY39:CY48)</f>
        <v>167.7916063675832</v>
      </c>
      <c r="CZ38" s="134">
        <f t="shared" si="63"/>
        <v>0</v>
      </c>
      <c r="DA38" s="141"/>
      <c r="DB38" s="293"/>
    </row>
    <row r="39" spans="2:106" ht="30.75" customHeight="1">
      <c r="C39" s="446" t="s">
        <v>477</v>
      </c>
      <c r="D39" s="443">
        <v>1</v>
      </c>
      <c r="E39" s="99" t="s">
        <v>46</v>
      </c>
      <c r="F39" s="56">
        <v>60</v>
      </c>
      <c r="G39" s="46">
        <f>F39*3630</f>
        <v>217800</v>
      </c>
      <c r="H39" s="164">
        <v>250</v>
      </c>
      <c r="I39" s="46">
        <f>H39*3630</f>
        <v>907500</v>
      </c>
      <c r="J39" s="49">
        <v>0</v>
      </c>
      <c r="K39" s="39">
        <f t="shared" ref="K39:K48" si="64">SUM(L39:N39)</f>
        <v>13</v>
      </c>
      <c r="L39" s="39">
        <v>0</v>
      </c>
      <c r="M39" s="39">
        <v>13</v>
      </c>
      <c r="N39" s="42"/>
      <c r="O39" s="289">
        <v>45594</v>
      </c>
      <c r="P39" s="19"/>
      <c r="Q39" s="124"/>
      <c r="R39" s="331">
        <v>45687</v>
      </c>
      <c r="S39" s="124"/>
      <c r="T39" s="124"/>
      <c r="U39" s="124"/>
      <c r="V39" s="124"/>
      <c r="W39" s="124"/>
      <c r="X39" s="328"/>
      <c r="Y39" s="328"/>
      <c r="Z39" s="124"/>
      <c r="AA39" s="124"/>
      <c r="AB39" s="124"/>
      <c r="AC39" s="124"/>
      <c r="AD39" s="124"/>
      <c r="AE39" s="124"/>
      <c r="AF39" s="124"/>
      <c r="AG39" s="124"/>
      <c r="AH39" s="124"/>
      <c r="AI39" s="129">
        <f>SUM(J39:K39)-CI39+CJ39</f>
        <v>0</v>
      </c>
      <c r="AJ39" s="129">
        <f t="shared" ref="AJ39:AJ48" si="65">AI39-CK39+CL39</f>
        <v>-19.041680082110258</v>
      </c>
      <c r="AK39" s="129">
        <f t="shared" ref="AK39:AK48" si="66">AJ39-CM39+CN39</f>
        <v>-49.041680082110261</v>
      </c>
      <c r="AL39" s="399">
        <f t="shared" ref="AL39:AL48" si="67">AK39-CO39+CP39</f>
        <v>-74.041680082110261</v>
      </c>
      <c r="AM39" s="393">
        <f>0-CQ39+CR39</f>
        <v>77.5</v>
      </c>
      <c r="AN39" s="393">
        <f t="shared" ref="AN39:AN48" si="68">AM39-CS39+CT39</f>
        <v>52.5</v>
      </c>
      <c r="AO39" s="393">
        <f t="shared" ref="AO39:AO48" si="69">AN39-CU39+CV39</f>
        <v>37.276406125120843</v>
      </c>
      <c r="AP39" s="96">
        <f t="shared" ref="AP39:AP48" si="70">AO39-CW39+CX39</f>
        <v>23.370625948859022</v>
      </c>
      <c r="AQ39" s="91">
        <f t="shared" ref="AQ39:AQ48" si="71">AP39-CY39+CZ39</f>
        <v>3.370625948859022</v>
      </c>
      <c r="AR39" s="198"/>
      <c r="AS39" s="245">
        <f>$H$39*月別販売比率!AG5</f>
        <v>25</v>
      </c>
      <c r="AT39" s="280">
        <v>30</v>
      </c>
      <c r="AU39" s="81">
        <f>$H$39*月別販売比率!AL5</f>
        <v>22.5</v>
      </c>
      <c r="AV39" s="39"/>
      <c r="AW39" s="81">
        <f>$H$39*月別販売比率!AQ5</f>
        <v>25</v>
      </c>
      <c r="AX39" s="39"/>
      <c r="AY39" s="245">
        <f>$H$39*月別販売比率!AV5</f>
        <v>15.22359387487916</v>
      </c>
      <c r="AZ39" s="280">
        <v>40</v>
      </c>
      <c r="BA39" s="81">
        <f>$H$39*月別販売比率!BA5</f>
        <v>13.905780176261821</v>
      </c>
      <c r="BB39" s="39"/>
      <c r="BC39" s="245">
        <f>$H$39*月別販売比率!BF5</f>
        <v>20</v>
      </c>
      <c r="BD39" s="280">
        <v>3</v>
      </c>
      <c r="BE39" s="81">
        <f>$H$39*月別販売比率!C21</f>
        <v>17.716062778960051</v>
      </c>
      <c r="BF39" s="39"/>
      <c r="BG39" s="245">
        <f>$H$39*月別販売比率!H21</f>
        <v>17.5</v>
      </c>
      <c r="BH39" s="280">
        <v>50</v>
      </c>
      <c r="BI39" s="81">
        <f>$H$39*月別販売比率!M21</f>
        <v>25.2659222809135</v>
      </c>
      <c r="BJ39" s="39"/>
      <c r="BK39" s="245">
        <f>$H$39*月別販売比率!R21</f>
        <v>20</v>
      </c>
      <c r="BL39" s="280">
        <v>40</v>
      </c>
      <c r="BM39" s="245">
        <f>$H$39*月別販売比率!W21</f>
        <v>19.041680082110258</v>
      </c>
      <c r="BN39" s="280">
        <v>28</v>
      </c>
      <c r="BO39" s="81">
        <f>$H$39*月別販売比率!AB21</f>
        <v>30</v>
      </c>
      <c r="BP39" s="39"/>
      <c r="BQ39" s="81">
        <f>$H$39*月別販売比率!AG21</f>
        <v>25</v>
      </c>
      <c r="BR39" s="39"/>
      <c r="BS39" s="81">
        <f>$H$39*月別販売比率!AL21</f>
        <v>22.5</v>
      </c>
      <c r="BT39" s="39"/>
      <c r="BU39" s="245">
        <f>$H$39*月別販売比率!AQ21</f>
        <v>25</v>
      </c>
      <c r="BV39" s="280">
        <v>69</v>
      </c>
      <c r="BW39" s="81">
        <f>$H$39*月別販売比率!AV21</f>
        <v>15.22359387487916</v>
      </c>
      <c r="BX39" s="39"/>
      <c r="BY39" s="81">
        <f>$H$39*月別販売比率!BA21</f>
        <v>13.905780176261821</v>
      </c>
      <c r="BZ39" s="39"/>
      <c r="CA39" s="81">
        <f>$H$39*月別販売比率!BF21</f>
        <v>20</v>
      </c>
      <c r="CB39" s="39"/>
      <c r="CC39" s="245">
        <f>H39*月別販売比率!$C$21</f>
        <v>17.716062778960051</v>
      </c>
      <c r="CD39" s="280">
        <v>10</v>
      </c>
      <c r="CE39" s="81">
        <f>H39*月別販売比率!$H$21</f>
        <v>17.5</v>
      </c>
      <c r="CF39" s="39"/>
      <c r="CG39" s="81">
        <f>H39*月別販売比率!$M$21</f>
        <v>25.2659222809135</v>
      </c>
      <c r="CH39" s="39"/>
      <c r="CI39" s="81">
        <f>H39*月別販売比率!$R$21</f>
        <v>20</v>
      </c>
      <c r="CJ39" s="39">
        <v>7</v>
      </c>
      <c r="CK39" s="81">
        <f>H39*月別販売比率!$W$21</f>
        <v>19.041680082110258</v>
      </c>
      <c r="CL39" s="39"/>
      <c r="CM39" s="81">
        <f>H39*月別販売比率!$AB$21</f>
        <v>30</v>
      </c>
      <c r="CN39" s="39"/>
      <c r="CO39" s="81">
        <f>H39*月別販売比率!$AG$21</f>
        <v>25</v>
      </c>
      <c r="CP39" s="39"/>
      <c r="CQ39" s="81">
        <f>H39*月別販売比率!$AL$21</f>
        <v>22.5</v>
      </c>
      <c r="CR39" s="39">
        <v>100</v>
      </c>
      <c r="CS39" s="81">
        <f>H39*月別販売比率!$AQ$21</f>
        <v>25</v>
      </c>
      <c r="CT39" s="39"/>
      <c r="CU39" s="81">
        <f>H39*月別販売比率!$AV$21</f>
        <v>15.22359387487916</v>
      </c>
      <c r="CV39" s="39"/>
      <c r="CW39" s="81">
        <f>H39*月別販売比率!$BA$21</f>
        <v>13.905780176261821</v>
      </c>
      <c r="CX39" s="39"/>
      <c r="CY39" s="81">
        <f>H39*月別販売比率!$BF$21</f>
        <v>20</v>
      </c>
      <c r="CZ39" s="39"/>
      <c r="DA39" s="28"/>
      <c r="DB39" s="294"/>
    </row>
    <row r="40" spans="2:106" ht="30.75" customHeight="1">
      <c r="C40" s="457"/>
      <c r="D40" s="441"/>
      <c r="E40" s="94" t="s">
        <v>47</v>
      </c>
      <c r="F40" s="57">
        <v>88</v>
      </c>
      <c r="G40" s="46">
        <f t="shared" ref="G40:G48" si="72">F40*3630</f>
        <v>319440</v>
      </c>
      <c r="H40" s="45">
        <f t="shared" ref="H40:H48" si="73">F40*($H$38/$F$38)</f>
        <v>250.88277858176554</v>
      </c>
      <c r="I40" s="46">
        <f t="shared" ref="I40:I48" si="74">H40*3630</f>
        <v>910704.48625180894</v>
      </c>
      <c r="J40" s="9">
        <v>19</v>
      </c>
      <c r="K40" s="21">
        <f t="shared" si="64"/>
        <v>93</v>
      </c>
      <c r="L40" s="21">
        <v>8</v>
      </c>
      <c r="M40" s="39">
        <v>15</v>
      </c>
      <c r="N40" s="95">
        <v>70</v>
      </c>
      <c r="O40" s="289">
        <v>45594</v>
      </c>
      <c r="P40" s="19"/>
      <c r="Q40" s="328"/>
      <c r="R40" s="331">
        <v>45687</v>
      </c>
      <c r="S40" s="124"/>
      <c r="T40" s="328"/>
      <c r="U40" s="331">
        <v>45765</v>
      </c>
      <c r="V40" s="124"/>
      <c r="W40" s="124"/>
      <c r="X40" s="328"/>
      <c r="Y40" s="328"/>
      <c r="Z40" s="124"/>
      <c r="AA40" s="124"/>
      <c r="AB40" s="124"/>
      <c r="AC40" s="328"/>
      <c r="AD40" s="124"/>
      <c r="AE40" s="124"/>
      <c r="AF40" s="124"/>
      <c r="AG40" s="124"/>
      <c r="AH40" s="124"/>
      <c r="AI40" s="129">
        <f t="shared" ref="AI40:AI102" si="75">SUM(J40:K40)-CI40+CJ40</f>
        <v>148.92937771345876</v>
      </c>
      <c r="AJ40" s="129">
        <f t="shared" si="65"/>
        <v>129.82045928199923</v>
      </c>
      <c r="AK40" s="129">
        <f t="shared" si="66"/>
        <v>99.714525852187364</v>
      </c>
      <c r="AL40" s="399">
        <f t="shared" si="67"/>
        <v>74.626247994010811</v>
      </c>
      <c r="AM40" s="393">
        <f t="shared" ref="AM40:AM46" si="76">AL40-CQ40+CR40</f>
        <v>92.046797921651915</v>
      </c>
      <c r="AN40" s="393">
        <f t="shared" si="68"/>
        <v>66.958520063475362</v>
      </c>
      <c r="AO40" s="393">
        <f t="shared" si="69"/>
        <v>51.681169938155236</v>
      </c>
      <c r="AP40" s="96">
        <f t="shared" si="70"/>
        <v>37.726286862284041</v>
      </c>
      <c r="AQ40" s="91">
        <f t="shared" si="71"/>
        <v>17.655664575742797</v>
      </c>
      <c r="AR40" s="198"/>
      <c r="AS40" s="245">
        <f>$H$40*月別販売比率!AG5</f>
        <v>25.088277858176554</v>
      </c>
      <c r="AT40" s="241">
        <v>50</v>
      </c>
      <c r="AU40" s="81">
        <f>$H$40*月別販売比率!AL5</f>
        <v>22.579450072358899</v>
      </c>
      <c r="AV40" s="21"/>
      <c r="AW40" s="81">
        <f>$H$40*月別販売比率!AQ5</f>
        <v>25.088277858176554</v>
      </c>
      <c r="AX40" s="21"/>
      <c r="AY40" s="245">
        <f>$H$40*月別販売比率!AV5</f>
        <v>15.277350125320122</v>
      </c>
      <c r="AZ40" s="241">
        <v>50</v>
      </c>
      <c r="BA40" s="81">
        <f>$H$40*月別販売比率!BA5</f>
        <v>13.954883075871196</v>
      </c>
      <c r="BB40" s="21"/>
      <c r="BC40" s="245">
        <f>$H$40*月別販売比率!BF5</f>
        <v>20.070622286541244</v>
      </c>
      <c r="BD40" s="241">
        <v>40</v>
      </c>
      <c r="BE40" s="81">
        <f>$H$40*月別販売比率!C21</f>
        <v>17.77862022205797</v>
      </c>
      <c r="BF40" s="21"/>
      <c r="BG40" s="245">
        <f>$H$40*月別販売比率!H21</f>
        <v>17.56179450072359</v>
      </c>
      <c r="BH40" s="241">
        <v>55</v>
      </c>
      <c r="BI40" s="81">
        <f>$H$40*月別販売比率!M21</f>
        <v>25.355139141066072</v>
      </c>
      <c r="BJ40" s="21"/>
      <c r="BK40" s="245">
        <f>$H$40*月別販売比率!R21</f>
        <v>20.070622286541244</v>
      </c>
      <c r="BL40" s="241">
        <v>60</v>
      </c>
      <c r="BM40" s="245">
        <f>$H$40*月別販売比率!W21</f>
        <v>19.108918431459532</v>
      </c>
      <c r="BN40" s="241">
        <v>42</v>
      </c>
      <c r="BO40" s="81">
        <f>$H$40*月別販売比率!AB21</f>
        <v>30.105933429811863</v>
      </c>
      <c r="BP40" s="21"/>
      <c r="BQ40" s="81">
        <f>$H$40*月別販売比率!AG21</f>
        <v>25.088277858176554</v>
      </c>
      <c r="BR40" s="21"/>
      <c r="BS40" s="81">
        <f>$H$40*月別販売比率!AL21</f>
        <v>22.579450072358899</v>
      </c>
      <c r="BT40" s="21"/>
      <c r="BU40" s="245">
        <f>$H$40*月別販売比率!AQ21</f>
        <v>25.088277858176554</v>
      </c>
      <c r="BV40" s="241">
        <v>59</v>
      </c>
      <c r="BW40" s="81">
        <f>$H$40*月別販売比率!AV21</f>
        <v>15.277350125320122</v>
      </c>
      <c r="BX40" s="21"/>
      <c r="BY40" s="81">
        <f>$H$40*月別販売比率!BA21</f>
        <v>13.954883075871196</v>
      </c>
      <c r="BZ40" s="21"/>
      <c r="CA40" s="81">
        <f>$H$40*月別販売比率!BF21</f>
        <v>20.070622286541244</v>
      </c>
      <c r="CB40" s="21"/>
      <c r="CC40" s="245">
        <f>H40*月別販売比率!$C$21</f>
        <v>17.77862022205797</v>
      </c>
      <c r="CD40" s="241">
        <v>20</v>
      </c>
      <c r="CE40" s="81">
        <f>H40*月別販売比率!$H$21</f>
        <v>17.56179450072359</v>
      </c>
      <c r="CF40" s="21"/>
      <c r="CG40" s="81">
        <f>H40*月別販売比率!$M$21</f>
        <v>25.355139141066072</v>
      </c>
      <c r="CH40" s="21"/>
      <c r="CI40" s="81">
        <f>H40*月別販売比率!$R$21</f>
        <v>20.070622286541244</v>
      </c>
      <c r="CJ40" s="21">
        <v>57</v>
      </c>
      <c r="CK40" s="81">
        <f>H40*月別販売比率!$W$21</f>
        <v>19.108918431459532</v>
      </c>
      <c r="CL40" s="21"/>
      <c r="CM40" s="81">
        <f>H40*月別販売比率!$AB$21</f>
        <v>30.105933429811863</v>
      </c>
      <c r="CN40" s="21"/>
      <c r="CO40" s="81">
        <f>H40*月別販売比率!$AG$21</f>
        <v>25.088277858176554</v>
      </c>
      <c r="CP40" s="21"/>
      <c r="CQ40" s="81">
        <f>H40*月別販売比率!$AL$21</f>
        <v>22.579450072358899</v>
      </c>
      <c r="CR40" s="21">
        <v>40</v>
      </c>
      <c r="CS40" s="81">
        <f>H40*月別販売比率!$AQ$21</f>
        <v>25.088277858176554</v>
      </c>
      <c r="CT40" s="21"/>
      <c r="CU40" s="81">
        <f>H40*月別販売比率!$AV$21</f>
        <v>15.277350125320122</v>
      </c>
      <c r="CV40" s="21"/>
      <c r="CW40" s="81">
        <f>H40*月別販売比率!$BA$21</f>
        <v>13.954883075871196</v>
      </c>
      <c r="CX40" s="21"/>
      <c r="CY40" s="81">
        <f>H40*月別販売比率!$BF$21</f>
        <v>20.070622286541244</v>
      </c>
      <c r="CZ40" s="21"/>
      <c r="DA40" s="28"/>
      <c r="DB40" s="294"/>
    </row>
    <row r="41" spans="2:106" ht="30.75" customHeight="1">
      <c r="C41" s="457"/>
      <c r="D41" s="441"/>
      <c r="E41" s="94" t="s">
        <v>51</v>
      </c>
      <c r="F41" s="57">
        <v>66</v>
      </c>
      <c r="G41" s="46">
        <f t="shared" si="72"/>
        <v>239580</v>
      </c>
      <c r="H41" s="45">
        <f t="shared" si="73"/>
        <v>188.16208393632417</v>
      </c>
      <c r="I41" s="46">
        <f t="shared" si="74"/>
        <v>683028.36468885676</v>
      </c>
      <c r="J41" s="9">
        <v>1</v>
      </c>
      <c r="K41" s="21">
        <f t="shared" si="64"/>
        <v>71</v>
      </c>
      <c r="L41" s="21">
        <v>8</v>
      </c>
      <c r="M41" s="39">
        <v>13</v>
      </c>
      <c r="N41" s="95">
        <v>50</v>
      </c>
      <c r="O41" s="289">
        <v>45594</v>
      </c>
      <c r="P41" s="19"/>
      <c r="Q41" s="328"/>
      <c r="R41" s="331">
        <v>45687</v>
      </c>
      <c r="S41" s="124"/>
      <c r="T41" s="124"/>
      <c r="U41" s="124"/>
      <c r="V41" s="124"/>
      <c r="W41" s="124"/>
      <c r="X41" s="328"/>
      <c r="Y41" s="328"/>
      <c r="Z41" s="124"/>
      <c r="AA41" s="328"/>
      <c r="AB41" s="124"/>
      <c r="AC41" s="124"/>
      <c r="AD41" s="124"/>
      <c r="AE41" s="124"/>
      <c r="AF41" s="124"/>
      <c r="AG41" s="124"/>
      <c r="AH41" s="124"/>
      <c r="AI41" s="129">
        <f t="shared" si="75"/>
        <v>123.94703328509407</v>
      </c>
      <c r="AJ41" s="129">
        <f t="shared" si="65"/>
        <v>109.61534446149942</v>
      </c>
      <c r="AK41" s="129">
        <f t="shared" si="66"/>
        <v>87.035894389140523</v>
      </c>
      <c r="AL41" s="399">
        <f t="shared" si="67"/>
        <v>68.219685995508101</v>
      </c>
      <c r="AM41" s="393">
        <f t="shared" si="76"/>
        <v>61.285098441238929</v>
      </c>
      <c r="AN41" s="393">
        <f t="shared" si="68"/>
        <v>42.468890047606507</v>
      </c>
      <c r="AO41" s="393">
        <f t="shared" si="69"/>
        <v>31.010877453616416</v>
      </c>
      <c r="AP41" s="96">
        <f t="shared" si="70"/>
        <v>20.544715146713017</v>
      </c>
      <c r="AQ41" s="91">
        <f t="shared" si="71"/>
        <v>5.4917484318070837</v>
      </c>
      <c r="AR41" s="198"/>
      <c r="AS41" s="245">
        <f>$H$41*月別販売比率!AG5</f>
        <v>18.816208393632419</v>
      </c>
      <c r="AT41" s="241">
        <v>30</v>
      </c>
      <c r="AU41" s="81">
        <f>$H$41*月別販売比率!AL5</f>
        <v>16.934587554269175</v>
      </c>
      <c r="AV41" s="21"/>
      <c r="AW41" s="81">
        <f>$H$41*月別販売比率!AQ5</f>
        <v>18.816208393632419</v>
      </c>
      <c r="AX41" s="21"/>
      <c r="AY41" s="245">
        <f>$H$41*月別販売比率!AV5</f>
        <v>11.458012593990093</v>
      </c>
      <c r="AZ41" s="241">
        <v>43</v>
      </c>
      <c r="BA41" s="81">
        <f>$H$41*月別販売比率!BA5</f>
        <v>10.466162306903398</v>
      </c>
      <c r="BB41" s="21"/>
      <c r="BC41" s="245">
        <f>$H$41*月別販売比率!BF5</f>
        <v>15.052966714905933</v>
      </c>
      <c r="BD41" s="241">
        <v>20</v>
      </c>
      <c r="BE41" s="81">
        <f>$H$41*月別販売比率!C21</f>
        <v>13.333965166543477</v>
      </c>
      <c r="BF41" s="21"/>
      <c r="BG41" s="245">
        <f>$H$41*月別販売比率!H21</f>
        <v>13.171345875542693</v>
      </c>
      <c r="BH41" s="241">
        <v>45</v>
      </c>
      <c r="BI41" s="81">
        <f>$H$41*月別販売比率!M21</f>
        <v>19.016354355799557</v>
      </c>
      <c r="BJ41" s="21"/>
      <c r="BK41" s="245">
        <f>$H$41*月別販売比率!R21</f>
        <v>15.052966714905933</v>
      </c>
      <c r="BL41" s="241">
        <v>45</v>
      </c>
      <c r="BM41" s="245">
        <f>$H$41*月別販売比率!W21</f>
        <v>14.33168882359465</v>
      </c>
      <c r="BN41" s="241">
        <v>31</v>
      </c>
      <c r="BO41" s="81">
        <f>$H$41*月別販売比率!AB21</f>
        <v>22.579450072358899</v>
      </c>
      <c r="BP41" s="21"/>
      <c r="BQ41" s="81">
        <f>$H$41*月別販売比率!AG21</f>
        <v>18.816208393632419</v>
      </c>
      <c r="BR41" s="21"/>
      <c r="BS41" s="81">
        <f>$H$41*月別販売比率!AL21</f>
        <v>16.934587554269175</v>
      </c>
      <c r="BT41" s="21"/>
      <c r="BU41" s="245">
        <f>$H$41*月別販売比率!AQ21</f>
        <v>18.816208393632419</v>
      </c>
      <c r="BV41" s="241">
        <v>37</v>
      </c>
      <c r="BW41" s="81">
        <f>$H$41*月別販売比率!AV21</f>
        <v>11.458012593990093</v>
      </c>
      <c r="BX41" s="21"/>
      <c r="BY41" s="81">
        <f>$H$41*月別販売比率!BA21</f>
        <v>10.466162306903398</v>
      </c>
      <c r="BZ41" s="21"/>
      <c r="CA41" s="81">
        <f>$H$41*月別販売比率!BF21</f>
        <v>15.052966714905933</v>
      </c>
      <c r="CB41" s="21"/>
      <c r="CC41" s="245">
        <f>H41*月別販売比率!$C$21</f>
        <v>13.333965166543477</v>
      </c>
      <c r="CD41" s="241"/>
      <c r="CE41" s="81">
        <f>H41*月別販売比率!$H$21</f>
        <v>13.171345875542693</v>
      </c>
      <c r="CF41" s="21"/>
      <c r="CG41" s="81">
        <f>H41*月別販売比率!$M$21</f>
        <v>19.016354355799557</v>
      </c>
      <c r="CH41" s="21"/>
      <c r="CI41" s="81">
        <f>H41*月別販売比率!$R$21</f>
        <v>15.052966714905933</v>
      </c>
      <c r="CJ41" s="21">
        <v>67</v>
      </c>
      <c r="CK41" s="81">
        <f>H41*月別販売比率!$W$21</f>
        <v>14.33168882359465</v>
      </c>
      <c r="CL41" s="21"/>
      <c r="CM41" s="81">
        <f>H41*月別販売比率!$AB$21</f>
        <v>22.579450072358899</v>
      </c>
      <c r="CN41" s="21"/>
      <c r="CO41" s="81">
        <f>H41*月別販売比率!$AG$21</f>
        <v>18.816208393632419</v>
      </c>
      <c r="CP41" s="21"/>
      <c r="CQ41" s="81">
        <f>H41*月別販売比率!$AL$21</f>
        <v>16.934587554269175</v>
      </c>
      <c r="CR41" s="21">
        <v>10</v>
      </c>
      <c r="CS41" s="81">
        <f>H41*月別販売比率!$AQ$21</f>
        <v>18.816208393632419</v>
      </c>
      <c r="CT41" s="21"/>
      <c r="CU41" s="81">
        <f>H41*月別販売比率!$AV$21</f>
        <v>11.458012593990093</v>
      </c>
      <c r="CV41" s="21"/>
      <c r="CW41" s="81">
        <f>H41*月別販売比率!$BA$21</f>
        <v>10.466162306903398</v>
      </c>
      <c r="CX41" s="21"/>
      <c r="CY41" s="81">
        <f>H41*月別販売比率!$BF$21</f>
        <v>15.052966714905933</v>
      </c>
      <c r="CZ41" s="21"/>
      <c r="DA41" s="28"/>
      <c r="DB41" s="294"/>
    </row>
    <row r="42" spans="2:106" ht="30.75" customHeight="1">
      <c r="C42" s="457"/>
      <c r="D42" s="441"/>
      <c r="E42" s="94" t="s">
        <v>49</v>
      </c>
      <c r="F42" s="57">
        <v>70</v>
      </c>
      <c r="G42" s="46">
        <f t="shared" si="72"/>
        <v>254100</v>
      </c>
      <c r="H42" s="164">
        <v>160</v>
      </c>
      <c r="I42" s="46">
        <f t="shared" si="74"/>
        <v>580800</v>
      </c>
      <c r="J42" s="9">
        <v>83</v>
      </c>
      <c r="K42" s="21">
        <f t="shared" si="64"/>
        <v>51</v>
      </c>
      <c r="L42" s="21">
        <v>10</v>
      </c>
      <c r="M42" s="39">
        <v>13</v>
      </c>
      <c r="N42" s="95">
        <v>28</v>
      </c>
      <c r="O42" s="289">
        <v>45594</v>
      </c>
      <c r="P42" s="19"/>
      <c r="Q42" s="328"/>
      <c r="R42" s="331">
        <v>45687</v>
      </c>
      <c r="S42" s="124"/>
      <c r="T42" s="124"/>
      <c r="U42" s="124"/>
      <c r="V42" s="124"/>
      <c r="W42" s="124"/>
      <c r="X42" s="328"/>
      <c r="Y42" s="328"/>
      <c r="Z42" s="124"/>
      <c r="AA42" s="124"/>
      <c r="AB42" s="124"/>
      <c r="AC42" s="124"/>
      <c r="AD42" s="124"/>
      <c r="AE42" s="124"/>
      <c r="AF42" s="124"/>
      <c r="AG42" s="124"/>
      <c r="AH42" s="124"/>
      <c r="AI42" s="129">
        <f t="shared" si="75"/>
        <v>121.2</v>
      </c>
      <c r="AJ42" s="129">
        <f t="shared" si="65"/>
        <v>109.01332474744945</v>
      </c>
      <c r="AK42" s="129">
        <f t="shared" si="66"/>
        <v>89.813324747449442</v>
      </c>
      <c r="AL42" s="399">
        <f t="shared" si="67"/>
        <v>73.813324747449442</v>
      </c>
      <c r="AM42" s="393">
        <f t="shared" si="76"/>
        <v>79.413324747449451</v>
      </c>
      <c r="AN42" s="393">
        <f t="shared" si="68"/>
        <v>63.413324747449451</v>
      </c>
      <c r="AO42" s="393">
        <f t="shared" si="69"/>
        <v>53.670224667526789</v>
      </c>
      <c r="AP42" s="96">
        <f t="shared" si="70"/>
        <v>44.770525354719226</v>
      </c>
      <c r="AQ42" s="91">
        <f t="shared" si="71"/>
        <v>31.970525354719225</v>
      </c>
      <c r="AR42" s="198"/>
      <c r="AS42" s="245">
        <f>$H$42*月別販売比率!AG5</f>
        <v>16</v>
      </c>
      <c r="AT42" s="241">
        <v>50</v>
      </c>
      <c r="AU42" s="81">
        <f>$H$42*月別販売比率!AL5</f>
        <v>14.399999999999999</v>
      </c>
      <c r="AV42" s="21"/>
      <c r="AW42" s="81">
        <f>$H$42*月別販売比率!AQ5</f>
        <v>16</v>
      </c>
      <c r="AX42" s="21"/>
      <c r="AY42" s="245">
        <f>$H$42*月別販売比率!AV5</f>
        <v>9.7431000799226624</v>
      </c>
      <c r="AZ42" s="241">
        <v>20</v>
      </c>
      <c r="BA42" s="81">
        <f>$H$42*月別販売比率!BA5</f>
        <v>8.8996993128075648</v>
      </c>
      <c r="BB42" s="21"/>
      <c r="BC42" s="245">
        <f>$H$42*月別販売比率!BF5</f>
        <v>12.8</v>
      </c>
      <c r="BD42" s="241">
        <v>27</v>
      </c>
      <c r="BE42" s="81">
        <f>$H$42*月別販売比率!C21</f>
        <v>11.338280178534433</v>
      </c>
      <c r="BF42" s="21"/>
      <c r="BG42" s="245">
        <f>$H$42*月別販売比率!H21</f>
        <v>11.200000000000001</v>
      </c>
      <c r="BH42" s="241">
        <v>60</v>
      </c>
      <c r="BI42" s="81">
        <f>$H$42*月別販売比率!M21</f>
        <v>16.17019025978464</v>
      </c>
      <c r="BJ42" s="21"/>
      <c r="BK42" s="245">
        <f>$H$42*月別販売比率!R21</f>
        <v>12.8</v>
      </c>
      <c r="BL42" s="241">
        <v>40</v>
      </c>
      <c r="BM42" s="245">
        <f>$H$42*月別販売比率!W21</f>
        <v>12.186675252550565</v>
      </c>
      <c r="BN42" s="241">
        <v>35</v>
      </c>
      <c r="BO42" s="81">
        <f>$H$42*月別販売比率!AB21</f>
        <v>19.2</v>
      </c>
      <c r="BP42" s="21"/>
      <c r="BQ42" s="81">
        <f>$H$42*月別販売比率!AG21</f>
        <v>16</v>
      </c>
      <c r="BR42" s="21"/>
      <c r="BS42" s="81">
        <f>$H$42*月別販売比率!AL21</f>
        <v>14.399999999999999</v>
      </c>
      <c r="BT42" s="21"/>
      <c r="BU42" s="245">
        <f>$H$42*月別販売比率!AQ21</f>
        <v>16</v>
      </c>
      <c r="BV42" s="241">
        <v>12</v>
      </c>
      <c r="BW42" s="81">
        <f>$H$42*月別販売比率!AV21</f>
        <v>9.7431000799226624</v>
      </c>
      <c r="BX42" s="21"/>
      <c r="BY42" s="81">
        <f>$H$42*月別販売比率!BA21</f>
        <v>8.8996993128075648</v>
      </c>
      <c r="BZ42" s="21"/>
      <c r="CA42" s="81">
        <f>$H$42*月別販売比率!BF21</f>
        <v>12.8</v>
      </c>
      <c r="CB42" s="21"/>
      <c r="CC42" s="245">
        <f>H42*月別販売比率!$C$21</f>
        <v>11.338280178534433</v>
      </c>
      <c r="CD42" s="241"/>
      <c r="CE42" s="81">
        <f>H42*月別販売比率!$H$21</f>
        <v>11.200000000000001</v>
      </c>
      <c r="CF42" s="21"/>
      <c r="CG42" s="81">
        <f>H42*月別販売比率!$M$21</f>
        <v>16.17019025978464</v>
      </c>
      <c r="CH42" s="21"/>
      <c r="CI42" s="81">
        <f>H42*月別販売比率!$R$21</f>
        <v>12.8</v>
      </c>
      <c r="CJ42" s="21"/>
      <c r="CK42" s="81">
        <f>H42*月別販売比率!$W$21</f>
        <v>12.186675252550565</v>
      </c>
      <c r="CL42" s="21"/>
      <c r="CM42" s="81">
        <f>H42*月別販売比率!$AB$21</f>
        <v>19.2</v>
      </c>
      <c r="CN42" s="21"/>
      <c r="CO42" s="81">
        <f>H42*月別販売比率!$AG$21</f>
        <v>16</v>
      </c>
      <c r="CP42" s="21"/>
      <c r="CQ42" s="81">
        <f>H42*月別販売比率!$AL$21</f>
        <v>14.399999999999999</v>
      </c>
      <c r="CR42" s="21">
        <v>20</v>
      </c>
      <c r="CS42" s="81">
        <f>H42*月別販売比率!$AQ$21</f>
        <v>16</v>
      </c>
      <c r="CT42" s="21"/>
      <c r="CU42" s="81">
        <f>H42*月別販売比率!$AV$21</f>
        <v>9.7431000799226624</v>
      </c>
      <c r="CV42" s="21"/>
      <c r="CW42" s="81">
        <f>H42*月別販売比率!$BA$21</f>
        <v>8.8996993128075648</v>
      </c>
      <c r="CX42" s="21"/>
      <c r="CY42" s="81">
        <f>H42*月別販売比率!$BF$21</f>
        <v>12.8</v>
      </c>
      <c r="CZ42" s="21"/>
      <c r="DA42" s="28"/>
      <c r="DB42" s="294"/>
    </row>
    <row r="43" spans="2:106" ht="30.75" customHeight="1">
      <c r="C43" s="457"/>
      <c r="D43" s="442"/>
      <c r="E43" s="94" t="s">
        <v>50</v>
      </c>
      <c r="F43" s="57">
        <v>44</v>
      </c>
      <c r="G43" s="46">
        <f t="shared" si="72"/>
        <v>159720</v>
      </c>
      <c r="H43" s="45">
        <f t="shared" si="73"/>
        <v>125.44138929088277</v>
      </c>
      <c r="I43" s="46">
        <f t="shared" si="74"/>
        <v>455352.24312590447</v>
      </c>
      <c r="J43" s="9">
        <v>30</v>
      </c>
      <c r="K43" s="21">
        <f t="shared" si="64"/>
        <v>42</v>
      </c>
      <c r="L43" s="21">
        <v>3</v>
      </c>
      <c r="M43" s="39">
        <v>9</v>
      </c>
      <c r="N43" s="95">
        <v>30</v>
      </c>
      <c r="O43" s="289">
        <v>45594</v>
      </c>
      <c r="P43" s="19"/>
      <c r="Q43" s="124"/>
      <c r="R43" s="331">
        <v>45687</v>
      </c>
      <c r="S43" s="328"/>
      <c r="T43" s="124"/>
      <c r="U43" s="124"/>
      <c r="V43" s="124"/>
      <c r="W43" s="124"/>
      <c r="X43" s="328"/>
      <c r="Y43" s="328"/>
      <c r="Z43" s="124"/>
      <c r="AA43" s="328"/>
      <c r="AB43" s="124"/>
      <c r="AC43" s="124"/>
      <c r="AD43" s="124"/>
      <c r="AE43" s="124"/>
      <c r="AF43" s="124"/>
      <c r="AG43" s="124"/>
      <c r="AH43" s="124"/>
      <c r="AI43" s="129">
        <f t="shared" si="75"/>
        <v>61.964688856729381</v>
      </c>
      <c r="AJ43" s="129">
        <f t="shared" si="65"/>
        <v>52.410229640999617</v>
      </c>
      <c r="AK43" s="129">
        <f t="shared" si="66"/>
        <v>37.357262926093682</v>
      </c>
      <c r="AL43" s="399">
        <f t="shared" si="67"/>
        <v>24.813123997005405</v>
      </c>
      <c r="AM43" s="393">
        <f t="shared" si="76"/>
        <v>48.523398960825958</v>
      </c>
      <c r="AN43" s="393">
        <f t="shared" si="68"/>
        <v>35.979260031737681</v>
      </c>
      <c r="AO43" s="393">
        <f t="shared" si="69"/>
        <v>28.340584969077618</v>
      </c>
      <c r="AP43" s="96">
        <f t="shared" si="70"/>
        <v>21.363143431142021</v>
      </c>
      <c r="AQ43" s="91">
        <f t="shared" si="71"/>
        <v>11.327832287871399</v>
      </c>
      <c r="AR43" s="198"/>
      <c r="AS43" s="245">
        <f>$H$43*月別販売比率!AG5</f>
        <v>12.544138929088277</v>
      </c>
      <c r="AT43" s="241">
        <v>30</v>
      </c>
      <c r="AU43" s="81">
        <f>$H$43*月別販売比率!AL5</f>
        <v>11.289725036179449</v>
      </c>
      <c r="AV43" s="21"/>
      <c r="AW43" s="81">
        <f>$H$43*月別販売比率!AQ5</f>
        <v>12.544138929088277</v>
      </c>
      <c r="AX43" s="21"/>
      <c r="AY43" s="245">
        <f>$H$43*月別販売比率!AV5</f>
        <v>7.6386750626600612</v>
      </c>
      <c r="AZ43" s="241"/>
      <c r="BA43" s="81">
        <f>$H$43*月別販売比率!BA5</f>
        <v>6.9774415379355981</v>
      </c>
      <c r="BB43" s="21"/>
      <c r="BC43" s="245">
        <f>$H$43*月別販売比率!BF5</f>
        <v>10.035311143270622</v>
      </c>
      <c r="BD43" s="241">
        <v>11</v>
      </c>
      <c r="BE43" s="81">
        <f>$H$43*月別販売比率!C21</f>
        <v>8.8893101110289852</v>
      </c>
      <c r="BF43" s="21"/>
      <c r="BG43" s="245">
        <f>$H$43*月別販売比率!H21</f>
        <v>8.7808972503617948</v>
      </c>
      <c r="BH43" s="241">
        <v>40</v>
      </c>
      <c r="BI43" s="81">
        <f>$H$43*月別販売比率!M21</f>
        <v>12.677569570533036</v>
      </c>
      <c r="BJ43" s="21"/>
      <c r="BK43" s="245">
        <f>$H$43*月別販売比率!R21</f>
        <v>10.035311143270622</v>
      </c>
      <c r="BL43" s="241">
        <v>30</v>
      </c>
      <c r="BM43" s="245">
        <f>$H$43*月別販売比率!W21</f>
        <v>9.5544592157297661</v>
      </c>
      <c r="BN43" s="241">
        <v>23</v>
      </c>
      <c r="BO43" s="81">
        <f>$H$43*月別販売比率!AB21</f>
        <v>15.052966714905931</v>
      </c>
      <c r="BP43" s="21"/>
      <c r="BQ43" s="81">
        <f>$H$43*月別販売比率!AG21</f>
        <v>12.544138929088277</v>
      </c>
      <c r="BR43" s="21"/>
      <c r="BS43" s="81">
        <f>$H$43*月別販売比率!AL21</f>
        <v>11.289725036179449</v>
      </c>
      <c r="BT43" s="21"/>
      <c r="BU43" s="245">
        <f>$H$43*月別販売比率!AQ21</f>
        <v>12.544138929088277</v>
      </c>
      <c r="BV43" s="241"/>
      <c r="BW43" s="81">
        <f>$H$43*月別販売比率!AV21</f>
        <v>7.6386750626600612</v>
      </c>
      <c r="BX43" s="21"/>
      <c r="BY43" s="81">
        <f>$H$43*月別販売比率!BA21</f>
        <v>6.9774415379355981</v>
      </c>
      <c r="BZ43" s="21"/>
      <c r="CA43" s="81">
        <f>$H$43*月別販売比率!BF21</f>
        <v>10.035311143270622</v>
      </c>
      <c r="CB43" s="21"/>
      <c r="CC43" s="245">
        <f>H43*月別販売比率!$C$21</f>
        <v>8.8893101110289852</v>
      </c>
      <c r="CD43" s="241"/>
      <c r="CE43" s="81">
        <f>H43*月別販売比率!$H$21</f>
        <v>8.7808972503617948</v>
      </c>
      <c r="CF43" s="21"/>
      <c r="CG43" s="81">
        <f>H43*月別販売比率!$M$21</f>
        <v>12.677569570533036</v>
      </c>
      <c r="CH43" s="21"/>
      <c r="CI43" s="81">
        <f>H43*月別販売比率!$R$21</f>
        <v>10.035311143270622</v>
      </c>
      <c r="CJ43" s="21"/>
      <c r="CK43" s="81">
        <f>H43*月別販売比率!$W$21</f>
        <v>9.5544592157297661</v>
      </c>
      <c r="CL43" s="21"/>
      <c r="CM43" s="81">
        <f>H43*月別販売比率!$AB$21</f>
        <v>15.052966714905931</v>
      </c>
      <c r="CN43" s="21"/>
      <c r="CO43" s="81">
        <f>H43*月別販売比率!$AG$21</f>
        <v>12.544138929088277</v>
      </c>
      <c r="CP43" s="21"/>
      <c r="CQ43" s="81">
        <f>H43*月別販売比率!$AL$21</f>
        <v>11.289725036179449</v>
      </c>
      <c r="CR43" s="21">
        <v>35</v>
      </c>
      <c r="CS43" s="81">
        <f>H43*月別販売比率!$AQ$21</f>
        <v>12.544138929088277</v>
      </c>
      <c r="CT43" s="21"/>
      <c r="CU43" s="81">
        <f>H43*月別販売比率!$AV$21</f>
        <v>7.6386750626600612</v>
      </c>
      <c r="CV43" s="21"/>
      <c r="CW43" s="81">
        <f>H43*月別販売比率!$BA$21</f>
        <v>6.9774415379355981</v>
      </c>
      <c r="CX43" s="21"/>
      <c r="CY43" s="81">
        <f>H43*月別販売比率!$BF$21</f>
        <v>10.035311143270622</v>
      </c>
      <c r="CZ43" s="21"/>
      <c r="DA43" s="28"/>
      <c r="DB43" s="294"/>
    </row>
    <row r="44" spans="2:106" ht="30.75" customHeight="1">
      <c r="C44" s="457"/>
      <c r="D44" s="443">
        <v>2</v>
      </c>
      <c r="E44" s="94" t="s">
        <v>46</v>
      </c>
      <c r="F44" s="57">
        <v>97</v>
      </c>
      <c r="G44" s="46">
        <f t="shared" si="72"/>
        <v>352110</v>
      </c>
      <c r="H44" s="45">
        <f t="shared" si="73"/>
        <v>276.54124457308245</v>
      </c>
      <c r="I44" s="46">
        <f t="shared" si="74"/>
        <v>1003844.7178002893</v>
      </c>
      <c r="J44" s="9">
        <v>7</v>
      </c>
      <c r="K44" s="21">
        <f t="shared" si="64"/>
        <v>70</v>
      </c>
      <c r="L44" s="21">
        <v>2</v>
      </c>
      <c r="M44" s="39">
        <v>13</v>
      </c>
      <c r="N44" s="95">
        <v>55</v>
      </c>
      <c r="O44" s="289">
        <v>45594</v>
      </c>
      <c r="P44" s="19"/>
      <c r="Q44" s="124"/>
      <c r="R44" s="331">
        <v>45687</v>
      </c>
      <c r="S44" s="124"/>
      <c r="T44" s="124"/>
      <c r="U44" s="124"/>
      <c r="V44" s="124"/>
      <c r="W44" s="124"/>
      <c r="X44" s="328"/>
      <c r="Y44" s="328"/>
      <c r="Z44" s="124"/>
      <c r="AA44" s="328"/>
      <c r="AB44" s="124"/>
      <c r="AC44" s="328"/>
      <c r="AD44" s="124"/>
      <c r="AE44" s="124"/>
      <c r="AF44" s="124"/>
      <c r="AG44" s="124"/>
      <c r="AH44" s="124"/>
      <c r="AI44" s="129">
        <f t="shared" si="75"/>
        <v>54.876700434153406</v>
      </c>
      <c r="AJ44" s="129">
        <f t="shared" si="65"/>
        <v>33.813460799476424</v>
      </c>
      <c r="AK44" s="129">
        <f t="shared" si="66"/>
        <v>0.62851145070653303</v>
      </c>
      <c r="AL44" s="399">
        <f t="shared" si="67"/>
        <v>-27.025613006601713</v>
      </c>
      <c r="AM44" s="393">
        <f>0-CQ44+CR44</f>
        <v>85.111287988422589</v>
      </c>
      <c r="AN44" s="393">
        <f t="shared" si="68"/>
        <v>57.457163531114347</v>
      </c>
      <c r="AO44" s="393">
        <f t="shared" si="69"/>
        <v>40.617357142977397</v>
      </c>
      <c r="AP44" s="96">
        <f t="shared" si="70"/>
        <v>25.235270116164831</v>
      </c>
      <c r="AQ44" s="91">
        <f t="shared" si="71"/>
        <v>3.1119705503182331</v>
      </c>
      <c r="AR44" s="198"/>
      <c r="AS44" s="245">
        <f>$H$44*月別販売比率!AG5</f>
        <v>27.654124457308246</v>
      </c>
      <c r="AT44" s="241">
        <v>36</v>
      </c>
      <c r="AU44" s="81">
        <f>$H$44*月別販売比率!AL5</f>
        <v>24.888712011577418</v>
      </c>
      <c r="AV44" s="21"/>
      <c r="AW44" s="81">
        <f>$H$44*月別販売比率!AQ5</f>
        <v>27.654124457308246</v>
      </c>
      <c r="AX44" s="21"/>
      <c r="AY44" s="245">
        <f>$H$44*月別販売比率!AV5</f>
        <v>16.839806388136953</v>
      </c>
      <c r="AZ44" s="241">
        <v>55</v>
      </c>
      <c r="BA44" s="81">
        <f>$H$44*月別販売比率!BA5</f>
        <v>15.382087026812567</v>
      </c>
      <c r="BB44" s="21"/>
      <c r="BC44" s="245">
        <f>$H$44*月別販売比率!BF5</f>
        <v>22.123299565846597</v>
      </c>
      <c r="BD44" s="241">
        <v>38</v>
      </c>
      <c r="BE44" s="81">
        <f>$H$44*月別販売比率!C21</f>
        <v>19.596888199313895</v>
      </c>
      <c r="BF44" s="21"/>
      <c r="BG44" s="245">
        <f>$H$44*月別販売比率!H21</f>
        <v>19.357887120115773</v>
      </c>
      <c r="BH44" s="241">
        <v>75</v>
      </c>
      <c r="BI44" s="81">
        <f>$H$44*月別販売比率!M21</f>
        <v>27.948278371402374</v>
      </c>
      <c r="BJ44" s="21"/>
      <c r="BK44" s="245">
        <f>$H$44*月別販売比率!R21</f>
        <v>22.123299565846597</v>
      </c>
      <c r="BL44" s="241">
        <v>60</v>
      </c>
      <c r="BM44" s="245">
        <f>$H$44*月別販売比率!W21</f>
        <v>21.063239634676982</v>
      </c>
      <c r="BN44" s="241">
        <v>50</v>
      </c>
      <c r="BO44" s="81">
        <f>$H$44*月別販売比率!AB21</f>
        <v>33.184949348769891</v>
      </c>
      <c r="BP44" s="21"/>
      <c r="BQ44" s="81">
        <f>$H$44*月別販売比率!AG21</f>
        <v>27.654124457308246</v>
      </c>
      <c r="BR44" s="21"/>
      <c r="BS44" s="81">
        <f>$H$44*月別販売比率!AL21</f>
        <v>24.888712011577418</v>
      </c>
      <c r="BT44" s="21"/>
      <c r="BU44" s="245">
        <f>$H$44*月別販売比率!AQ21</f>
        <v>27.654124457308246</v>
      </c>
      <c r="BV44" s="241">
        <v>112</v>
      </c>
      <c r="BW44" s="81">
        <f>$H$44*月別販売比率!AV21</f>
        <v>16.839806388136953</v>
      </c>
      <c r="BX44" s="21"/>
      <c r="BY44" s="81">
        <f>$H$44*月別販売比率!BA21</f>
        <v>15.382087026812567</v>
      </c>
      <c r="BZ44" s="21"/>
      <c r="CA44" s="81">
        <f>$H$44*月別販売比率!BF21</f>
        <v>22.123299565846597</v>
      </c>
      <c r="CB44" s="21"/>
      <c r="CC44" s="245">
        <f>H44*月別販売比率!$C$21</f>
        <v>19.596888199313895</v>
      </c>
      <c r="CD44" s="241"/>
      <c r="CE44" s="81">
        <f>H44*月別販売比率!$H$21</f>
        <v>19.357887120115773</v>
      </c>
      <c r="CF44" s="21"/>
      <c r="CG44" s="81">
        <f>H44*月別販売比率!$M$21</f>
        <v>27.948278371402374</v>
      </c>
      <c r="CH44" s="21"/>
      <c r="CI44" s="81">
        <f>H44*月別販売比率!$R$21</f>
        <v>22.123299565846597</v>
      </c>
      <c r="CJ44" s="21"/>
      <c r="CK44" s="81">
        <f>H44*月別販売比率!$W$21</f>
        <v>21.063239634676982</v>
      </c>
      <c r="CL44" s="21"/>
      <c r="CM44" s="81">
        <f>H44*月別販売比率!$AB$21</f>
        <v>33.184949348769891</v>
      </c>
      <c r="CN44" s="21"/>
      <c r="CO44" s="81">
        <f>H44*月別販売比率!$AG$21</f>
        <v>27.654124457308246</v>
      </c>
      <c r="CP44" s="21"/>
      <c r="CQ44" s="81">
        <f>H44*月別販売比率!$AL$21</f>
        <v>24.888712011577418</v>
      </c>
      <c r="CR44" s="21">
        <v>110</v>
      </c>
      <c r="CS44" s="81">
        <f>H44*月別販売比率!$AQ$21</f>
        <v>27.654124457308246</v>
      </c>
      <c r="CT44" s="21"/>
      <c r="CU44" s="81">
        <f>H44*月別販売比率!$AV$21</f>
        <v>16.839806388136953</v>
      </c>
      <c r="CV44" s="21"/>
      <c r="CW44" s="81">
        <f>H44*月別販売比率!$BA$21</f>
        <v>15.382087026812567</v>
      </c>
      <c r="CX44" s="21"/>
      <c r="CY44" s="81">
        <f>H44*月別販売比率!$BF$21</f>
        <v>22.123299565846597</v>
      </c>
      <c r="CZ44" s="21"/>
      <c r="DA44" s="28"/>
      <c r="DB44" s="294"/>
    </row>
    <row r="45" spans="2:106" ht="30.75" customHeight="1">
      <c r="C45" s="457"/>
      <c r="D45" s="441"/>
      <c r="E45" s="94" t="s">
        <v>47</v>
      </c>
      <c r="F45" s="57">
        <v>78</v>
      </c>
      <c r="G45" s="46">
        <f t="shared" si="72"/>
        <v>283140</v>
      </c>
      <c r="H45" s="164">
        <v>260</v>
      </c>
      <c r="I45" s="46">
        <f t="shared" si="74"/>
        <v>943800</v>
      </c>
      <c r="J45" s="9">
        <v>13</v>
      </c>
      <c r="K45" s="21">
        <f t="shared" si="64"/>
        <v>62</v>
      </c>
      <c r="L45" s="21">
        <v>4</v>
      </c>
      <c r="M45" s="39">
        <v>13</v>
      </c>
      <c r="N45" s="95">
        <v>45</v>
      </c>
      <c r="O45" s="289">
        <v>45594</v>
      </c>
      <c r="P45" s="19"/>
      <c r="Q45" s="328"/>
      <c r="R45" s="331">
        <v>45687</v>
      </c>
      <c r="S45" s="328"/>
      <c r="T45" s="328"/>
      <c r="U45" s="331">
        <v>45765</v>
      </c>
      <c r="V45" s="124"/>
      <c r="W45" s="124"/>
      <c r="X45" s="328"/>
      <c r="Y45" s="328"/>
      <c r="Z45" s="124"/>
      <c r="AA45" s="124"/>
      <c r="AB45" s="328"/>
      <c r="AC45" s="328"/>
      <c r="AD45" s="124"/>
      <c r="AE45" s="124"/>
      <c r="AF45" s="124"/>
      <c r="AG45" s="124"/>
      <c r="AH45" s="124"/>
      <c r="AI45" s="129">
        <f t="shared" si="75"/>
        <v>141.19999999999999</v>
      </c>
      <c r="AJ45" s="129">
        <f t="shared" si="65"/>
        <v>121.39665271460532</v>
      </c>
      <c r="AK45" s="129">
        <f t="shared" si="66"/>
        <v>90.196652714605321</v>
      </c>
      <c r="AL45" s="399">
        <f t="shared" si="67"/>
        <v>64.196652714605321</v>
      </c>
      <c r="AM45" s="393">
        <f t="shared" si="76"/>
        <v>100.79665271460533</v>
      </c>
      <c r="AN45" s="393">
        <f t="shared" si="68"/>
        <v>74.796652714605329</v>
      </c>
      <c r="AO45" s="393">
        <f t="shared" si="69"/>
        <v>58.964115084731006</v>
      </c>
      <c r="AP45" s="96">
        <f t="shared" si="70"/>
        <v>44.502103701418712</v>
      </c>
      <c r="AQ45" s="91">
        <f t="shared" si="71"/>
        <v>23.702103701418711</v>
      </c>
      <c r="AR45" s="198"/>
      <c r="AS45" s="245">
        <f>$H$45*月別販売比率!AG5</f>
        <v>26</v>
      </c>
      <c r="AT45" s="241">
        <v>50</v>
      </c>
      <c r="AU45" s="81">
        <f>$H$45*月別販売比率!AL5</f>
        <v>23.4</v>
      </c>
      <c r="AV45" s="21"/>
      <c r="AW45" s="81">
        <f>$H$45*月別販売比率!AQ5</f>
        <v>26</v>
      </c>
      <c r="AX45" s="21"/>
      <c r="AY45" s="245">
        <f>$H$45*月別販売比率!AV5</f>
        <v>15.832537629874327</v>
      </c>
      <c r="AZ45" s="241">
        <v>35</v>
      </c>
      <c r="BA45" s="81">
        <f>$H$45*月別販売比率!BA5</f>
        <v>14.462011383312294</v>
      </c>
      <c r="BB45" s="21"/>
      <c r="BC45" s="245">
        <f>$H$45*月別販売比率!BF5</f>
        <v>20.8</v>
      </c>
      <c r="BD45" s="241">
        <v>45</v>
      </c>
      <c r="BE45" s="81">
        <f>$H$45*月別販売比率!C21</f>
        <v>18.424705290118453</v>
      </c>
      <c r="BF45" s="21"/>
      <c r="BG45" s="245">
        <f>$H$45*月別販売比率!H21</f>
        <v>18.200000000000003</v>
      </c>
      <c r="BH45" s="241">
        <v>50</v>
      </c>
      <c r="BI45" s="81">
        <f>$H$45*月別販売比率!M21</f>
        <v>26.276559172150041</v>
      </c>
      <c r="BJ45" s="21"/>
      <c r="BK45" s="245">
        <f>$H$45*月別販売比率!R21</f>
        <v>20.8</v>
      </c>
      <c r="BL45" s="241">
        <v>55</v>
      </c>
      <c r="BM45" s="245">
        <f>$H$45*月別販売比率!W21</f>
        <v>19.803347285394668</v>
      </c>
      <c r="BN45" s="241">
        <v>39</v>
      </c>
      <c r="BO45" s="81">
        <f>$H$45*月別販売比率!AB21</f>
        <v>31.2</v>
      </c>
      <c r="BP45" s="21"/>
      <c r="BQ45" s="81">
        <f>$H$45*月別販売比率!AG21</f>
        <v>26</v>
      </c>
      <c r="BR45" s="21"/>
      <c r="BS45" s="81">
        <f>$H$45*月別販売比率!AL21</f>
        <v>23.4</v>
      </c>
      <c r="BT45" s="21"/>
      <c r="BU45" s="245">
        <f>$H$45*月別販売比率!AQ21</f>
        <v>26</v>
      </c>
      <c r="BV45" s="241">
        <v>29</v>
      </c>
      <c r="BW45" s="81">
        <f>$H$45*月別販売比率!AV21</f>
        <v>15.832537629874327</v>
      </c>
      <c r="BX45" s="21"/>
      <c r="BY45" s="81">
        <f>$H$45*月別販売比率!BA21</f>
        <v>14.462011383312294</v>
      </c>
      <c r="BZ45" s="21"/>
      <c r="CA45" s="81">
        <f>$H$45*月別販売比率!BF21</f>
        <v>20.8</v>
      </c>
      <c r="CB45" s="21"/>
      <c r="CC45" s="245">
        <f>H45*月別販売比率!$C$21</f>
        <v>18.424705290118453</v>
      </c>
      <c r="CD45" s="241">
        <v>40</v>
      </c>
      <c r="CE45" s="81">
        <f>H45*月別販売比率!$H$21</f>
        <v>18.200000000000003</v>
      </c>
      <c r="CF45" s="21"/>
      <c r="CG45" s="81">
        <f>H45*月別販売比率!$M$21</f>
        <v>26.276559172150041</v>
      </c>
      <c r="CH45" s="21"/>
      <c r="CI45" s="81">
        <f>H45*月別販売比率!$R$21</f>
        <v>20.8</v>
      </c>
      <c r="CJ45" s="21">
        <v>87</v>
      </c>
      <c r="CK45" s="81">
        <f>H45*月別販売比率!$W$21</f>
        <v>19.803347285394668</v>
      </c>
      <c r="CL45" s="21"/>
      <c r="CM45" s="81">
        <f>H45*月別販売比率!$AB$21</f>
        <v>31.2</v>
      </c>
      <c r="CN45" s="21"/>
      <c r="CO45" s="81">
        <f>H45*月別販売比率!$AG$21</f>
        <v>26</v>
      </c>
      <c r="CP45" s="21"/>
      <c r="CQ45" s="81">
        <f>H45*月別販売比率!$AL$21</f>
        <v>23.4</v>
      </c>
      <c r="CR45" s="21">
        <v>60</v>
      </c>
      <c r="CS45" s="81">
        <f>H45*月別販売比率!$AQ$21</f>
        <v>26</v>
      </c>
      <c r="CT45" s="21"/>
      <c r="CU45" s="81">
        <f>H45*月別販売比率!$AV$21</f>
        <v>15.832537629874327</v>
      </c>
      <c r="CV45" s="21"/>
      <c r="CW45" s="81">
        <f>H45*月別販売比率!$BA$21</f>
        <v>14.462011383312294</v>
      </c>
      <c r="CX45" s="21"/>
      <c r="CY45" s="81">
        <f>H45*月別販売比率!$BF$21</f>
        <v>20.8</v>
      </c>
      <c r="CZ45" s="21"/>
      <c r="DA45" s="28"/>
      <c r="DB45" s="294"/>
    </row>
    <row r="46" spans="2:106" ht="30.75" customHeight="1">
      <c r="C46" s="457"/>
      <c r="D46" s="441"/>
      <c r="E46" s="94" t="s">
        <v>51</v>
      </c>
      <c r="F46" s="57">
        <v>63</v>
      </c>
      <c r="G46" s="46">
        <f t="shared" si="72"/>
        <v>228690</v>
      </c>
      <c r="H46" s="164">
        <v>230</v>
      </c>
      <c r="I46" s="46">
        <f t="shared" si="74"/>
        <v>834900</v>
      </c>
      <c r="J46" s="9">
        <v>9</v>
      </c>
      <c r="K46" s="21">
        <f t="shared" si="64"/>
        <v>42</v>
      </c>
      <c r="L46" s="21">
        <v>6</v>
      </c>
      <c r="M46" s="39">
        <v>10</v>
      </c>
      <c r="N46" s="95">
        <v>26</v>
      </c>
      <c r="O46" s="289">
        <v>45594</v>
      </c>
      <c r="P46" s="19"/>
      <c r="Q46" s="328"/>
      <c r="R46" s="331">
        <v>45687</v>
      </c>
      <c r="S46" s="328"/>
      <c r="T46" s="328"/>
      <c r="U46" s="331">
        <v>45765</v>
      </c>
      <c r="V46" s="124"/>
      <c r="W46" s="124"/>
      <c r="X46" s="328"/>
      <c r="Y46" s="328"/>
      <c r="Z46" s="124"/>
      <c r="AA46" s="124"/>
      <c r="AB46" s="124"/>
      <c r="AC46" s="124"/>
      <c r="AD46" s="124"/>
      <c r="AE46" s="124"/>
      <c r="AF46" s="124"/>
      <c r="AG46" s="124"/>
      <c r="AH46" s="124"/>
      <c r="AI46" s="129">
        <f t="shared" si="75"/>
        <v>89.6</v>
      </c>
      <c r="AJ46" s="129">
        <f t="shared" si="65"/>
        <v>72.081654324458555</v>
      </c>
      <c r="AK46" s="129">
        <f t="shared" si="66"/>
        <v>44.48165432445856</v>
      </c>
      <c r="AL46" s="399">
        <f t="shared" si="67"/>
        <v>21.48165432445856</v>
      </c>
      <c r="AM46" s="393">
        <f t="shared" si="76"/>
        <v>90.781654324458557</v>
      </c>
      <c r="AN46" s="393">
        <f t="shared" si="68"/>
        <v>67.781654324458557</v>
      </c>
      <c r="AO46" s="393">
        <f t="shared" si="69"/>
        <v>53.775947959569727</v>
      </c>
      <c r="AP46" s="96">
        <f t="shared" si="70"/>
        <v>40.982630197408852</v>
      </c>
      <c r="AQ46" s="91">
        <f t="shared" si="71"/>
        <v>22.58263019740885</v>
      </c>
      <c r="AR46" s="198"/>
      <c r="AS46" s="245">
        <f>$H$46*月別販売比率!AG5</f>
        <v>23</v>
      </c>
      <c r="AT46" s="241">
        <v>40</v>
      </c>
      <c r="AU46" s="81">
        <f>$H$46*月別販売比率!AL5</f>
        <v>20.7</v>
      </c>
      <c r="AV46" s="21"/>
      <c r="AW46" s="81">
        <f>$H$46*月別販売比率!AQ5</f>
        <v>23</v>
      </c>
      <c r="AX46" s="21"/>
      <c r="AY46" s="245">
        <f>$H$46*月別販売比率!AV5</f>
        <v>14.005706364888828</v>
      </c>
      <c r="AZ46" s="241">
        <v>28</v>
      </c>
      <c r="BA46" s="81">
        <f>$H$46*月別販売比率!BA5</f>
        <v>12.793317762160875</v>
      </c>
      <c r="BB46" s="21"/>
      <c r="BC46" s="245">
        <f>$H$46*月別販売比率!BF5</f>
        <v>18.400000000000002</v>
      </c>
      <c r="BD46" s="241">
        <v>4</v>
      </c>
      <c r="BE46" s="81">
        <f>$H$46*月別販売比率!C21</f>
        <v>16.298777756643247</v>
      </c>
      <c r="BF46" s="21"/>
      <c r="BG46" s="245">
        <f>$H$46*月別販売比率!H21</f>
        <v>16.100000000000001</v>
      </c>
      <c r="BH46" s="241">
        <v>48</v>
      </c>
      <c r="BI46" s="81">
        <f>$H$46*月別販売比率!M21</f>
        <v>23.244648498440419</v>
      </c>
      <c r="BJ46" s="21"/>
      <c r="BK46" s="245">
        <f>$H$46*月別販売比率!R21</f>
        <v>18.400000000000002</v>
      </c>
      <c r="BL46" s="241">
        <v>50</v>
      </c>
      <c r="BM46" s="245">
        <f>$H$46*月別販売比率!W21</f>
        <v>17.518345675541436</v>
      </c>
      <c r="BN46" s="241">
        <v>33</v>
      </c>
      <c r="BO46" s="81">
        <f>$H$46*月別販売比率!AB21</f>
        <v>27.599999999999998</v>
      </c>
      <c r="BP46" s="21"/>
      <c r="BQ46" s="81">
        <f>$H$46*月別販売比率!AG21</f>
        <v>23</v>
      </c>
      <c r="BR46" s="21"/>
      <c r="BS46" s="81">
        <f>$H$46*月別販売比率!AL21</f>
        <v>20.7</v>
      </c>
      <c r="BT46" s="21"/>
      <c r="BU46" s="245">
        <f>$H$46*月別販売比率!AQ21</f>
        <v>23</v>
      </c>
      <c r="BV46" s="241">
        <v>67</v>
      </c>
      <c r="BW46" s="81">
        <f>$H$46*月別販売比率!AV21</f>
        <v>14.005706364888828</v>
      </c>
      <c r="BX46" s="21"/>
      <c r="BY46" s="81">
        <f>$H$46*月別販売比率!BA21</f>
        <v>12.793317762160875</v>
      </c>
      <c r="BZ46" s="21"/>
      <c r="CA46" s="81">
        <f>$H$46*月別販売比率!BF21</f>
        <v>18.400000000000002</v>
      </c>
      <c r="CB46" s="21"/>
      <c r="CC46" s="245">
        <f>H46*月別販売比率!$C$21</f>
        <v>16.298777756643247</v>
      </c>
      <c r="CD46" s="241">
        <v>20</v>
      </c>
      <c r="CE46" s="81">
        <f>H46*月別販売比率!$H$21</f>
        <v>16.100000000000001</v>
      </c>
      <c r="CF46" s="21"/>
      <c r="CG46" s="81">
        <f>H46*月別販売比率!$M$21</f>
        <v>23.244648498440419</v>
      </c>
      <c r="CH46" s="21"/>
      <c r="CI46" s="81">
        <f>H46*月別販売比率!$R$21</f>
        <v>18.400000000000002</v>
      </c>
      <c r="CJ46" s="21">
        <v>57</v>
      </c>
      <c r="CK46" s="81">
        <f>H46*月別販売比率!$W$21</f>
        <v>17.518345675541436</v>
      </c>
      <c r="CL46" s="21"/>
      <c r="CM46" s="81">
        <f>H46*月別販売比率!$AB$21</f>
        <v>27.599999999999998</v>
      </c>
      <c r="CN46" s="21"/>
      <c r="CO46" s="81">
        <f>H46*月別販売比率!$AG$21</f>
        <v>23</v>
      </c>
      <c r="CP46" s="21"/>
      <c r="CQ46" s="81">
        <f>H46*月別販売比率!$AL$21</f>
        <v>20.7</v>
      </c>
      <c r="CR46" s="21">
        <v>90</v>
      </c>
      <c r="CS46" s="81">
        <f>H46*月別販売比率!$AQ$21</f>
        <v>23</v>
      </c>
      <c r="CT46" s="21"/>
      <c r="CU46" s="81">
        <f>H46*月別販売比率!$AV$21</f>
        <v>14.005706364888828</v>
      </c>
      <c r="CV46" s="21"/>
      <c r="CW46" s="81">
        <f>H46*月別販売比率!$BA$21</f>
        <v>12.793317762160875</v>
      </c>
      <c r="CX46" s="21"/>
      <c r="CY46" s="81">
        <f>H46*月別販売比率!$BF$21</f>
        <v>18.400000000000002</v>
      </c>
      <c r="CZ46" s="21"/>
      <c r="DA46" s="28"/>
      <c r="DB46" s="294"/>
    </row>
    <row r="47" spans="2:106" ht="30.75" customHeight="1">
      <c r="C47" s="457"/>
      <c r="D47" s="441"/>
      <c r="E47" s="94" t="s">
        <v>49</v>
      </c>
      <c r="F47" s="57">
        <v>69</v>
      </c>
      <c r="G47" s="46">
        <f t="shared" si="72"/>
        <v>250470</v>
      </c>
      <c r="H47" s="45">
        <f t="shared" si="73"/>
        <v>196.7149059334298</v>
      </c>
      <c r="I47" s="46">
        <f t="shared" si="74"/>
        <v>714075.10853835021</v>
      </c>
      <c r="J47" s="9">
        <v>11</v>
      </c>
      <c r="K47" s="21">
        <f t="shared" si="64"/>
        <v>38</v>
      </c>
      <c r="L47" s="21">
        <v>5</v>
      </c>
      <c r="M47" s="39">
        <v>9</v>
      </c>
      <c r="N47" s="95">
        <v>24</v>
      </c>
      <c r="O47" s="289">
        <v>45594</v>
      </c>
      <c r="P47" s="19"/>
      <c r="Q47" s="328"/>
      <c r="R47" s="331">
        <v>45687</v>
      </c>
      <c r="S47" s="328"/>
      <c r="T47" s="328"/>
      <c r="U47" s="331">
        <v>45765</v>
      </c>
      <c r="V47" s="124"/>
      <c r="W47" s="124"/>
      <c r="X47" s="328"/>
      <c r="Y47" s="328"/>
      <c r="Z47" s="124"/>
      <c r="AA47" s="328"/>
      <c r="AB47" s="124"/>
      <c r="AC47" s="124"/>
      <c r="AD47" s="124"/>
      <c r="AE47" s="124"/>
      <c r="AF47" s="124"/>
      <c r="AG47" s="124"/>
      <c r="AH47" s="124"/>
      <c r="AI47" s="129">
        <f t="shared" si="75"/>
        <v>40.262807525325613</v>
      </c>
      <c r="AJ47" s="129">
        <f t="shared" si="65"/>
        <v>25.279678300658482</v>
      </c>
      <c r="AK47" s="129">
        <f t="shared" si="66"/>
        <v>1.6738895886469045</v>
      </c>
      <c r="AL47" s="399">
        <f t="shared" si="67"/>
        <v>-17.997601004696076</v>
      </c>
      <c r="AM47" s="393">
        <f>0-CQ47+CR47</f>
        <v>62.295658465991323</v>
      </c>
      <c r="AN47" s="393">
        <f t="shared" si="68"/>
        <v>42.624167872648343</v>
      </c>
      <c r="AO47" s="393">
        <f t="shared" si="69"/>
        <v>30.645336524385975</v>
      </c>
      <c r="AP47" s="96">
        <f t="shared" si="70"/>
        <v>19.703439567168786</v>
      </c>
      <c r="AQ47" s="91">
        <f t="shared" si="71"/>
        <v>3.9662470924944007</v>
      </c>
      <c r="AR47" s="198"/>
      <c r="AS47" s="245">
        <f>$H$47*月別販売比率!AG5</f>
        <v>19.67149059334298</v>
      </c>
      <c r="AT47" s="241">
        <v>50</v>
      </c>
      <c r="AU47" s="81">
        <f>$H$47*月別販売比率!AL5</f>
        <v>17.70434153400868</v>
      </c>
      <c r="AV47" s="21"/>
      <c r="AW47" s="81">
        <f>$H$47*月別販売比率!AQ5</f>
        <v>19.67149059334298</v>
      </c>
      <c r="AX47" s="21"/>
      <c r="AY47" s="245">
        <f>$H$47*月別販売比率!AV5</f>
        <v>11.97883134826237</v>
      </c>
      <c r="AZ47" s="241">
        <v>30</v>
      </c>
      <c r="BA47" s="81">
        <f>$H$47*月別販売比率!BA5</f>
        <v>10.941896957217187</v>
      </c>
      <c r="BB47" s="21"/>
      <c r="BC47" s="245">
        <f>$H$47*月別販売比率!BF5</f>
        <v>15.737192474674385</v>
      </c>
      <c r="BD47" s="241">
        <v>16</v>
      </c>
      <c r="BE47" s="81">
        <f>$H$47*月別販売比率!C21</f>
        <v>13.940054492295454</v>
      </c>
      <c r="BF47" s="21"/>
      <c r="BG47" s="245">
        <f>$H$47*月別販売比率!H21</f>
        <v>13.770043415340087</v>
      </c>
      <c r="BH47" s="241">
        <v>60</v>
      </c>
      <c r="BI47" s="81">
        <f>$H$47*月別販売比率!M21</f>
        <v>19.880734099244989</v>
      </c>
      <c r="BJ47" s="21"/>
      <c r="BK47" s="245">
        <f>$H$47*月別販売比率!R21</f>
        <v>15.737192474674385</v>
      </c>
      <c r="BL47" s="241">
        <v>50</v>
      </c>
      <c r="BM47" s="245">
        <f>$H$47*月別販売比率!W21</f>
        <v>14.983129224667133</v>
      </c>
      <c r="BN47" s="241">
        <v>36</v>
      </c>
      <c r="BO47" s="81">
        <f>$H$47*月別販売比率!AB21</f>
        <v>23.605788712011577</v>
      </c>
      <c r="BP47" s="21"/>
      <c r="BQ47" s="81">
        <f>$H$47*月別販売比率!AG21</f>
        <v>19.67149059334298</v>
      </c>
      <c r="BR47" s="21"/>
      <c r="BS47" s="81">
        <f>$H$47*月別販売比率!AL21</f>
        <v>17.70434153400868</v>
      </c>
      <c r="BT47" s="21"/>
      <c r="BU47" s="245">
        <f>$H$47*月別販売比率!AQ21</f>
        <v>19.67149059334298</v>
      </c>
      <c r="BV47" s="241">
        <v>32</v>
      </c>
      <c r="BW47" s="81">
        <f>$H$47*月別販売比率!AV21</f>
        <v>11.97883134826237</v>
      </c>
      <c r="BX47" s="21"/>
      <c r="BY47" s="81">
        <f>$H$47*月別販売比率!BA21</f>
        <v>10.941896957217187</v>
      </c>
      <c r="BZ47" s="21"/>
      <c r="CA47" s="81">
        <f>$H$47*月別販売比率!BF21</f>
        <v>15.737192474674385</v>
      </c>
      <c r="CB47" s="21"/>
      <c r="CC47" s="245">
        <f>H47*月別販売比率!$C$21</f>
        <v>13.940054492295454</v>
      </c>
      <c r="CD47" s="241">
        <v>10</v>
      </c>
      <c r="CE47" s="81">
        <f>H47*月別販売比率!$H$21</f>
        <v>13.770043415340087</v>
      </c>
      <c r="CF47" s="21"/>
      <c r="CG47" s="81">
        <f>H47*月別販売比率!$M$21</f>
        <v>19.880734099244989</v>
      </c>
      <c r="CH47" s="21"/>
      <c r="CI47" s="81">
        <f>H47*月別販売比率!$R$21</f>
        <v>15.737192474674385</v>
      </c>
      <c r="CJ47" s="21">
        <v>7</v>
      </c>
      <c r="CK47" s="81">
        <f>H47*月別販売比率!$W$21</f>
        <v>14.983129224667133</v>
      </c>
      <c r="CL47" s="21"/>
      <c r="CM47" s="81">
        <f>H47*月別販売比率!$AB$21</f>
        <v>23.605788712011577</v>
      </c>
      <c r="CN47" s="21"/>
      <c r="CO47" s="81">
        <f>H47*月別販売比率!$AG$21</f>
        <v>19.67149059334298</v>
      </c>
      <c r="CP47" s="21"/>
      <c r="CQ47" s="81">
        <f>H47*月別販売比率!$AL$21</f>
        <v>17.70434153400868</v>
      </c>
      <c r="CR47" s="21">
        <v>80</v>
      </c>
      <c r="CS47" s="81">
        <f>H47*月別販売比率!$AQ$21</f>
        <v>19.67149059334298</v>
      </c>
      <c r="CT47" s="21"/>
      <c r="CU47" s="81">
        <f>H47*月別販売比率!$AV$21</f>
        <v>11.97883134826237</v>
      </c>
      <c r="CV47" s="21"/>
      <c r="CW47" s="81">
        <f>H47*月別販売比率!$BA$21</f>
        <v>10.941896957217187</v>
      </c>
      <c r="CX47" s="21"/>
      <c r="CY47" s="81">
        <f>H47*月別販売比率!$BF$21</f>
        <v>15.737192474674385</v>
      </c>
      <c r="CZ47" s="21"/>
      <c r="DA47" s="28"/>
      <c r="DB47" s="294"/>
    </row>
    <row r="48" spans="2:106" ht="30.75" customHeight="1">
      <c r="C48" s="458"/>
      <c r="D48" s="444"/>
      <c r="E48" s="122" t="s">
        <v>50</v>
      </c>
      <c r="F48" s="126">
        <v>56</v>
      </c>
      <c r="G48" s="53">
        <f t="shared" si="72"/>
        <v>203280</v>
      </c>
      <c r="H48" s="52">
        <f t="shared" si="73"/>
        <v>159.65267727930535</v>
      </c>
      <c r="I48" s="53">
        <f t="shared" si="74"/>
        <v>579539.21852387837</v>
      </c>
      <c r="J48" s="127">
        <v>5</v>
      </c>
      <c r="K48" s="103">
        <f t="shared" si="64"/>
        <v>26</v>
      </c>
      <c r="L48" s="103">
        <v>4</v>
      </c>
      <c r="M48" s="103">
        <v>6</v>
      </c>
      <c r="N48" s="117">
        <v>16</v>
      </c>
      <c r="O48" s="319">
        <v>45594</v>
      </c>
      <c r="P48" s="123"/>
      <c r="Q48" s="238"/>
      <c r="R48" s="334">
        <v>45687</v>
      </c>
      <c r="S48" s="329"/>
      <c r="T48" s="329"/>
      <c r="U48" s="334">
        <v>45765</v>
      </c>
      <c r="V48" s="238"/>
      <c r="W48" s="238"/>
      <c r="X48" s="329"/>
      <c r="Y48" s="329"/>
      <c r="Z48" s="238"/>
      <c r="AA48" s="238"/>
      <c r="AB48" s="238"/>
      <c r="AC48" s="238"/>
      <c r="AD48" s="238"/>
      <c r="AE48" s="238"/>
      <c r="AF48" s="238"/>
      <c r="AG48" s="238"/>
      <c r="AH48" s="238"/>
      <c r="AI48" s="238">
        <f t="shared" si="75"/>
        <v>25.227785817655572</v>
      </c>
      <c r="AJ48" s="238">
        <f t="shared" si="65"/>
        <v>13.06756499763587</v>
      </c>
      <c r="AK48" s="238">
        <f t="shared" si="66"/>
        <v>-6.0907562758807714</v>
      </c>
      <c r="AL48" s="401">
        <f t="shared" si="67"/>
        <v>-22.056024003811309</v>
      </c>
      <c r="AM48" s="395">
        <f>0-CQ48+CR48</f>
        <v>50.631259044862517</v>
      </c>
      <c r="AN48" s="395">
        <f t="shared" si="68"/>
        <v>34.665991316931979</v>
      </c>
      <c r="AO48" s="395">
        <f t="shared" si="69"/>
        <v>24.944041237182809</v>
      </c>
      <c r="AP48" s="403">
        <f t="shared" si="70"/>
        <v>16.063661097992046</v>
      </c>
      <c r="AQ48" s="90">
        <f t="shared" si="71"/>
        <v>3.2914469156476187</v>
      </c>
      <c r="AR48" s="238"/>
      <c r="AS48" s="301">
        <f>$H$48*月別販売比率!AG5</f>
        <v>15.965267727930536</v>
      </c>
      <c r="AT48" s="302">
        <v>50</v>
      </c>
      <c r="AU48" s="282">
        <f>$H$48*月別販売比率!AL5</f>
        <v>14.368740955137481</v>
      </c>
      <c r="AV48" s="103"/>
      <c r="AW48" s="282">
        <f>$H$48*月別販売比率!AQ5</f>
        <v>15.965267727930536</v>
      </c>
      <c r="AX48" s="103"/>
      <c r="AY48" s="301">
        <f>$H$48*月別販売比率!AV5</f>
        <v>9.7219500797491687</v>
      </c>
      <c r="AZ48" s="302">
        <v>10</v>
      </c>
      <c r="BA48" s="282">
        <f>$H$48*月別販売比率!BA5</f>
        <v>8.8803801391907609</v>
      </c>
      <c r="BB48" s="103"/>
      <c r="BC48" s="301">
        <f>$H$48*月別販売比率!BF5</f>
        <v>12.772214182344428</v>
      </c>
      <c r="BD48" s="302">
        <v>20</v>
      </c>
      <c r="BE48" s="282">
        <f>$H$48*月別販売比率!C21</f>
        <v>11.313667414036891</v>
      </c>
      <c r="BF48" s="103"/>
      <c r="BG48" s="301">
        <f>$H$48*月別販売比率!H21</f>
        <v>11.175687409551376</v>
      </c>
      <c r="BH48" s="302">
        <v>55</v>
      </c>
      <c r="BI48" s="282">
        <f>$H$48*月別販売比率!M21</f>
        <v>16.135088544314776</v>
      </c>
      <c r="BJ48" s="104"/>
      <c r="BK48" s="301">
        <f>$H$48*月別販売比率!R21</f>
        <v>12.772214182344428</v>
      </c>
      <c r="BL48" s="302">
        <v>35</v>
      </c>
      <c r="BM48" s="301">
        <f>$H$48*月別販売比率!W21</f>
        <v>12.160220820019703</v>
      </c>
      <c r="BN48" s="302">
        <v>29</v>
      </c>
      <c r="BO48" s="282">
        <f>$H$48*月別販売比率!AB21</f>
        <v>19.158321273516641</v>
      </c>
      <c r="BP48" s="103"/>
      <c r="BQ48" s="282">
        <f>$H$48*月別販売比率!AG21</f>
        <v>15.965267727930536</v>
      </c>
      <c r="BR48" s="103"/>
      <c r="BS48" s="282">
        <f>$H$48*月別販売比率!AL21</f>
        <v>14.368740955137481</v>
      </c>
      <c r="BT48" s="103"/>
      <c r="BU48" s="301">
        <f>$H$48*月別販売比率!AQ21</f>
        <v>15.965267727930536</v>
      </c>
      <c r="BV48" s="302"/>
      <c r="BW48" s="282">
        <f>$H$48*月別販売比率!AV21</f>
        <v>9.7219500797491687</v>
      </c>
      <c r="BX48" s="103"/>
      <c r="BY48" s="282">
        <f>$H$48*月別販売比率!BA21</f>
        <v>8.8803801391907609</v>
      </c>
      <c r="BZ48" s="103"/>
      <c r="CA48" s="282">
        <f>$H$48*月別販売比率!BF21</f>
        <v>12.772214182344428</v>
      </c>
      <c r="CB48" s="103"/>
      <c r="CC48" s="301">
        <f>H48*月別販売比率!$C$21</f>
        <v>11.313667414036891</v>
      </c>
      <c r="CD48" s="302">
        <v>10</v>
      </c>
      <c r="CE48" s="282">
        <f>H48*月別販売比率!$H$21</f>
        <v>11.175687409551376</v>
      </c>
      <c r="CF48" s="103"/>
      <c r="CG48" s="282">
        <f>H48*月別販売比率!$M$21</f>
        <v>16.135088544314776</v>
      </c>
      <c r="CH48" s="103"/>
      <c r="CI48" s="282">
        <f>H48*月別販売比率!$R$21</f>
        <v>12.772214182344428</v>
      </c>
      <c r="CJ48" s="103">
        <v>7</v>
      </c>
      <c r="CK48" s="282">
        <f>H48*月別販売比率!$W$21</f>
        <v>12.160220820019703</v>
      </c>
      <c r="CL48" s="103"/>
      <c r="CM48" s="282">
        <f>H48*月別販売比率!$AB$21</f>
        <v>19.158321273516641</v>
      </c>
      <c r="CN48" s="103"/>
      <c r="CO48" s="282">
        <f>H48*月別販売比率!$AG$21</f>
        <v>15.965267727930536</v>
      </c>
      <c r="CP48" s="103"/>
      <c r="CQ48" s="282">
        <f>H48*月別販売比率!$AL$21</f>
        <v>14.368740955137481</v>
      </c>
      <c r="CR48" s="103">
        <v>65</v>
      </c>
      <c r="CS48" s="282">
        <f>H48*月別販売比率!$AQ$21</f>
        <v>15.965267727930536</v>
      </c>
      <c r="CT48" s="103"/>
      <c r="CU48" s="282">
        <f>H48*月別販売比率!$AV$21</f>
        <v>9.7219500797491687</v>
      </c>
      <c r="CV48" s="103"/>
      <c r="CW48" s="282">
        <f>H48*月別販売比率!$BA$21</f>
        <v>8.8803801391907609</v>
      </c>
      <c r="CX48" s="103"/>
      <c r="CY48" s="282">
        <f>H48*月別販売比率!$BF$21</f>
        <v>12.772214182344428</v>
      </c>
      <c r="CZ48" s="103"/>
      <c r="DA48" s="303"/>
      <c r="DB48" s="300"/>
    </row>
    <row r="49" spans="2:106" ht="30.75" customHeight="1">
      <c r="B49" s="2">
        <v>4</v>
      </c>
      <c r="C49" s="435" t="s">
        <v>2</v>
      </c>
      <c r="D49" s="436"/>
      <c r="E49" s="437"/>
      <c r="F49" s="130">
        <f>SUM(F50:F59)</f>
        <v>954</v>
      </c>
      <c r="G49" s="131">
        <f>SUM(G50:G59)</f>
        <v>3987720</v>
      </c>
      <c r="H49" s="130">
        <v>1221</v>
      </c>
      <c r="I49" s="131">
        <f t="shared" ref="I49:N49" si="77">SUM(I50:I59)</f>
        <v>6070148.679245282</v>
      </c>
      <c r="J49" s="133">
        <f t="shared" si="77"/>
        <v>179</v>
      </c>
      <c r="K49" s="134">
        <f t="shared" si="77"/>
        <v>270</v>
      </c>
      <c r="L49" s="134">
        <f t="shared" si="77"/>
        <v>74</v>
      </c>
      <c r="M49" s="134">
        <f t="shared" si="77"/>
        <v>196</v>
      </c>
      <c r="N49" s="135">
        <f t="shared" si="77"/>
        <v>0</v>
      </c>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6">
        <f t="shared" ref="AS49:CB49" si="78">SUM(AS50:AS59)</f>
        <v>145.2188679245283</v>
      </c>
      <c r="AT49" s="134">
        <f t="shared" si="78"/>
        <v>0</v>
      </c>
      <c r="AU49" s="136">
        <f t="shared" si="78"/>
        <v>130.69698113207548</v>
      </c>
      <c r="AV49" s="134">
        <f t="shared" si="78"/>
        <v>0</v>
      </c>
      <c r="AW49" s="136">
        <f t="shared" si="78"/>
        <v>145.2188679245283</v>
      </c>
      <c r="AX49" s="134">
        <f t="shared" si="78"/>
        <v>300</v>
      </c>
      <c r="AY49" s="136">
        <f t="shared" si="78"/>
        <v>88.430122730109389</v>
      </c>
      <c r="AZ49" s="134">
        <f t="shared" si="78"/>
        <v>0</v>
      </c>
      <c r="BA49" s="136">
        <f t="shared" si="78"/>
        <v>80.775266192163571</v>
      </c>
      <c r="BB49" s="134">
        <f t="shared" si="78"/>
        <v>0</v>
      </c>
      <c r="BC49" s="136">
        <f t="shared" si="78"/>
        <v>116.17509433962267</v>
      </c>
      <c r="BD49" s="134">
        <f t="shared" si="78"/>
        <v>0</v>
      </c>
      <c r="BE49" s="136">
        <f t="shared" si="78"/>
        <v>102.90826323361807</v>
      </c>
      <c r="BF49" s="134">
        <f t="shared" si="78"/>
        <v>600</v>
      </c>
      <c r="BG49" s="136">
        <f t="shared" si="78"/>
        <v>101.65320754716983</v>
      </c>
      <c r="BH49" s="134">
        <f t="shared" si="78"/>
        <v>0</v>
      </c>
      <c r="BI49" s="136">
        <f t="shared" si="78"/>
        <v>146.76354522813497</v>
      </c>
      <c r="BJ49" s="134">
        <f t="shared" ref="BJ49" si="79">SUM(BJ50:BJ59)</f>
        <v>0</v>
      </c>
      <c r="BK49" s="136">
        <f t="shared" si="78"/>
        <v>116.17509433962267</v>
      </c>
      <c r="BL49" s="134">
        <f t="shared" si="78"/>
        <v>0</v>
      </c>
      <c r="BM49" s="136">
        <f t="shared" si="78"/>
        <v>110.60844899620362</v>
      </c>
      <c r="BN49" s="134">
        <f t="shared" si="78"/>
        <v>0</v>
      </c>
      <c r="BO49" s="136">
        <f t="shared" si="78"/>
        <v>174.26264150943399</v>
      </c>
      <c r="BP49" s="134">
        <f t="shared" si="78"/>
        <v>296</v>
      </c>
      <c r="BQ49" s="136">
        <f t="shared" si="78"/>
        <v>145.2188679245283</v>
      </c>
      <c r="BR49" s="134">
        <f t="shared" si="78"/>
        <v>304</v>
      </c>
      <c r="BS49" s="136">
        <f t="shared" si="78"/>
        <v>130.69698113207548</v>
      </c>
      <c r="BT49" s="134">
        <f t="shared" si="78"/>
        <v>0</v>
      </c>
      <c r="BU49" s="136">
        <f t="shared" si="78"/>
        <v>145.2188679245283</v>
      </c>
      <c r="BV49" s="134">
        <f t="shared" si="78"/>
        <v>0</v>
      </c>
      <c r="BW49" s="136">
        <f t="shared" si="78"/>
        <v>88.430122730109389</v>
      </c>
      <c r="BX49" s="134">
        <f t="shared" si="78"/>
        <v>0</v>
      </c>
      <c r="BY49" s="136">
        <f t="shared" si="78"/>
        <v>80.775266192163571</v>
      </c>
      <c r="BZ49" s="134">
        <f t="shared" si="78"/>
        <v>0</v>
      </c>
      <c r="CA49" s="136">
        <f t="shared" si="78"/>
        <v>116.17509433962267</v>
      </c>
      <c r="CB49" s="134">
        <f t="shared" si="78"/>
        <v>0</v>
      </c>
      <c r="CC49" s="136">
        <f t="shared" ref="CC49:CD49" si="80">SUM(CC50:CC59)</f>
        <v>102.90826323361807</v>
      </c>
      <c r="CD49" s="134">
        <f t="shared" si="80"/>
        <v>0</v>
      </c>
      <c r="CE49" s="136">
        <f t="shared" ref="CE49:CF49" si="81">SUM(CE50:CE59)</f>
        <v>101.65320754716983</v>
      </c>
      <c r="CF49" s="134">
        <f t="shared" si="81"/>
        <v>600</v>
      </c>
      <c r="CG49" s="136">
        <f t="shared" ref="CG49:CJ49" si="82">SUM(CG50:CG59)</f>
        <v>146.76354522813497</v>
      </c>
      <c r="CH49" s="134">
        <f t="shared" si="82"/>
        <v>0</v>
      </c>
      <c r="CI49" s="136">
        <f t="shared" si="82"/>
        <v>116.17509433962267</v>
      </c>
      <c r="CJ49" s="134">
        <f t="shared" si="82"/>
        <v>305</v>
      </c>
      <c r="CK49" s="136">
        <f t="shared" ref="CK49:CN49" si="83">SUM(CK50:CK59)</f>
        <v>110.60844899620362</v>
      </c>
      <c r="CL49" s="134">
        <f t="shared" si="83"/>
        <v>0</v>
      </c>
      <c r="CM49" s="136">
        <f t="shared" si="83"/>
        <v>174.26264150943399</v>
      </c>
      <c r="CN49" s="134">
        <f t="shared" si="83"/>
        <v>0</v>
      </c>
      <c r="CO49" s="136">
        <f t="shared" ref="CO49:CR49" si="84">SUM(CO50:CO59)</f>
        <v>145.2188679245283</v>
      </c>
      <c r="CP49" s="134">
        <f t="shared" si="84"/>
        <v>305</v>
      </c>
      <c r="CQ49" s="136">
        <f t="shared" si="84"/>
        <v>130.69698113207548</v>
      </c>
      <c r="CR49" s="134">
        <f t="shared" si="84"/>
        <v>0</v>
      </c>
      <c r="CS49" s="136">
        <f t="shared" ref="CS49:CX49" si="85">SUM(CS50:CS59)</f>
        <v>145.2188679245283</v>
      </c>
      <c r="CT49" s="134">
        <f t="shared" si="85"/>
        <v>0</v>
      </c>
      <c r="CU49" s="136">
        <v>88.430122730109389</v>
      </c>
      <c r="CV49" s="134">
        <f t="shared" si="85"/>
        <v>0</v>
      </c>
      <c r="CW49" s="136">
        <f t="shared" si="85"/>
        <v>80.775266192163571</v>
      </c>
      <c r="CX49" s="134">
        <f t="shared" si="85"/>
        <v>0</v>
      </c>
      <c r="CY49" s="136">
        <f t="shared" ref="CY49:CZ49" si="86">SUM(CY50:CY59)</f>
        <v>116.17509433962267</v>
      </c>
      <c r="CZ49" s="134">
        <f t="shared" si="86"/>
        <v>0</v>
      </c>
      <c r="DA49" s="141"/>
      <c r="DB49" s="293"/>
    </row>
    <row r="50" spans="2:106" ht="30.75" customHeight="1">
      <c r="C50" s="446" t="s">
        <v>361</v>
      </c>
      <c r="D50" s="443">
        <v>1</v>
      </c>
      <c r="E50" s="99" t="s">
        <v>46</v>
      </c>
      <c r="F50" s="56">
        <v>136</v>
      </c>
      <c r="G50" s="46">
        <f>F50*4180</f>
        <v>568480</v>
      </c>
      <c r="H50" s="7">
        <f>F50*($H$49/$F$49)</f>
        <v>174.06289308176102</v>
      </c>
      <c r="I50" s="46">
        <f>H50*4180</f>
        <v>727582.89308176108</v>
      </c>
      <c r="J50" s="49">
        <v>35</v>
      </c>
      <c r="K50" s="39">
        <f t="shared" ref="K50:K59" si="87">SUM(L50:N50)</f>
        <v>35</v>
      </c>
      <c r="L50" s="39">
        <v>10</v>
      </c>
      <c r="M50" s="39">
        <v>25</v>
      </c>
      <c r="N50" s="384"/>
      <c r="O50" s="19"/>
      <c r="P50" s="19"/>
      <c r="Q50" s="124"/>
      <c r="R50" s="124"/>
      <c r="S50" s="124"/>
      <c r="T50" s="124"/>
      <c r="U50" s="124"/>
      <c r="V50" s="124"/>
      <c r="W50" s="124"/>
      <c r="X50" s="328"/>
      <c r="Y50" s="328"/>
      <c r="Z50" s="124"/>
      <c r="AA50" s="124"/>
      <c r="AB50" s="124"/>
      <c r="AC50" s="124"/>
      <c r="AD50" s="124"/>
      <c r="AE50" s="124"/>
      <c r="AF50" s="124"/>
      <c r="AG50" s="331"/>
      <c r="AH50" s="331"/>
      <c r="AI50" s="129">
        <f t="shared" si="75"/>
        <v>86.074968553459115</v>
      </c>
      <c r="AJ50" s="129">
        <f t="shared" ref="AJ50:AJ59" si="88">AI50-CK50+CL50</f>
        <v>72.817168856541286</v>
      </c>
      <c r="AK50" s="129">
        <f t="shared" ref="AK50:AK59" si="89">AJ50-CM50+CN50</f>
        <v>51.929621686729966</v>
      </c>
      <c r="AL50" s="399">
        <f t="shared" ref="AL50:AL59" si="90">AK50-CO50+CP50</f>
        <v>64.52333237855386</v>
      </c>
      <c r="AM50" s="393">
        <f t="shared" ref="AM50:AM59" si="91">AL50-CQ50+CR50</f>
        <v>48.857672001195368</v>
      </c>
      <c r="AN50" s="393">
        <f t="shared" ref="AN50:AN59" si="92">AM50-CS50+CT50</f>
        <v>31.451382693019266</v>
      </c>
      <c r="AO50" s="393">
        <f t="shared" ref="AO50:AO59" si="93">AN50-CU50+CV50</f>
        <v>20.851931521166293</v>
      </c>
      <c r="AP50" s="96">
        <f t="shared" ref="AP50:AP59" si="94">AO50-CW50+CX50</f>
        <v>11.17001020900976</v>
      </c>
      <c r="AQ50" s="91">
        <f t="shared" ref="AQ50:AQ59" si="95">AP50-CY50+CZ50</f>
        <v>-2.7550212375311212</v>
      </c>
      <c r="AR50" s="198"/>
      <c r="AS50" s="192">
        <f>$H$50*月別販売比率!AG5</f>
        <v>17.406289308176103</v>
      </c>
      <c r="AT50" s="39"/>
      <c r="AU50" s="192">
        <f>$H$50*月別販売比率!AL5</f>
        <v>15.665660377358492</v>
      </c>
      <c r="AV50" s="39"/>
      <c r="AW50" s="340">
        <f>$H$50*月別販売比率!AQ5</f>
        <v>17.406289308176103</v>
      </c>
      <c r="AX50" s="280">
        <v>46</v>
      </c>
      <c r="AY50" s="192">
        <f>$H$50*月別販売比率!AV5</f>
        <v>10.599451171852973</v>
      </c>
      <c r="AZ50" s="39"/>
      <c r="BA50" s="192">
        <f>$H$50*月別販売比率!BA5</f>
        <v>9.6819213121565326</v>
      </c>
      <c r="BB50" s="39"/>
      <c r="BC50" s="192">
        <f>$H$50*月別販売比率!BF5</f>
        <v>13.925031446540881</v>
      </c>
      <c r="BD50" s="39"/>
      <c r="BE50" s="340">
        <f>$H$50*月別販売比率!C21</f>
        <v>12.334836565295557</v>
      </c>
      <c r="BF50" s="280">
        <v>80</v>
      </c>
      <c r="BG50" s="192">
        <f>$H$50*月別販売比率!H21</f>
        <v>12.184402515723272</v>
      </c>
      <c r="BH50" s="39"/>
      <c r="BI50" s="192">
        <f>$H$50*月別販売比率!M21</f>
        <v>17.591438114378921</v>
      </c>
      <c r="BJ50" s="39"/>
      <c r="BK50" s="192">
        <f>$H$50*月別販売比率!R21</f>
        <v>13.925031446540881</v>
      </c>
      <c r="BL50" s="39"/>
      <c r="BM50" s="192">
        <f>$H$50*月別販売比率!W21</f>
        <v>13.257799696917825</v>
      </c>
      <c r="BN50" s="39"/>
      <c r="BO50" s="340">
        <f>$H$50*月別販売比率!AB21</f>
        <v>20.88754716981132</v>
      </c>
      <c r="BP50" s="280">
        <v>40</v>
      </c>
      <c r="BQ50" s="340">
        <f>$H$50*月別販売比率!AG21</f>
        <v>17.406289308176103</v>
      </c>
      <c r="BR50" s="280">
        <v>40</v>
      </c>
      <c r="BS50" s="192">
        <f>$H$50*月別販売比率!AL21</f>
        <v>15.665660377358492</v>
      </c>
      <c r="BT50" s="39"/>
      <c r="BU50" s="192">
        <f>$H$50*月別販売比率!AQ21</f>
        <v>17.406289308176103</v>
      </c>
      <c r="BV50" s="39"/>
      <c r="BW50" s="192">
        <f>$H$50*月別販売比率!AV21</f>
        <v>10.599451171852973</v>
      </c>
      <c r="BX50" s="39"/>
      <c r="BY50" s="192">
        <f>$H$50*月別販売比率!BA21</f>
        <v>9.6819213121565326</v>
      </c>
      <c r="BZ50" s="39"/>
      <c r="CA50" s="192">
        <f>$H$50*月別販売比率!BF21</f>
        <v>13.925031446540881</v>
      </c>
      <c r="CB50" s="39"/>
      <c r="CC50" s="192">
        <f>H50*月別販売比率!$C$21</f>
        <v>12.334836565295557</v>
      </c>
      <c r="CD50" s="39"/>
      <c r="CE50" s="192">
        <f>H50*月別販売比率!$H$21</f>
        <v>12.184402515723272</v>
      </c>
      <c r="CF50" s="280">
        <v>80</v>
      </c>
      <c r="CG50" s="192">
        <f>H50*月別販売比率!$M$21</f>
        <v>17.591438114378921</v>
      </c>
      <c r="CH50" s="39"/>
      <c r="CI50" s="192">
        <f>H50*月別販売比率!$R$21</f>
        <v>13.925031446540881</v>
      </c>
      <c r="CJ50" s="39">
        <v>30</v>
      </c>
      <c r="CK50" s="192">
        <f>H50*月別販売比率!$W$21</f>
        <v>13.257799696917825</v>
      </c>
      <c r="CL50" s="39"/>
      <c r="CM50" s="192">
        <f>H50*月別販売比率!$AB$21</f>
        <v>20.88754716981132</v>
      </c>
      <c r="CN50" s="39"/>
      <c r="CO50" s="192">
        <f>H50*月別販売比率!$AG$21</f>
        <v>17.406289308176103</v>
      </c>
      <c r="CP50" s="39">
        <v>30</v>
      </c>
      <c r="CQ50" s="192">
        <f>H50*月別販売比率!$AL$21</f>
        <v>15.665660377358492</v>
      </c>
      <c r="CR50" s="39"/>
      <c r="CS50" s="192">
        <f>H50*月別販売比率!$AQ$21</f>
        <v>17.406289308176103</v>
      </c>
      <c r="CT50" s="39"/>
      <c r="CU50" s="192">
        <f>H50*月別販売比率!$AV$21</f>
        <v>10.599451171852973</v>
      </c>
      <c r="CV50" s="39"/>
      <c r="CW50" s="192">
        <f>H50*月別販売比率!$BA$21</f>
        <v>9.6819213121565326</v>
      </c>
      <c r="CX50" s="39"/>
      <c r="CY50" s="192">
        <f>H50*月別販売比率!$BF$21</f>
        <v>13.925031446540881</v>
      </c>
      <c r="CZ50" s="39"/>
      <c r="DA50" s="28"/>
      <c r="DB50" s="294"/>
    </row>
    <row r="51" spans="2:106" ht="30.75" customHeight="1">
      <c r="C51" s="457"/>
      <c r="D51" s="441"/>
      <c r="E51" s="94" t="s">
        <v>47</v>
      </c>
      <c r="F51" s="57">
        <v>130</v>
      </c>
      <c r="G51" s="46">
        <f t="shared" ref="G51:G59" si="96">F51*4180</f>
        <v>543400</v>
      </c>
      <c r="H51" s="165">
        <v>230</v>
      </c>
      <c r="I51" s="46">
        <f t="shared" ref="I51:I59" si="97">H51*4180</f>
        <v>961400</v>
      </c>
      <c r="J51" s="9">
        <v>29</v>
      </c>
      <c r="K51" s="21">
        <f t="shared" si="87"/>
        <v>27</v>
      </c>
      <c r="L51" s="21">
        <v>10</v>
      </c>
      <c r="M51" s="21">
        <v>17</v>
      </c>
      <c r="N51" s="384"/>
      <c r="O51" s="19"/>
      <c r="P51" s="19"/>
      <c r="Q51" s="124"/>
      <c r="R51" s="124"/>
      <c r="S51" s="328"/>
      <c r="T51" s="328"/>
      <c r="U51" s="328"/>
      <c r="V51" s="331">
        <v>45786</v>
      </c>
      <c r="W51" s="331"/>
      <c r="X51" s="328"/>
      <c r="Y51" s="328"/>
      <c r="Z51" s="124"/>
      <c r="AA51" s="124"/>
      <c r="AB51" s="124"/>
      <c r="AC51" s="124"/>
      <c r="AD51" s="124"/>
      <c r="AE51" s="328"/>
      <c r="AF51" s="328"/>
      <c r="AG51" s="331"/>
      <c r="AH51" s="331"/>
      <c r="AI51" s="129">
        <f t="shared" si="75"/>
        <v>92.6</v>
      </c>
      <c r="AJ51" s="129">
        <f t="shared" si="88"/>
        <v>75.081654324458555</v>
      </c>
      <c r="AK51" s="129">
        <f t="shared" si="89"/>
        <v>47.48165432445856</v>
      </c>
      <c r="AL51" s="399">
        <f t="shared" si="90"/>
        <v>79.48165432445856</v>
      </c>
      <c r="AM51" s="393">
        <f t="shared" si="91"/>
        <v>58.781654324458557</v>
      </c>
      <c r="AN51" s="393">
        <f t="shared" si="92"/>
        <v>35.781654324458557</v>
      </c>
      <c r="AO51" s="393">
        <f t="shared" si="93"/>
        <v>21.775947959569727</v>
      </c>
      <c r="AP51" s="96">
        <f t="shared" si="94"/>
        <v>8.9826301974088523</v>
      </c>
      <c r="AQ51" s="91">
        <f t="shared" si="95"/>
        <v>-9.4173698025911499</v>
      </c>
      <c r="AR51" s="198"/>
      <c r="AS51" s="81">
        <f>$H$51*月別販売比率!AG5</f>
        <v>23</v>
      </c>
      <c r="AT51" s="21"/>
      <c r="AU51" s="81">
        <f>$H$51*月別販売比率!AL5</f>
        <v>20.7</v>
      </c>
      <c r="AV51" s="21"/>
      <c r="AW51" s="245">
        <f>$H$51*月別販売比率!AQ5</f>
        <v>23</v>
      </c>
      <c r="AX51" s="241">
        <v>46</v>
      </c>
      <c r="AY51" s="81">
        <f>$H$51*月別販売比率!AV5</f>
        <v>14.005706364888828</v>
      </c>
      <c r="AZ51" s="21"/>
      <c r="BA51" s="81">
        <f>$H$51*月別販売比率!BA5</f>
        <v>12.793317762160875</v>
      </c>
      <c r="BB51" s="21"/>
      <c r="BC51" s="81">
        <f>$H$51*月別販売比率!BF5</f>
        <v>18.400000000000002</v>
      </c>
      <c r="BD51" s="21"/>
      <c r="BE51" s="245">
        <f>$H$51*月別販売比率!C21</f>
        <v>16.298777756643247</v>
      </c>
      <c r="BF51" s="241">
        <v>80</v>
      </c>
      <c r="BG51" s="81">
        <f>$H$51*月別販売比率!H21</f>
        <v>16.100000000000001</v>
      </c>
      <c r="BH51" s="21"/>
      <c r="BI51" s="81">
        <f>$H$51*月別販売比率!M21</f>
        <v>23.244648498440419</v>
      </c>
      <c r="BJ51" s="21"/>
      <c r="BK51" s="81">
        <f>$H$51*月別販売比率!R21</f>
        <v>18.400000000000002</v>
      </c>
      <c r="BL51" s="21"/>
      <c r="BM51" s="81">
        <f>$H$51*月別販売比率!W21</f>
        <v>17.518345675541436</v>
      </c>
      <c r="BN51" s="21"/>
      <c r="BO51" s="245">
        <f>$H$51*月別販売比率!AB21</f>
        <v>27.599999999999998</v>
      </c>
      <c r="BP51" s="241">
        <v>55</v>
      </c>
      <c r="BQ51" s="245">
        <f>$H$51*月別販売比率!AG21</f>
        <v>23</v>
      </c>
      <c r="BR51" s="241">
        <v>55</v>
      </c>
      <c r="BS51" s="81">
        <f>$H$51*月別販売比率!AL21</f>
        <v>20.7</v>
      </c>
      <c r="BT51" s="21"/>
      <c r="BU51" s="81">
        <f>$H$51*月別販売比率!AQ21</f>
        <v>23</v>
      </c>
      <c r="BV51" s="21"/>
      <c r="BW51" s="81">
        <f>$H$51*月別販売比率!AV21</f>
        <v>14.005706364888828</v>
      </c>
      <c r="BX51" s="21"/>
      <c r="BY51" s="81">
        <f>$H$51*月別販売比率!BA21</f>
        <v>12.793317762160875</v>
      </c>
      <c r="BZ51" s="21"/>
      <c r="CA51" s="81">
        <f>$H$51*月別販売比率!BF21</f>
        <v>18.400000000000002</v>
      </c>
      <c r="CB51" s="21"/>
      <c r="CC51" s="81">
        <f>H51*月別販売比率!$C$21</f>
        <v>16.298777756643247</v>
      </c>
      <c r="CD51" s="21"/>
      <c r="CE51" s="81">
        <f>H51*月別販売比率!$H$21</f>
        <v>16.100000000000001</v>
      </c>
      <c r="CF51" s="241">
        <v>85</v>
      </c>
      <c r="CG51" s="81">
        <f>H51*月別販売比率!$M$21</f>
        <v>23.244648498440419</v>
      </c>
      <c r="CH51" s="21"/>
      <c r="CI51" s="81">
        <f>H51*月別販売比率!$R$21</f>
        <v>18.400000000000002</v>
      </c>
      <c r="CJ51" s="21">
        <v>55</v>
      </c>
      <c r="CK51" s="81">
        <f>H51*月別販売比率!$W$21</f>
        <v>17.518345675541436</v>
      </c>
      <c r="CL51" s="21"/>
      <c r="CM51" s="81">
        <f>H51*月別販売比率!$AB$21</f>
        <v>27.599999999999998</v>
      </c>
      <c r="CN51" s="21"/>
      <c r="CO51" s="81">
        <f>H51*月別販売比率!$AG$21</f>
        <v>23</v>
      </c>
      <c r="CP51" s="21">
        <v>55</v>
      </c>
      <c r="CQ51" s="81">
        <f>H51*月別販売比率!$AL$21</f>
        <v>20.7</v>
      </c>
      <c r="CR51" s="21"/>
      <c r="CS51" s="81">
        <f>H51*月別販売比率!$AQ$21</f>
        <v>23</v>
      </c>
      <c r="CT51" s="21"/>
      <c r="CU51" s="81">
        <f>H51*月別販売比率!$AV$21</f>
        <v>14.005706364888828</v>
      </c>
      <c r="CV51" s="21"/>
      <c r="CW51" s="81">
        <f>H51*月別販売比率!$BA$21</f>
        <v>12.793317762160875</v>
      </c>
      <c r="CX51" s="21"/>
      <c r="CY51" s="81">
        <f>H51*月別販売比率!$BF$21</f>
        <v>18.400000000000002</v>
      </c>
      <c r="CZ51" s="21"/>
      <c r="DA51" s="28"/>
      <c r="DB51" s="294"/>
    </row>
    <row r="52" spans="2:106" ht="30.75" customHeight="1">
      <c r="C52" s="457"/>
      <c r="D52" s="441"/>
      <c r="E52" s="94" t="s">
        <v>51</v>
      </c>
      <c r="F52" s="57">
        <v>133</v>
      </c>
      <c r="G52" s="46">
        <f t="shared" si="96"/>
        <v>555940</v>
      </c>
      <c r="H52" s="165">
        <v>230</v>
      </c>
      <c r="I52" s="46">
        <f t="shared" si="97"/>
        <v>961400</v>
      </c>
      <c r="J52" s="9">
        <v>44</v>
      </c>
      <c r="K52" s="21">
        <f t="shared" si="87"/>
        <v>26</v>
      </c>
      <c r="L52" s="21">
        <v>7</v>
      </c>
      <c r="M52" s="21">
        <v>19</v>
      </c>
      <c r="N52" s="384"/>
      <c r="O52" s="19"/>
      <c r="P52" s="19"/>
      <c r="Q52" s="124"/>
      <c r="R52" s="124"/>
      <c r="S52" s="124"/>
      <c r="T52" s="124"/>
      <c r="U52" s="328"/>
      <c r="V52" s="331">
        <v>45786</v>
      </c>
      <c r="W52" s="331"/>
      <c r="X52" s="328"/>
      <c r="Y52" s="328"/>
      <c r="Z52" s="124"/>
      <c r="AA52" s="124"/>
      <c r="AB52" s="124"/>
      <c r="AC52" s="124"/>
      <c r="AD52" s="124"/>
      <c r="AE52" s="328"/>
      <c r="AF52" s="328"/>
      <c r="AG52" s="331"/>
      <c r="AH52" s="331"/>
      <c r="AI52" s="129">
        <f t="shared" si="75"/>
        <v>101.6</v>
      </c>
      <c r="AJ52" s="129">
        <f t="shared" si="88"/>
        <v>84.081654324458555</v>
      </c>
      <c r="AK52" s="129">
        <f t="shared" si="89"/>
        <v>56.48165432445856</v>
      </c>
      <c r="AL52" s="399">
        <f t="shared" si="90"/>
        <v>83.48165432445856</v>
      </c>
      <c r="AM52" s="393">
        <f t="shared" si="91"/>
        <v>62.781654324458557</v>
      </c>
      <c r="AN52" s="393">
        <f t="shared" si="92"/>
        <v>39.781654324458557</v>
      </c>
      <c r="AO52" s="393">
        <f t="shared" si="93"/>
        <v>25.775947959569727</v>
      </c>
      <c r="AP52" s="96">
        <f t="shared" si="94"/>
        <v>12.982630197408852</v>
      </c>
      <c r="AQ52" s="91">
        <f t="shared" si="95"/>
        <v>-5.4173698025911499</v>
      </c>
      <c r="AR52" s="198"/>
      <c r="AS52" s="81">
        <f>$H$52*月別販売比率!AG5</f>
        <v>23</v>
      </c>
      <c r="AT52" s="21"/>
      <c r="AU52" s="81">
        <f>$H$52*月別販売比率!AL5</f>
        <v>20.7</v>
      </c>
      <c r="AV52" s="21"/>
      <c r="AW52" s="245">
        <f>$H$52*月別販売比率!AQ5</f>
        <v>23</v>
      </c>
      <c r="AX52" s="241">
        <v>52</v>
      </c>
      <c r="AY52" s="81">
        <f>$H$52*月別販売比率!AV5</f>
        <v>14.005706364888828</v>
      </c>
      <c r="AZ52" s="21"/>
      <c r="BA52" s="81">
        <f>$H$52*月別販売比率!BA5</f>
        <v>12.793317762160875</v>
      </c>
      <c r="BB52" s="21"/>
      <c r="BC52" s="81">
        <f>$H$52*月別販売比率!BF5</f>
        <v>18.400000000000002</v>
      </c>
      <c r="BD52" s="21"/>
      <c r="BE52" s="245">
        <f>$H$52*月別販売比率!C21</f>
        <v>16.298777756643247</v>
      </c>
      <c r="BF52" s="241">
        <v>80</v>
      </c>
      <c r="BG52" s="81">
        <f>$H$52*月別販売比率!H21</f>
        <v>16.100000000000001</v>
      </c>
      <c r="BH52" s="21"/>
      <c r="BI52" s="81">
        <f>$H$52*月別販売比率!M21</f>
        <v>23.244648498440419</v>
      </c>
      <c r="BJ52" s="21"/>
      <c r="BK52" s="81">
        <f>$H$52*月別販売比率!R21</f>
        <v>18.400000000000002</v>
      </c>
      <c r="BL52" s="21"/>
      <c r="BM52" s="81">
        <f>$H$52*月別販売比率!W21</f>
        <v>17.518345675541436</v>
      </c>
      <c r="BN52" s="21"/>
      <c r="BO52" s="245">
        <f>$H$52*月別販売比率!AB21</f>
        <v>27.599999999999998</v>
      </c>
      <c r="BP52" s="241">
        <v>50</v>
      </c>
      <c r="BQ52" s="245">
        <f>$H$52*月別販売比率!AG21</f>
        <v>23</v>
      </c>
      <c r="BR52" s="241">
        <v>50</v>
      </c>
      <c r="BS52" s="81">
        <f>$H$52*月別販売比率!AL21</f>
        <v>20.7</v>
      </c>
      <c r="BT52" s="21"/>
      <c r="BU52" s="81">
        <f>$H$52*月別販売比率!AQ21</f>
        <v>23</v>
      </c>
      <c r="BV52" s="21"/>
      <c r="BW52" s="81">
        <f>$H$52*月別販売比率!AV21</f>
        <v>14.005706364888828</v>
      </c>
      <c r="BX52" s="21"/>
      <c r="BY52" s="81">
        <f>$H$52*月別販売比率!BA21</f>
        <v>12.793317762160875</v>
      </c>
      <c r="BZ52" s="21"/>
      <c r="CA52" s="81">
        <f>$H$52*月別販売比率!BF21</f>
        <v>18.400000000000002</v>
      </c>
      <c r="CB52" s="21"/>
      <c r="CC52" s="81">
        <f>H52*月別販売比率!$C$21</f>
        <v>16.298777756643247</v>
      </c>
      <c r="CD52" s="21"/>
      <c r="CE52" s="81">
        <f>H52*月別販売比率!$H$21</f>
        <v>16.100000000000001</v>
      </c>
      <c r="CF52" s="241">
        <v>95</v>
      </c>
      <c r="CG52" s="81">
        <f>H52*月別販売比率!$M$21</f>
        <v>23.244648498440419</v>
      </c>
      <c r="CH52" s="21"/>
      <c r="CI52" s="81">
        <f>H52*月別販売比率!$R$21</f>
        <v>18.400000000000002</v>
      </c>
      <c r="CJ52" s="21">
        <v>50</v>
      </c>
      <c r="CK52" s="81">
        <f>H52*月別販売比率!$W$21</f>
        <v>17.518345675541436</v>
      </c>
      <c r="CL52" s="21"/>
      <c r="CM52" s="81">
        <f>H52*月別販売比率!$AB$21</f>
        <v>27.599999999999998</v>
      </c>
      <c r="CN52" s="21"/>
      <c r="CO52" s="81">
        <f>H52*月別販売比率!$AG$21</f>
        <v>23</v>
      </c>
      <c r="CP52" s="21">
        <v>50</v>
      </c>
      <c r="CQ52" s="81">
        <f>H52*月別販売比率!$AL$21</f>
        <v>20.7</v>
      </c>
      <c r="CR52" s="21"/>
      <c r="CS52" s="81">
        <f>H52*月別販売比率!$AQ$21</f>
        <v>23</v>
      </c>
      <c r="CT52" s="21"/>
      <c r="CU52" s="81">
        <f>H52*月別販売比率!$AV$21</f>
        <v>14.005706364888828</v>
      </c>
      <c r="CV52" s="21"/>
      <c r="CW52" s="81">
        <f>H52*月別販売比率!$BA$21</f>
        <v>12.793317762160875</v>
      </c>
      <c r="CX52" s="21"/>
      <c r="CY52" s="81">
        <f>H52*月別販売比率!$BF$21</f>
        <v>18.400000000000002</v>
      </c>
      <c r="CZ52" s="21"/>
      <c r="DA52" s="28"/>
      <c r="DB52" s="294"/>
    </row>
    <row r="53" spans="2:106" ht="30.75" customHeight="1">
      <c r="C53" s="457"/>
      <c r="D53" s="441"/>
      <c r="E53" s="94" t="s">
        <v>49</v>
      </c>
      <c r="F53" s="57">
        <v>58</v>
      </c>
      <c r="G53" s="46">
        <f t="shared" si="96"/>
        <v>242440</v>
      </c>
      <c r="H53" s="7">
        <f t="shared" ref="H53:H59" si="98">F53*($H$49/$F$49)</f>
        <v>74.232704402515722</v>
      </c>
      <c r="I53" s="46">
        <f t="shared" si="97"/>
        <v>310292.70440251572</v>
      </c>
      <c r="J53" s="9">
        <v>0</v>
      </c>
      <c r="K53" s="21">
        <f t="shared" si="87"/>
        <v>27</v>
      </c>
      <c r="L53" s="21">
        <v>6</v>
      </c>
      <c r="M53" s="21">
        <v>21</v>
      </c>
      <c r="N53" s="384"/>
      <c r="O53" s="288"/>
      <c r="P53" s="288"/>
      <c r="Q53" s="331">
        <v>46001</v>
      </c>
      <c r="R53" s="124"/>
      <c r="S53" s="124"/>
      <c r="T53" s="328"/>
      <c r="U53" s="328"/>
      <c r="V53" s="331">
        <v>45786</v>
      </c>
      <c r="W53" s="331"/>
      <c r="X53" s="328"/>
      <c r="Y53" s="328"/>
      <c r="Z53" s="124"/>
      <c r="AA53" s="124"/>
      <c r="AB53" s="124"/>
      <c r="AC53" s="124"/>
      <c r="AD53" s="328"/>
      <c r="AE53" s="328"/>
      <c r="AF53" s="328"/>
      <c r="AG53" s="331"/>
      <c r="AH53" s="331"/>
      <c r="AI53" s="129">
        <f t="shared" si="75"/>
        <v>36.061383647798742</v>
      </c>
      <c r="AJ53" s="129">
        <f t="shared" si="88"/>
        <v>30.407322012348494</v>
      </c>
      <c r="AK53" s="129">
        <f t="shared" si="89"/>
        <v>21.499397484046607</v>
      </c>
      <c r="AL53" s="399">
        <f t="shared" si="90"/>
        <v>29.076127043795033</v>
      </c>
      <c r="AM53" s="393">
        <f t="shared" si="91"/>
        <v>22.395183647568619</v>
      </c>
      <c r="AN53" s="393">
        <f t="shared" si="92"/>
        <v>14.971913207317046</v>
      </c>
      <c r="AO53" s="393">
        <f t="shared" si="93"/>
        <v>10.451559031085631</v>
      </c>
      <c r="AP53" s="96">
        <f t="shared" si="94"/>
        <v>6.3225043538424046</v>
      </c>
      <c r="AQ53" s="91">
        <f t="shared" si="95"/>
        <v>0.38388800164114656</v>
      </c>
      <c r="AR53" s="198"/>
      <c r="AS53" s="81">
        <f>$H$53*月別販売比率!AG5</f>
        <v>7.4232704402515726</v>
      </c>
      <c r="AT53" s="21"/>
      <c r="AU53" s="81">
        <f>$H$53*月別販売比率!AL5</f>
        <v>6.6809433962264144</v>
      </c>
      <c r="AV53" s="21"/>
      <c r="AW53" s="245">
        <f>$H$53*月別販売比率!AQ5</f>
        <v>7.4232704402515726</v>
      </c>
      <c r="AX53" s="241">
        <v>18</v>
      </c>
      <c r="AY53" s="81">
        <f>$H$53*月別販売比率!AV5</f>
        <v>4.5203541762314146</v>
      </c>
      <c r="AZ53" s="21"/>
      <c r="BA53" s="81">
        <f>$H$53*月別販売比率!BA5</f>
        <v>4.1290546772432268</v>
      </c>
      <c r="BB53" s="21"/>
      <c r="BC53" s="81">
        <f>$H$53*月別販売比率!BF5</f>
        <v>5.9386163522012581</v>
      </c>
      <c r="BD53" s="21"/>
      <c r="BE53" s="245">
        <f>$H$53*月別販売比率!C21</f>
        <v>5.2604450057878109</v>
      </c>
      <c r="BF53" s="241">
        <v>40</v>
      </c>
      <c r="BG53" s="81">
        <f>$H$53*月別販売比率!H21</f>
        <v>5.1962893081761008</v>
      </c>
      <c r="BH53" s="21"/>
      <c r="BI53" s="81">
        <f>$H$53*月別販売比率!M21</f>
        <v>7.502230960543951</v>
      </c>
      <c r="BJ53" s="21"/>
      <c r="BK53" s="81">
        <f>$H$53*月別販売比率!R21</f>
        <v>5.9386163522012581</v>
      </c>
      <c r="BL53" s="21"/>
      <c r="BM53" s="81">
        <f>$H$53*月別販売比率!W21</f>
        <v>5.6540616354502484</v>
      </c>
      <c r="BN53" s="21"/>
      <c r="BO53" s="245">
        <f>$H$53*月別販売比率!AB21</f>
        <v>8.9079245283018871</v>
      </c>
      <c r="BP53" s="241">
        <v>23</v>
      </c>
      <c r="BQ53" s="245">
        <f>$H$53*月別販売比率!AG21</f>
        <v>7.4232704402515726</v>
      </c>
      <c r="BR53" s="241">
        <v>22</v>
      </c>
      <c r="BS53" s="81">
        <f>$H$53*月別販売比率!AL21</f>
        <v>6.6809433962264144</v>
      </c>
      <c r="BT53" s="21"/>
      <c r="BU53" s="81">
        <f>$H$53*月別販売比率!AQ21</f>
        <v>7.4232704402515726</v>
      </c>
      <c r="BV53" s="21"/>
      <c r="BW53" s="81">
        <f>$H$53*月別販売比率!AV21</f>
        <v>4.5203541762314146</v>
      </c>
      <c r="BX53" s="21"/>
      <c r="BY53" s="81">
        <f>$H$53*月別販売比率!BA21</f>
        <v>4.1290546772432268</v>
      </c>
      <c r="BZ53" s="21"/>
      <c r="CA53" s="81">
        <f>$H$53*月別販売比率!BF21</f>
        <v>5.9386163522012581</v>
      </c>
      <c r="CB53" s="21"/>
      <c r="CC53" s="81">
        <f>H53*月別販売比率!$C$21</f>
        <v>5.2604450057878109</v>
      </c>
      <c r="CD53" s="21"/>
      <c r="CE53" s="81">
        <f>H53*月別販売比率!$H$21</f>
        <v>5.1962893081761008</v>
      </c>
      <c r="CF53" s="241">
        <v>45</v>
      </c>
      <c r="CG53" s="81">
        <f>H53*月別販売比率!$M$21</f>
        <v>7.502230960543951</v>
      </c>
      <c r="CH53" s="21"/>
      <c r="CI53" s="81">
        <f>H53*月別販売比率!$R$21</f>
        <v>5.9386163522012581</v>
      </c>
      <c r="CJ53" s="21">
        <v>15</v>
      </c>
      <c r="CK53" s="81">
        <f>H53*月別販売比率!$W$21</f>
        <v>5.6540616354502484</v>
      </c>
      <c r="CL53" s="21"/>
      <c r="CM53" s="81">
        <f>H53*月別販売比率!$AB$21</f>
        <v>8.9079245283018871</v>
      </c>
      <c r="CN53" s="21"/>
      <c r="CO53" s="81">
        <f>H53*月別販売比率!$AG$21</f>
        <v>7.4232704402515726</v>
      </c>
      <c r="CP53" s="21">
        <v>15</v>
      </c>
      <c r="CQ53" s="81">
        <f>H53*月別販売比率!$AL$21</f>
        <v>6.6809433962264144</v>
      </c>
      <c r="CR53" s="21"/>
      <c r="CS53" s="81">
        <f>H53*月別販売比率!$AQ$21</f>
        <v>7.4232704402515726</v>
      </c>
      <c r="CT53" s="21"/>
      <c r="CU53" s="81">
        <f>H53*月別販売比率!$AV$21</f>
        <v>4.5203541762314146</v>
      </c>
      <c r="CV53" s="21"/>
      <c r="CW53" s="81">
        <f>H53*月別販売比率!$BA$21</f>
        <v>4.1290546772432268</v>
      </c>
      <c r="CX53" s="21"/>
      <c r="CY53" s="81">
        <f>H53*月別販売比率!$BF$21</f>
        <v>5.9386163522012581</v>
      </c>
      <c r="CZ53" s="21"/>
      <c r="DA53" s="28"/>
      <c r="DB53" s="294"/>
    </row>
    <row r="54" spans="2:106" ht="30.75" customHeight="1">
      <c r="C54" s="457"/>
      <c r="D54" s="442"/>
      <c r="E54" s="94" t="s">
        <v>50</v>
      </c>
      <c r="F54" s="57">
        <v>44</v>
      </c>
      <c r="G54" s="46">
        <f t="shared" si="96"/>
        <v>183920</v>
      </c>
      <c r="H54" s="7">
        <f t="shared" si="98"/>
        <v>56.314465408805034</v>
      </c>
      <c r="I54" s="46">
        <f t="shared" si="97"/>
        <v>235394.46540880503</v>
      </c>
      <c r="J54" s="9">
        <v>18</v>
      </c>
      <c r="K54" s="21">
        <f t="shared" si="87"/>
        <v>18</v>
      </c>
      <c r="L54" s="21">
        <v>6</v>
      </c>
      <c r="M54" s="21">
        <v>12</v>
      </c>
      <c r="N54" s="384"/>
      <c r="O54" s="19"/>
      <c r="P54" s="19"/>
      <c r="Q54" s="124"/>
      <c r="R54" s="124"/>
      <c r="S54" s="124"/>
      <c r="T54" s="124"/>
      <c r="U54" s="124"/>
      <c r="V54" s="124"/>
      <c r="W54" s="124"/>
      <c r="X54" s="328"/>
      <c r="Y54" s="328"/>
      <c r="Z54" s="124"/>
      <c r="AA54" s="331">
        <v>45935</v>
      </c>
      <c r="AB54" s="124"/>
      <c r="AC54" s="328"/>
      <c r="AD54" s="328"/>
      <c r="AE54" s="328"/>
      <c r="AF54" s="328"/>
      <c r="AG54" s="331"/>
      <c r="AH54" s="331"/>
      <c r="AI54" s="129">
        <f t="shared" si="75"/>
        <v>36.494842767295594</v>
      </c>
      <c r="AJ54" s="129">
        <f t="shared" si="88"/>
        <v>32.205554630057478</v>
      </c>
      <c r="AK54" s="129">
        <f t="shared" si="89"/>
        <v>25.447818781000873</v>
      </c>
      <c r="AL54" s="399">
        <f t="shared" si="90"/>
        <v>24.816372240120369</v>
      </c>
      <c r="AM54" s="393">
        <f t="shared" si="91"/>
        <v>19.748070353327918</v>
      </c>
      <c r="AN54" s="393">
        <f t="shared" si="92"/>
        <v>14.116623812447415</v>
      </c>
      <c r="AO54" s="393">
        <f t="shared" si="93"/>
        <v>10.687389609789101</v>
      </c>
      <c r="AP54" s="96">
        <f t="shared" si="94"/>
        <v>7.5550033029149279</v>
      </c>
      <c r="AQ54" s="91">
        <f t="shared" si="95"/>
        <v>3.049846070210525</v>
      </c>
      <c r="AR54" s="198"/>
      <c r="AS54" s="81">
        <f>$H$54*月別販売比率!AG5</f>
        <v>5.6314465408805034</v>
      </c>
      <c r="AT54" s="21"/>
      <c r="AU54" s="81">
        <f>$H$54*月別販売比率!AL5</f>
        <v>5.0683018867924527</v>
      </c>
      <c r="AV54" s="21"/>
      <c r="AW54" s="245">
        <f>$H$54*月別販売比率!AQ5</f>
        <v>5.6314465408805034</v>
      </c>
      <c r="AX54" s="241">
        <v>18</v>
      </c>
      <c r="AY54" s="81">
        <f>$H$54*月別販売比率!AV5</f>
        <v>3.4292342026583147</v>
      </c>
      <c r="AZ54" s="21"/>
      <c r="BA54" s="81">
        <f>$H$54*月別販売比率!BA5</f>
        <v>3.1323863068741722</v>
      </c>
      <c r="BB54" s="21"/>
      <c r="BC54" s="81">
        <f>$H$54*月別販売比率!BF5</f>
        <v>4.5051572327044029</v>
      </c>
      <c r="BD54" s="21"/>
      <c r="BE54" s="245">
        <f>$H$54*月別販売比率!C21</f>
        <v>3.9906824181838565</v>
      </c>
      <c r="BF54" s="241">
        <v>20</v>
      </c>
      <c r="BG54" s="81">
        <f>$H$54*月別販売比率!H21</f>
        <v>3.9420125786163527</v>
      </c>
      <c r="BH54" s="21"/>
      <c r="BI54" s="81">
        <f>$H$54*月別販売比率!M21</f>
        <v>5.6913476252402386</v>
      </c>
      <c r="BJ54" s="21"/>
      <c r="BK54" s="81">
        <f>$H$54*月別販売比率!R21</f>
        <v>4.5051572327044029</v>
      </c>
      <c r="BL54" s="21"/>
      <c r="BM54" s="81">
        <f>$H$54*月別販売比率!W21</f>
        <v>4.2892881372381195</v>
      </c>
      <c r="BN54" s="21"/>
      <c r="BO54" s="245">
        <f>$H$54*月別販売比率!AB21</f>
        <v>6.757735849056604</v>
      </c>
      <c r="BP54" s="241">
        <v>15</v>
      </c>
      <c r="BQ54" s="245">
        <f>$H$54*月別販売比率!AG21</f>
        <v>5.6314465408805034</v>
      </c>
      <c r="BR54" s="241">
        <v>15</v>
      </c>
      <c r="BS54" s="81">
        <f>$H$54*月別販売比率!AL21</f>
        <v>5.0683018867924527</v>
      </c>
      <c r="BT54" s="21"/>
      <c r="BU54" s="81">
        <f>$H$54*月別販売比率!AQ21</f>
        <v>5.6314465408805034</v>
      </c>
      <c r="BV54" s="21"/>
      <c r="BW54" s="81">
        <f>$H$54*月別販売比率!AV21</f>
        <v>3.4292342026583147</v>
      </c>
      <c r="BX54" s="21"/>
      <c r="BY54" s="81">
        <f>$H$54*月別販売比率!BA21</f>
        <v>3.1323863068741722</v>
      </c>
      <c r="BZ54" s="21"/>
      <c r="CA54" s="81">
        <f>$H$54*月別販売比率!BF21</f>
        <v>4.5051572327044029</v>
      </c>
      <c r="CB54" s="21"/>
      <c r="CC54" s="81">
        <f>H54*月別販売比率!$C$21</f>
        <v>3.9906824181838565</v>
      </c>
      <c r="CD54" s="21"/>
      <c r="CE54" s="81">
        <f>H54*月別販売比率!$H$21</f>
        <v>3.9420125786163527</v>
      </c>
      <c r="CF54" s="241">
        <v>45</v>
      </c>
      <c r="CG54" s="81">
        <f>H54*月別販売比率!$M$21</f>
        <v>5.6913476252402386</v>
      </c>
      <c r="CH54" s="21"/>
      <c r="CI54" s="81">
        <f>H54*月別販売比率!$R$21</f>
        <v>4.5051572327044029</v>
      </c>
      <c r="CJ54" s="21">
        <v>5</v>
      </c>
      <c r="CK54" s="81">
        <f>H54*月別販売比率!$W$21</f>
        <v>4.2892881372381195</v>
      </c>
      <c r="CL54" s="21"/>
      <c r="CM54" s="81">
        <f>H54*月別販売比率!$AB$21</f>
        <v>6.757735849056604</v>
      </c>
      <c r="CN54" s="21"/>
      <c r="CO54" s="81">
        <f>H54*月別販売比率!$AG$21</f>
        <v>5.6314465408805034</v>
      </c>
      <c r="CP54" s="21">
        <v>5</v>
      </c>
      <c r="CQ54" s="81">
        <f>H54*月別販売比率!$AL$21</f>
        <v>5.0683018867924527</v>
      </c>
      <c r="CR54" s="21"/>
      <c r="CS54" s="81">
        <f>H54*月別販売比率!$AQ$21</f>
        <v>5.6314465408805034</v>
      </c>
      <c r="CT54" s="21"/>
      <c r="CU54" s="81">
        <f>H54*月別販売比率!$AV$21</f>
        <v>3.4292342026583147</v>
      </c>
      <c r="CV54" s="21"/>
      <c r="CW54" s="81">
        <f>H54*月別販売比率!$BA$21</f>
        <v>3.1323863068741722</v>
      </c>
      <c r="CX54" s="21"/>
      <c r="CY54" s="81">
        <f>H54*月別販売比率!$BF$21</f>
        <v>4.5051572327044029</v>
      </c>
      <c r="CZ54" s="21"/>
      <c r="DA54" s="28"/>
      <c r="DB54" s="294"/>
    </row>
    <row r="55" spans="2:106" ht="30.75" customHeight="1">
      <c r="C55" s="457"/>
      <c r="D55" s="443">
        <v>2</v>
      </c>
      <c r="E55" s="94" t="s">
        <v>46</v>
      </c>
      <c r="F55" s="57">
        <v>85</v>
      </c>
      <c r="G55" s="46">
        <f t="shared" si="96"/>
        <v>355300</v>
      </c>
      <c r="H55" s="7">
        <f t="shared" si="98"/>
        <v>108.78930817610063</v>
      </c>
      <c r="I55" s="46">
        <f t="shared" si="97"/>
        <v>454739.30817610066</v>
      </c>
      <c r="J55" s="9">
        <v>5</v>
      </c>
      <c r="K55" s="21">
        <f t="shared" si="87"/>
        <v>38</v>
      </c>
      <c r="L55" s="21">
        <v>12</v>
      </c>
      <c r="M55" s="21">
        <v>26</v>
      </c>
      <c r="N55" s="384"/>
      <c r="O55" s="19"/>
      <c r="P55" s="19"/>
      <c r="Q55" s="124"/>
      <c r="R55" s="124"/>
      <c r="S55" s="124"/>
      <c r="T55" s="124"/>
      <c r="U55" s="124"/>
      <c r="V55" s="124"/>
      <c r="W55" s="124"/>
      <c r="X55" s="328"/>
      <c r="Y55" s="328"/>
      <c r="Z55" s="124"/>
      <c r="AA55" s="331">
        <v>45935</v>
      </c>
      <c r="AB55" s="124"/>
      <c r="AC55" s="124"/>
      <c r="AD55" s="124"/>
      <c r="AE55" s="124"/>
      <c r="AF55" s="124"/>
      <c r="AG55" s="124"/>
      <c r="AH55" s="331"/>
      <c r="AI55" s="129">
        <f t="shared" si="75"/>
        <v>49.296855345911951</v>
      </c>
      <c r="AJ55" s="129">
        <f t="shared" si="88"/>
        <v>41.010730535338311</v>
      </c>
      <c r="AK55" s="129">
        <f t="shared" si="89"/>
        <v>27.956013554206237</v>
      </c>
      <c r="AL55" s="399">
        <f t="shared" si="90"/>
        <v>32.077082736596175</v>
      </c>
      <c r="AM55" s="393">
        <f t="shared" si="91"/>
        <v>22.286045000747116</v>
      </c>
      <c r="AN55" s="393">
        <f t="shared" si="92"/>
        <v>11.407114183137052</v>
      </c>
      <c r="AO55" s="393">
        <f t="shared" si="93"/>
        <v>4.7824572007289436</v>
      </c>
      <c r="AP55" s="96">
        <f t="shared" si="94"/>
        <v>-1.2687436193688892</v>
      </c>
      <c r="AQ55" s="91">
        <f t="shared" si="95"/>
        <v>-9.9718882734569405</v>
      </c>
      <c r="AR55" s="198"/>
      <c r="AS55" s="81">
        <f>$H$55*月別販売比率!AG5</f>
        <v>10.878930817610064</v>
      </c>
      <c r="AT55" s="21"/>
      <c r="AU55" s="81">
        <f>$H$55*月別販売比率!AL5</f>
        <v>9.7910377358490575</v>
      </c>
      <c r="AV55" s="21"/>
      <c r="AW55" s="245">
        <f>$H$55*月別販売比率!AQ5</f>
        <v>10.878930817610064</v>
      </c>
      <c r="AX55" s="241">
        <v>30</v>
      </c>
      <c r="AY55" s="81">
        <f>$H$55*月別販売比率!AV5</f>
        <v>6.6246569824081085</v>
      </c>
      <c r="AZ55" s="21"/>
      <c r="BA55" s="81">
        <f>$H$55*月別販売比率!BA5</f>
        <v>6.0512008200978329</v>
      </c>
      <c r="BB55" s="21"/>
      <c r="BC55" s="81">
        <f>$H$55*月別販売比率!BF5</f>
        <v>8.7031446540880513</v>
      </c>
      <c r="BD55" s="21"/>
      <c r="BE55" s="245">
        <f>$H$55*月別販売比率!C21</f>
        <v>7.7092728533097228</v>
      </c>
      <c r="BF55" s="241">
        <v>30</v>
      </c>
      <c r="BG55" s="81">
        <f>$H$55*月別販売比率!H21</f>
        <v>7.6152515723270451</v>
      </c>
      <c r="BH55" s="21"/>
      <c r="BI55" s="81">
        <f>$H$55*月別販売比率!M21</f>
        <v>10.994648821486825</v>
      </c>
      <c r="BJ55" s="21"/>
      <c r="BK55" s="81">
        <f>$H$55*月別販売比率!R21</f>
        <v>8.7031446540880513</v>
      </c>
      <c r="BL55" s="21"/>
      <c r="BM55" s="81">
        <f>$H$55*月別販売比率!W21</f>
        <v>8.2861248105736394</v>
      </c>
      <c r="BN55" s="21"/>
      <c r="BO55" s="245">
        <f>$H$55*月別販売比率!AB21</f>
        <v>13.054716981132076</v>
      </c>
      <c r="BP55" s="241">
        <v>25</v>
      </c>
      <c r="BQ55" s="245">
        <f>$H$55*月別販売比率!AG21</f>
        <v>10.878930817610064</v>
      </c>
      <c r="BR55" s="241">
        <v>25</v>
      </c>
      <c r="BS55" s="81">
        <f>$H$55*月別販売比率!AL21</f>
        <v>9.7910377358490575</v>
      </c>
      <c r="BT55" s="21"/>
      <c r="BU55" s="81">
        <f>$H$55*月別販売比率!AQ21</f>
        <v>10.878930817610064</v>
      </c>
      <c r="BV55" s="21"/>
      <c r="BW55" s="81">
        <f>$H$55*月別販売比率!AV21</f>
        <v>6.6246569824081085</v>
      </c>
      <c r="BX55" s="21"/>
      <c r="BY55" s="81">
        <f>$H$55*月別販売比率!BA21</f>
        <v>6.0512008200978329</v>
      </c>
      <c r="BZ55" s="21"/>
      <c r="CA55" s="81">
        <f>$H$55*月別販売比率!BF21</f>
        <v>8.7031446540880513</v>
      </c>
      <c r="CB55" s="21"/>
      <c r="CC55" s="81">
        <f>H55*月別販売比率!$C$21</f>
        <v>7.7092728533097228</v>
      </c>
      <c r="CD55" s="21"/>
      <c r="CE55" s="81">
        <f>H55*月別販売比率!$H$21</f>
        <v>7.6152515723270451</v>
      </c>
      <c r="CF55" s="241">
        <v>50</v>
      </c>
      <c r="CG55" s="81">
        <f>H55*月別販売比率!$M$21</f>
        <v>10.994648821486825</v>
      </c>
      <c r="CH55" s="21"/>
      <c r="CI55" s="81">
        <f>H55*月別販売比率!$R$21</f>
        <v>8.7031446540880513</v>
      </c>
      <c r="CJ55" s="21">
        <v>15</v>
      </c>
      <c r="CK55" s="81">
        <f>H55*月別販売比率!$W$21</f>
        <v>8.2861248105736394</v>
      </c>
      <c r="CL55" s="21"/>
      <c r="CM55" s="81">
        <f>H55*月別販売比率!$AB$21</f>
        <v>13.054716981132076</v>
      </c>
      <c r="CN55" s="21"/>
      <c r="CO55" s="81">
        <f>H55*月別販売比率!$AG$21</f>
        <v>10.878930817610064</v>
      </c>
      <c r="CP55" s="21">
        <v>15</v>
      </c>
      <c r="CQ55" s="81">
        <f>H55*月別販売比率!$AL$21</f>
        <v>9.7910377358490575</v>
      </c>
      <c r="CR55" s="21"/>
      <c r="CS55" s="81">
        <f>H55*月別販売比率!$AQ$21</f>
        <v>10.878930817610064</v>
      </c>
      <c r="CT55" s="21"/>
      <c r="CU55" s="81">
        <f>H55*月別販売比率!$AV$21</f>
        <v>6.6246569824081085</v>
      </c>
      <c r="CV55" s="21"/>
      <c r="CW55" s="81">
        <f>H55*月別販売比率!$BA$21</f>
        <v>6.0512008200978329</v>
      </c>
      <c r="CX55" s="21"/>
      <c r="CY55" s="81">
        <f>H55*月別販売比率!$BF$21</f>
        <v>8.7031446540880513</v>
      </c>
      <c r="CZ55" s="21"/>
      <c r="DA55" s="28"/>
      <c r="DB55" s="294"/>
    </row>
    <row r="56" spans="2:106" ht="30.75" customHeight="1">
      <c r="C56" s="457"/>
      <c r="D56" s="441"/>
      <c r="E56" s="94" t="s">
        <v>47</v>
      </c>
      <c r="F56" s="57">
        <v>151</v>
      </c>
      <c r="G56" s="46">
        <f t="shared" si="96"/>
        <v>631180</v>
      </c>
      <c r="H56" s="165">
        <v>250</v>
      </c>
      <c r="I56" s="46">
        <f t="shared" si="97"/>
        <v>1045000</v>
      </c>
      <c r="J56" s="9">
        <v>20</v>
      </c>
      <c r="K56" s="21">
        <f t="shared" si="87"/>
        <v>31</v>
      </c>
      <c r="L56" s="21">
        <v>11</v>
      </c>
      <c r="M56" s="21">
        <v>20</v>
      </c>
      <c r="N56" s="384"/>
      <c r="O56" s="19"/>
      <c r="P56" s="19"/>
      <c r="Q56" s="124"/>
      <c r="R56" s="124"/>
      <c r="S56" s="124"/>
      <c r="T56" s="124"/>
      <c r="U56" s="124"/>
      <c r="V56" s="124"/>
      <c r="W56" s="124"/>
      <c r="X56" s="328"/>
      <c r="Y56" s="328"/>
      <c r="Z56" s="124"/>
      <c r="AA56" s="124"/>
      <c r="AB56" s="124"/>
      <c r="AC56" s="124"/>
      <c r="AD56" s="124"/>
      <c r="AE56" s="328"/>
      <c r="AF56" s="124"/>
      <c r="AG56" s="124"/>
      <c r="AH56" s="331"/>
      <c r="AI56" s="129">
        <f t="shared" si="75"/>
        <v>96</v>
      </c>
      <c r="AJ56" s="129">
        <f t="shared" si="88"/>
        <v>76.958319917889739</v>
      </c>
      <c r="AK56" s="129">
        <f t="shared" si="89"/>
        <v>46.958319917889739</v>
      </c>
      <c r="AL56" s="399">
        <f t="shared" si="90"/>
        <v>86.958319917889739</v>
      </c>
      <c r="AM56" s="393">
        <f t="shared" si="91"/>
        <v>64.458319917889739</v>
      </c>
      <c r="AN56" s="393">
        <f t="shared" si="92"/>
        <v>39.458319917889739</v>
      </c>
      <c r="AO56" s="393">
        <f t="shared" si="93"/>
        <v>24.234726043010578</v>
      </c>
      <c r="AP56" s="96">
        <f t="shared" si="94"/>
        <v>10.328945866748757</v>
      </c>
      <c r="AQ56" s="91">
        <f t="shared" si="95"/>
        <v>-9.6710541332512427</v>
      </c>
      <c r="AR56" s="198"/>
      <c r="AS56" s="81">
        <f>$H$56*月別販売比率!AG5</f>
        <v>25</v>
      </c>
      <c r="AT56" s="21"/>
      <c r="AU56" s="81">
        <f>$H$56*月別販売比率!AL5</f>
        <v>22.5</v>
      </c>
      <c r="AV56" s="21"/>
      <c r="AW56" s="245">
        <f>$H$56*月別販売比率!AQ5</f>
        <v>25</v>
      </c>
      <c r="AX56" s="241">
        <v>30</v>
      </c>
      <c r="AY56" s="81">
        <f>$H$56*月別販売比率!AV5</f>
        <v>15.22359387487916</v>
      </c>
      <c r="AZ56" s="21"/>
      <c r="BA56" s="81">
        <f>$H$56*月別販売比率!BA5</f>
        <v>13.905780176261821</v>
      </c>
      <c r="BB56" s="21"/>
      <c r="BC56" s="81">
        <f>$H$56*月別販売比率!BF5</f>
        <v>20</v>
      </c>
      <c r="BD56" s="21"/>
      <c r="BE56" s="245">
        <f>$H$56*月別販売比率!C21</f>
        <v>17.716062778960051</v>
      </c>
      <c r="BF56" s="241">
        <v>120</v>
      </c>
      <c r="BG56" s="81">
        <f>$H$56*月別販売比率!H21</f>
        <v>17.5</v>
      </c>
      <c r="BH56" s="21"/>
      <c r="BI56" s="81">
        <f>$H$56*月別販売比率!M21</f>
        <v>25.2659222809135</v>
      </c>
      <c r="BJ56" s="21"/>
      <c r="BK56" s="81">
        <f>$H$56*月別販売比率!R21</f>
        <v>20</v>
      </c>
      <c r="BL56" s="21"/>
      <c r="BM56" s="81">
        <f>$H$56*月別販売比率!W21</f>
        <v>19.041680082110258</v>
      </c>
      <c r="BN56" s="21"/>
      <c r="BO56" s="245">
        <f>$H$56*月別販売比率!AB21</f>
        <v>30</v>
      </c>
      <c r="BP56" s="241">
        <v>35</v>
      </c>
      <c r="BQ56" s="245">
        <f>$H$56*月別販売比率!AG21</f>
        <v>25</v>
      </c>
      <c r="BR56" s="241">
        <v>35</v>
      </c>
      <c r="BS56" s="81">
        <f>$H$56*月別販売比率!AL21</f>
        <v>22.5</v>
      </c>
      <c r="BT56" s="21"/>
      <c r="BU56" s="81">
        <f>$H$56*月別販売比率!AQ21</f>
        <v>25</v>
      </c>
      <c r="BV56" s="21"/>
      <c r="BW56" s="81">
        <f>$H$56*月別販売比率!AV21</f>
        <v>15.22359387487916</v>
      </c>
      <c r="BX56" s="21"/>
      <c r="BY56" s="81">
        <f>$H$56*月別販売比率!BA21</f>
        <v>13.905780176261821</v>
      </c>
      <c r="BZ56" s="21"/>
      <c r="CA56" s="81">
        <f>$H$56*月別販売比率!BF21</f>
        <v>20</v>
      </c>
      <c r="CB56" s="21"/>
      <c r="CC56" s="81">
        <f>H56*月別販売比率!$C$21</f>
        <v>17.716062778960051</v>
      </c>
      <c r="CD56" s="21"/>
      <c r="CE56" s="81">
        <f>H56*月別販売比率!$H$21</f>
        <v>17.5</v>
      </c>
      <c r="CF56" s="241">
        <v>65</v>
      </c>
      <c r="CG56" s="81">
        <f>H56*月別販売比率!$M$21</f>
        <v>25.2659222809135</v>
      </c>
      <c r="CH56" s="21"/>
      <c r="CI56" s="81">
        <f>H56*月別販売比率!$R$21</f>
        <v>20</v>
      </c>
      <c r="CJ56" s="21">
        <v>65</v>
      </c>
      <c r="CK56" s="81">
        <f>H56*月別販売比率!$W$21</f>
        <v>19.041680082110258</v>
      </c>
      <c r="CL56" s="21"/>
      <c r="CM56" s="81">
        <f>H56*月別販売比率!$AB$21</f>
        <v>30</v>
      </c>
      <c r="CN56" s="21"/>
      <c r="CO56" s="81">
        <f>H56*月別販売比率!$AG$21</f>
        <v>25</v>
      </c>
      <c r="CP56" s="21">
        <v>65</v>
      </c>
      <c r="CQ56" s="81">
        <f>H56*月別販売比率!$AL$21</f>
        <v>22.5</v>
      </c>
      <c r="CR56" s="21"/>
      <c r="CS56" s="81">
        <f>H56*月別販売比率!$AQ$21</f>
        <v>25</v>
      </c>
      <c r="CT56" s="21"/>
      <c r="CU56" s="81">
        <f>H56*月別販売比率!$AV$21</f>
        <v>15.22359387487916</v>
      </c>
      <c r="CV56" s="21"/>
      <c r="CW56" s="81">
        <f>H56*月別販売比率!$BA$21</f>
        <v>13.905780176261821</v>
      </c>
      <c r="CX56" s="21"/>
      <c r="CY56" s="81">
        <f>H56*月別販売比率!$BF$21</f>
        <v>20</v>
      </c>
      <c r="CZ56" s="21"/>
      <c r="DA56" s="28"/>
      <c r="DB56" s="294"/>
    </row>
    <row r="57" spans="2:106" ht="30.75" customHeight="1">
      <c r="C57" s="457"/>
      <c r="D57" s="441"/>
      <c r="E57" s="94" t="s">
        <v>51</v>
      </c>
      <c r="F57" s="57">
        <v>132</v>
      </c>
      <c r="G57" s="46">
        <f t="shared" si="96"/>
        <v>551760</v>
      </c>
      <c r="H57" s="165">
        <v>220</v>
      </c>
      <c r="I57" s="46">
        <f t="shared" si="97"/>
        <v>919600</v>
      </c>
      <c r="J57" s="9">
        <v>28</v>
      </c>
      <c r="K57" s="21">
        <f t="shared" si="87"/>
        <v>27</v>
      </c>
      <c r="L57" s="21">
        <v>7</v>
      </c>
      <c r="M57" s="21">
        <v>20</v>
      </c>
      <c r="N57" s="384"/>
      <c r="O57" s="19"/>
      <c r="P57" s="19"/>
      <c r="Q57" s="124"/>
      <c r="R57" s="124"/>
      <c r="S57" s="124"/>
      <c r="T57" s="124"/>
      <c r="U57" s="124"/>
      <c r="V57" s="124"/>
      <c r="W57" s="124"/>
      <c r="X57" s="328"/>
      <c r="Y57" s="328"/>
      <c r="Z57" s="124"/>
      <c r="AA57" s="124"/>
      <c r="AB57" s="124"/>
      <c r="AC57" s="124"/>
      <c r="AD57" s="124"/>
      <c r="AE57" s="124"/>
      <c r="AF57" s="124"/>
      <c r="AG57" s="124"/>
      <c r="AH57" s="331"/>
      <c r="AI57" s="129">
        <f t="shared" si="75"/>
        <v>92.4</v>
      </c>
      <c r="AJ57" s="129">
        <f t="shared" si="88"/>
        <v>75.643321527742984</v>
      </c>
      <c r="AK57" s="129">
        <f t="shared" si="89"/>
        <v>49.243321527742985</v>
      </c>
      <c r="AL57" s="399">
        <f t="shared" si="90"/>
        <v>82.243321527742978</v>
      </c>
      <c r="AM57" s="393">
        <f t="shared" si="91"/>
        <v>62.443321527742981</v>
      </c>
      <c r="AN57" s="393">
        <f t="shared" si="92"/>
        <v>40.443321527742981</v>
      </c>
      <c r="AO57" s="393">
        <f t="shared" si="93"/>
        <v>27.046558917849318</v>
      </c>
      <c r="AP57" s="96">
        <f t="shared" si="94"/>
        <v>14.809472362738916</v>
      </c>
      <c r="AQ57" s="91">
        <f t="shared" si="95"/>
        <v>-2.7905276372610857</v>
      </c>
      <c r="AR57" s="198"/>
      <c r="AS57" s="81">
        <f>$H$57*月別販売比率!AG5</f>
        <v>22</v>
      </c>
      <c r="AT57" s="21"/>
      <c r="AU57" s="81">
        <f>$H$57*月別販売比率!AL5</f>
        <v>19.8</v>
      </c>
      <c r="AV57" s="21"/>
      <c r="AW57" s="245">
        <f>$H$57*月別販売比率!AQ5</f>
        <v>22</v>
      </c>
      <c r="AX57" s="241">
        <v>30</v>
      </c>
      <c r="AY57" s="81">
        <f>$H$57*月別販売比率!AV5</f>
        <v>13.396762609893662</v>
      </c>
      <c r="AZ57" s="21"/>
      <c r="BA57" s="81">
        <f>$H$57*月別販売比率!BA5</f>
        <v>12.237086555110402</v>
      </c>
      <c r="BB57" s="21"/>
      <c r="BC57" s="81">
        <f>$H$57*月別販売比率!BF5</f>
        <v>17.600000000000001</v>
      </c>
      <c r="BD57" s="21"/>
      <c r="BE57" s="245">
        <f>$H$57*月別販売比率!C21</f>
        <v>15.590135245484845</v>
      </c>
      <c r="BF57" s="241">
        <v>80</v>
      </c>
      <c r="BG57" s="81">
        <f>$H$57*月別販売比率!H21</f>
        <v>15.400000000000002</v>
      </c>
      <c r="BH57" s="21"/>
      <c r="BI57" s="81">
        <f>$H$57*月別販売比率!M21</f>
        <v>22.234011607203879</v>
      </c>
      <c r="BJ57" s="21"/>
      <c r="BK57" s="81">
        <f>$H$57*月別販売比率!R21</f>
        <v>17.600000000000001</v>
      </c>
      <c r="BL57" s="21"/>
      <c r="BM57" s="81">
        <f>$H$57*月別販売比率!W21</f>
        <v>16.756678472257025</v>
      </c>
      <c r="BN57" s="21"/>
      <c r="BO57" s="245">
        <f>$H$57*月別販売比率!AB21</f>
        <v>26.4</v>
      </c>
      <c r="BP57" s="241">
        <v>40</v>
      </c>
      <c r="BQ57" s="245">
        <f>$H$57*月別販売比率!AG21</f>
        <v>22</v>
      </c>
      <c r="BR57" s="241">
        <v>40</v>
      </c>
      <c r="BS57" s="81">
        <f>$H$57*月別販売比率!AL21</f>
        <v>19.8</v>
      </c>
      <c r="BT57" s="21"/>
      <c r="BU57" s="81">
        <f>$H$57*月別販売比率!AQ21</f>
        <v>22</v>
      </c>
      <c r="BV57" s="21"/>
      <c r="BW57" s="81">
        <f>$H$57*月別販売比率!AV21</f>
        <v>13.396762609893662</v>
      </c>
      <c r="BX57" s="21"/>
      <c r="BY57" s="81">
        <f>$H$57*月別販売比率!BA21</f>
        <v>12.237086555110402</v>
      </c>
      <c r="BZ57" s="21"/>
      <c r="CA57" s="81">
        <f>$H$57*月別販売比率!BF21</f>
        <v>17.600000000000001</v>
      </c>
      <c r="CB57" s="21"/>
      <c r="CC57" s="81">
        <f>H57*月別販売比率!$C$21</f>
        <v>15.590135245484845</v>
      </c>
      <c r="CD57" s="21"/>
      <c r="CE57" s="81">
        <f>H57*月別販売比率!$H$21</f>
        <v>15.400000000000002</v>
      </c>
      <c r="CF57" s="241">
        <v>70</v>
      </c>
      <c r="CG57" s="81">
        <f>H57*月別販売比率!$M$21</f>
        <v>22.234011607203879</v>
      </c>
      <c r="CH57" s="21"/>
      <c r="CI57" s="81">
        <f>H57*月別販売比率!$R$21</f>
        <v>17.600000000000001</v>
      </c>
      <c r="CJ57" s="21">
        <v>55</v>
      </c>
      <c r="CK57" s="81">
        <f>H57*月別販売比率!$W$21</f>
        <v>16.756678472257025</v>
      </c>
      <c r="CL57" s="21"/>
      <c r="CM57" s="81">
        <f>H57*月別販売比率!$AB$21</f>
        <v>26.4</v>
      </c>
      <c r="CN57" s="21"/>
      <c r="CO57" s="81">
        <f>H57*月別販売比率!$AG$21</f>
        <v>22</v>
      </c>
      <c r="CP57" s="21">
        <v>55</v>
      </c>
      <c r="CQ57" s="81">
        <f>H57*月別販売比率!$AL$21</f>
        <v>19.8</v>
      </c>
      <c r="CR57" s="21"/>
      <c r="CS57" s="81">
        <f>H57*月別販売比率!$AQ$21</f>
        <v>22</v>
      </c>
      <c r="CT57" s="21"/>
      <c r="CU57" s="81">
        <f>H57*月別販売比率!$AV$21</f>
        <v>13.396762609893662</v>
      </c>
      <c r="CV57" s="21"/>
      <c r="CW57" s="81">
        <f>H57*月別販売比率!$BA$21</f>
        <v>12.237086555110402</v>
      </c>
      <c r="CX57" s="21"/>
      <c r="CY57" s="81">
        <f>H57*月別販売比率!$BF$21</f>
        <v>17.600000000000001</v>
      </c>
      <c r="CZ57" s="21"/>
      <c r="DA57" s="28"/>
      <c r="DB57" s="294"/>
    </row>
    <row r="58" spans="2:106" ht="30.75" customHeight="1">
      <c r="C58" s="457"/>
      <c r="D58" s="441"/>
      <c r="E58" s="94" t="s">
        <v>49</v>
      </c>
      <c r="F58" s="57">
        <v>52</v>
      </c>
      <c r="G58" s="46">
        <f t="shared" si="96"/>
        <v>217360</v>
      </c>
      <c r="H58" s="7">
        <f t="shared" si="98"/>
        <v>66.553459119496864</v>
      </c>
      <c r="I58" s="46">
        <f t="shared" si="97"/>
        <v>278193.45911949687</v>
      </c>
      <c r="J58" s="9">
        <v>0</v>
      </c>
      <c r="K58" s="21">
        <f t="shared" si="87"/>
        <v>28</v>
      </c>
      <c r="L58" s="21">
        <v>4</v>
      </c>
      <c r="M58" s="21">
        <v>24</v>
      </c>
      <c r="N58" s="384"/>
      <c r="O58" s="19"/>
      <c r="P58" s="19"/>
      <c r="Q58" s="124"/>
      <c r="R58" s="124"/>
      <c r="S58" s="328"/>
      <c r="T58" s="328"/>
      <c r="U58" s="328"/>
      <c r="V58" s="331">
        <v>45786</v>
      </c>
      <c r="W58" s="331"/>
      <c r="X58" s="328"/>
      <c r="Y58" s="328"/>
      <c r="Z58" s="124"/>
      <c r="AA58" s="124"/>
      <c r="AB58" s="124"/>
      <c r="AC58" s="124"/>
      <c r="AD58" s="328"/>
      <c r="AE58" s="328"/>
      <c r="AF58" s="328"/>
      <c r="AG58" s="331"/>
      <c r="AH58" s="331"/>
      <c r="AI58" s="129">
        <f t="shared" si="75"/>
        <v>32.675723270440251</v>
      </c>
      <c r="AJ58" s="129">
        <f t="shared" si="88"/>
        <v>27.606564562795199</v>
      </c>
      <c r="AK58" s="129">
        <f t="shared" si="89"/>
        <v>19.620149468455576</v>
      </c>
      <c r="AL58" s="399">
        <f t="shared" si="90"/>
        <v>22.964803556505888</v>
      </c>
      <c r="AM58" s="393">
        <f t="shared" si="91"/>
        <v>16.97499223575117</v>
      </c>
      <c r="AN58" s="393">
        <f t="shared" si="92"/>
        <v>10.319646323801482</v>
      </c>
      <c r="AO58" s="393">
        <f t="shared" si="93"/>
        <v>6.2669149933871093</v>
      </c>
      <c r="AP58" s="96">
        <f t="shared" si="94"/>
        <v>2.5650039034449055</v>
      </c>
      <c r="AQ58" s="91">
        <f t="shared" si="95"/>
        <v>-2.7592728261148434</v>
      </c>
      <c r="AR58" s="198"/>
      <c r="AS58" s="81">
        <f>$H$58*月別販売比率!AG5</f>
        <v>6.6553459119496869</v>
      </c>
      <c r="AT58" s="21"/>
      <c r="AU58" s="81">
        <f>$H$58*月別販売比率!AL5</f>
        <v>5.9898113207547174</v>
      </c>
      <c r="AV58" s="21"/>
      <c r="AW58" s="245">
        <f>$H$58*月別販売比率!AQ5</f>
        <v>6.6553459119496869</v>
      </c>
      <c r="AX58" s="241">
        <v>15</v>
      </c>
      <c r="AY58" s="81">
        <f>$H$58*月別販売比率!AV5</f>
        <v>4.0527313304143728</v>
      </c>
      <c r="AZ58" s="21"/>
      <c r="BA58" s="81">
        <f>$H$58*月別販売比率!BA5</f>
        <v>3.7019110899422039</v>
      </c>
      <c r="BB58" s="21"/>
      <c r="BC58" s="81">
        <f>$H$58*月別販売比率!BF5</f>
        <v>5.3242767295597488</v>
      </c>
      <c r="BD58" s="21"/>
      <c r="BE58" s="245">
        <f>$H$58*月別販売比率!C21</f>
        <v>4.7162610396718305</v>
      </c>
      <c r="BF58" s="241">
        <v>55</v>
      </c>
      <c r="BG58" s="81">
        <f>$H$58*月別販売比率!H21</f>
        <v>4.6587421383647811</v>
      </c>
      <c r="BH58" s="21"/>
      <c r="BI58" s="81">
        <f>$H$58*月別販売比率!M21</f>
        <v>6.7261381025566465</v>
      </c>
      <c r="BJ58" s="21"/>
      <c r="BK58" s="81">
        <f>$H$58*月別販売比率!R21</f>
        <v>5.3242767295597488</v>
      </c>
      <c r="BL58" s="21"/>
      <c r="BM58" s="81">
        <f>$H$58*月別販売比率!W21</f>
        <v>5.0691587076450508</v>
      </c>
      <c r="BN58" s="21"/>
      <c r="BO58" s="245">
        <f>$H$58*月別販売比率!AB21</f>
        <v>7.9864150943396233</v>
      </c>
      <c r="BP58" s="241">
        <v>10</v>
      </c>
      <c r="BQ58" s="245">
        <f>$H$58*月別販売比率!AG21</f>
        <v>6.6553459119496869</v>
      </c>
      <c r="BR58" s="241">
        <v>10</v>
      </c>
      <c r="BS58" s="81">
        <f>$H$58*月別販売比率!AL21</f>
        <v>5.9898113207547174</v>
      </c>
      <c r="BT58" s="21"/>
      <c r="BU58" s="81">
        <f>$H$58*月別販売比率!AQ21</f>
        <v>6.6553459119496869</v>
      </c>
      <c r="BV58" s="21"/>
      <c r="BW58" s="81">
        <f>$H$58*月別販売比率!AV21</f>
        <v>4.0527313304143728</v>
      </c>
      <c r="BX58" s="21"/>
      <c r="BY58" s="81">
        <f>$H$58*月別販売比率!BA21</f>
        <v>3.7019110899422039</v>
      </c>
      <c r="BZ58" s="21"/>
      <c r="CA58" s="81">
        <f>$H$58*月別販売比率!BF21</f>
        <v>5.3242767295597488</v>
      </c>
      <c r="CB58" s="21"/>
      <c r="CC58" s="81">
        <f>H58*月別販売比率!$C$21</f>
        <v>4.7162610396718305</v>
      </c>
      <c r="CD58" s="21"/>
      <c r="CE58" s="81">
        <f>H58*月別販売比率!$H$21</f>
        <v>4.6587421383647811</v>
      </c>
      <c r="CF58" s="241">
        <v>40</v>
      </c>
      <c r="CG58" s="81">
        <f>H58*月別販売比率!$M$21</f>
        <v>6.7261381025566465</v>
      </c>
      <c r="CH58" s="21"/>
      <c r="CI58" s="81">
        <f>H58*月別販売比率!$R$21</f>
        <v>5.3242767295597488</v>
      </c>
      <c r="CJ58" s="21">
        <v>10</v>
      </c>
      <c r="CK58" s="81">
        <f>H58*月別販売比率!$W$21</f>
        <v>5.0691587076450508</v>
      </c>
      <c r="CL58" s="21"/>
      <c r="CM58" s="81">
        <f>H58*月別販売比率!$AB$21</f>
        <v>7.9864150943396233</v>
      </c>
      <c r="CN58" s="21"/>
      <c r="CO58" s="81">
        <f>H58*月別販売比率!$AG$21</f>
        <v>6.6553459119496869</v>
      </c>
      <c r="CP58" s="21">
        <v>10</v>
      </c>
      <c r="CQ58" s="81">
        <f>H58*月別販売比率!$AL$21</f>
        <v>5.9898113207547174</v>
      </c>
      <c r="CR58" s="21"/>
      <c r="CS58" s="81">
        <f>H58*月別販売比率!$AQ$21</f>
        <v>6.6553459119496869</v>
      </c>
      <c r="CT58" s="21"/>
      <c r="CU58" s="81">
        <f>H58*月別販売比率!$AV$21</f>
        <v>4.0527313304143728</v>
      </c>
      <c r="CV58" s="21"/>
      <c r="CW58" s="81">
        <f>H58*月別販売比率!$BA$21</f>
        <v>3.7019110899422039</v>
      </c>
      <c r="CX58" s="21"/>
      <c r="CY58" s="81">
        <f>H58*月別販売比率!$BF$21</f>
        <v>5.3242767295597488</v>
      </c>
      <c r="CZ58" s="21"/>
      <c r="DA58" s="28"/>
      <c r="DB58" s="294"/>
    </row>
    <row r="59" spans="2:106" ht="30.75" customHeight="1">
      <c r="C59" s="458"/>
      <c r="D59" s="444"/>
      <c r="E59" s="122" t="s">
        <v>50</v>
      </c>
      <c r="F59" s="126">
        <v>33</v>
      </c>
      <c r="G59" s="53">
        <f t="shared" si="96"/>
        <v>137940</v>
      </c>
      <c r="H59" s="52">
        <f t="shared" si="98"/>
        <v>42.235849056603776</v>
      </c>
      <c r="I59" s="53">
        <f t="shared" si="97"/>
        <v>176545.84905660379</v>
      </c>
      <c r="J59" s="127">
        <v>0</v>
      </c>
      <c r="K59" s="103">
        <f t="shared" si="87"/>
        <v>13</v>
      </c>
      <c r="L59" s="103">
        <v>1</v>
      </c>
      <c r="M59" s="103">
        <v>12</v>
      </c>
      <c r="N59" s="385"/>
      <c r="O59" s="123"/>
      <c r="P59" s="123"/>
      <c r="Q59" s="238"/>
      <c r="R59" s="238"/>
      <c r="S59" s="238"/>
      <c r="T59" s="238"/>
      <c r="U59" s="238"/>
      <c r="V59" s="238"/>
      <c r="W59" s="238"/>
      <c r="X59" s="329"/>
      <c r="Y59" s="329"/>
      <c r="Z59" s="238"/>
      <c r="AA59" s="238"/>
      <c r="AB59" s="238"/>
      <c r="AC59" s="329"/>
      <c r="AD59" s="329"/>
      <c r="AE59" s="329"/>
      <c r="AF59" s="329"/>
      <c r="AG59" s="331"/>
      <c r="AH59" s="331"/>
      <c r="AI59" s="238">
        <f t="shared" si="75"/>
        <v>14.621132075471698</v>
      </c>
      <c r="AJ59" s="238">
        <f t="shared" si="88"/>
        <v>11.404165972543108</v>
      </c>
      <c r="AK59" s="238">
        <f t="shared" si="89"/>
        <v>6.3358640857506554</v>
      </c>
      <c r="AL59" s="401">
        <f t="shared" si="90"/>
        <v>7.1122791800902778</v>
      </c>
      <c r="AM59" s="395">
        <f t="shared" si="91"/>
        <v>3.3110527649959383</v>
      </c>
      <c r="AN59" s="395">
        <f t="shared" si="92"/>
        <v>-0.91253214066443933</v>
      </c>
      <c r="AO59" s="395">
        <f t="shared" si="93"/>
        <v>-3.4844577926581755</v>
      </c>
      <c r="AP59" s="403">
        <f t="shared" si="94"/>
        <v>-5.8337475228138045</v>
      </c>
      <c r="AQ59" s="90">
        <f t="shared" si="95"/>
        <v>-9.212615447342106</v>
      </c>
      <c r="AR59" s="238"/>
      <c r="AS59" s="282">
        <f>$H$59*月別販売比率!AG5</f>
        <v>4.2235849056603776</v>
      </c>
      <c r="AT59" s="103"/>
      <c r="AU59" s="282">
        <f>$H$59*月別販売比率!AL5</f>
        <v>3.8012264150943396</v>
      </c>
      <c r="AV59" s="103"/>
      <c r="AW59" s="301">
        <f>$H$59*月別販売比率!AQ5</f>
        <v>4.2235849056603776</v>
      </c>
      <c r="AX59" s="302">
        <v>15</v>
      </c>
      <c r="AY59" s="282">
        <f>$H$59*月別販売比率!AV5</f>
        <v>2.5719256519937361</v>
      </c>
      <c r="AZ59" s="103"/>
      <c r="BA59" s="282">
        <f>$H$59*月別販売比率!BA5</f>
        <v>2.349289730155629</v>
      </c>
      <c r="BB59" s="103"/>
      <c r="BC59" s="282">
        <f>$H$59*月別販売比率!BF5</f>
        <v>3.378867924528302</v>
      </c>
      <c r="BD59" s="103"/>
      <c r="BE59" s="301">
        <f>$H$59*月別販売比率!C21</f>
        <v>2.9930118136378923</v>
      </c>
      <c r="BF59" s="302">
        <v>15</v>
      </c>
      <c r="BG59" s="282">
        <f>$H$59*月別販売比率!H21</f>
        <v>2.9565094339622644</v>
      </c>
      <c r="BH59" s="117"/>
      <c r="BI59" s="282">
        <f>$H$59*月別販売比率!M21</f>
        <v>4.2685107189301794</v>
      </c>
      <c r="BJ59" s="103"/>
      <c r="BK59" s="282">
        <f>$H$59*月別販売比率!R21</f>
        <v>3.378867924528302</v>
      </c>
      <c r="BL59" s="103"/>
      <c r="BM59" s="282">
        <f>$H$59*月別販売比率!W21</f>
        <v>3.2169661029285899</v>
      </c>
      <c r="BN59" s="103"/>
      <c r="BO59" s="301">
        <f>$H$59*月別販売比率!AB21</f>
        <v>5.0683018867924527</v>
      </c>
      <c r="BP59" s="302">
        <v>3</v>
      </c>
      <c r="BQ59" s="301">
        <f>$H$59*月別販売比率!AG21</f>
        <v>4.2235849056603776</v>
      </c>
      <c r="BR59" s="302">
        <v>12</v>
      </c>
      <c r="BS59" s="282">
        <f>$H$59*月別販売比率!AL21</f>
        <v>3.8012264150943396</v>
      </c>
      <c r="BT59" s="103"/>
      <c r="BU59" s="282">
        <f>$H$59*月別販売比率!AQ21</f>
        <v>4.2235849056603776</v>
      </c>
      <c r="BV59" s="103"/>
      <c r="BW59" s="282">
        <f>$H$59*月別販売比率!AV21</f>
        <v>2.5719256519937361</v>
      </c>
      <c r="BX59" s="103"/>
      <c r="BY59" s="282">
        <f>$H$59*月別販売比率!BA21</f>
        <v>2.349289730155629</v>
      </c>
      <c r="BZ59" s="103"/>
      <c r="CA59" s="282">
        <f>$H$59*月別販売比率!BF21</f>
        <v>3.378867924528302</v>
      </c>
      <c r="CB59" s="117"/>
      <c r="CC59" s="282">
        <f>H59*月別販売比率!$C$21</f>
        <v>2.9930118136378923</v>
      </c>
      <c r="CD59" s="117"/>
      <c r="CE59" s="282">
        <f>H59*月別販売比率!$H$21</f>
        <v>2.9565094339622644</v>
      </c>
      <c r="CF59" s="352">
        <v>25</v>
      </c>
      <c r="CG59" s="282">
        <f>H59*月別販売比率!$M$21</f>
        <v>4.2685107189301794</v>
      </c>
      <c r="CH59" s="117"/>
      <c r="CI59" s="282">
        <f>H59*月別販売比率!$R$21</f>
        <v>3.378867924528302</v>
      </c>
      <c r="CJ59" s="117">
        <v>5</v>
      </c>
      <c r="CK59" s="282">
        <f>H59*月別販売比率!$W$21</f>
        <v>3.2169661029285899</v>
      </c>
      <c r="CL59" s="117"/>
      <c r="CM59" s="282">
        <f>H59*月別販売比率!$AB$21</f>
        <v>5.0683018867924527</v>
      </c>
      <c r="CN59" s="117"/>
      <c r="CO59" s="282">
        <f>H59*月別販売比率!$AG$21</f>
        <v>4.2235849056603776</v>
      </c>
      <c r="CP59" s="117">
        <v>5</v>
      </c>
      <c r="CQ59" s="282">
        <f>H59*月別販売比率!$AL$21</f>
        <v>3.8012264150943396</v>
      </c>
      <c r="CR59" s="117"/>
      <c r="CS59" s="282">
        <f>H59*月別販売比率!$AQ$21</f>
        <v>4.2235849056603776</v>
      </c>
      <c r="CT59" s="117"/>
      <c r="CU59" s="282">
        <f>H59*月別販売比率!$AV$21</f>
        <v>2.5719256519937361</v>
      </c>
      <c r="CV59" s="103"/>
      <c r="CW59" s="282">
        <f>H59*月別販売比率!$BA$21</f>
        <v>2.349289730155629</v>
      </c>
      <c r="CX59" s="103"/>
      <c r="CY59" s="282">
        <f>H59*月別販売比率!$BF$21</f>
        <v>3.378867924528302</v>
      </c>
      <c r="CZ59" s="103"/>
      <c r="DA59" s="303"/>
      <c r="DB59" s="300"/>
    </row>
    <row r="60" spans="2:106" ht="30.6" customHeight="1">
      <c r="B60" s="2">
        <v>5</v>
      </c>
      <c r="C60" s="435" t="s">
        <v>485</v>
      </c>
      <c r="D60" s="436"/>
      <c r="E60" s="437"/>
      <c r="F60" s="130">
        <f>SUM(F61:F70)</f>
        <v>593</v>
      </c>
      <c r="G60" s="131">
        <f>SUM(G61:G70)</f>
        <v>2478740</v>
      </c>
      <c r="H60" s="130">
        <v>1275</v>
      </c>
      <c r="I60" s="131">
        <f t="shared" ref="I60:N60" si="99">SUM(I61:I70)</f>
        <v>7401560.5396290049</v>
      </c>
      <c r="J60" s="133">
        <f t="shared" si="99"/>
        <v>288</v>
      </c>
      <c r="K60" s="134">
        <f t="shared" si="99"/>
        <v>279</v>
      </c>
      <c r="L60" s="134">
        <f t="shared" si="99"/>
        <v>65</v>
      </c>
      <c r="M60" s="134">
        <f t="shared" si="99"/>
        <v>214</v>
      </c>
      <c r="N60" s="135">
        <f t="shared" si="99"/>
        <v>0</v>
      </c>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6">
        <f t="shared" ref="AS60:CB60" si="100">SUM(AS61:AS70)</f>
        <v>177.070826306914</v>
      </c>
      <c r="AT60" s="134">
        <f t="shared" si="100"/>
        <v>0</v>
      </c>
      <c r="AU60" s="136">
        <f t="shared" si="100"/>
        <v>159.36374367622258</v>
      </c>
      <c r="AV60" s="134">
        <f t="shared" si="100"/>
        <v>0</v>
      </c>
      <c r="AW60" s="136">
        <f t="shared" si="100"/>
        <v>177.070826306914</v>
      </c>
      <c r="AX60" s="134">
        <f t="shared" si="100"/>
        <v>330</v>
      </c>
      <c r="AY60" s="136">
        <f t="shared" si="100"/>
        <v>107.82617387142911</v>
      </c>
      <c r="AZ60" s="134">
        <f t="shared" si="100"/>
        <v>0</v>
      </c>
      <c r="BA60" s="136">
        <f t="shared" si="100"/>
        <v>98.492319450119396</v>
      </c>
      <c r="BB60" s="134">
        <f t="shared" si="100"/>
        <v>0</v>
      </c>
      <c r="BC60" s="136">
        <f t="shared" si="100"/>
        <v>141.65666104553122</v>
      </c>
      <c r="BD60" s="134">
        <f t="shared" si="100"/>
        <v>0</v>
      </c>
      <c r="BE60" s="136">
        <f t="shared" si="100"/>
        <v>125.47991500702477</v>
      </c>
      <c r="BF60" s="134">
        <f t="shared" si="100"/>
        <v>330</v>
      </c>
      <c r="BG60" s="136">
        <f t="shared" si="100"/>
        <v>123.94957841483982</v>
      </c>
      <c r="BH60" s="134">
        <f t="shared" si="100"/>
        <v>0</v>
      </c>
      <c r="BI60" s="136">
        <f t="shared" si="100"/>
        <v>178.95430942750488</v>
      </c>
      <c r="BJ60" s="134">
        <f>SUM(BJ61:BJ70)</f>
        <v>0</v>
      </c>
      <c r="BK60" s="136">
        <f t="shared" si="100"/>
        <v>141.65666104553122</v>
      </c>
      <c r="BL60" s="134">
        <f t="shared" si="100"/>
        <v>600</v>
      </c>
      <c r="BM60" s="136">
        <f t="shared" si="100"/>
        <v>134.86904105644675</v>
      </c>
      <c r="BN60" s="134">
        <f t="shared" si="100"/>
        <v>0</v>
      </c>
      <c r="BO60" s="136">
        <f t="shared" si="100"/>
        <v>212.48499156829675</v>
      </c>
      <c r="BP60" s="134">
        <f t="shared" si="100"/>
        <v>0</v>
      </c>
      <c r="BQ60" s="136">
        <f t="shared" si="100"/>
        <v>177.070826306914</v>
      </c>
      <c r="BR60" s="134">
        <f t="shared" si="100"/>
        <v>600</v>
      </c>
      <c r="BS60" s="136">
        <f t="shared" si="100"/>
        <v>159.36374367622258</v>
      </c>
      <c r="BT60" s="134">
        <f t="shared" si="100"/>
        <v>0</v>
      </c>
      <c r="BU60" s="136">
        <f t="shared" si="100"/>
        <v>177.070826306914</v>
      </c>
      <c r="BV60" s="134">
        <f t="shared" si="100"/>
        <v>0</v>
      </c>
      <c r="BW60" s="136">
        <f t="shared" si="100"/>
        <v>107.82617387142911</v>
      </c>
      <c r="BX60" s="134">
        <f t="shared" si="100"/>
        <v>0</v>
      </c>
      <c r="BY60" s="136">
        <f t="shared" si="100"/>
        <v>98.492319450119396</v>
      </c>
      <c r="BZ60" s="134">
        <f t="shared" si="100"/>
        <v>0</v>
      </c>
      <c r="CA60" s="136">
        <f t="shared" si="100"/>
        <v>141.65666104553122</v>
      </c>
      <c r="CB60" s="134">
        <f t="shared" si="100"/>
        <v>0</v>
      </c>
      <c r="CC60" s="136">
        <f t="shared" ref="CC60:CD60" si="101">SUM(CC61:CC70)</f>
        <v>125.47991500702477</v>
      </c>
      <c r="CD60" s="134">
        <f t="shared" si="101"/>
        <v>0</v>
      </c>
      <c r="CE60" s="136">
        <f t="shared" ref="CE60:CF60" si="102">SUM(CE61:CE70)</f>
        <v>123.94957841483982</v>
      </c>
      <c r="CF60" s="134">
        <f t="shared" si="102"/>
        <v>570</v>
      </c>
      <c r="CG60" s="136">
        <f t="shared" ref="CG60:CJ60" si="103">SUM(CG61:CG70)</f>
        <v>178.95430942750488</v>
      </c>
      <c r="CH60" s="134">
        <f t="shared" si="103"/>
        <v>0</v>
      </c>
      <c r="CI60" s="136">
        <f t="shared" si="103"/>
        <v>141.65666104553122</v>
      </c>
      <c r="CJ60" s="134">
        <f t="shared" si="103"/>
        <v>310</v>
      </c>
      <c r="CK60" s="136">
        <f t="shared" ref="CK60:CN60" si="104">SUM(CK61:CK70)</f>
        <v>134.86904105644675</v>
      </c>
      <c r="CL60" s="134">
        <f t="shared" si="104"/>
        <v>0</v>
      </c>
      <c r="CM60" s="136">
        <f t="shared" si="104"/>
        <v>212.48499156829675</v>
      </c>
      <c r="CN60" s="134">
        <f t="shared" si="104"/>
        <v>0</v>
      </c>
      <c r="CO60" s="136">
        <f t="shared" ref="CO60:CR60" si="105">SUM(CO61:CO70)</f>
        <v>177.070826306914</v>
      </c>
      <c r="CP60" s="134">
        <f t="shared" si="105"/>
        <v>310</v>
      </c>
      <c r="CQ60" s="136">
        <f t="shared" si="105"/>
        <v>159.36374367622258</v>
      </c>
      <c r="CR60" s="134">
        <f t="shared" si="105"/>
        <v>300</v>
      </c>
      <c r="CS60" s="136">
        <f t="shared" ref="CS60:CX60" si="106">SUM(CS61:CS70)</f>
        <v>177.070826306914</v>
      </c>
      <c r="CT60" s="134">
        <f t="shared" si="106"/>
        <v>0</v>
      </c>
      <c r="CU60" s="136">
        <v>107.82617387142911</v>
      </c>
      <c r="CV60" s="134">
        <f t="shared" si="106"/>
        <v>0</v>
      </c>
      <c r="CW60" s="136">
        <f t="shared" si="106"/>
        <v>98.492319450119396</v>
      </c>
      <c r="CX60" s="134">
        <f t="shared" si="106"/>
        <v>0</v>
      </c>
      <c r="CY60" s="136">
        <f t="shared" ref="CY60:CZ60" si="107">SUM(CY61:CY70)</f>
        <v>141.65666104553122</v>
      </c>
      <c r="CZ60" s="134">
        <f t="shared" si="107"/>
        <v>0</v>
      </c>
      <c r="DA60" s="141"/>
      <c r="DB60" s="293"/>
    </row>
    <row r="61" spans="2:106" ht="30.75" customHeight="1">
      <c r="C61" s="446" t="s">
        <v>503</v>
      </c>
      <c r="D61" s="443">
        <v>1</v>
      </c>
      <c r="E61" s="99" t="s">
        <v>46</v>
      </c>
      <c r="F61" s="56">
        <v>58</v>
      </c>
      <c r="G61" s="46">
        <f>F61*4180</f>
        <v>242440</v>
      </c>
      <c r="H61" s="165">
        <v>190</v>
      </c>
      <c r="I61" s="46">
        <f>H61*4180</f>
        <v>794200</v>
      </c>
      <c r="J61" s="49">
        <v>51</v>
      </c>
      <c r="K61" s="39">
        <f t="shared" ref="K61:K70" si="108">SUM(L61:N61)</f>
        <v>38</v>
      </c>
      <c r="L61" s="39">
        <v>12</v>
      </c>
      <c r="M61" s="39">
        <v>26</v>
      </c>
      <c r="N61" s="384"/>
      <c r="O61" s="19"/>
      <c r="P61" s="19"/>
      <c r="Q61" s="330"/>
      <c r="R61" s="124"/>
      <c r="S61" s="124"/>
      <c r="T61" s="124"/>
      <c r="U61" s="124"/>
      <c r="V61" s="124"/>
      <c r="W61" s="124"/>
      <c r="X61" s="124"/>
      <c r="Y61" s="124"/>
      <c r="Z61" s="124"/>
      <c r="AA61" s="124"/>
      <c r="AB61" s="124"/>
      <c r="AC61" s="124"/>
      <c r="AD61" s="124"/>
      <c r="AE61" s="124"/>
      <c r="AF61" s="328"/>
      <c r="AG61" s="331"/>
      <c r="AH61" s="331"/>
      <c r="AI61" s="129">
        <f t="shared" si="75"/>
        <v>103.8</v>
      </c>
      <c r="AJ61" s="129">
        <f t="shared" ref="AJ61:AJ70" si="109">AI61-CK61+CL61</f>
        <v>89.3283231375962</v>
      </c>
      <c r="AK61" s="129">
        <f t="shared" ref="AK61:AK70" si="110">AJ61-CM61+CN61</f>
        <v>66.528323137596203</v>
      </c>
      <c r="AL61" s="399">
        <f t="shared" ref="AL61:AL70" si="111">AK61-CO61+CP61</f>
        <v>77.528323137596203</v>
      </c>
      <c r="AM61" s="393">
        <f t="shared" ref="AM61:AM70" si="112">AL61-CQ61+CR61</f>
        <v>80.428323137596209</v>
      </c>
      <c r="AN61" s="393">
        <f t="shared" ref="AN61:AN70" si="113">AM61-CS61+CT61</f>
        <v>61.428323137596209</v>
      </c>
      <c r="AO61" s="393">
        <f t="shared" ref="AO61:AO70" si="114">AN61-CU61+CV61</f>
        <v>49.858391792688046</v>
      </c>
      <c r="AP61" s="96">
        <f t="shared" ref="AP61:AP70" si="115">AO61-CW61+CX61</f>
        <v>39.289998858729064</v>
      </c>
      <c r="AQ61" s="91">
        <f t="shared" ref="AQ61:AQ70" si="116">AP61-CY61+CZ61</f>
        <v>24.089998858729061</v>
      </c>
      <c r="AR61" s="198"/>
      <c r="AS61" s="81">
        <f>$H$61*月別販売比率!AG5</f>
        <v>19</v>
      </c>
      <c r="AT61" s="39"/>
      <c r="AU61" s="81">
        <f>$H$61*月別販売比率!AL5</f>
        <v>17.099999999999998</v>
      </c>
      <c r="AV61" s="39"/>
      <c r="AW61" s="245">
        <f>$H$61*月別販売比率!AQ5</f>
        <v>19</v>
      </c>
      <c r="AX61" s="280"/>
      <c r="AY61" s="81">
        <f>$H$61*月別販売比率!AV5</f>
        <v>11.569931344908163</v>
      </c>
      <c r="AZ61" s="39"/>
      <c r="BA61" s="81">
        <f>$H$61*月別販売比率!BA5</f>
        <v>10.568392933958984</v>
      </c>
      <c r="BB61" s="39"/>
      <c r="BC61" s="81">
        <f>$H$61*月別販売比率!BF5</f>
        <v>15.200000000000001</v>
      </c>
      <c r="BD61" s="39"/>
      <c r="BE61" s="245">
        <f>$H$61*月別販売比率!C21</f>
        <v>13.464207712009639</v>
      </c>
      <c r="BF61" s="280"/>
      <c r="BG61" s="81">
        <f>$H$61*月別販売比率!H21</f>
        <v>13.3</v>
      </c>
      <c r="BH61" s="39"/>
      <c r="BI61" s="81">
        <f>$H$61*月別販売比率!M21</f>
        <v>19.202100933494261</v>
      </c>
      <c r="BJ61" s="39"/>
      <c r="BK61" s="245">
        <f>$H$61*月別販売比率!R21</f>
        <v>15.200000000000001</v>
      </c>
      <c r="BL61" s="280">
        <v>78</v>
      </c>
      <c r="BM61" s="81">
        <f>$H$61*月別販売比率!W21</f>
        <v>14.471676862403797</v>
      </c>
      <c r="BN61" s="39"/>
      <c r="BO61" s="81">
        <f>$H$61*月別販売比率!AB21</f>
        <v>22.8</v>
      </c>
      <c r="BP61" s="39"/>
      <c r="BQ61" s="245">
        <f>$H$61*月別販売比率!AG21</f>
        <v>19</v>
      </c>
      <c r="BR61" s="280">
        <v>50</v>
      </c>
      <c r="BS61" s="81">
        <f>$H$61*月別販売比率!AL21</f>
        <v>17.099999999999998</v>
      </c>
      <c r="BT61" s="39"/>
      <c r="BU61" s="81">
        <f>$H$61*月別販売比率!AQ21</f>
        <v>19</v>
      </c>
      <c r="BV61" s="39"/>
      <c r="BW61" s="81">
        <f>$H$61*月別販売比率!AV21</f>
        <v>11.569931344908163</v>
      </c>
      <c r="BX61" s="39"/>
      <c r="BY61" s="81">
        <f>$H$61*月別販売比率!BA21</f>
        <v>10.568392933958984</v>
      </c>
      <c r="BZ61" s="39"/>
      <c r="CA61" s="81">
        <f>$H$61*月別販売比率!BF21</f>
        <v>15.200000000000001</v>
      </c>
      <c r="CB61" s="39"/>
      <c r="CC61" s="81">
        <f>H61*月別販売比率!$C$21</f>
        <v>13.464207712009639</v>
      </c>
      <c r="CD61" s="39"/>
      <c r="CE61" s="81">
        <f>H61*月別販売比率!$H$21</f>
        <v>13.3</v>
      </c>
      <c r="CF61" s="280">
        <v>82</v>
      </c>
      <c r="CG61" s="81">
        <f>H61*月別販売比率!$M$21</f>
        <v>19.202100933494261</v>
      </c>
      <c r="CH61" s="39"/>
      <c r="CI61" s="81">
        <f>H61*月別販売比率!$R$21</f>
        <v>15.200000000000001</v>
      </c>
      <c r="CJ61" s="39">
        <v>30</v>
      </c>
      <c r="CK61" s="81">
        <f>H61*月別販売比率!$W$21</f>
        <v>14.471676862403797</v>
      </c>
      <c r="CL61" s="39"/>
      <c r="CM61" s="81">
        <f>H61*月別販売比率!$AB$21</f>
        <v>22.8</v>
      </c>
      <c r="CN61" s="39"/>
      <c r="CO61" s="81">
        <f>H61*月別販売比率!$AG$21</f>
        <v>19</v>
      </c>
      <c r="CP61" s="39">
        <v>30</v>
      </c>
      <c r="CQ61" s="81">
        <f>H61*月別販売比率!$AL$21</f>
        <v>17.099999999999998</v>
      </c>
      <c r="CR61" s="39">
        <v>20</v>
      </c>
      <c r="CS61" s="81">
        <f>H61*月別販売比率!$AQ$21</f>
        <v>19</v>
      </c>
      <c r="CT61" s="39"/>
      <c r="CU61" s="81">
        <f>H61*月別販売比率!$AV$21</f>
        <v>11.569931344908163</v>
      </c>
      <c r="CV61" s="39"/>
      <c r="CW61" s="81">
        <f>H61*月別販売比率!$BA$21</f>
        <v>10.568392933958984</v>
      </c>
      <c r="CX61" s="39"/>
      <c r="CY61" s="81">
        <f>H61*月別販売比率!$BF$21</f>
        <v>15.200000000000001</v>
      </c>
      <c r="CZ61" s="39"/>
      <c r="DA61" s="28"/>
      <c r="DB61" s="294"/>
    </row>
    <row r="62" spans="2:106" ht="30.75" customHeight="1">
      <c r="C62" s="457"/>
      <c r="D62" s="441"/>
      <c r="E62" s="94" t="s">
        <v>47</v>
      </c>
      <c r="F62" s="57">
        <v>76</v>
      </c>
      <c r="G62" s="46">
        <f t="shared" ref="G62:G70" si="117">F62*4180</f>
        <v>317680</v>
      </c>
      <c r="H62" s="165">
        <v>300</v>
      </c>
      <c r="I62" s="46">
        <f t="shared" ref="I62:I70" si="118">H62*4180</f>
        <v>1254000</v>
      </c>
      <c r="J62" s="9">
        <v>70</v>
      </c>
      <c r="K62" s="21">
        <f t="shared" si="108"/>
        <v>30</v>
      </c>
      <c r="L62" s="21">
        <v>8</v>
      </c>
      <c r="M62" s="21">
        <v>22</v>
      </c>
      <c r="N62" s="384"/>
      <c r="O62" s="19"/>
      <c r="P62" s="19"/>
      <c r="Q62" s="331">
        <v>45654</v>
      </c>
      <c r="R62" s="124"/>
      <c r="S62" s="124"/>
      <c r="T62" s="124"/>
      <c r="U62" s="124"/>
      <c r="V62" s="124"/>
      <c r="W62" s="124"/>
      <c r="X62" s="331">
        <v>45869</v>
      </c>
      <c r="Y62" s="124"/>
      <c r="Z62" s="124"/>
      <c r="AA62" s="124"/>
      <c r="AB62" s="124"/>
      <c r="AC62" s="124"/>
      <c r="AD62" s="124"/>
      <c r="AE62" s="124"/>
      <c r="AF62" s="328"/>
      <c r="AG62" s="331"/>
      <c r="AH62" s="331"/>
      <c r="AI62" s="129">
        <f t="shared" si="75"/>
        <v>126</v>
      </c>
      <c r="AJ62" s="129">
        <f t="shared" si="109"/>
        <v>103.14998390146769</v>
      </c>
      <c r="AK62" s="129">
        <f t="shared" si="110"/>
        <v>67.149983901467692</v>
      </c>
      <c r="AL62" s="399">
        <f t="shared" si="111"/>
        <v>87.149983901467692</v>
      </c>
      <c r="AM62" s="393">
        <f t="shared" si="112"/>
        <v>110.14998390146769</v>
      </c>
      <c r="AN62" s="393">
        <f t="shared" si="113"/>
        <v>80.149983901467692</v>
      </c>
      <c r="AO62" s="393">
        <f t="shared" si="114"/>
        <v>61.881671251612701</v>
      </c>
      <c r="AP62" s="96">
        <f t="shared" si="115"/>
        <v>45.194735040098521</v>
      </c>
      <c r="AQ62" s="91">
        <f t="shared" si="116"/>
        <v>21.194735040098521</v>
      </c>
      <c r="AR62" s="198"/>
      <c r="AS62" s="81">
        <f>$H$62*月別販売比率!AG5</f>
        <v>30</v>
      </c>
      <c r="AT62" s="21"/>
      <c r="AU62" s="81">
        <f>$H$62*月別販売比率!AL5</f>
        <v>27</v>
      </c>
      <c r="AV62" s="21"/>
      <c r="AW62" s="245">
        <f>$H$62*月別販売比率!AQ5</f>
        <v>30</v>
      </c>
      <c r="AX62" s="241">
        <v>50</v>
      </c>
      <c r="AY62" s="81">
        <f>$H$62*月別販売比率!AV5</f>
        <v>18.268312649854995</v>
      </c>
      <c r="AZ62" s="21"/>
      <c r="BA62" s="81">
        <f>$H$62*月別販売比率!BA5</f>
        <v>16.686936211514183</v>
      </c>
      <c r="BB62" s="21"/>
      <c r="BC62" s="81">
        <f>$H$62*月別販売比率!BF5</f>
        <v>24</v>
      </c>
      <c r="BD62" s="21"/>
      <c r="BE62" s="245">
        <f>$H$62*月別販売比率!C21</f>
        <v>21.259275334752061</v>
      </c>
      <c r="BF62" s="241">
        <v>50</v>
      </c>
      <c r="BG62" s="81">
        <f>$H$62*月別販売比率!H21</f>
        <v>21.000000000000004</v>
      </c>
      <c r="BH62" s="21"/>
      <c r="BI62" s="81">
        <f>$H$62*月別販売比率!M21</f>
        <v>30.319106737096199</v>
      </c>
      <c r="BJ62" s="21"/>
      <c r="BK62" s="245">
        <f>$H$62*月別販売比率!R21</f>
        <v>24</v>
      </c>
      <c r="BL62" s="241">
        <v>83</v>
      </c>
      <c r="BM62" s="81">
        <f>$H$62*月別販売比率!W21</f>
        <v>22.850016098532308</v>
      </c>
      <c r="BN62" s="21"/>
      <c r="BO62" s="81">
        <f>$H$62*月別販売比率!AB21</f>
        <v>36</v>
      </c>
      <c r="BP62" s="21"/>
      <c r="BQ62" s="245">
        <f>$H$62*月別販売比率!AG21</f>
        <v>30</v>
      </c>
      <c r="BR62" s="241">
        <v>75</v>
      </c>
      <c r="BS62" s="81">
        <f>$H$62*月別販売比率!AL21</f>
        <v>27</v>
      </c>
      <c r="BT62" s="21"/>
      <c r="BU62" s="81">
        <f>$H$62*月別販売比率!AQ21</f>
        <v>30</v>
      </c>
      <c r="BV62" s="21"/>
      <c r="BW62" s="81">
        <f>$H$62*月別販売比率!AV21</f>
        <v>18.268312649854995</v>
      </c>
      <c r="BX62" s="21"/>
      <c r="BY62" s="81">
        <f>$H$62*月別販売比率!BA21</f>
        <v>16.686936211514183</v>
      </c>
      <c r="BZ62" s="21"/>
      <c r="CA62" s="81">
        <f>$H$62*月別販売比率!BF21</f>
        <v>24</v>
      </c>
      <c r="CB62" s="21"/>
      <c r="CC62" s="81">
        <f>H62*月別販売比率!$C$21</f>
        <v>21.259275334752061</v>
      </c>
      <c r="CD62" s="21"/>
      <c r="CE62" s="81">
        <f>H62*月別販売比率!$H$21</f>
        <v>21.000000000000004</v>
      </c>
      <c r="CF62" s="241">
        <v>112</v>
      </c>
      <c r="CG62" s="81">
        <f>H62*月別販売比率!$M$21</f>
        <v>30.319106737096199</v>
      </c>
      <c r="CH62" s="21"/>
      <c r="CI62" s="81">
        <f>H62*月別販売比率!$R$21</f>
        <v>24</v>
      </c>
      <c r="CJ62" s="21">
        <v>50</v>
      </c>
      <c r="CK62" s="81">
        <f>H62*月別販売比率!$W$21</f>
        <v>22.850016098532308</v>
      </c>
      <c r="CL62" s="21"/>
      <c r="CM62" s="81">
        <f>H62*月別販売比率!$AB$21</f>
        <v>36</v>
      </c>
      <c r="CN62" s="21"/>
      <c r="CO62" s="81">
        <f>H62*月別販売比率!$AG$21</f>
        <v>30</v>
      </c>
      <c r="CP62" s="21">
        <v>50</v>
      </c>
      <c r="CQ62" s="81">
        <f>H62*月別販売比率!$AL$21</f>
        <v>27</v>
      </c>
      <c r="CR62" s="21">
        <v>50</v>
      </c>
      <c r="CS62" s="81">
        <f>H62*月別販売比率!$AQ$21</f>
        <v>30</v>
      </c>
      <c r="CT62" s="21"/>
      <c r="CU62" s="81">
        <f>H62*月別販売比率!$AV$21</f>
        <v>18.268312649854995</v>
      </c>
      <c r="CV62" s="21"/>
      <c r="CW62" s="81">
        <f>H62*月別販売比率!$BA$21</f>
        <v>16.686936211514183</v>
      </c>
      <c r="CX62" s="21"/>
      <c r="CY62" s="81">
        <f>H62*月別販売比率!$BF$21</f>
        <v>24</v>
      </c>
      <c r="CZ62" s="21"/>
      <c r="DA62" s="28"/>
      <c r="DB62" s="294"/>
    </row>
    <row r="63" spans="2:106" ht="30.75" customHeight="1">
      <c r="C63" s="457"/>
      <c r="D63" s="441"/>
      <c r="E63" s="94" t="s">
        <v>51</v>
      </c>
      <c r="F63" s="57">
        <v>85</v>
      </c>
      <c r="G63" s="46">
        <f t="shared" si="117"/>
        <v>355300</v>
      </c>
      <c r="H63" s="165">
        <v>200</v>
      </c>
      <c r="I63" s="46">
        <f t="shared" si="118"/>
        <v>836000</v>
      </c>
      <c r="J63" s="9">
        <v>32</v>
      </c>
      <c r="K63" s="21">
        <f t="shared" si="108"/>
        <v>30</v>
      </c>
      <c r="L63" s="21">
        <v>7</v>
      </c>
      <c r="M63" s="21">
        <v>23</v>
      </c>
      <c r="N63" s="384"/>
      <c r="O63" s="19"/>
      <c r="P63" s="19"/>
      <c r="Q63" s="331">
        <v>45654</v>
      </c>
      <c r="R63" s="124"/>
      <c r="S63" s="124"/>
      <c r="T63" s="124"/>
      <c r="U63" s="124"/>
      <c r="V63" s="124"/>
      <c r="W63" s="124"/>
      <c r="X63" s="124"/>
      <c r="Y63" s="124"/>
      <c r="Z63" s="124"/>
      <c r="AA63" s="124"/>
      <c r="AB63" s="124"/>
      <c r="AC63" s="124"/>
      <c r="AD63" s="124"/>
      <c r="AE63" s="124"/>
      <c r="AF63" s="328"/>
      <c r="AG63" s="331"/>
      <c r="AH63" s="331"/>
      <c r="AI63" s="129">
        <f t="shared" si="75"/>
        <v>81</v>
      </c>
      <c r="AJ63" s="129">
        <f t="shared" si="109"/>
        <v>65.7666559343118</v>
      </c>
      <c r="AK63" s="129">
        <f t="shared" si="110"/>
        <v>41.7666559343118</v>
      </c>
      <c r="AL63" s="399">
        <f t="shared" si="111"/>
        <v>56.7666559343118</v>
      </c>
      <c r="AM63" s="393">
        <f t="shared" si="112"/>
        <v>68.7666559343118</v>
      </c>
      <c r="AN63" s="393">
        <f t="shared" si="113"/>
        <v>48.7666559343118</v>
      </c>
      <c r="AO63" s="393">
        <f t="shared" si="114"/>
        <v>36.58778083440847</v>
      </c>
      <c r="AP63" s="96">
        <f t="shared" si="115"/>
        <v>25.463156693399014</v>
      </c>
      <c r="AQ63" s="91">
        <f t="shared" si="116"/>
        <v>9.4631566933990143</v>
      </c>
      <c r="AR63" s="198"/>
      <c r="AS63" s="81">
        <f>$H$63*月別販売比率!AG5</f>
        <v>20</v>
      </c>
      <c r="AT63" s="21"/>
      <c r="AU63" s="81">
        <f>$H$63*月別販売比率!AL5</f>
        <v>18</v>
      </c>
      <c r="AV63" s="21"/>
      <c r="AW63" s="245">
        <f>$H$63*月別販売比率!AQ5</f>
        <v>20</v>
      </c>
      <c r="AX63" s="241">
        <v>50</v>
      </c>
      <c r="AY63" s="81">
        <f>$H$63*月別販売比率!AV5</f>
        <v>12.178875099903328</v>
      </c>
      <c r="AZ63" s="21"/>
      <c r="BA63" s="81">
        <f>$H$63*月別販売比率!BA5</f>
        <v>11.124624141009457</v>
      </c>
      <c r="BB63" s="21"/>
      <c r="BC63" s="81">
        <f>$H$63*月別販売比率!BF5</f>
        <v>16</v>
      </c>
      <c r="BD63" s="21"/>
      <c r="BE63" s="245">
        <f>$H$63*月別販売比率!C21</f>
        <v>14.172850223168041</v>
      </c>
      <c r="BF63" s="241">
        <v>50</v>
      </c>
      <c r="BG63" s="81">
        <f>$H$63*月別販売比率!H21</f>
        <v>14.000000000000002</v>
      </c>
      <c r="BH63" s="21"/>
      <c r="BI63" s="81">
        <f>$H$63*月別販売比率!M21</f>
        <v>20.212737824730802</v>
      </c>
      <c r="BJ63" s="21"/>
      <c r="BK63" s="245">
        <f>$H$63*月別販売比率!R21</f>
        <v>16</v>
      </c>
      <c r="BL63" s="241">
        <v>115</v>
      </c>
      <c r="BM63" s="81">
        <f>$H$63*月別販売比率!W21</f>
        <v>15.233344065688206</v>
      </c>
      <c r="BN63" s="21"/>
      <c r="BO63" s="81">
        <f>$H$63*月別販売比率!AB21</f>
        <v>24</v>
      </c>
      <c r="BP63" s="21"/>
      <c r="BQ63" s="245">
        <f>$H$63*月別販売比率!AG21</f>
        <v>20</v>
      </c>
      <c r="BR63" s="241">
        <v>30</v>
      </c>
      <c r="BS63" s="81">
        <f>$H$63*月別販売比率!AL21</f>
        <v>18</v>
      </c>
      <c r="BT63" s="21"/>
      <c r="BU63" s="81">
        <f>$H$63*月別販売比率!AQ21</f>
        <v>20</v>
      </c>
      <c r="BV63" s="21"/>
      <c r="BW63" s="81">
        <f>$H$63*月別販売比率!AV21</f>
        <v>12.178875099903328</v>
      </c>
      <c r="BX63" s="21"/>
      <c r="BY63" s="81">
        <f>$H$63*月別販売比率!BA21</f>
        <v>11.124624141009457</v>
      </c>
      <c r="BZ63" s="21"/>
      <c r="CA63" s="81">
        <f>$H$63*月別販売比率!BF21</f>
        <v>16</v>
      </c>
      <c r="CB63" s="21"/>
      <c r="CC63" s="81">
        <f>H63*月別販売比率!$C$21</f>
        <v>14.172850223168041</v>
      </c>
      <c r="CD63" s="21"/>
      <c r="CE63" s="81">
        <f>H63*月別販売比率!$H$21</f>
        <v>14.000000000000002</v>
      </c>
      <c r="CF63" s="241">
        <v>67</v>
      </c>
      <c r="CG63" s="81">
        <f>H63*月別販売比率!$M$21</f>
        <v>20.212737824730802</v>
      </c>
      <c r="CH63" s="21"/>
      <c r="CI63" s="81">
        <f>H63*月別販売比率!$R$21</f>
        <v>16</v>
      </c>
      <c r="CJ63" s="21">
        <v>35</v>
      </c>
      <c r="CK63" s="81">
        <f>H63*月別販売比率!$W$21</f>
        <v>15.233344065688206</v>
      </c>
      <c r="CL63" s="21"/>
      <c r="CM63" s="81">
        <f>H63*月別販売比率!$AB$21</f>
        <v>24</v>
      </c>
      <c r="CN63" s="21"/>
      <c r="CO63" s="81">
        <f>H63*月別販売比率!$AG$21</f>
        <v>20</v>
      </c>
      <c r="CP63" s="21">
        <v>35</v>
      </c>
      <c r="CQ63" s="81">
        <f>H63*月別販売比率!$AL$21</f>
        <v>18</v>
      </c>
      <c r="CR63" s="21">
        <v>30</v>
      </c>
      <c r="CS63" s="81">
        <f>H63*月別販売比率!$AQ$21</f>
        <v>20</v>
      </c>
      <c r="CT63" s="21"/>
      <c r="CU63" s="81">
        <f>H63*月別販売比率!$AV$21</f>
        <v>12.178875099903328</v>
      </c>
      <c r="CV63" s="21"/>
      <c r="CW63" s="81">
        <f>H63*月別販売比率!$BA$21</f>
        <v>11.124624141009457</v>
      </c>
      <c r="CX63" s="21"/>
      <c r="CY63" s="81">
        <f>H63*月別販売比率!$BF$21</f>
        <v>16</v>
      </c>
      <c r="CZ63" s="21"/>
      <c r="DA63" s="28"/>
      <c r="DB63" s="294"/>
    </row>
    <row r="64" spans="2:106" ht="30.75" customHeight="1">
      <c r="C64" s="457"/>
      <c r="D64" s="441"/>
      <c r="E64" s="94" t="s">
        <v>49</v>
      </c>
      <c r="F64" s="57">
        <v>39</v>
      </c>
      <c r="G64" s="46">
        <f t="shared" si="117"/>
        <v>163020</v>
      </c>
      <c r="H64" s="165">
        <v>130</v>
      </c>
      <c r="I64" s="46">
        <f t="shared" si="118"/>
        <v>543400</v>
      </c>
      <c r="J64" s="9">
        <v>16</v>
      </c>
      <c r="K64" s="21">
        <f t="shared" si="108"/>
        <v>28</v>
      </c>
      <c r="L64" s="21">
        <v>6</v>
      </c>
      <c r="M64" s="21">
        <v>22</v>
      </c>
      <c r="N64" s="384"/>
      <c r="O64" s="19"/>
      <c r="P64" s="288"/>
      <c r="Q64" s="331">
        <v>45654</v>
      </c>
      <c r="R64" s="124"/>
      <c r="S64" s="124"/>
      <c r="T64" s="124"/>
      <c r="U64" s="124"/>
      <c r="V64" s="124"/>
      <c r="W64" s="124"/>
      <c r="X64" s="124"/>
      <c r="Y64" s="124"/>
      <c r="Z64" s="124"/>
      <c r="AA64" s="124"/>
      <c r="AB64" s="124"/>
      <c r="AC64" s="124"/>
      <c r="AD64" s="124"/>
      <c r="AE64" s="124"/>
      <c r="AF64" s="124"/>
      <c r="AG64" s="331"/>
      <c r="AH64" s="331"/>
      <c r="AI64" s="129">
        <f t="shared" si="75"/>
        <v>53.6</v>
      </c>
      <c r="AJ64" s="129">
        <f t="shared" si="109"/>
        <v>43.698326357302669</v>
      </c>
      <c r="AK64" s="129">
        <f t="shared" si="110"/>
        <v>28.098326357302668</v>
      </c>
      <c r="AL64" s="399">
        <f t="shared" si="111"/>
        <v>35.098326357302668</v>
      </c>
      <c r="AM64" s="393">
        <f t="shared" si="112"/>
        <v>53.398326357302665</v>
      </c>
      <c r="AN64" s="393">
        <f t="shared" si="113"/>
        <v>40.398326357302665</v>
      </c>
      <c r="AO64" s="393">
        <f t="shared" si="114"/>
        <v>32.482057542365503</v>
      </c>
      <c r="AP64" s="96">
        <f t="shared" si="115"/>
        <v>25.251051850709356</v>
      </c>
      <c r="AQ64" s="91">
        <f t="shared" si="116"/>
        <v>14.851051850709355</v>
      </c>
      <c r="AR64" s="198"/>
      <c r="AS64" s="81">
        <f>$H$64*月別販売比率!AG5</f>
        <v>13</v>
      </c>
      <c r="AT64" s="21"/>
      <c r="AU64" s="81">
        <f>$H$64*月別販売比率!AL5</f>
        <v>11.7</v>
      </c>
      <c r="AV64" s="21"/>
      <c r="AW64" s="245">
        <f>$H$64*月別販売比率!AQ5</f>
        <v>13</v>
      </c>
      <c r="AX64" s="241">
        <v>50</v>
      </c>
      <c r="AY64" s="81">
        <f>$H$64*月別販売比率!AV5</f>
        <v>7.9162688149371636</v>
      </c>
      <c r="AZ64" s="21"/>
      <c r="BA64" s="81">
        <f>$H$64*月別販売比率!BA5</f>
        <v>7.2310056916561471</v>
      </c>
      <c r="BB64" s="21"/>
      <c r="BC64" s="81">
        <f>$H$64*月別販売比率!BF5</f>
        <v>10.4</v>
      </c>
      <c r="BD64" s="21"/>
      <c r="BE64" s="245">
        <f>$H$64*月別販売比率!C21</f>
        <v>9.2123526450592266</v>
      </c>
      <c r="BF64" s="241">
        <v>50</v>
      </c>
      <c r="BG64" s="81">
        <f>$H$64*月別販売比率!H21</f>
        <v>9.1000000000000014</v>
      </c>
      <c r="BH64" s="21"/>
      <c r="BI64" s="81">
        <f>$H$64*月別販売比率!M21</f>
        <v>13.13827958607502</v>
      </c>
      <c r="BJ64" s="21"/>
      <c r="BK64" s="245">
        <f>$H$64*月別販売比率!R21</f>
        <v>10.4</v>
      </c>
      <c r="BL64" s="241">
        <v>10</v>
      </c>
      <c r="BM64" s="81">
        <f>$H$64*月別販売比率!W21</f>
        <v>9.9016736426973342</v>
      </c>
      <c r="BN64" s="21"/>
      <c r="BO64" s="81">
        <f>$H$64*月別販売比率!AB21</f>
        <v>15.6</v>
      </c>
      <c r="BP64" s="21"/>
      <c r="BQ64" s="245">
        <f>$H$64*月別販売比率!AG21</f>
        <v>13</v>
      </c>
      <c r="BR64" s="241">
        <v>20</v>
      </c>
      <c r="BS64" s="81">
        <f>$H$64*月別販売比率!AL21</f>
        <v>11.7</v>
      </c>
      <c r="BT64" s="21"/>
      <c r="BU64" s="81">
        <f>$H$64*月別販売比率!AQ21</f>
        <v>13</v>
      </c>
      <c r="BV64" s="21"/>
      <c r="BW64" s="81">
        <f>$H$64*月別販売比率!AV21</f>
        <v>7.9162688149371636</v>
      </c>
      <c r="BX64" s="21"/>
      <c r="BY64" s="81">
        <f>$H$64*月別販売比率!BA21</f>
        <v>7.2310056916561471</v>
      </c>
      <c r="BZ64" s="21"/>
      <c r="CA64" s="81">
        <f>$H$64*月別販売比率!BF21</f>
        <v>10.4</v>
      </c>
      <c r="CB64" s="21"/>
      <c r="CC64" s="81">
        <f>H64*月別販売比率!$C$21</f>
        <v>9.2123526450592266</v>
      </c>
      <c r="CD64" s="21"/>
      <c r="CE64" s="81">
        <f>H64*月別販売比率!$H$21</f>
        <v>9.1000000000000014</v>
      </c>
      <c r="CF64" s="241">
        <v>57</v>
      </c>
      <c r="CG64" s="81">
        <f>H64*月別販売比率!$M$21</f>
        <v>13.13827958607502</v>
      </c>
      <c r="CH64" s="21"/>
      <c r="CI64" s="81">
        <f>H64*月別販売比率!$R$21</f>
        <v>10.4</v>
      </c>
      <c r="CJ64" s="21">
        <v>20</v>
      </c>
      <c r="CK64" s="81">
        <f>H64*月別販売比率!$W$21</f>
        <v>9.9016736426973342</v>
      </c>
      <c r="CL64" s="21"/>
      <c r="CM64" s="81">
        <f>H64*月別販売比率!$AB$21</f>
        <v>15.6</v>
      </c>
      <c r="CN64" s="21"/>
      <c r="CO64" s="81">
        <f>H64*月別販売比率!$AG$21</f>
        <v>13</v>
      </c>
      <c r="CP64" s="21">
        <v>20</v>
      </c>
      <c r="CQ64" s="81">
        <f>H64*月別販売比率!$AL$21</f>
        <v>11.7</v>
      </c>
      <c r="CR64" s="21">
        <v>30</v>
      </c>
      <c r="CS64" s="81">
        <f>H64*月別販売比率!$AQ$21</f>
        <v>13</v>
      </c>
      <c r="CT64" s="21"/>
      <c r="CU64" s="81">
        <f>H64*月別販売比率!$AV$21</f>
        <v>7.9162688149371636</v>
      </c>
      <c r="CV64" s="21"/>
      <c r="CW64" s="81">
        <f>H64*月別販売比率!$BA$21</f>
        <v>7.2310056916561471</v>
      </c>
      <c r="CX64" s="21"/>
      <c r="CY64" s="81">
        <f>H64*月別販売比率!$BF$21</f>
        <v>10.4</v>
      </c>
      <c r="CZ64" s="21"/>
      <c r="DA64" s="28"/>
      <c r="DB64" s="294"/>
    </row>
    <row r="65" spans="2:106" ht="30.75" customHeight="1">
      <c r="C65" s="457"/>
      <c r="D65" s="442"/>
      <c r="E65" s="94" t="s">
        <v>50</v>
      </c>
      <c r="F65" s="57">
        <v>18</v>
      </c>
      <c r="G65" s="46">
        <f t="shared" si="117"/>
        <v>75240</v>
      </c>
      <c r="H65" s="165">
        <v>80</v>
      </c>
      <c r="I65" s="46">
        <f t="shared" si="118"/>
        <v>334400</v>
      </c>
      <c r="J65" s="9">
        <v>0</v>
      </c>
      <c r="K65" s="21">
        <f t="shared" si="108"/>
        <v>7</v>
      </c>
      <c r="L65" s="21">
        <v>0</v>
      </c>
      <c r="M65" s="21">
        <v>7</v>
      </c>
      <c r="N65" s="384"/>
      <c r="O65" s="19"/>
      <c r="P65" s="19"/>
      <c r="Q65" s="330"/>
      <c r="R65" s="124"/>
      <c r="S65" s="124"/>
      <c r="T65" s="124"/>
      <c r="U65" s="328"/>
      <c r="V65" s="124"/>
      <c r="W65" s="124"/>
      <c r="X65" s="331">
        <v>45869</v>
      </c>
      <c r="Y65" s="124"/>
      <c r="Z65" s="124"/>
      <c r="AA65" s="328"/>
      <c r="AB65" s="331">
        <v>45971</v>
      </c>
      <c r="AC65" s="331">
        <v>45971</v>
      </c>
      <c r="AD65" s="124"/>
      <c r="AE65" s="124"/>
      <c r="AF65" s="124"/>
      <c r="AG65" s="124"/>
      <c r="AH65" s="331"/>
      <c r="AI65" s="129">
        <f t="shared" si="75"/>
        <v>15.6</v>
      </c>
      <c r="AJ65" s="129">
        <f t="shared" si="109"/>
        <v>9.5066623737247173</v>
      </c>
      <c r="AK65" s="129">
        <f t="shared" si="110"/>
        <v>-9.3337626275282304E-2</v>
      </c>
      <c r="AL65" s="129">
        <f>0-CO65+CP65</f>
        <v>7</v>
      </c>
      <c r="AM65" s="393">
        <f t="shared" si="112"/>
        <v>29.8</v>
      </c>
      <c r="AN65" s="393">
        <f t="shared" si="113"/>
        <v>21.8</v>
      </c>
      <c r="AO65" s="393">
        <f t="shared" si="114"/>
        <v>16.92844996003867</v>
      </c>
      <c r="AP65" s="96">
        <f t="shared" si="115"/>
        <v>12.478600303634888</v>
      </c>
      <c r="AQ65" s="91">
        <f t="shared" si="116"/>
        <v>6.0786003036348877</v>
      </c>
      <c r="AR65" s="198"/>
      <c r="AS65" s="81">
        <f>$H$65*月別販売比率!AG5</f>
        <v>8</v>
      </c>
      <c r="AT65" s="21"/>
      <c r="AU65" s="81">
        <f>$H$65*月別販売比率!AL5</f>
        <v>7.1999999999999993</v>
      </c>
      <c r="AV65" s="21"/>
      <c r="AW65" s="245">
        <f>$H$65*月別販売比率!AQ5</f>
        <v>8</v>
      </c>
      <c r="AX65" s="241"/>
      <c r="AY65" s="81">
        <f>$H$65*月別販売比率!AV5</f>
        <v>4.8715500399613312</v>
      </c>
      <c r="AZ65" s="21"/>
      <c r="BA65" s="81">
        <f>$H$65*月別販売比率!BA5</f>
        <v>4.4498496564037824</v>
      </c>
      <c r="BB65" s="21"/>
      <c r="BC65" s="81">
        <f>$H$65*月別販売比率!BF5</f>
        <v>6.4</v>
      </c>
      <c r="BD65" s="21"/>
      <c r="BE65" s="245">
        <f>$H$65*月別販売比率!C21</f>
        <v>5.6691400892672164</v>
      </c>
      <c r="BF65" s="241"/>
      <c r="BG65" s="81">
        <f>$H$65*月別販売比率!H21</f>
        <v>5.6000000000000005</v>
      </c>
      <c r="BH65" s="21"/>
      <c r="BI65" s="81">
        <f>$H$65*月別販売比率!M21</f>
        <v>8.0850951298923199</v>
      </c>
      <c r="BJ65" s="21"/>
      <c r="BK65" s="245">
        <f>$H$65*月別販売比率!R21</f>
        <v>6.4</v>
      </c>
      <c r="BL65" s="241">
        <v>14</v>
      </c>
      <c r="BM65" s="81">
        <f>$H$65*月別販売比率!W21</f>
        <v>6.0933376262752823</v>
      </c>
      <c r="BN65" s="21"/>
      <c r="BO65" s="81">
        <f>$H$65*月別販売比率!AB21</f>
        <v>9.6</v>
      </c>
      <c r="BP65" s="21"/>
      <c r="BQ65" s="245">
        <f>$H$65*月別販売比率!AG21</f>
        <v>8</v>
      </c>
      <c r="BR65" s="241">
        <v>50</v>
      </c>
      <c r="BS65" s="81">
        <f>$H$65*月別販売比率!AL21</f>
        <v>7.1999999999999993</v>
      </c>
      <c r="BT65" s="21"/>
      <c r="BU65" s="81">
        <f>$H$65*月別販売比率!AQ21</f>
        <v>8</v>
      </c>
      <c r="BV65" s="21"/>
      <c r="BW65" s="81">
        <f>$H$65*月別販売比率!AV21</f>
        <v>4.8715500399613312</v>
      </c>
      <c r="BX65" s="21"/>
      <c r="BY65" s="81">
        <f>$H$65*月別販売比率!BA21</f>
        <v>4.4498496564037824</v>
      </c>
      <c r="BZ65" s="21"/>
      <c r="CA65" s="81">
        <f>$H$65*月別販売比率!BF21</f>
        <v>6.4</v>
      </c>
      <c r="CB65" s="21"/>
      <c r="CC65" s="81">
        <f>H65*月別販売比率!$C$21</f>
        <v>5.6691400892672164</v>
      </c>
      <c r="CD65" s="21"/>
      <c r="CE65" s="81">
        <f>H65*月別販売比率!$H$21</f>
        <v>5.6000000000000005</v>
      </c>
      <c r="CF65" s="241">
        <v>17</v>
      </c>
      <c r="CG65" s="81">
        <f>H65*月別販売比率!$M$21</f>
        <v>8.0850951298923199</v>
      </c>
      <c r="CH65" s="21"/>
      <c r="CI65" s="81">
        <f>H65*月別販売比率!$R$21</f>
        <v>6.4</v>
      </c>
      <c r="CJ65" s="21">
        <v>15</v>
      </c>
      <c r="CK65" s="81">
        <f>H65*月別販売比率!$W$21</f>
        <v>6.0933376262752823</v>
      </c>
      <c r="CL65" s="21"/>
      <c r="CM65" s="81">
        <f>H65*月別販売比率!$AB$21</f>
        <v>9.6</v>
      </c>
      <c r="CN65" s="21"/>
      <c r="CO65" s="81">
        <f>H65*月別販売比率!$AG$21</f>
        <v>8</v>
      </c>
      <c r="CP65" s="21">
        <v>15</v>
      </c>
      <c r="CQ65" s="81">
        <f>H65*月別販売比率!$AL$21</f>
        <v>7.1999999999999993</v>
      </c>
      <c r="CR65" s="21">
        <v>30</v>
      </c>
      <c r="CS65" s="81">
        <f>H65*月別販売比率!$AQ$21</f>
        <v>8</v>
      </c>
      <c r="CT65" s="21"/>
      <c r="CU65" s="81">
        <f>H65*月別販売比率!$AV$21</f>
        <v>4.8715500399613312</v>
      </c>
      <c r="CV65" s="21"/>
      <c r="CW65" s="81">
        <f>H65*月別販売比率!$BA$21</f>
        <v>4.4498496564037824</v>
      </c>
      <c r="CX65" s="21"/>
      <c r="CY65" s="81">
        <f>H65*月別販売比率!$BF$21</f>
        <v>6.4</v>
      </c>
      <c r="CZ65" s="21"/>
      <c r="DA65" s="28"/>
      <c r="DB65" s="294"/>
    </row>
    <row r="66" spans="2:106" ht="30.75" customHeight="1">
      <c r="C66" s="457"/>
      <c r="D66" s="443">
        <v>2</v>
      </c>
      <c r="E66" s="94" t="s">
        <v>46</v>
      </c>
      <c r="F66" s="57">
        <v>66</v>
      </c>
      <c r="G66" s="46">
        <f t="shared" si="117"/>
        <v>275880</v>
      </c>
      <c r="H66" s="165">
        <v>180</v>
      </c>
      <c r="I66" s="46">
        <f t="shared" si="118"/>
        <v>752400</v>
      </c>
      <c r="J66" s="9">
        <v>37</v>
      </c>
      <c r="K66" s="21">
        <f t="shared" si="108"/>
        <v>36</v>
      </c>
      <c r="L66" s="21">
        <v>9</v>
      </c>
      <c r="M66" s="21">
        <v>27</v>
      </c>
      <c r="N66" s="384"/>
      <c r="O66" s="19"/>
      <c r="P66" s="19"/>
      <c r="Q66" s="330"/>
      <c r="R66" s="124"/>
      <c r="S66" s="124"/>
      <c r="T66" s="328"/>
      <c r="U66" s="328"/>
      <c r="V66" s="124"/>
      <c r="W66" s="124"/>
      <c r="X66" s="331">
        <v>45869</v>
      </c>
      <c r="Y66" s="124"/>
      <c r="Z66" s="124"/>
      <c r="AA66" s="124"/>
      <c r="AB66" s="124"/>
      <c r="AC66" s="124"/>
      <c r="AD66" s="124"/>
      <c r="AE66" s="124"/>
      <c r="AF66" s="124"/>
      <c r="AG66" s="124"/>
      <c r="AH66" s="124"/>
      <c r="AI66" s="129">
        <f t="shared" si="75"/>
        <v>88.6</v>
      </c>
      <c r="AJ66" s="129">
        <f t="shared" si="109"/>
        <v>74.889990340880615</v>
      </c>
      <c r="AK66" s="129">
        <f t="shared" si="110"/>
        <v>53.289990340880621</v>
      </c>
      <c r="AL66" s="399">
        <f t="shared" si="111"/>
        <v>65.289990340880621</v>
      </c>
      <c r="AM66" s="393">
        <f t="shared" si="112"/>
        <v>69.089990340880618</v>
      </c>
      <c r="AN66" s="393">
        <f t="shared" si="113"/>
        <v>51.089990340880618</v>
      </c>
      <c r="AO66" s="393">
        <f t="shared" si="114"/>
        <v>40.129002750967622</v>
      </c>
      <c r="AP66" s="96">
        <f t="shared" si="115"/>
        <v>30.116841024059113</v>
      </c>
      <c r="AQ66" s="91">
        <f t="shared" si="116"/>
        <v>15.716841024059113</v>
      </c>
      <c r="AR66" s="198"/>
      <c r="AS66" s="81">
        <f>$H$66*月別販売比率!AG5</f>
        <v>18</v>
      </c>
      <c r="AT66" s="21"/>
      <c r="AU66" s="81">
        <f>$H$66*月別販売比率!AL5</f>
        <v>16.2</v>
      </c>
      <c r="AV66" s="21"/>
      <c r="AW66" s="245">
        <f>$H$66*月別販売比率!AQ5</f>
        <v>18</v>
      </c>
      <c r="AX66" s="241"/>
      <c r="AY66" s="81">
        <f>$H$66*月別販売比率!AV5</f>
        <v>10.960987589912996</v>
      </c>
      <c r="AZ66" s="21"/>
      <c r="BA66" s="81">
        <f>$H$66*月別販売比率!BA5</f>
        <v>10.012161726908511</v>
      </c>
      <c r="BB66" s="21"/>
      <c r="BC66" s="81">
        <f>$H$66*月別販売比率!BF5</f>
        <v>14.4</v>
      </c>
      <c r="BD66" s="21"/>
      <c r="BE66" s="245">
        <f>$H$66*月別販売比率!C21</f>
        <v>12.755565200851237</v>
      </c>
      <c r="BF66" s="241"/>
      <c r="BG66" s="81">
        <f>$H$66*月別販売比率!H21</f>
        <v>12.600000000000001</v>
      </c>
      <c r="BH66" s="21"/>
      <c r="BI66" s="81">
        <f>$H$66*月別販売比率!M21</f>
        <v>18.191464042257721</v>
      </c>
      <c r="BJ66" s="21"/>
      <c r="BK66" s="245">
        <f>$H$66*月別販売比率!R21</f>
        <v>14.4</v>
      </c>
      <c r="BL66" s="241">
        <v>80</v>
      </c>
      <c r="BM66" s="81">
        <f>$H$66*月別販売比率!W21</f>
        <v>13.710009659119386</v>
      </c>
      <c r="BN66" s="21"/>
      <c r="BO66" s="81">
        <f>$H$66*月別販売比率!AB21</f>
        <v>21.599999999999998</v>
      </c>
      <c r="BP66" s="21"/>
      <c r="BQ66" s="245">
        <f>$H$66*月別販売比率!AG21</f>
        <v>18</v>
      </c>
      <c r="BR66" s="241">
        <v>75</v>
      </c>
      <c r="BS66" s="81">
        <f>$H$66*月別販売比率!AL21</f>
        <v>16.2</v>
      </c>
      <c r="BT66" s="21"/>
      <c r="BU66" s="81">
        <f>$H$66*月別販売比率!AQ21</f>
        <v>18</v>
      </c>
      <c r="BV66" s="21"/>
      <c r="BW66" s="81">
        <f>$H$66*月別販売比率!AV21</f>
        <v>10.960987589912996</v>
      </c>
      <c r="BX66" s="21"/>
      <c r="BY66" s="81">
        <f>$H$66*月別販売比率!BA21</f>
        <v>10.012161726908511</v>
      </c>
      <c r="BZ66" s="21"/>
      <c r="CA66" s="81">
        <f>$H$66*月別販売比率!BF21</f>
        <v>14.4</v>
      </c>
      <c r="CB66" s="21"/>
      <c r="CC66" s="81">
        <f>H66*月別販売比率!$C$21</f>
        <v>12.755565200851237</v>
      </c>
      <c r="CD66" s="21"/>
      <c r="CE66" s="81">
        <f>H66*月別販売比率!$H$21</f>
        <v>12.600000000000001</v>
      </c>
      <c r="CF66" s="241">
        <v>47</v>
      </c>
      <c r="CG66" s="81">
        <f>H66*月別販売比率!$M$21</f>
        <v>18.191464042257721</v>
      </c>
      <c r="CH66" s="21"/>
      <c r="CI66" s="81">
        <f>H66*月別販売比率!$R$21</f>
        <v>14.4</v>
      </c>
      <c r="CJ66" s="21">
        <v>30</v>
      </c>
      <c r="CK66" s="81">
        <f>H66*月別販売比率!$W$21</f>
        <v>13.710009659119386</v>
      </c>
      <c r="CL66" s="21"/>
      <c r="CM66" s="81">
        <f>H66*月別販売比率!$AB$21</f>
        <v>21.599999999999998</v>
      </c>
      <c r="CN66" s="21"/>
      <c r="CO66" s="81">
        <f>H66*月別販売比率!$AG$21</f>
        <v>18</v>
      </c>
      <c r="CP66" s="21">
        <v>30</v>
      </c>
      <c r="CQ66" s="81">
        <f>H66*月別販売比率!$AL$21</f>
        <v>16.2</v>
      </c>
      <c r="CR66" s="21">
        <v>20</v>
      </c>
      <c r="CS66" s="81">
        <f>H66*月別販売比率!$AQ$21</f>
        <v>18</v>
      </c>
      <c r="CT66" s="21"/>
      <c r="CU66" s="81">
        <f>H66*月別販売比率!$AV$21</f>
        <v>10.960987589912996</v>
      </c>
      <c r="CV66" s="21"/>
      <c r="CW66" s="81">
        <f>H66*月別販売比率!$BA$21</f>
        <v>10.012161726908511</v>
      </c>
      <c r="CX66" s="21"/>
      <c r="CY66" s="81">
        <f>H66*月別販売比率!$BF$21</f>
        <v>14.4</v>
      </c>
      <c r="CZ66" s="21"/>
      <c r="DA66" s="28"/>
      <c r="DB66" s="294"/>
    </row>
    <row r="67" spans="2:106" ht="30.75" customHeight="1">
      <c r="C67" s="457"/>
      <c r="D67" s="441"/>
      <c r="E67" s="94" t="s">
        <v>47</v>
      </c>
      <c r="F67" s="57">
        <v>98</v>
      </c>
      <c r="G67" s="46">
        <f t="shared" si="117"/>
        <v>409640</v>
      </c>
      <c r="H67" s="7">
        <f t="shared" ref="H67" si="119">F67*($H$60/$F$60)</f>
        <v>210.70826306913995</v>
      </c>
      <c r="I67" s="46">
        <f t="shared" si="118"/>
        <v>880760.53962900501</v>
      </c>
      <c r="J67" s="9">
        <v>2</v>
      </c>
      <c r="K67" s="21">
        <f t="shared" si="108"/>
        <v>36</v>
      </c>
      <c r="L67" s="21">
        <v>7</v>
      </c>
      <c r="M67" s="21">
        <v>29</v>
      </c>
      <c r="N67" s="384"/>
      <c r="O67" s="288"/>
      <c r="P67" s="288"/>
      <c r="Q67" s="331">
        <v>45654</v>
      </c>
      <c r="R67" s="124"/>
      <c r="S67" s="124"/>
      <c r="T67" s="124"/>
      <c r="U67" s="328"/>
      <c r="V67" s="124"/>
      <c r="W67" s="124"/>
      <c r="X67" s="124"/>
      <c r="Y67" s="124"/>
      <c r="Z67" s="124"/>
      <c r="AA67" s="124"/>
      <c r="AB67" s="124"/>
      <c r="AC67" s="124"/>
      <c r="AD67" s="124"/>
      <c r="AE67" s="124"/>
      <c r="AF67" s="124"/>
      <c r="AG67" s="124"/>
      <c r="AH67" s="124"/>
      <c r="AI67" s="129">
        <f t="shared" si="75"/>
        <v>71.143338954468803</v>
      </c>
      <c r="AJ67" s="129">
        <f t="shared" si="109"/>
        <v>55.094381610390045</v>
      </c>
      <c r="AK67" s="129">
        <f t="shared" si="110"/>
        <v>29.809390042093252</v>
      </c>
      <c r="AL67" s="399">
        <f t="shared" si="111"/>
        <v>58.738563735179255</v>
      </c>
      <c r="AM67" s="393">
        <f t="shared" si="112"/>
        <v>69.774820058956664</v>
      </c>
      <c r="AN67" s="393">
        <f t="shared" si="113"/>
        <v>48.703993752042663</v>
      </c>
      <c r="AO67" s="393">
        <f t="shared" si="114"/>
        <v>35.873045659859521</v>
      </c>
      <c r="AP67" s="96">
        <f t="shared" si="115"/>
        <v>24.152794509613891</v>
      </c>
      <c r="AQ67" s="91">
        <f t="shared" si="116"/>
        <v>7.2961334640826934</v>
      </c>
      <c r="AR67" s="198"/>
      <c r="AS67" s="81">
        <f>$H$67*月別販売比率!AG5</f>
        <v>21.070826306913997</v>
      </c>
      <c r="AT67" s="21"/>
      <c r="AU67" s="81">
        <f>$H$67*月別販売比率!AL5</f>
        <v>18.963743676222595</v>
      </c>
      <c r="AV67" s="21"/>
      <c r="AW67" s="245">
        <f>$H$67*月別販売比率!AQ5</f>
        <v>21.070826306913997</v>
      </c>
      <c r="AX67" s="241">
        <v>50</v>
      </c>
      <c r="AY67" s="81">
        <f>$H$67*月別販売比率!AV5</f>
        <v>12.830948092183144</v>
      </c>
      <c r="AZ67" s="21"/>
      <c r="BA67" s="81">
        <f>$H$67*月別販売比率!BA5</f>
        <v>11.720251150245629</v>
      </c>
      <c r="BB67" s="21"/>
      <c r="BC67" s="81">
        <f>$H$67*月別販売比率!BF5</f>
        <v>16.856661045531197</v>
      </c>
      <c r="BD67" s="21"/>
      <c r="BE67" s="245">
        <f>$H$67*月別販売比率!C21</f>
        <v>14.931683266314051</v>
      </c>
      <c r="BF67" s="241">
        <v>50</v>
      </c>
      <c r="BG67" s="81">
        <f>$H$67*月別販売比率!H21</f>
        <v>14.749578414839798</v>
      </c>
      <c r="BH67" s="21"/>
      <c r="BI67" s="81">
        <f>$H$67*月別販売比率!M21</f>
        <v>21.294954394604666</v>
      </c>
      <c r="BJ67" s="21"/>
      <c r="BK67" s="245">
        <f>$H$67*月別販売比率!R21</f>
        <v>16.856661045531197</v>
      </c>
      <c r="BL67" s="241">
        <v>115</v>
      </c>
      <c r="BM67" s="81">
        <f>$H$67*月別販売比率!W21</f>
        <v>16.048957344078762</v>
      </c>
      <c r="BN67" s="21"/>
      <c r="BO67" s="81">
        <f>$H$67*月別販売比率!AB21</f>
        <v>25.284991568296793</v>
      </c>
      <c r="BP67" s="21"/>
      <c r="BQ67" s="245">
        <f>$H$67*月別販売比率!AG21</f>
        <v>21.070826306913997</v>
      </c>
      <c r="BR67" s="241">
        <v>125</v>
      </c>
      <c r="BS67" s="81">
        <f>$H$67*月別販売比率!AL21</f>
        <v>18.963743676222595</v>
      </c>
      <c r="BT67" s="21"/>
      <c r="BU67" s="81">
        <f>$H$67*月別販売比率!AQ21</f>
        <v>21.070826306913997</v>
      </c>
      <c r="BV67" s="21"/>
      <c r="BW67" s="81">
        <f>$H$67*月別販売比率!AV21</f>
        <v>12.830948092183144</v>
      </c>
      <c r="BX67" s="21"/>
      <c r="BY67" s="81">
        <f>$H$67*月別販売比率!BA21</f>
        <v>11.720251150245629</v>
      </c>
      <c r="BZ67" s="21"/>
      <c r="CA67" s="81">
        <f>$H$67*月別販売比率!BF21</f>
        <v>16.856661045531197</v>
      </c>
      <c r="CB67" s="21"/>
      <c r="CC67" s="81">
        <f>H67*月別販売比率!$C$21</f>
        <v>14.931683266314051</v>
      </c>
      <c r="CD67" s="21"/>
      <c r="CE67" s="81">
        <f>H67*月別販売比率!$H$21</f>
        <v>14.749578414839798</v>
      </c>
      <c r="CF67" s="241">
        <v>7</v>
      </c>
      <c r="CG67" s="81">
        <f>H67*月別販売比率!$M$21</f>
        <v>21.294954394604666</v>
      </c>
      <c r="CH67" s="21"/>
      <c r="CI67" s="81">
        <f>H67*月別販売比率!$R$21</f>
        <v>16.856661045531197</v>
      </c>
      <c r="CJ67" s="21">
        <v>50</v>
      </c>
      <c r="CK67" s="81">
        <f>H67*月別販売比率!$W$21</f>
        <v>16.048957344078762</v>
      </c>
      <c r="CL67" s="21"/>
      <c r="CM67" s="81">
        <f>H67*月別販売比率!$AB$21</f>
        <v>25.284991568296793</v>
      </c>
      <c r="CN67" s="21"/>
      <c r="CO67" s="81">
        <f>H67*月別販売比率!$AG$21</f>
        <v>21.070826306913997</v>
      </c>
      <c r="CP67" s="21">
        <v>50</v>
      </c>
      <c r="CQ67" s="81">
        <f>H67*月別販売比率!$AL$21</f>
        <v>18.963743676222595</v>
      </c>
      <c r="CR67" s="21">
        <v>30</v>
      </c>
      <c r="CS67" s="81">
        <f>H67*月別販売比率!$AQ$21</f>
        <v>21.070826306913997</v>
      </c>
      <c r="CT67" s="21"/>
      <c r="CU67" s="81">
        <f>H67*月別販売比率!$AV$21</f>
        <v>12.830948092183144</v>
      </c>
      <c r="CV67" s="21"/>
      <c r="CW67" s="81">
        <f>H67*月別販売比率!$BA$21</f>
        <v>11.720251150245629</v>
      </c>
      <c r="CX67" s="21"/>
      <c r="CY67" s="81">
        <f>H67*月別販売比率!$BF$21</f>
        <v>16.856661045531197</v>
      </c>
      <c r="CZ67" s="21"/>
      <c r="DA67" s="28"/>
      <c r="DB67" s="294"/>
    </row>
    <row r="68" spans="2:106" ht="30.75" customHeight="1">
      <c r="C68" s="457"/>
      <c r="D68" s="441"/>
      <c r="E68" s="94" t="s">
        <v>51</v>
      </c>
      <c r="F68" s="57">
        <v>70</v>
      </c>
      <c r="G68" s="46">
        <f t="shared" si="117"/>
        <v>292600</v>
      </c>
      <c r="H68" s="165">
        <v>240</v>
      </c>
      <c r="I68" s="46">
        <f t="shared" si="118"/>
        <v>1003200</v>
      </c>
      <c r="J68" s="9">
        <v>63</v>
      </c>
      <c r="K68" s="21">
        <f t="shared" si="108"/>
        <v>37</v>
      </c>
      <c r="L68" s="21">
        <v>12</v>
      </c>
      <c r="M68" s="21">
        <v>25</v>
      </c>
      <c r="N68" s="384"/>
      <c r="O68" s="288"/>
      <c r="P68" s="288"/>
      <c r="Q68" s="331">
        <v>45654</v>
      </c>
      <c r="R68" s="124"/>
      <c r="S68" s="124"/>
      <c r="T68" s="124"/>
      <c r="U68" s="124"/>
      <c r="V68" s="124"/>
      <c r="W68" s="124"/>
      <c r="X68" s="331">
        <v>45869</v>
      </c>
      <c r="Y68" s="124"/>
      <c r="Z68" s="124"/>
      <c r="AA68" s="124"/>
      <c r="AB68" s="124"/>
      <c r="AC68" s="124"/>
      <c r="AD68" s="124"/>
      <c r="AE68" s="124"/>
      <c r="AF68" s="124"/>
      <c r="AG68" s="331"/>
      <c r="AH68" s="331"/>
      <c r="AI68" s="129">
        <f t="shared" si="75"/>
        <v>115.8</v>
      </c>
      <c r="AJ68" s="129">
        <f t="shared" si="109"/>
        <v>97.519987121174154</v>
      </c>
      <c r="AK68" s="129">
        <f t="shared" si="110"/>
        <v>68.719987121174157</v>
      </c>
      <c r="AL68" s="399">
        <f t="shared" si="111"/>
        <v>79.719987121174157</v>
      </c>
      <c r="AM68" s="393">
        <f t="shared" si="112"/>
        <v>98.119987121174162</v>
      </c>
      <c r="AN68" s="393">
        <f t="shared" si="113"/>
        <v>74.119987121174162</v>
      </c>
      <c r="AO68" s="393">
        <f t="shared" si="114"/>
        <v>59.505337001290165</v>
      </c>
      <c r="AP68" s="96">
        <f t="shared" si="115"/>
        <v>46.155788032078817</v>
      </c>
      <c r="AQ68" s="91">
        <f t="shared" si="116"/>
        <v>26.955788032078818</v>
      </c>
      <c r="AR68" s="198"/>
      <c r="AS68" s="81">
        <f>$H$68*月別販売比率!AG5</f>
        <v>24</v>
      </c>
      <c r="AT68" s="21"/>
      <c r="AU68" s="81">
        <f>$H$68*月別販売比率!AL5</f>
        <v>21.599999999999998</v>
      </c>
      <c r="AV68" s="21"/>
      <c r="AW68" s="245">
        <f>$H$68*月別販売比率!AQ5</f>
        <v>24</v>
      </c>
      <c r="AX68" s="241">
        <v>50</v>
      </c>
      <c r="AY68" s="81">
        <f>$H$68*月別販売比率!AV5</f>
        <v>14.614650119883995</v>
      </c>
      <c r="AZ68" s="21"/>
      <c r="BA68" s="81">
        <f>$H$68*月別販売比率!BA5</f>
        <v>13.349548969211348</v>
      </c>
      <c r="BB68" s="21"/>
      <c r="BC68" s="81">
        <f>$H$68*月別販売比率!BF5</f>
        <v>19.2</v>
      </c>
      <c r="BD68" s="21"/>
      <c r="BE68" s="245">
        <f>$H$68*月別販売比率!C21</f>
        <v>17.007420267801649</v>
      </c>
      <c r="BF68" s="241">
        <v>50</v>
      </c>
      <c r="BG68" s="81">
        <f>$H$68*月別販売比率!H21</f>
        <v>16.8</v>
      </c>
      <c r="BH68" s="21"/>
      <c r="BI68" s="81">
        <f>$H$68*月別販売比率!M21</f>
        <v>24.25528538967696</v>
      </c>
      <c r="BJ68" s="21"/>
      <c r="BK68" s="245">
        <f>$H$68*月別販売比率!R21</f>
        <v>19.2</v>
      </c>
      <c r="BL68" s="241">
        <v>65</v>
      </c>
      <c r="BM68" s="81">
        <f>$H$68*月別販売比率!W21</f>
        <v>18.280012878825847</v>
      </c>
      <c r="BN68" s="21"/>
      <c r="BO68" s="81">
        <f>$H$68*月別販売比率!AB21</f>
        <v>28.799999999999997</v>
      </c>
      <c r="BP68" s="21"/>
      <c r="BQ68" s="245">
        <f>$H$68*月別販売比率!AG21</f>
        <v>24</v>
      </c>
      <c r="BR68" s="241">
        <v>75</v>
      </c>
      <c r="BS68" s="81">
        <f>$H$68*月別販売比率!AL21</f>
        <v>21.599999999999998</v>
      </c>
      <c r="BT68" s="21"/>
      <c r="BU68" s="81">
        <f>$H$68*月別販売比率!AQ21</f>
        <v>24</v>
      </c>
      <c r="BV68" s="21"/>
      <c r="BW68" s="81">
        <f>$H$68*月別販売比率!AV21</f>
        <v>14.614650119883995</v>
      </c>
      <c r="BX68" s="21"/>
      <c r="BY68" s="81">
        <f>$H$68*月別販売比率!BA21</f>
        <v>13.349548969211348</v>
      </c>
      <c r="BZ68" s="21"/>
      <c r="CA68" s="81">
        <f>$H$68*月別販売比率!BF21</f>
        <v>19.2</v>
      </c>
      <c r="CB68" s="21"/>
      <c r="CC68" s="81">
        <f>H68*月別販売比率!$C$21</f>
        <v>17.007420267801649</v>
      </c>
      <c r="CD68" s="21"/>
      <c r="CE68" s="81">
        <f>H68*月別販売比率!$H$21</f>
        <v>16.8</v>
      </c>
      <c r="CF68" s="241">
        <v>107</v>
      </c>
      <c r="CG68" s="81">
        <f>H68*月別販売比率!$M$21</f>
        <v>24.25528538967696</v>
      </c>
      <c r="CH68" s="21"/>
      <c r="CI68" s="81">
        <f>H68*月別販売比率!$R$21</f>
        <v>19.2</v>
      </c>
      <c r="CJ68" s="21">
        <v>35</v>
      </c>
      <c r="CK68" s="81">
        <f>H68*月別販売比率!$W$21</f>
        <v>18.280012878825847</v>
      </c>
      <c r="CL68" s="21"/>
      <c r="CM68" s="81">
        <f>H68*月別販売比率!$AB$21</f>
        <v>28.799999999999997</v>
      </c>
      <c r="CN68" s="21"/>
      <c r="CO68" s="81">
        <f>H68*月別販売比率!$AG$21</f>
        <v>24</v>
      </c>
      <c r="CP68" s="21">
        <v>35</v>
      </c>
      <c r="CQ68" s="81">
        <f>H68*月別販売比率!$AL$21</f>
        <v>21.599999999999998</v>
      </c>
      <c r="CR68" s="21">
        <v>40</v>
      </c>
      <c r="CS68" s="81">
        <f>H68*月別販売比率!$AQ$21</f>
        <v>24</v>
      </c>
      <c r="CT68" s="21"/>
      <c r="CU68" s="81">
        <f>H68*月別販売比率!$AV$21</f>
        <v>14.614650119883995</v>
      </c>
      <c r="CV68" s="21"/>
      <c r="CW68" s="81">
        <f>H68*月別販売比率!$BA$21</f>
        <v>13.349548969211348</v>
      </c>
      <c r="CX68" s="21"/>
      <c r="CY68" s="81">
        <f>H68*月別販売比率!$BF$21</f>
        <v>19.2</v>
      </c>
      <c r="CZ68" s="21"/>
      <c r="DA68" s="28"/>
      <c r="DB68" s="294"/>
    </row>
    <row r="69" spans="2:106" ht="30.75" customHeight="1">
      <c r="C69" s="457"/>
      <c r="D69" s="441"/>
      <c r="E69" s="99" t="s">
        <v>49</v>
      </c>
      <c r="F69" s="56">
        <v>48</v>
      </c>
      <c r="G69" s="46">
        <f t="shared" si="117"/>
        <v>200640</v>
      </c>
      <c r="H69" s="164">
        <v>130</v>
      </c>
      <c r="I69" s="46">
        <f t="shared" si="118"/>
        <v>543400</v>
      </c>
      <c r="J69" s="49">
        <v>0</v>
      </c>
      <c r="K69" s="39">
        <f t="shared" si="108"/>
        <v>25</v>
      </c>
      <c r="L69" s="39">
        <v>3</v>
      </c>
      <c r="M69" s="39">
        <v>22</v>
      </c>
      <c r="N69" s="384"/>
      <c r="O69" s="304"/>
      <c r="P69" s="304"/>
      <c r="Q69" s="333">
        <v>45654</v>
      </c>
      <c r="R69" s="124"/>
      <c r="S69" s="129"/>
      <c r="T69" s="129"/>
      <c r="U69" s="129"/>
      <c r="V69" s="129"/>
      <c r="W69" s="129"/>
      <c r="X69" s="129"/>
      <c r="Y69" s="129"/>
      <c r="Z69" s="129"/>
      <c r="AA69" s="129"/>
      <c r="AB69" s="129"/>
      <c r="AC69" s="129"/>
      <c r="AD69" s="129"/>
      <c r="AE69" s="129"/>
      <c r="AF69" s="129"/>
      <c r="AG69" s="129"/>
      <c r="AH69" s="331"/>
      <c r="AI69" s="129">
        <f t="shared" si="75"/>
        <v>44.6</v>
      </c>
      <c r="AJ69" s="129">
        <f t="shared" si="109"/>
        <v>34.698326357302669</v>
      </c>
      <c r="AK69" s="129">
        <f t="shared" si="110"/>
        <v>19.098326357302668</v>
      </c>
      <c r="AL69" s="399">
        <f t="shared" si="111"/>
        <v>36.098326357302668</v>
      </c>
      <c r="AM69" s="393">
        <f t="shared" si="112"/>
        <v>54.398326357302665</v>
      </c>
      <c r="AN69" s="393">
        <f t="shared" si="113"/>
        <v>41.398326357302665</v>
      </c>
      <c r="AO69" s="393">
        <f t="shared" si="114"/>
        <v>33.482057542365503</v>
      </c>
      <c r="AP69" s="96">
        <f t="shared" si="115"/>
        <v>26.251051850709356</v>
      </c>
      <c r="AQ69" s="91">
        <f t="shared" si="116"/>
        <v>15.851051850709355</v>
      </c>
      <c r="AR69" s="198"/>
      <c r="AS69" s="81">
        <f>$H$69*月別販売比率!AG5</f>
        <v>13</v>
      </c>
      <c r="AT69" s="39"/>
      <c r="AU69" s="81">
        <f>$H$69*月別販売比率!AL5</f>
        <v>11.7</v>
      </c>
      <c r="AV69" s="39"/>
      <c r="AW69" s="245">
        <f>$H$69*月別販売比率!AQ5</f>
        <v>13</v>
      </c>
      <c r="AX69" s="280">
        <v>50</v>
      </c>
      <c r="AY69" s="81">
        <f>$H$69*月別販売比率!AV5</f>
        <v>7.9162688149371636</v>
      </c>
      <c r="AZ69" s="39"/>
      <c r="BA69" s="81">
        <f>$H$69*月別販売比率!BA5</f>
        <v>7.2310056916561471</v>
      </c>
      <c r="BB69" s="39"/>
      <c r="BC69" s="81">
        <f>$H$69*月別販売比率!BF5</f>
        <v>10.4</v>
      </c>
      <c r="BD69" s="39"/>
      <c r="BE69" s="245">
        <f>$H$69*月別販売比率!C21</f>
        <v>9.2123526450592266</v>
      </c>
      <c r="BF69" s="280">
        <v>50</v>
      </c>
      <c r="BG69" s="81">
        <f>$H$69*月別販売比率!H21</f>
        <v>9.1000000000000014</v>
      </c>
      <c r="BH69" s="39"/>
      <c r="BI69" s="81">
        <f>$H$69*月別販売比率!M21</f>
        <v>13.13827958607502</v>
      </c>
      <c r="BJ69" s="39"/>
      <c r="BK69" s="245">
        <f>$H$69*月別販売比率!R21</f>
        <v>10.4</v>
      </c>
      <c r="BL69" s="280">
        <v>20</v>
      </c>
      <c r="BM69" s="81">
        <f>$H$69*月別販売比率!W21</f>
        <v>9.9016736426973342</v>
      </c>
      <c r="BN69" s="39"/>
      <c r="BO69" s="81">
        <f>$H$69*月別販売比率!AB21</f>
        <v>15.6</v>
      </c>
      <c r="BP69" s="39"/>
      <c r="BQ69" s="245">
        <f>$H$69*月別販売比率!AG21</f>
        <v>13</v>
      </c>
      <c r="BR69" s="280">
        <v>50</v>
      </c>
      <c r="BS69" s="81">
        <f>$H$69*月別販売比率!AL21</f>
        <v>11.7</v>
      </c>
      <c r="BT69" s="39"/>
      <c r="BU69" s="81">
        <f>$H$69*月別販売比率!AQ21</f>
        <v>13</v>
      </c>
      <c r="BV69" s="39"/>
      <c r="BW69" s="81">
        <f>$H$69*月別販売比率!AV21</f>
        <v>7.9162688149371636</v>
      </c>
      <c r="BX69" s="39"/>
      <c r="BY69" s="81">
        <f>$H$69*月別販売比率!BA21</f>
        <v>7.2310056916561471</v>
      </c>
      <c r="BZ69" s="39"/>
      <c r="CA69" s="81">
        <f>$H$69*月別販売比率!BF21</f>
        <v>10.4</v>
      </c>
      <c r="CB69" s="39"/>
      <c r="CC69" s="81">
        <f>H69*月別販売比率!$C$21</f>
        <v>9.2123526450592266</v>
      </c>
      <c r="CD69" s="39"/>
      <c r="CE69" s="81">
        <f>H69*月別販売比率!$H$21</f>
        <v>9.1000000000000014</v>
      </c>
      <c r="CF69" s="280">
        <v>37</v>
      </c>
      <c r="CG69" s="81">
        <f>H69*月別販売比率!$M$21</f>
        <v>13.13827958607502</v>
      </c>
      <c r="CH69" s="39"/>
      <c r="CI69" s="81">
        <f>H69*月別販売比率!$R$21</f>
        <v>10.4</v>
      </c>
      <c r="CJ69" s="39">
        <v>30</v>
      </c>
      <c r="CK69" s="81">
        <f>H69*月別販売比率!$W$21</f>
        <v>9.9016736426973342</v>
      </c>
      <c r="CL69" s="39"/>
      <c r="CM69" s="81">
        <f>H69*月別販売比率!$AB$21</f>
        <v>15.6</v>
      </c>
      <c r="CN69" s="39"/>
      <c r="CO69" s="81">
        <f>H69*月別販売比率!$AG$21</f>
        <v>13</v>
      </c>
      <c r="CP69" s="39">
        <v>30</v>
      </c>
      <c r="CQ69" s="81">
        <f>H69*月別販売比率!$AL$21</f>
        <v>11.7</v>
      </c>
      <c r="CR69" s="39">
        <v>30</v>
      </c>
      <c r="CS69" s="81">
        <f>H69*月別販売比率!$AQ$21</f>
        <v>13</v>
      </c>
      <c r="CT69" s="39"/>
      <c r="CU69" s="81">
        <f>H69*月別販売比率!$AV$21</f>
        <v>7.9162688149371636</v>
      </c>
      <c r="CV69" s="39"/>
      <c r="CW69" s="81">
        <f>H69*月別販売比率!$BA$21</f>
        <v>7.2310056916561471</v>
      </c>
      <c r="CX69" s="39"/>
      <c r="CY69" s="81">
        <f>H69*月別販売比率!$BF$21</f>
        <v>10.4</v>
      </c>
      <c r="CZ69" s="39"/>
      <c r="DA69" s="50"/>
      <c r="DB69" s="295"/>
    </row>
    <row r="70" spans="2:106" ht="30.75" customHeight="1">
      <c r="C70" s="458"/>
      <c r="D70" s="444"/>
      <c r="E70" s="101" t="s">
        <v>50</v>
      </c>
      <c r="F70" s="58">
        <v>35</v>
      </c>
      <c r="G70" s="53">
        <f t="shared" si="117"/>
        <v>146300</v>
      </c>
      <c r="H70" s="166">
        <v>110</v>
      </c>
      <c r="I70" s="53">
        <f t="shared" si="118"/>
        <v>459800</v>
      </c>
      <c r="J70" s="113">
        <v>17</v>
      </c>
      <c r="K70" s="104">
        <f t="shared" si="108"/>
        <v>12</v>
      </c>
      <c r="L70" s="104">
        <v>1</v>
      </c>
      <c r="M70" s="104">
        <v>11</v>
      </c>
      <c r="N70" s="385"/>
      <c r="O70" s="291"/>
      <c r="P70" s="291"/>
      <c r="Q70" s="334">
        <v>45654</v>
      </c>
      <c r="R70" s="238"/>
      <c r="S70" s="238"/>
      <c r="T70" s="238"/>
      <c r="U70" s="238"/>
      <c r="V70" s="238"/>
      <c r="W70" s="238"/>
      <c r="X70" s="238"/>
      <c r="Y70" s="238"/>
      <c r="Z70" s="238"/>
      <c r="AA70" s="238"/>
      <c r="AB70" s="238"/>
      <c r="AC70" s="238"/>
      <c r="AD70" s="238"/>
      <c r="AE70" s="238"/>
      <c r="AF70" s="328"/>
      <c r="AG70" s="331"/>
      <c r="AH70" s="331"/>
      <c r="AI70" s="238">
        <f t="shared" si="75"/>
        <v>35.200000000000003</v>
      </c>
      <c r="AJ70" s="238">
        <f t="shared" si="109"/>
        <v>26.821660763871492</v>
      </c>
      <c r="AK70" s="238">
        <f t="shared" si="110"/>
        <v>13.621660763871493</v>
      </c>
      <c r="AL70" s="401">
        <f t="shared" si="111"/>
        <v>17.621660763871493</v>
      </c>
      <c r="AM70" s="395">
        <f t="shared" si="112"/>
        <v>27.72166076387149</v>
      </c>
      <c r="AN70" s="395">
        <f t="shared" si="113"/>
        <v>16.72166076387149</v>
      </c>
      <c r="AO70" s="395">
        <f t="shared" si="114"/>
        <v>10.023279458924659</v>
      </c>
      <c r="AP70" s="403">
        <f t="shared" si="115"/>
        <v>3.9047361813694579</v>
      </c>
      <c r="AQ70" s="90">
        <f t="shared" si="116"/>
        <v>-4.8952638186305428</v>
      </c>
      <c r="AR70" s="238"/>
      <c r="AS70" s="282">
        <f>$H$70*月別販売比率!AG5</f>
        <v>11</v>
      </c>
      <c r="AT70" s="104"/>
      <c r="AU70" s="282">
        <f>$H$70*月別販売比率!AL5</f>
        <v>9.9</v>
      </c>
      <c r="AV70" s="104"/>
      <c r="AW70" s="301">
        <f>$H$70*月別販売比率!AQ5</f>
        <v>11</v>
      </c>
      <c r="AX70" s="339">
        <v>30</v>
      </c>
      <c r="AY70" s="282">
        <f>$H$70*月別販売比率!AV5</f>
        <v>6.6983813049468308</v>
      </c>
      <c r="AZ70" s="104"/>
      <c r="BA70" s="282">
        <f>$H$70*月別販売比率!BA5</f>
        <v>6.1185432775552009</v>
      </c>
      <c r="BB70" s="104"/>
      <c r="BC70" s="282">
        <f>$H$70*月別販売比率!BF5</f>
        <v>8.8000000000000007</v>
      </c>
      <c r="BD70" s="104"/>
      <c r="BE70" s="301">
        <f>$H$70*月別販売比率!C21</f>
        <v>7.7950676227424225</v>
      </c>
      <c r="BF70" s="339">
        <v>30</v>
      </c>
      <c r="BG70" s="282">
        <f>$H$70*月別販売比率!H21</f>
        <v>7.7000000000000011</v>
      </c>
      <c r="BH70" s="104"/>
      <c r="BI70" s="282">
        <f>$H$70*月別販売比率!M21</f>
        <v>11.117005803601939</v>
      </c>
      <c r="BJ70" s="104"/>
      <c r="BK70" s="301">
        <f>$H$70*月別販売比率!R21</f>
        <v>8.8000000000000007</v>
      </c>
      <c r="BL70" s="339">
        <v>20</v>
      </c>
      <c r="BM70" s="282">
        <f>$H$70*月別販売比率!W21</f>
        <v>8.3783392361285127</v>
      </c>
      <c r="BN70" s="104"/>
      <c r="BO70" s="282">
        <f>$H$70*月別販売比率!AB21</f>
        <v>13.2</v>
      </c>
      <c r="BP70" s="104"/>
      <c r="BQ70" s="301">
        <f>$H$70*月別販売比率!AG21</f>
        <v>11</v>
      </c>
      <c r="BR70" s="339">
        <v>50</v>
      </c>
      <c r="BS70" s="282">
        <f>$H$70*月別販売比率!AL21</f>
        <v>9.9</v>
      </c>
      <c r="BT70" s="104"/>
      <c r="BU70" s="282">
        <f>$H$70*月別販売比率!AQ21</f>
        <v>11</v>
      </c>
      <c r="BV70" s="104"/>
      <c r="BW70" s="282">
        <f>$H$70*月別販売比率!AV21</f>
        <v>6.6983813049468308</v>
      </c>
      <c r="BX70" s="104"/>
      <c r="BY70" s="282">
        <f>$H$70*月別販売比率!BA21</f>
        <v>6.1185432775552009</v>
      </c>
      <c r="BZ70" s="104"/>
      <c r="CA70" s="282">
        <f>$H$70*月別販売比率!BF21</f>
        <v>8.8000000000000007</v>
      </c>
      <c r="CB70" s="104"/>
      <c r="CC70" s="282">
        <f>H70*月別販売比率!$C$21</f>
        <v>7.7950676227424225</v>
      </c>
      <c r="CD70" s="104"/>
      <c r="CE70" s="282">
        <f>H70*月別販売比率!$H$21</f>
        <v>7.7000000000000011</v>
      </c>
      <c r="CF70" s="339">
        <v>37</v>
      </c>
      <c r="CG70" s="282">
        <f>H70*月別販売比率!$M$21</f>
        <v>11.117005803601939</v>
      </c>
      <c r="CH70" s="104"/>
      <c r="CI70" s="282">
        <f>H70*月別販売比率!$R$21</f>
        <v>8.8000000000000007</v>
      </c>
      <c r="CJ70" s="104">
        <v>15</v>
      </c>
      <c r="CK70" s="282">
        <f>H70*月別販売比率!$W$21</f>
        <v>8.3783392361285127</v>
      </c>
      <c r="CL70" s="104"/>
      <c r="CM70" s="282">
        <f>H70*月別販売比率!$AB$21</f>
        <v>13.2</v>
      </c>
      <c r="CN70" s="104"/>
      <c r="CO70" s="282">
        <f>H70*月別販売比率!$AG$21</f>
        <v>11</v>
      </c>
      <c r="CP70" s="104">
        <v>15</v>
      </c>
      <c r="CQ70" s="282">
        <f>H70*月別販売比率!$AL$21</f>
        <v>9.9</v>
      </c>
      <c r="CR70" s="104">
        <v>20</v>
      </c>
      <c r="CS70" s="282">
        <f>H70*月別販売比率!$AQ$21</f>
        <v>11</v>
      </c>
      <c r="CT70" s="104"/>
      <c r="CU70" s="282">
        <f>H70*月別販売比率!$AV$21</f>
        <v>6.6983813049468308</v>
      </c>
      <c r="CV70" s="104"/>
      <c r="CW70" s="282">
        <f>H70*月別販売比率!$BA$21</f>
        <v>6.1185432775552009</v>
      </c>
      <c r="CX70" s="104"/>
      <c r="CY70" s="282">
        <f>H70*月別販売比率!$BF$21</f>
        <v>8.8000000000000007</v>
      </c>
      <c r="CZ70" s="104"/>
      <c r="DA70" s="296"/>
      <c r="DB70" s="297"/>
    </row>
    <row r="71" spans="2:106" ht="30.75" customHeight="1">
      <c r="B71" s="2">
        <v>6</v>
      </c>
      <c r="C71" s="435" t="s">
        <v>8</v>
      </c>
      <c r="D71" s="436"/>
      <c r="E71" s="437"/>
      <c r="F71" s="130">
        <f>SUM(F72:F81)</f>
        <v>453</v>
      </c>
      <c r="G71" s="131">
        <f>SUM(G72:G81)</f>
        <v>1644390</v>
      </c>
      <c r="H71" s="130">
        <v>2323</v>
      </c>
      <c r="I71" s="131">
        <f t="shared" ref="I71:N71" si="120">SUM(I72:I81)</f>
        <v>9625790.397350993</v>
      </c>
      <c r="J71" s="133">
        <f t="shared" si="120"/>
        <v>559</v>
      </c>
      <c r="K71" s="134">
        <f t="shared" si="120"/>
        <v>224</v>
      </c>
      <c r="L71" s="134">
        <f t="shared" si="120"/>
        <v>58</v>
      </c>
      <c r="M71" s="134">
        <f t="shared" si="120"/>
        <v>166</v>
      </c>
      <c r="N71" s="135">
        <f t="shared" si="120"/>
        <v>0</v>
      </c>
      <c r="O71" s="138"/>
      <c r="P71" s="138"/>
      <c r="Q71" s="138"/>
      <c r="R71" s="138"/>
      <c r="S71" s="138"/>
      <c r="T71" s="138"/>
      <c r="U71" s="138"/>
      <c r="V71" s="138"/>
      <c r="W71" s="138"/>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6">
        <f t="shared" ref="AS71:CB71" si="121">SUM(AS72:AS81)</f>
        <v>265.17328918322295</v>
      </c>
      <c r="AT71" s="134">
        <f t="shared" si="121"/>
        <v>0</v>
      </c>
      <c r="AU71" s="136">
        <f t="shared" si="121"/>
        <v>238.65596026490067</v>
      </c>
      <c r="AV71" s="134">
        <f t="shared" si="121"/>
        <v>0</v>
      </c>
      <c r="AW71" s="136">
        <f t="shared" si="121"/>
        <v>265.17328918322295</v>
      </c>
      <c r="AX71" s="134">
        <f t="shared" si="121"/>
        <v>300</v>
      </c>
      <c r="AY71" s="136">
        <f t="shared" si="121"/>
        <v>161.47561843965093</v>
      </c>
      <c r="AZ71" s="134">
        <f t="shared" si="121"/>
        <v>300</v>
      </c>
      <c r="BA71" s="136">
        <f t="shared" si="121"/>
        <v>147.49765871992821</v>
      </c>
      <c r="BB71" s="134">
        <f t="shared" si="121"/>
        <v>300</v>
      </c>
      <c r="BC71" s="136">
        <f t="shared" si="121"/>
        <v>212.13863134657836</v>
      </c>
      <c r="BD71" s="134">
        <f t="shared" si="121"/>
        <v>0</v>
      </c>
      <c r="BE71" s="136">
        <f t="shared" si="121"/>
        <v>187.91306553893227</v>
      </c>
      <c r="BF71" s="134"/>
      <c r="BG71" s="136">
        <f t="shared" si="121"/>
        <v>185.62130242825612</v>
      </c>
      <c r="BH71" s="134">
        <f t="shared" si="121"/>
        <v>0</v>
      </c>
      <c r="BI71" s="136">
        <f t="shared" si="121"/>
        <v>267.99390861910047</v>
      </c>
      <c r="BJ71" s="134">
        <f t="shared" si="121"/>
        <v>300</v>
      </c>
      <c r="BK71" s="136">
        <f t="shared" si="121"/>
        <v>212.13863134657836</v>
      </c>
      <c r="BL71" s="134">
        <f t="shared" si="121"/>
        <v>600</v>
      </c>
      <c r="BM71" s="136">
        <f t="shared" si="121"/>
        <v>201.97379755791363</v>
      </c>
      <c r="BN71" s="134">
        <f t="shared" si="121"/>
        <v>0</v>
      </c>
      <c r="BO71" s="136">
        <f t="shared" si="121"/>
        <v>318.20794701986762</v>
      </c>
      <c r="BP71" s="134">
        <f t="shared" si="121"/>
        <v>600</v>
      </c>
      <c r="BQ71" s="136">
        <f t="shared" si="121"/>
        <v>265.17328918322295</v>
      </c>
      <c r="BR71" s="134">
        <f t="shared" si="121"/>
        <v>0</v>
      </c>
      <c r="BS71" s="136">
        <f t="shared" si="121"/>
        <v>238.65596026490067</v>
      </c>
      <c r="BT71" s="134">
        <f t="shared" si="121"/>
        <v>235</v>
      </c>
      <c r="BU71" s="136">
        <f t="shared" si="121"/>
        <v>265.17328918322295</v>
      </c>
      <c r="BV71" s="134">
        <f t="shared" si="121"/>
        <v>0</v>
      </c>
      <c r="BW71" s="136">
        <f t="shared" si="121"/>
        <v>161.47561843965093</v>
      </c>
      <c r="BX71" s="134">
        <f t="shared" si="121"/>
        <v>591</v>
      </c>
      <c r="BY71" s="136">
        <f t="shared" si="121"/>
        <v>147.49765871992821</v>
      </c>
      <c r="BZ71" s="134">
        <f t="shared" si="121"/>
        <v>0</v>
      </c>
      <c r="CA71" s="136">
        <f t="shared" si="121"/>
        <v>212.13863134657836</v>
      </c>
      <c r="CB71" s="134">
        <f t="shared" si="121"/>
        <v>0</v>
      </c>
      <c r="CC71" s="136">
        <f t="shared" ref="CC71:CD71" si="122">SUM(CC72:CC81)</f>
        <v>187.91306553893227</v>
      </c>
      <c r="CD71" s="134">
        <f t="shared" si="122"/>
        <v>0</v>
      </c>
      <c r="CE71" s="136">
        <f t="shared" ref="CE71:CF71" si="123">SUM(CE72:CE81)</f>
        <v>185.62130242825612</v>
      </c>
      <c r="CF71" s="134">
        <f t="shared" si="123"/>
        <v>568</v>
      </c>
      <c r="CG71" s="136">
        <f t="shared" ref="CG71:CJ71" si="124">SUM(CG72:CG81)</f>
        <v>267.99390861910047</v>
      </c>
      <c r="CH71" s="134">
        <f t="shared" si="124"/>
        <v>0</v>
      </c>
      <c r="CI71" s="136">
        <f t="shared" si="124"/>
        <v>212.13863134657836</v>
      </c>
      <c r="CJ71" s="134">
        <f t="shared" si="124"/>
        <v>0</v>
      </c>
      <c r="CK71" s="136">
        <f t="shared" ref="CK71:CN71" si="125">SUM(CK72:CK81)</f>
        <v>201.97379755791363</v>
      </c>
      <c r="CL71" s="134">
        <f t="shared" si="125"/>
        <v>330</v>
      </c>
      <c r="CM71" s="136">
        <f t="shared" si="125"/>
        <v>318.20794701986762</v>
      </c>
      <c r="CN71" s="134">
        <f t="shared" si="125"/>
        <v>0</v>
      </c>
      <c r="CO71" s="136">
        <f t="shared" ref="CO71:CR71" si="126">SUM(CO72:CO81)</f>
        <v>265.17328918322295</v>
      </c>
      <c r="CP71" s="134">
        <f t="shared" si="126"/>
        <v>280</v>
      </c>
      <c r="CQ71" s="136">
        <f t="shared" si="126"/>
        <v>238.65596026490067</v>
      </c>
      <c r="CR71" s="134">
        <f t="shared" si="126"/>
        <v>300</v>
      </c>
      <c r="CS71" s="136">
        <f t="shared" ref="CS71:CX71" si="127">SUM(CS72:CS81)</f>
        <v>265.17328918322295</v>
      </c>
      <c r="CT71" s="134">
        <f t="shared" si="127"/>
        <v>345</v>
      </c>
      <c r="CU71" s="136">
        <v>161.47561843965093</v>
      </c>
      <c r="CV71" s="134">
        <f t="shared" si="127"/>
        <v>0</v>
      </c>
      <c r="CW71" s="136">
        <f t="shared" si="127"/>
        <v>147.49765871992821</v>
      </c>
      <c r="CX71" s="134">
        <f t="shared" si="127"/>
        <v>0</v>
      </c>
      <c r="CY71" s="136">
        <f t="shared" ref="CY71:CZ71" si="128">SUM(CY72:CY81)</f>
        <v>212.13863134657836</v>
      </c>
      <c r="CZ71" s="134">
        <f t="shared" si="128"/>
        <v>0</v>
      </c>
      <c r="DA71" s="141"/>
      <c r="DB71" s="293"/>
    </row>
    <row r="72" spans="2:106" ht="30.75" customHeight="1">
      <c r="C72" s="446" t="s">
        <v>504</v>
      </c>
      <c r="D72" s="443">
        <v>1</v>
      </c>
      <c r="E72" s="99" t="s">
        <v>46</v>
      </c>
      <c r="F72" s="56">
        <v>31</v>
      </c>
      <c r="G72" s="46">
        <f>F72*3630</f>
        <v>112530</v>
      </c>
      <c r="H72" s="164">
        <v>200</v>
      </c>
      <c r="I72" s="46">
        <f t="shared" ref="I72:I81" si="129">H72*3630</f>
        <v>726000</v>
      </c>
      <c r="J72" s="49">
        <v>0</v>
      </c>
      <c r="K72" s="39">
        <f t="shared" ref="K72:K81" si="130">SUM(L72:N72)</f>
        <v>10</v>
      </c>
      <c r="L72" s="39">
        <v>0</v>
      </c>
      <c r="M72" s="39">
        <v>10</v>
      </c>
      <c r="N72" s="384"/>
      <c r="O72" s="288"/>
      <c r="P72" s="289"/>
      <c r="Q72" s="331"/>
      <c r="R72" s="328"/>
      <c r="S72" s="331">
        <v>45693</v>
      </c>
      <c r="T72" s="330"/>
      <c r="U72" s="328"/>
      <c r="V72" s="328"/>
      <c r="W72" s="328"/>
      <c r="X72" s="331">
        <v>45869</v>
      </c>
      <c r="Y72" s="124"/>
      <c r="Z72" s="124"/>
      <c r="AA72" s="328"/>
      <c r="AB72" s="328"/>
      <c r="AC72" s="328"/>
      <c r="AD72" s="331">
        <v>46045</v>
      </c>
      <c r="AE72" s="331"/>
      <c r="AF72" s="331"/>
      <c r="AG72" s="331"/>
      <c r="AH72" s="331"/>
      <c r="AI72" s="129">
        <f t="shared" si="75"/>
        <v>-6</v>
      </c>
      <c r="AJ72" s="129">
        <f>0-CK72+CL72</f>
        <v>14.766655934311794</v>
      </c>
      <c r="AK72" s="129">
        <f t="shared" ref="AK72:AK81" si="131">AJ72-CM72+CN72</f>
        <v>-9.2333440656882058</v>
      </c>
      <c r="AL72" s="399">
        <f>0-CO72+CP72</f>
        <v>20</v>
      </c>
      <c r="AM72" s="393">
        <f t="shared" ref="AM72:AM81" si="132">AL72-CQ72+CR72</f>
        <v>37</v>
      </c>
      <c r="AN72" s="393">
        <f t="shared" ref="AN72:AN81" si="133">AM72-CS72+CT72</f>
        <v>42</v>
      </c>
      <c r="AO72" s="393">
        <f t="shared" ref="AO72:AO81" si="134">AN72-CU72+CV72</f>
        <v>29.82112490009667</v>
      </c>
      <c r="AP72" s="96">
        <f t="shared" ref="AP72:AP81" si="135">AO72-CW72+CX72</f>
        <v>18.696500759087215</v>
      </c>
      <c r="AQ72" s="91">
        <f t="shared" ref="AQ72:AQ81" si="136">AP72-CY72+CZ72</f>
        <v>2.6965007590872148</v>
      </c>
      <c r="AR72" s="198"/>
      <c r="AS72" s="81">
        <f>$H$72*月別販売比率!AG5</f>
        <v>20</v>
      </c>
      <c r="AT72" s="39"/>
      <c r="AU72" s="81">
        <f>$H$72*月別販売比率!AL5</f>
        <v>18</v>
      </c>
      <c r="AV72" s="39"/>
      <c r="AW72" s="245">
        <f>$H$72*月別販売比率!AQ5</f>
        <v>20</v>
      </c>
      <c r="AX72" s="280">
        <v>20</v>
      </c>
      <c r="AY72" s="245">
        <f>$H$72*月別販売比率!AV5</f>
        <v>12.178875099903328</v>
      </c>
      <c r="AZ72" s="280">
        <v>42</v>
      </c>
      <c r="BA72" s="245">
        <f>$H$72*月別販売比率!BA5</f>
        <v>11.124624141009457</v>
      </c>
      <c r="BB72" s="280">
        <v>42</v>
      </c>
      <c r="BC72" s="81">
        <f>$H$72*月別販売比率!BF5</f>
        <v>16</v>
      </c>
      <c r="BD72" s="39"/>
      <c r="BE72" s="245">
        <f>$H$72*月別販売比率!C21</f>
        <v>14.172850223168041</v>
      </c>
      <c r="BF72" s="280"/>
      <c r="BG72" s="81">
        <f>$H$72*月別販売比率!H21</f>
        <v>14.000000000000002</v>
      </c>
      <c r="BH72" s="39"/>
      <c r="BI72" s="245">
        <f>$H$72*月別販売比率!M21</f>
        <v>20.212737824730802</v>
      </c>
      <c r="BJ72" s="280"/>
      <c r="BK72" s="245">
        <f>$H$72*月別販売比率!R21</f>
        <v>16</v>
      </c>
      <c r="BL72" s="280">
        <v>60</v>
      </c>
      <c r="BM72" s="81">
        <f>$H$72*月別販売比率!W21</f>
        <v>15.233344065688206</v>
      </c>
      <c r="BN72" s="39"/>
      <c r="BO72" s="245">
        <f>$H$72*月別販売比率!AB21</f>
        <v>24</v>
      </c>
      <c r="BP72" s="280">
        <v>35</v>
      </c>
      <c r="BQ72" s="81">
        <f>$H$72*月別販売比率!AG21</f>
        <v>20</v>
      </c>
      <c r="BR72" s="39"/>
      <c r="BS72" s="245">
        <f>$H$72*月別販売比率!AL21</f>
        <v>18</v>
      </c>
      <c r="BT72" s="280">
        <v>20</v>
      </c>
      <c r="BU72" s="81">
        <f>$H$72*月別販売比率!AQ21</f>
        <v>20</v>
      </c>
      <c r="BV72" s="39"/>
      <c r="BW72" s="245">
        <f>$H$72*月別販売比率!AV21</f>
        <v>12.178875099903328</v>
      </c>
      <c r="BX72" s="280">
        <v>37</v>
      </c>
      <c r="BY72" s="81">
        <f>$H$72*月別販売比率!BA21</f>
        <v>11.124624141009457</v>
      </c>
      <c r="BZ72" s="39"/>
      <c r="CA72" s="81">
        <f>$H$72*月別販売比率!BF21</f>
        <v>16</v>
      </c>
      <c r="CB72" s="39"/>
      <c r="CC72" s="81">
        <f>H72*月別販売比率!$C$21</f>
        <v>14.172850223168041</v>
      </c>
      <c r="CD72" s="39"/>
      <c r="CE72" s="81">
        <f>H72*月別販売比率!$H$21</f>
        <v>14.000000000000002</v>
      </c>
      <c r="CF72" s="280">
        <v>62</v>
      </c>
      <c r="CG72" s="81">
        <f>H72*月別販売比率!$M$21</f>
        <v>20.212737824730802</v>
      </c>
      <c r="CH72" s="39"/>
      <c r="CI72" s="81">
        <f>H72*月別販売比率!$R$21</f>
        <v>16</v>
      </c>
      <c r="CJ72" s="39"/>
      <c r="CK72" s="81">
        <f>H72*月別販売比率!$W$21</f>
        <v>15.233344065688206</v>
      </c>
      <c r="CL72" s="39">
        <v>30</v>
      </c>
      <c r="CM72" s="81">
        <f>H72*月別販売比率!$AB$21</f>
        <v>24</v>
      </c>
      <c r="CN72" s="39"/>
      <c r="CO72" s="81">
        <f>H72*月別販売比率!$AG$21</f>
        <v>20</v>
      </c>
      <c r="CP72" s="39">
        <v>40</v>
      </c>
      <c r="CQ72" s="81">
        <f>H72*月別販売比率!$AL$21</f>
        <v>18</v>
      </c>
      <c r="CR72" s="39">
        <v>35</v>
      </c>
      <c r="CS72" s="81">
        <f>H72*月別販売比率!$AQ$21</f>
        <v>20</v>
      </c>
      <c r="CT72" s="39">
        <v>25</v>
      </c>
      <c r="CU72" s="81">
        <f>H72*月別販売比率!$AV$21</f>
        <v>12.178875099903328</v>
      </c>
      <c r="CV72" s="39"/>
      <c r="CW72" s="81">
        <f>H72*月別販売比率!$BA$21</f>
        <v>11.124624141009457</v>
      </c>
      <c r="CX72" s="39"/>
      <c r="CY72" s="81">
        <f>H72*月別販売比率!$BF$21</f>
        <v>16</v>
      </c>
      <c r="CZ72" s="39"/>
      <c r="DA72" s="28"/>
      <c r="DB72" s="294"/>
    </row>
    <row r="73" spans="2:106" ht="30.75" customHeight="1">
      <c r="C73" s="457"/>
      <c r="D73" s="441"/>
      <c r="E73" s="94" t="s">
        <v>47</v>
      </c>
      <c r="F73" s="57">
        <v>32</v>
      </c>
      <c r="G73" s="5">
        <f t="shared" ref="G73:G81" si="137">F73*3630</f>
        <v>116160</v>
      </c>
      <c r="H73" s="164">
        <v>320</v>
      </c>
      <c r="I73" s="5">
        <f t="shared" si="129"/>
        <v>1161600</v>
      </c>
      <c r="J73" s="49">
        <v>24</v>
      </c>
      <c r="K73" s="21">
        <f t="shared" si="130"/>
        <v>21</v>
      </c>
      <c r="L73" s="21">
        <v>9</v>
      </c>
      <c r="M73" s="21">
        <v>12</v>
      </c>
      <c r="N73" s="384"/>
      <c r="O73" s="288"/>
      <c r="P73" s="288"/>
      <c r="Q73" s="331"/>
      <c r="R73" s="328"/>
      <c r="S73" s="331">
        <v>45693</v>
      </c>
      <c r="T73" s="330"/>
      <c r="U73" s="328"/>
      <c r="V73" s="328"/>
      <c r="W73" s="328"/>
      <c r="X73" s="331">
        <v>45869</v>
      </c>
      <c r="Y73" s="124"/>
      <c r="Z73" s="124"/>
      <c r="AA73" s="124"/>
      <c r="AB73" s="328"/>
      <c r="AC73" s="328"/>
      <c r="AD73" s="331">
        <v>46045</v>
      </c>
      <c r="AE73" s="124"/>
      <c r="AF73" s="328"/>
      <c r="AG73" s="331"/>
      <c r="AH73" s="331"/>
      <c r="AI73" s="129">
        <f t="shared" si="75"/>
        <v>19.399999999999999</v>
      </c>
      <c r="AJ73" s="129">
        <f t="shared" ref="AJ73:AJ81" si="138">AI73-CK73+CL73</f>
        <v>55.026649494898869</v>
      </c>
      <c r="AK73" s="129">
        <f t="shared" si="131"/>
        <v>16.626649494898871</v>
      </c>
      <c r="AL73" s="399">
        <f t="shared" ref="AL73:AL81" si="139">AK73-CO73+CP73</f>
        <v>44.626649494898871</v>
      </c>
      <c r="AM73" s="393">
        <f t="shared" si="132"/>
        <v>45.826649494898874</v>
      </c>
      <c r="AN73" s="393">
        <f t="shared" si="133"/>
        <v>58.826649494898874</v>
      </c>
      <c r="AO73" s="393">
        <f t="shared" si="134"/>
        <v>39.340449335053549</v>
      </c>
      <c r="AP73" s="96">
        <f t="shared" si="135"/>
        <v>21.541050709438419</v>
      </c>
      <c r="AQ73" s="91">
        <f t="shared" si="136"/>
        <v>-4.058949290561582</v>
      </c>
      <c r="AR73" s="198"/>
      <c r="AS73" s="81">
        <f>$H$73*月別販売比率!AG5</f>
        <v>32</v>
      </c>
      <c r="AT73" s="21"/>
      <c r="AU73" s="81">
        <f>$H$73*月別販売比率!AL5</f>
        <v>28.799999999999997</v>
      </c>
      <c r="AV73" s="21"/>
      <c r="AW73" s="245">
        <f>$H$73*月別販売比率!AQ5</f>
        <v>32</v>
      </c>
      <c r="AX73" s="241">
        <v>30</v>
      </c>
      <c r="AY73" s="245">
        <f>$H$73*月別販売比率!AV5</f>
        <v>19.486200159845325</v>
      </c>
      <c r="AZ73" s="241">
        <v>48</v>
      </c>
      <c r="BA73" s="245">
        <f>$H$73*月別販売比率!BA5</f>
        <v>17.79939862561513</v>
      </c>
      <c r="BB73" s="241">
        <v>48</v>
      </c>
      <c r="BC73" s="81">
        <f>$H$73*月別販売比率!BF5</f>
        <v>25.6</v>
      </c>
      <c r="BD73" s="21"/>
      <c r="BE73" s="245">
        <f>$H$73*月別販売比率!C21</f>
        <v>22.676560357068865</v>
      </c>
      <c r="BF73" s="241"/>
      <c r="BG73" s="81">
        <f>$H$73*月別販売比率!H21</f>
        <v>22.400000000000002</v>
      </c>
      <c r="BH73" s="21"/>
      <c r="BI73" s="245">
        <f>$H$73*月別販売比率!M21</f>
        <v>32.34038051956928</v>
      </c>
      <c r="BJ73" s="241"/>
      <c r="BK73" s="245">
        <f>$H$73*月別販売比率!R21</f>
        <v>25.6</v>
      </c>
      <c r="BL73" s="241">
        <v>60</v>
      </c>
      <c r="BM73" s="81">
        <f>$H$73*月別販売比率!W21</f>
        <v>24.373350505101129</v>
      </c>
      <c r="BN73" s="21"/>
      <c r="BO73" s="245">
        <f>$H$73*月別販売比率!AB21</f>
        <v>38.4</v>
      </c>
      <c r="BP73" s="241">
        <v>40</v>
      </c>
      <c r="BQ73" s="81">
        <f>$H$73*月別販売比率!AG21</f>
        <v>32</v>
      </c>
      <c r="BR73" s="21"/>
      <c r="BS73" s="245">
        <f>$H$73*月別販売比率!AL21</f>
        <v>28.799999999999997</v>
      </c>
      <c r="BT73" s="241">
        <v>25</v>
      </c>
      <c r="BU73" s="81">
        <f>$H$73*月別販売比率!AQ21</f>
        <v>32</v>
      </c>
      <c r="BV73" s="21"/>
      <c r="BW73" s="245">
        <f>$H$73*月別販売比率!AV21</f>
        <v>19.486200159845325</v>
      </c>
      <c r="BX73" s="241">
        <v>40</v>
      </c>
      <c r="BY73" s="81">
        <f>$H$73*月別販売比率!BA21</f>
        <v>17.79939862561513</v>
      </c>
      <c r="BZ73" s="21"/>
      <c r="CA73" s="81">
        <f>$H$73*月別販売比率!BF21</f>
        <v>25.6</v>
      </c>
      <c r="CB73" s="21"/>
      <c r="CC73" s="81">
        <f>H73*月別販売比率!$C$21</f>
        <v>22.676560357068865</v>
      </c>
      <c r="CD73" s="21"/>
      <c r="CE73" s="81">
        <f>H73*月別販売比率!$H$21</f>
        <v>22.400000000000002</v>
      </c>
      <c r="CF73" s="241">
        <v>96</v>
      </c>
      <c r="CG73" s="81">
        <f>H73*月別販売比率!$M$21</f>
        <v>32.34038051956928</v>
      </c>
      <c r="CH73" s="21"/>
      <c r="CI73" s="81">
        <f>H73*月別販売比率!$R$21</f>
        <v>25.6</v>
      </c>
      <c r="CJ73" s="21"/>
      <c r="CK73" s="81">
        <f>H73*月別販売比率!$W$21</f>
        <v>24.373350505101129</v>
      </c>
      <c r="CL73" s="21">
        <v>60</v>
      </c>
      <c r="CM73" s="81">
        <f>H73*月別販売比率!$AB$21</f>
        <v>38.4</v>
      </c>
      <c r="CN73" s="21"/>
      <c r="CO73" s="81">
        <f>H73*月別販売比率!$AG$21</f>
        <v>32</v>
      </c>
      <c r="CP73" s="21">
        <v>60</v>
      </c>
      <c r="CQ73" s="81">
        <f>H73*月別販売比率!$AL$21</f>
        <v>28.799999999999997</v>
      </c>
      <c r="CR73" s="21">
        <v>30</v>
      </c>
      <c r="CS73" s="81">
        <f>H73*月別販売比率!$AQ$21</f>
        <v>32</v>
      </c>
      <c r="CT73" s="21">
        <v>45</v>
      </c>
      <c r="CU73" s="81">
        <f>H73*月別販売比率!$AV$21</f>
        <v>19.486200159845325</v>
      </c>
      <c r="CV73" s="21"/>
      <c r="CW73" s="81">
        <f>H73*月別販売比率!$BA$21</f>
        <v>17.79939862561513</v>
      </c>
      <c r="CX73" s="21"/>
      <c r="CY73" s="81">
        <f>H73*月別販売比率!$BF$21</f>
        <v>25.6</v>
      </c>
      <c r="CZ73" s="21"/>
      <c r="DA73" s="28"/>
      <c r="DB73" s="294"/>
    </row>
    <row r="74" spans="2:106" ht="30.75" customHeight="1">
      <c r="C74" s="457"/>
      <c r="D74" s="441"/>
      <c r="E74" s="94" t="s">
        <v>51</v>
      </c>
      <c r="F74" s="57">
        <v>25</v>
      </c>
      <c r="G74" s="5">
        <f t="shared" si="137"/>
        <v>90750</v>
      </c>
      <c r="H74" s="164">
        <v>260</v>
      </c>
      <c r="I74" s="5">
        <f t="shared" si="129"/>
        <v>943800</v>
      </c>
      <c r="J74" s="49">
        <v>34</v>
      </c>
      <c r="K74" s="21">
        <f t="shared" si="130"/>
        <v>22</v>
      </c>
      <c r="L74" s="21">
        <v>10</v>
      </c>
      <c r="M74" s="21">
        <v>12</v>
      </c>
      <c r="N74" s="384"/>
      <c r="O74" s="19"/>
      <c r="P74" s="288"/>
      <c r="Q74" s="331"/>
      <c r="R74" s="328"/>
      <c r="S74" s="331">
        <v>45693</v>
      </c>
      <c r="T74" s="330"/>
      <c r="U74" s="124"/>
      <c r="V74" s="124"/>
      <c r="W74" s="124"/>
      <c r="X74" s="331">
        <v>45869</v>
      </c>
      <c r="Y74" s="124"/>
      <c r="Z74" s="124"/>
      <c r="AA74" s="124"/>
      <c r="AB74" s="328"/>
      <c r="AC74" s="328"/>
      <c r="AD74" s="331">
        <v>46045</v>
      </c>
      <c r="AE74" s="124"/>
      <c r="AF74" s="328"/>
      <c r="AG74" s="331"/>
      <c r="AH74" s="331"/>
      <c r="AI74" s="129">
        <f t="shared" si="75"/>
        <v>35.200000000000003</v>
      </c>
      <c r="AJ74" s="129">
        <f t="shared" si="138"/>
        <v>65.396652714605338</v>
      </c>
      <c r="AK74" s="129">
        <f t="shared" si="131"/>
        <v>34.196652714605335</v>
      </c>
      <c r="AL74" s="399">
        <f t="shared" si="139"/>
        <v>48.196652714605335</v>
      </c>
      <c r="AM74" s="393">
        <f t="shared" si="132"/>
        <v>54.796652714605337</v>
      </c>
      <c r="AN74" s="393">
        <f t="shared" si="133"/>
        <v>63.796652714605337</v>
      </c>
      <c r="AO74" s="393">
        <f t="shared" si="134"/>
        <v>47.964115084731006</v>
      </c>
      <c r="AP74" s="96">
        <f t="shared" si="135"/>
        <v>33.502103701418712</v>
      </c>
      <c r="AQ74" s="91">
        <f t="shared" si="136"/>
        <v>12.702103701418711</v>
      </c>
      <c r="AR74" s="198"/>
      <c r="AS74" s="81">
        <f>$H$74*月別販売比率!AG5</f>
        <v>26</v>
      </c>
      <c r="AT74" s="21"/>
      <c r="AU74" s="81">
        <f>$H$74*月別販売比率!AL5</f>
        <v>23.4</v>
      </c>
      <c r="AV74" s="21"/>
      <c r="AW74" s="245">
        <f>$H$74*月別販売比率!AQ5</f>
        <v>26</v>
      </c>
      <c r="AX74" s="241">
        <v>30</v>
      </c>
      <c r="AY74" s="245">
        <f>$H$74*月別販売比率!AV5</f>
        <v>15.832537629874327</v>
      </c>
      <c r="AZ74" s="241">
        <v>36</v>
      </c>
      <c r="BA74" s="245">
        <f>$H$74*月別販売比率!BA5</f>
        <v>14.462011383312294</v>
      </c>
      <c r="BB74" s="241">
        <v>36</v>
      </c>
      <c r="BC74" s="81">
        <f>$H$74*月別販売比率!BF5</f>
        <v>20.8</v>
      </c>
      <c r="BD74" s="21"/>
      <c r="BE74" s="245">
        <f>$H$74*月別販売比率!C21</f>
        <v>18.424705290118453</v>
      </c>
      <c r="BF74" s="241"/>
      <c r="BG74" s="81">
        <f>$H$74*月別販売比率!H21</f>
        <v>18.200000000000003</v>
      </c>
      <c r="BH74" s="21"/>
      <c r="BI74" s="245">
        <f>$H$74*月別販売比率!M21</f>
        <v>26.276559172150041</v>
      </c>
      <c r="BJ74" s="241"/>
      <c r="BK74" s="245">
        <f>$H$74*月別販売比率!R21</f>
        <v>20.8</v>
      </c>
      <c r="BL74" s="241">
        <v>35</v>
      </c>
      <c r="BM74" s="81">
        <f>$H$74*月別販売比率!W21</f>
        <v>19.803347285394668</v>
      </c>
      <c r="BN74" s="21"/>
      <c r="BO74" s="245">
        <f>$H$74*月別販売比率!AB21</f>
        <v>31.2</v>
      </c>
      <c r="BP74" s="241">
        <v>35</v>
      </c>
      <c r="BQ74" s="81">
        <f>$H$74*月別販売比率!AG21</f>
        <v>26</v>
      </c>
      <c r="BR74" s="21"/>
      <c r="BS74" s="245">
        <f>$H$74*月別販売比率!AL21</f>
        <v>23.4</v>
      </c>
      <c r="BT74" s="241">
        <v>0</v>
      </c>
      <c r="BU74" s="81">
        <f>$H$74*月別販売比率!AQ21</f>
        <v>26</v>
      </c>
      <c r="BV74" s="21"/>
      <c r="BW74" s="245">
        <f>$H$74*月別販売比率!AV21</f>
        <v>15.832537629874327</v>
      </c>
      <c r="BX74" s="241">
        <v>42</v>
      </c>
      <c r="BY74" s="81">
        <f>$H$74*月別販売比率!BA21</f>
        <v>14.462011383312294</v>
      </c>
      <c r="BZ74" s="21"/>
      <c r="CA74" s="81">
        <f>$H$74*月別販売比率!BF21</f>
        <v>20.8</v>
      </c>
      <c r="CB74" s="21"/>
      <c r="CC74" s="81">
        <f>H74*月別販売比率!$C$21</f>
        <v>18.424705290118453</v>
      </c>
      <c r="CD74" s="21"/>
      <c r="CE74" s="81">
        <f>H74*月別販売比率!$H$21</f>
        <v>18.200000000000003</v>
      </c>
      <c r="CF74" s="241">
        <v>81</v>
      </c>
      <c r="CG74" s="81">
        <f>H74*月別販売比率!$M$21</f>
        <v>26.276559172150041</v>
      </c>
      <c r="CH74" s="21"/>
      <c r="CI74" s="81">
        <f>H74*月別販売比率!$R$21</f>
        <v>20.8</v>
      </c>
      <c r="CJ74" s="21"/>
      <c r="CK74" s="81">
        <f>H74*月別販売比率!$W$21</f>
        <v>19.803347285394668</v>
      </c>
      <c r="CL74" s="21">
        <v>50</v>
      </c>
      <c r="CM74" s="81">
        <f>H74*月別販売比率!$AB$21</f>
        <v>31.2</v>
      </c>
      <c r="CN74" s="21"/>
      <c r="CO74" s="81">
        <f>H74*月別販売比率!$AG$21</f>
        <v>26</v>
      </c>
      <c r="CP74" s="21">
        <v>40</v>
      </c>
      <c r="CQ74" s="81">
        <f>H74*月別販売比率!$AL$21</f>
        <v>23.4</v>
      </c>
      <c r="CR74" s="21">
        <v>30</v>
      </c>
      <c r="CS74" s="81">
        <f>H74*月別販売比率!$AQ$21</f>
        <v>26</v>
      </c>
      <c r="CT74" s="21">
        <v>35</v>
      </c>
      <c r="CU74" s="81">
        <f>H74*月別販売比率!$AV$21</f>
        <v>15.832537629874327</v>
      </c>
      <c r="CV74" s="21"/>
      <c r="CW74" s="81">
        <f>H74*月別販売比率!$BA$21</f>
        <v>14.462011383312294</v>
      </c>
      <c r="CX74" s="21"/>
      <c r="CY74" s="81">
        <f>H74*月別販売比率!$BF$21</f>
        <v>20.8</v>
      </c>
      <c r="CZ74" s="21"/>
      <c r="DA74" s="28"/>
      <c r="DB74" s="294"/>
    </row>
    <row r="75" spans="2:106" ht="30.75" customHeight="1">
      <c r="C75" s="457"/>
      <c r="D75" s="441"/>
      <c r="E75" s="94" t="s">
        <v>49</v>
      </c>
      <c r="F75" s="57">
        <v>28</v>
      </c>
      <c r="G75" s="5">
        <f t="shared" si="137"/>
        <v>101640</v>
      </c>
      <c r="H75" s="45">
        <f t="shared" ref="H75:H81" si="140">F75*($H$71/$F$71)</f>
        <v>143.58498896247241</v>
      </c>
      <c r="I75" s="5">
        <f t="shared" si="129"/>
        <v>521213.50993377483</v>
      </c>
      <c r="J75" s="49">
        <v>7</v>
      </c>
      <c r="K75" s="21">
        <f t="shared" si="130"/>
        <v>27</v>
      </c>
      <c r="L75" s="21">
        <v>7</v>
      </c>
      <c r="M75" s="21">
        <v>20</v>
      </c>
      <c r="N75" s="384"/>
      <c r="O75" s="19"/>
      <c r="P75" s="288"/>
      <c r="Q75" s="331">
        <v>45631</v>
      </c>
      <c r="R75" s="124"/>
      <c r="S75" s="124"/>
      <c r="T75" s="124"/>
      <c r="U75" s="328"/>
      <c r="V75" s="124"/>
      <c r="W75" s="124"/>
      <c r="X75" s="124"/>
      <c r="Y75" s="124"/>
      <c r="Z75" s="124"/>
      <c r="AA75" s="124"/>
      <c r="AB75" s="124"/>
      <c r="AC75" s="328"/>
      <c r="AD75" s="124"/>
      <c r="AE75" s="124"/>
      <c r="AF75" s="124"/>
      <c r="AG75" s="124"/>
      <c r="AH75" s="124"/>
      <c r="AI75" s="129">
        <f t="shared" si="75"/>
        <v>22.513200883002206</v>
      </c>
      <c r="AJ75" s="129">
        <f t="shared" si="138"/>
        <v>31.57680318533528</v>
      </c>
      <c r="AK75" s="129">
        <f t="shared" si="131"/>
        <v>14.346604509838592</v>
      </c>
      <c r="AL75" s="399">
        <f t="shared" si="139"/>
        <v>19.988105613591351</v>
      </c>
      <c r="AM75" s="393">
        <f t="shared" si="132"/>
        <v>32.065456606968837</v>
      </c>
      <c r="AN75" s="393">
        <f t="shared" si="133"/>
        <v>42.706957710721596</v>
      </c>
      <c r="AO75" s="393">
        <f t="shared" si="134"/>
        <v>33.963439476746849</v>
      </c>
      <c r="AP75" s="96">
        <f t="shared" si="135"/>
        <v>25.976794304254366</v>
      </c>
      <c r="AQ75" s="91">
        <f t="shared" si="136"/>
        <v>14.489995187256573</v>
      </c>
      <c r="AR75" s="198"/>
      <c r="AS75" s="81">
        <f>$H$75*月別販売比率!AG5</f>
        <v>14.358498896247241</v>
      </c>
      <c r="AT75" s="21"/>
      <c r="AU75" s="81">
        <f>$H$75*月別販売比率!AL5</f>
        <v>12.922649006622516</v>
      </c>
      <c r="AV75" s="21"/>
      <c r="AW75" s="245">
        <f>$H$75*月別販売比率!AQ5</f>
        <v>14.358498896247241</v>
      </c>
      <c r="AX75" s="241">
        <v>25</v>
      </c>
      <c r="AY75" s="245">
        <f>$H$75*月別販売比率!AV5</f>
        <v>8.743518233974747</v>
      </c>
      <c r="AZ75" s="241">
        <v>12</v>
      </c>
      <c r="BA75" s="245">
        <f>$H$75*月別販売比率!BA5</f>
        <v>7.9866451724924845</v>
      </c>
      <c r="BB75" s="241">
        <v>12</v>
      </c>
      <c r="BC75" s="81">
        <f>$H$75*月別販売比率!BF5</f>
        <v>11.486799116997792</v>
      </c>
      <c r="BD75" s="21"/>
      <c r="BE75" s="245">
        <f>$H$75*月別販売比率!C21</f>
        <v>10.175042714301789</v>
      </c>
      <c r="BF75" s="241">
        <v>48</v>
      </c>
      <c r="BG75" s="81">
        <f>$H$75*月別販売比率!H21</f>
        <v>10.050949227373069</v>
      </c>
      <c r="BH75" s="21"/>
      <c r="BI75" s="245">
        <f>$H$75*月別販売比率!M21</f>
        <v>14.511228687326602</v>
      </c>
      <c r="BJ75" s="241"/>
      <c r="BK75" s="245">
        <f>$H$75*月別販売比率!R21</f>
        <v>11.486799116997792</v>
      </c>
      <c r="BL75" s="241">
        <v>25</v>
      </c>
      <c r="BM75" s="81">
        <f>$H$75*月別販売比率!W21</f>
        <v>10.936397697666928</v>
      </c>
      <c r="BN75" s="21"/>
      <c r="BO75" s="245">
        <f>$H$75*月別販売比率!AB21</f>
        <v>17.230198675496688</v>
      </c>
      <c r="BP75" s="241">
        <v>40</v>
      </c>
      <c r="BQ75" s="81">
        <f>$H$75*月別販売比率!AG21</f>
        <v>14.358498896247241</v>
      </c>
      <c r="BR75" s="21"/>
      <c r="BS75" s="245">
        <f>$H$75*月別販売比率!AL21</f>
        <v>12.922649006622516</v>
      </c>
      <c r="BT75" s="241">
        <v>0</v>
      </c>
      <c r="BU75" s="81">
        <f>$H$75*月別販売比率!AQ21</f>
        <v>14.358498896247241</v>
      </c>
      <c r="BV75" s="21"/>
      <c r="BW75" s="245">
        <f>$H$75*月別販売比率!AV21</f>
        <v>8.743518233974747</v>
      </c>
      <c r="BX75" s="241">
        <v>35</v>
      </c>
      <c r="BY75" s="81">
        <f>$H$75*月別販売比率!BA21</f>
        <v>7.9866451724924845</v>
      </c>
      <c r="BZ75" s="21"/>
      <c r="CA75" s="81">
        <f>$H$75*月別販売比率!BF21</f>
        <v>11.486799116997792</v>
      </c>
      <c r="CB75" s="21"/>
      <c r="CC75" s="81">
        <f>H75*月別販売比率!$C$21</f>
        <v>10.175042714301789</v>
      </c>
      <c r="CD75" s="21"/>
      <c r="CE75" s="81">
        <f>H75*月別販売比率!$H$21</f>
        <v>10.050949227373069</v>
      </c>
      <c r="CF75" s="241">
        <v>32</v>
      </c>
      <c r="CG75" s="81">
        <f>H75*月別販売比率!$M$21</f>
        <v>14.511228687326602</v>
      </c>
      <c r="CH75" s="21"/>
      <c r="CI75" s="81">
        <f>H75*月別販売比率!$R$21</f>
        <v>11.486799116997792</v>
      </c>
      <c r="CJ75" s="21"/>
      <c r="CK75" s="81">
        <f>H75*月別販売比率!$W$21</f>
        <v>10.936397697666928</v>
      </c>
      <c r="CL75" s="21">
        <v>20</v>
      </c>
      <c r="CM75" s="81">
        <f>H75*月別販売比率!$AB$21</f>
        <v>17.230198675496688</v>
      </c>
      <c r="CN75" s="21"/>
      <c r="CO75" s="81">
        <f>H75*月別販売比率!$AG$21</f>
        <v>14.358498896247241</v>
      </c>
      <c r="CP75" s="21">
        <v>20</v>
      </c>
      <c r="CQ75" s="81">
        <f>H75*月別販売比率!$AL$21</f>
        <v>12.922649006622516</v>
      </c>
      <c r="CR75" s="21">
        <v>25</v>
      </c>
      <c r="CS75" s="81">
        <f>H75*月別販売比率!$AQ$21</f>
        <v>14.358498896247241</v>
      </c>
      <c r="CT75" s="21">
        <v>25</v>
      </c>
      <c r="CU75" s="81">
        <f>H75*月別販売比率!$AV$21</f>
        <v>8.743518233974747</v>
      </c>
      <c r="CV75" s="21"/>
      <c r="CW75" s="81">
        <f>H75*月別販売比率!$BA$21</f>
        <v>7.9866451724924845</v>
      </c>
      <c r="CX75" s="21"/>
      <c r="CY75" s="81">
        <f>H75*月別販売比率!$BF$21</f>
        <v>11.486799116997792</v>
      </c>
      <c r="CZ75" s="21"/>
      <c r="DA75" s="28"/>
      <c r="DB75" s="294"/>
    </row>
    <row r="76" spans="2:106" ht="30.75" customHeight="1">
      <c r="C76" s="457"/>
      <c r="D76" s="442"/>
      <c r="E76" s="94" t="s">
        <v>50</v>
      </c>
      <c r="F76" s="57">
        <v>17</v>
      </c>
      <c r="G76" s="5">
        <f t="shared" si="137"/>
        <v>61710</v>
      </c>
      <c r="H76" s="45">
        <f t="shared" si="140"/>
        <v>87.176600441501108</v>
      </c>
      <c r="I76" s="5">
        <f t="shared" si="129"/>
        <v>316451.05960264901</v>
      </c>
      <c r="J76" s="49">
        <v>4</v>
      </c>
      <c r="K76" s="21">
        <f t="shared" si="130"/>
        <v>21</v>
      </c>
      <c r="L76" s="21">
        <v>3</v>
      </c>
      <c r="M76" s="21">
        <v>18</v>
      </c>
      <c r="N76" s="384"/>
      <c r="O76" s="19"/>
      <c r="P76" s="19"/>
      <c r="Q76" s="331">
        <v>45631</v>
      </c>
      <c r="R76" s="331">
        <v>45685</v>
      </c>
      <c r="S76" s="124"/>
      <c r="T76" s="124"/>
      <c r="U76" s="328"/>
      <c r="V76" s="124"/>
      <c r="W76" s="124"/>
      <c r="X76" s="124"/>
      <c r="Y76" s="124"/>
      <c r="Z76" s="124"/>
      <c r="AA76" s="124"/>
      <c r="AB76" s="328"/>
      <c r="AC76" s="328"/>
      <c r="AD76" s="331">
        <v>46045</v>
      </c>
      <c r="AE76" s="124"/>
      <c r="AF76" s="124"/>
      <c r="AG76" s="124"/>
      <c r="AH76" s="124"/>
      <c r="AI76" s="129">
        <f t="shared" si="75"/>
        <v>18.025871964679911</v>
      </c>
      <c r="AJ76" s="129">
        <f t="shared" si="138"/>
        <v>31.385916219667848</v>
      </c>
      <c r="AK76" s="129">
        <f t="shared" si="131"/>
        <v>20.924724166687717</v>
      </c>
      <c r="AL76" s="399">
        <f t="shared" si="139"/>
        <v>12.207064122537606</v>
      </c>
      <c r="AM76" s="393">
        <f t="shared" si="132"/>
        <v>14.361170082802506</v>
      </c>
      <c r="AN76" s="393">
        <f t="shared" si="133"/>
        <v>15.643510038652394</v>
      </c>
      <c r="AO76" s="393">
        <f t="shared" si="134"/>
        <v>10.334945396596297</v>
      </c>
      <c r="AP76" s="96">
        <f t="shared" si="135"/>
        <v>5.4859108275830017</v>
      </c>
      <c r="AQ76" s="91">
        <f t="shared" si="136"/>
        <v>-1.4882172077370868</v>
      </c>
      <c r="AR76" s="198"/>
      <c r="AS76" s="81">
        <f>$H$76*月別販売比率!AG5</f>
        <v>8.7176600441501115</v>
      </c>
      <c r="AT76" s="21"/>
      <c r="AU76" s="81">
        <f>$H$76*月別販売比率!AL5</f>
        <v>7.8458940397350991</v>
      </c>
      <c r="AV76" s="21"/>
      <c r="AW76" s="245">
        <f>$H$76*月別販売比率!AQ5</f>
        <v>8.7176600441501115</v>
      </c>
      <c r="AX76" s="241">
        <v>15</v>
      </c>
      <c r="AY76" s="245">
        <f>$H$76*月別販売比率!AV5</f>
        <v>5.3085646420560968</v>
      </c>
      <c r="AZ76" s="241">
        <v>12</v>
      </c>
      <c r="BA76" s="245">
        <f>$H$76*月別販売比率!BA5</f>
        <v>4.8490345690132948</v>
      </c>
      <c r="BB76" s="241">
        <v>12</v>
      </c>
      <c r="BC76" s="81">
        <f>$H$76*月別販売比率!BF5</f>
        <v>6.9741280353200885</v>
      </c>
      <c r="BD76" s="21"/>
      <c r="BE76" s="245">
        <f>$H$76*月別販売比率!C21</f>
        <v>6.1777045051118007</v>
      </c>
      <c r="BF76" s="241">
        <v>24</v>
      </c>
      <c r="BG76" s="81">
        <f>$H$76*月別販売比率!H21</f>
        <v>6.1023620309050779</v>
      </c>
      <c r="BH76" s="21"/>
      <c r="BI76" s="245">
        <f>$H$76*月別販売比率!M21</f>
        <v>8.8103888458768669</v>
      </c>
      <c r="BJ76" s="241"/>
      <c r="BK76" s="245">
        <f>$H$76*月別販売比率!R21</f>
        <v>6.9741280353200885</v>
      </c>
      <c r="BL76" s="241">
        <v>10</v>
      </c>
      <c r="BM76" s="81">
        <f>$H$76*月別販売比率!W21</f>
        <v>6.6399557450120641</v>
      </c>
      <c r="BN76" s="21"/>
      <c r="BO76" s="245">
        <f>$H$76*月別販売比率!AB21</f>
        <v>10.461192052980133</v>
      </c>
      <c r="BP76" s="241">
        <v>30</v>
      </c>
      <c r="BQ76" s="81">
        <f>$H$76*月別販売比率!AG21</f>
        <v>8.7176600441501115</v>
      </c>
      <c r="BR76" s="21"/>
      <c r="BS76" s="245">
        <f>$H$76*月別販売比率!AL21</f>
        <v>7.8458940397350991</v>
      </c>
      <c r="BT76" s="241">
        <v>0</v>
      </c>
      <c r="BU76" s="81">
        <f>$H$76*月別販売比率!AQ21</f>
        <v>8.7176600441501115</v>
      </c>
      <c r="BV76" s="21"/>
      <c r="BW76" s="245">
        <f>$H$76*月別販売比率!AV21</f>
        <v>5.3085646420560968</v>
      </c>
      <c r="BX76" s="241">
        <v>12</v>
      </c>
      <c r="BY76" s="81">
        <f>$H$76*月別販売比率!BA21</f>
        <v>4.8490345690132948</v>
      </c>
      <c r="BZ76" s="21"/>
      <c r="CA76" s="81">
        <f>$H$76*月別販売比率!BF21</f>
        <v>6.9741280353200885</v>
      </c>
      <c r="CB76" s="21"/>
      <c r="CC76" s="81">
        <f>H76*月別販売比率!$C$21</f>
        <v>6.1777045051118007</v>
      </c>
      <c r="CD76" s="21"/>
      <c r="CE76" s="81">
        <f>H76*月別販売比率!$H$21</f>
        <v>6.1023620309050779</v>
      </c>
      <c r="CF76" s="241">
        <v>22</v>
      </c>
      <c r="CG76" s="81">
        <f>H76*月別販売比率!$M$21</f>
        <v>8.8103888458768669</v>
      </c>
      <c r="CH76" s="21"/>
      <c r="CI76" s="81">
        <f>H76*月別販売比率!$R$21</f>
        <v>6.9741280353200885</v>
      </c>
      <c r="CJ76" s="21"/>
      <c r="CK76" s="81">
        <f>H76*月別販売比率!$W$21</f>
        <v>6.6399557450120641</v>
      </c>
      <c r="CL76" s="21">
        <v>20</v>
      </c>
      <c r="CM76" s="81">
        <f>H76*月別販売比率!$AB$21</f>
        <v>10.461192052980133</v>
      </c>
      <c r="CN76" s="21"/>
      <c r="CO76" s="81">
        <f>H76*月別販売比率!$AG$21</f>
        <v>8.7176600441501115</v>
      </c>
      <c r="CP76" s="21"/>
      <c r="CQ76" s="81">
        <f>H76*月別販売比率!$AL$21</f>
        <v>7.8458940397350991</v>
      </c>
      <c r="CR76" s="21">
        <v>10</v>
      </c>
      <c r="CS76" s="81">
        <f>H76*月別販売比率!$AQ$21</f>
        <v>8.7176600441501115</v>
      </c>
      <c r="CT76" s="21">
        <v>10</v>
      </c>
      <c r="CU76" s="81">
        <f>H76*月別販売比率!$AV$21</f>
        <v>5.3085646420560968</v>
      </c>
      <c r="CV76" s="21"/>
      <c r="CW76" s="81">
        <f>H76*月別販売比率!$BA$21</f>
        <v>4.8490345690132948</v>
      </c>
      <c r="CX76" s="21"/>
      <c r="CY76" s="81">
        <f>H76*月別販売比率!$BF$21</f>
        <v>6.9741280353200885</v>
      </c>
      <c r="CZ76" s="21"/>
      <c r="DA76" s="28"/>
      <c r="DB76" s="294"/>
    </row>
    <row r="77" spans="2:106" ht="30.75" customHeight="1">
      <c r="C77" s="457"/>
      <c r="D77" s="443">
        <v>2</v>
      </c>
      <c r="E77" s="94" t="s">
        <v>46</v>
      </c>
      <c r="F77" s="57">
        <v>76</v>
      </c>
      <c r="G77" s="5">
        <f t="shared" si="137"/>
        <v>275880</v>
      </c>
      <c r="H77" s="45">
        <f t="shared" si="140"/>
        <v>389.73068432671084</v>
      </c>
      <c r="I77" s="5">
        <f t="shared" si="129"/>
        <v>1414722.3841059604</v>
      </c>
      <c r="J77" s="49">
        <v>68</v>
      </c>
      <c r="K77" s="21">
        <f t="shared" si="130"/>
        <v>23</v>
      </c>
      <c r="L77" s="21">
        <v>1</v>
      </c>
      <c r="M77" s="21">
        <v>22</v>
      </c>
      <c r="N77" s="384"/>
      <c r="O77" s="288"/>
      <c r="P77" s="289"/>
      <c r="Q77" s="331"/>
      <c r="R77" s="328"/>
      <c r="S77" s="328"/>
      <c r="T77" s="331">
        <v>45721</v>
      </c>
      <c r="U77" s="328"/>
      <c r="V77" s="124"/>
      <c r="W77" s="124"/>
      <c r="X77" s="331">
        <v>45869</v>
      </c>
      <c r="Y77" s="328"/>
      <c r="Z77" s="124"/>
      <c r="AA77" s="328"/>
      <c r="AB77" s="328"/>
      <c r="AC77" s="328"/>
      <c r="AD77" s="124"/>
      <c r="AE77" s="124"/>
      <c r="AF77" s="328"/>
      <c r="AG77" s="124"/>
      <c r="AH77" s="124"/>
      <c r="AI77" s="129">
        <f t="shared" si="75"/>
        <v>59.821545253863135</v>
      </c>
      <c r="AJ77" s="129">
        <f t="shared" si="138"/>
        <v>80.137037217338616</v>
      </c>
      <c r="AK77" s="129">
        <f t="shared" si="131"/>
        <v>33.369355098133319</v>
      </c>
      <c r="AL77" s="399">
        <f t="shared" si="139"/>
        <v>34.396286665462235</v>
      </c>
      <c r="AM77" s="393">
        <f t="shared" si="132"/>
        <v>54.32052507605826</v>
      </c>
      <c r="AN77" s="393">
        <f t="shared" si="133"/>
        <v>70.347456643387176</v>
      </c>
      <c r="AO77" s="393">
        <f t="shared" si="134"/>
        <v>46.615050008312863</v>
      </c>
      <c r="AP77" s="96">
        <f t="shared" si="135"/>
        <v>24.937013111547547</v>
      </c>
      <c r="AQ77" s="91">
        <f t="shared" si="136"/>
        <v>-6.2414416345893216</v>
      </c>
      <c r="AR77" s="198"/>
      <c r="AS77" s="81">
        <f>$H$77*月別販売比率!AG5</f>
        <v>38.973068432671084</v>
      </c>
      <c r="AT77" s="21"/>
      <c r="AU77" s="81">
        <f>$H$77*月別販売比率!AL5</f>
        <v>35.075761589403974</v>
      </c>
      <c r="AV77" s="21"/>
      <c r="AW77" s="245">
        <f>$H$77*月別販売比率!AQ5</f>
        <v>38.973068432671084</v>
      </c>
      <c r="AX77" s="241">
        <v>45</v>
      </c>
      <c r="AY77" s="245">
        <f>$H$77*月別販売比率!AV5</f>
        <v>23.732406635074316</v>
      </c>
      <c r="AZ77" s="241">
        <v>42</v>
      </c>
      <c r="BA77" s="245">
        <f>$H$77*月別販売比率!BA5</f>
        <v>21.678036896765317</v>
      </c>
      <c r="BB77" s="241">
        <v>42</v>
      </c>
      <c r="BC77" s="81">
        <f>$H$77*月別販売比率!BF5</f>
        <v>31.178454746136868</v>
      </c>
      <c r="BD77" s="21"/>
      <c r="BE77" s="245">
        <f>$H$77*月別販売比率!C21</f>
        <v>27.617973081676283</v>
      </c>
      <c r="BF77" s="241">
        <v>45</v>
      </c>
      <c r="BG77" s="81">
        <f>$H$77*月別販売比率!H21</f>
        <v>27.281147902869762</v>
      </c>
      <c r="BH77" s="21"/>
      <c r="BI77" s="245">
        <f>$H$77*月別販売比率!M21</f>
        <v>39.387620722743641</v>
      </c>
      <c r="BJ77" s="241">
        <v>75</v>
      </c>
      <c r="BK77" s="245">
        <f>$H$77*月別販売比率!R21</f>
        <v>31.178454746136868</v>
      </c>
      <c r="BL77" s="241">
        <v>110</v>
      </c>
      <c r="BM77" s="81">
        <f>$H$77*月別販売比率!W21</f>
        <v>29.684508036524523</v>
      </c>
      <c r="BN77" s="21"/>
      <c r="BO77" s="245">
        <f>$H$77*月別販売比率!AB21</f>
        <v>46.767682119205297</v>
      </c>
      <c r="BP77" s="241">
        <v>100</v>
      </c>
      <c r="BQ77" s="81">
        <f>$H$77*月別販売比率!AG21</f>
        <v>38.973068432671084</v>
      </c>
      <c r="BR77" s="21"/>
      <c r="BS77" s="245">
        <f>$H$77*月別販売比率!AL21</f>
        <v>35.075761589403974</v>
      </c>
      <c r="BT77" s="241">
        <v>60</v>
      </c>
      <c r="BU77" s="81">
        <f>$H$77*月別販売比率!AQ21</f>
        <v>38.973068432671084</v>
      </c>
      <c r="BV77" s="21"/>
      <c r="BW77" s="245">
        <f>$H$77*月別販売比率!AV21</f>
        <v>23.732406635074316</v>
      </c>
      <c r="BX77" s="241">
        <v>110</v>
      </c>
      <c r="BY77" s="81">
        <f>$H$77*月別販売比率!BA21</f>
        <v>21.678036896765317</v>
      </c>
      <c r="BZ77" s="21"/>
      <c r="CA77" s="81">
        <f>$H$77*月別販売比率!BF21</f>
        <v>31.178454746136868</v>
      </c>
      <c r="CB77" s="21"/>
      <c r="CC77" s="81">
        <f>H77*月別販売比率!$C$21</f>
        <v>27.617973081676283</v>
      </c>
      <c r="CD77" s="21"/>
      <c r="CE77" s="81">
        <f>H77*月別販売比率!$H$21</f>
        <v>27.281147902869762</v>
      </c>
      <c r="CF77" s="241">
        <v>77</v>
      </c>
      <c r="CG77" s="81">
        <f>H77*月別販売比率!$M$21</f>
        <v>39.387620722743641</v>
      </c>
      <c r="CH77" s="21"/>
      <c r="CI77" s="81">
        <f>H77*月別販売比率!$R$21</f>
        <v>31.178454746136868</v>
      </c>
      <c r="CJ77" s="21"/>
      <c r="CK77" s="81">
        <f>H77*月別販売比率!$W$21</f>
        <v>29.684508036524523</v>
      </c>
      <c r="CL77" s="21">
        <v>50</v>
      </c>
      <c r="CM77" s="81">
        <f>H77*月別販売比率!$AB$21</f>
        <v>46.767682119205297</v>
      </c>
      <c r="CN77" s="21"/>
      <c r="CO77" s="81">
        <f>H77*月別販売比率!$AG$21</f>
        <v>38.973068432671084</v>
      </c>
      <c r="CP77" s="21">
        <v>40</v>
      </c>
      <c r="CQ77" s="81">
        <f>H77*月別販売比率!$AL$21</f>
        <v>35.075761589403974</v>
      </c>
      <c r="CR77" s="21">
        <v>55</v>
      </c>
      <c r="CS77" s="81">
        <f>H77*月別販売比率!$AQ$21</f>
        <v>38.973068432671084</v>
      </c>
      <c r="CT77" s="21">
        <v>55</v>
      </c>
      <c r="CU77" s="81">
        <f>H77*月別販売比率!$AV$21</f>
        <v>23.732406635074316</v>
      </c>
      <c r="CV77" s="21"/>
      <c r="CW77" s="81">
        <f>H77*月別販売比率!$BA$21</f>
        <v>21.678036896765317</v>
      </c>
      <c r="CX77" s="21"/>
      <c r="CY77" s="81">
        <f>H77*月別販売比率!$BF$21</f>
        <v>31.178454746136868</v>
      </c>
      <c r="CZ77" s="21"/>
      <c r="DA77" s="28"/>
      <c r="DB77" s="294"/>
    </row>
    <row r="78" spans="2:106" ht="30.75" customHeight="1">
      <c r="C78" s="457"/>
      <c r="D78" s="441"/>
      <c r="E78" s="94" t="s">
        <v>47</v>
      </c>
      <c r="F78" s="57">
        <v>94</v>
      </c>
      <c r="G78" s="5">
        <f t="shared" si="137"/>
        <v>341220</v>
      </c>
      <c r="H78" s="45">
        <f t="shared" si="140"/>
        <v>482.03532008830024</v>
      </c>
      <c r="I78" s="5">
        <f t="shared" si="129"/>
        <v>1749788.2119205298</v>
      </c>
      <c r="J78" s="49">
        <v>142</v>
      </c>
      <c r="K78" s="21">
        <f t="shared" si="130"/>
        <v>24</v>
      </c>
      <c r="L78" s="21">
        <v>6</v>
      </c>
      <c r="M78" s="21">
        <v>18</v>
      </c>
      <c r="N78" s="384"/>
      <c r="O78" s="288"/>
      <c r="P78" s="289"/>
      <c r="Q78" s="331"/>
      <c r="R78" s="331">
        <v>45685</v>
      </c>
      <c r="S78" s="124"/>
      <c r="T78" s="124"/>
      <c r="U78" s="328"/>
      <c r="V78" s="124"/>
      <c r="W78" s="124"/>
      <c r="X78" s="331">
        <v>45856</v>
      </c>
      <c r="Y78" s="328"/>
      <c r="Z78" s="124"/>
      <c r="AA78" s="124"/>
      <c r="AB78" s="328"/>
      <c r="AC78" s="328"/>
      <c r="AD78" s="124"/>
      <c r="AE78" s="124"/>
      <c r="AF78" s="328"/>
      <c r="AG78" s="124"/>
      <c r="AH78" s="124"/>
      <c r="AI78" s="129">
        <f t="shared" si="75"/>
        <v>127.43717439293599</v>
      </c>
      <c r="AJ78" s="129">
        <f t="shared" si="138"/>
        <v>140.72212497933987</v>
      </c>
      <c r="AK78" s="129">
        <f t="shared" si="131"/>
        <v>82.877886568743833</v>
      </c>
      <c r="AL78" s="399">
        <f t="shared" si="139"/>
        <v>74.674354559913809</v>
      </c>
      <c r="AM78" s="393">
        <f t="shared" si="132"/>
        <v>81.29117575196679</v>
      </c>
      <c r="AN78" s="393">
        <f t="shared" si="133"/>
        <v>88.087643743136766</v>
      </c>
      <c r="AO78" s="393">
        <f t="shared" si="134"/>
        <v>58.734403957650116</v>
      </c>
      <c r="AP78" s="96">
        <f t="shared" si="135"/>
        <v>31.922095164282489</v>
      </c>
      <c r="AQ78" s="91">
        <f t="shared" si="136"/>
        <v>-6.6407304427815319</v>
      </c>
      <c r="AR78" s="198"/>
      <c r="AS78" s="81">
        <f>$H$78*月別販売比率!AG5</f>
        <v>48.203532008830024</v>
      </c>
      <c r="AT78" s="21"/>
      <c r="AU78" s="81">
        <f>$H$78*月別販売比率!AL5</f>
        <v>43.383178807947019</v>
      </c>
      <c r="AV78" s="21"/>
      <c r="AW78" s="245">
        <f>$H$78*月別販売比率!AQ5</f>
        <v>48.203532008830024</v>
      </c>
      <c r="AX78" s="241">
        <v>45</v>
      </c>
      <c r="AY78" s="245">
        <f>$H$78*月別販売比率!AV5</f>
        <v>29.353239785486654</v>
      </c>
      <c r="AZ78" s="241">
        <v>48</v>
      </c>
      <c r="BA78" s="245">
        <f>$H$78*月別販売比率!BA5</f>
        <v>26.812308793367627</v>
      </c>
      <c r="BB78" s="241">
        <v>48</v>
      </c>
      <c r="BC78" s="81">
        <f>$H$78*月別販売比率!BF5</f>
        <v>38.562825607064021</v>
      </c>
      <c r="BD78" s="21"/>
      <c r="BE78" s="245">
        <f>$H$78*月別販売比率!C21</f>
        <v>34.159071969441719</v>
      </c>
      <c r="BF78" s="241">
        <v>60</v>
      </c>
      <c r="BG78" s="81">
        <f>$H$78*月別販売比率!H21</f>
        <v>33.742472406181022</v>
      </c>
      <c r="BH78" s="21"/>
      <c r="BI78" s="245">
        <f>$H$78*月別販売比率!M21</f>
        <v>48.716267736025024</v>
      </c>
      <c r="BJ78" s="241">
        <v>95</v>
      </c>
      <c r="BK78" s="245">
        <f>$H$78*月別販売比率!R21</f>
        <v>38.562825607064021</v>
      </c>
      <c r="BL78" s="241">
        <v>130</v>
      </c>
      <c r="BM78" s="81">
        <f>$H$78*月別販売比率!W21</f>
        <v>36.71504941359612</v>
      </c>
      <c r="BN78" s="21"/>
      <c r="BO78" s="245">
        <f>$H$78*月別販売比率!AB21</f>
        <v>57.844238410596027</v>
      </c>
      <c r="BP78" s="241">
        <v>125</v>
      </c>
      <c r="BQ78" s="81">
        <f>$H$78*月別販売比率!AG21</f>
        <v>48.203532008830024</v>
      </c>
      <c r="BR78" s="21"/>
      <c r="BS78" s="245">
        <f>$H$78*月別販売比率!AL21</f>
        <v>43.383178807947019</v>
      </c>
      <c r="BT78" s="241">
        <v>55</v>
      </c>
      <c r="BU78" s="81">
        <f>$H$78*月別販売比率!AQ21</f>
        <v>48.203532008830024</v>
      </c>
      <c r="BV78" s="21"/>
      <c r="BW78" s="245">
        <f>$H$78*月別販売比率!AV21</f>
        <v>29.353239785486654</v>
      </c>
      <c r="BX78" s="241">
        <v>120</v>
      </c>
      <c r="BY78" s="81">
        <f>$H$78*月別販売比率!BA21</f>
        <v>26.812308793367627</v>
      </c>
      <c r="BZ78" s="21"/>
      <c r="CA78" s="81">
        <f>$H$78*月別販売比率!BF21</f>
        <v>38.562825607064021</v>
      </c>
      <c r="CB78" s="21"/>
      <c r="CC78" s="81">
        <f>H78*月別販売比率!$C$21</f>
        <v>34.159071969441719</v>
      </c>
      <c r="CD78" s="21"/>
      <c r="CE78" s="81">
        <f>H78*月別販売比率!$H$21</f>
        <v>33.742472406181022</v>
      </c>
      <c r="CF78" s="241">
        <v>97</v>
      </c>
      <c r="CG78" s="81">
        <f>H78*月別販売比率!$M$21</f>
        <v>48.716267736025024</v>
      </c>
      <c r="CH78" s="21"/>
      <c r="CI78" s="81">
        <f>H78*月別販売比率!$R$21</f>
        <v>38.562825607064021</v>
      </c>
      <c r="CJ78" s="21"/>
      <c r="CK78" s="81">
        <f>H78*月別販売比率!$W$21</f>
        <v>36.71504941359612</v>
      </c>
      <c r="CL78" s="21">
        <v>50</v>
      </c>
      <c r="CM78" s="81">
        <f>H78*月別販売比率!$AB$21</f>
        <v>57.844238410596027</v>
      </c>
      <c r="CN78" s="21"/>
      <c r="CO78" s="81">
        <f>H78*月別販売比率!$AG$21</f>
        <v>48.203532008830024</v>
      </c>
      <c r="CP78" s="21">
        <v>40</v>
      </c>
      <c r="CQ78" s="81">
        <f>H78*月別販売比率!$AL$21</f>
        <v>43.383178807947019</v>
      </c>
      <c r="CR78" s="21">
        <v>50</v>
      </c>
      <c r="CS78" s="81">
        <f>H78*月別販売比率!$AQ$21</f>
        <v>48.203532008830024</v>
      </c>
      <c r="CT78" s="21">
        <v>55</v>
      </c>
      <c r="CU78" s="81">
        <f>H78*月別販売比率!$AV$21</f>
        <v>29.353239785486654</v>
      </c>
      <c r="CV78" s="21"/>
      <c r="CW78" s="81">
        <f>H78*月別販売比率!$BA$21</f>
        <v>26.812308793367627</v>
      </c>
      <c r="CX78" s="21"/>
      <c r="CY78" s="81">
        <f>H78*月別販売比率!$BF$21</f>
        <v>38.562825607064021</v>
      </c>
      <c r="CZ78" s="21"/>
      <c r="DA78" s="28"/>
      <c r="DB78" s="294"/>
    </row>
    <row r="79" spans="2:106" ht="30.75" customHeight="1">
      <c r="C79" s="457"/>
      <c r="D79" s="441"/>
      <c r="E79" s="94" t="s">
        <v>51</v>
      </c>
      <c r="F79" s="57">
        <v>96</v>
      </c>
      <c r="G79" s="5">
        <f t="shared" si="137"/>
        <v>348480</v>
      </c>
      <c r="H79" s="45">
        <f t="shared" si="140"/>
        <v>492.29139072847681</v>
      </c>
      <c r="I79" s="5">
        <f t="shared" si="129"/>
        <v>1787017.7483443709</v>
      </c>
      <c r="J79" s="49">
        <v>194</v>
      </c>
      <c r="K79" s="21">
        <f t="shared" si="130"/>
        <v>31</v>
      </c>
      <c r="L79" s="21">
        <v>10</v>
      </c>
      <c r="M79" s="21">
        <v>21</v>
      </c>
      <c r="N79" s="384"/>
      <c r="O79" s="19"/>
      <c r="P79" s="288"/>
      <c r="Q79" s="331">
        <v>45631</v>
      </c>
      <c r="R79" s="331">
        <v>45685</v>
      </c>
      <c r="S79" s="124"/>
      <c r="T79" s="124"/>
      <c r="U79" s="328"/>
      <c r="V79" s="124"/>
      <c r="W79" s="124"/>
      <c r="X79" s="124"/>
      <c r="Y79" s="124"/>
      <c r="Z79" s="124"/>
      <c r="AA79" s="328"/>
      <c r="AB79" s="331">
        <v>45971</v>
      </c>
      <c r="AC79" s="331">
        <v>45971</v>
      </c>
      <c r="AD79" s="124"/>
      <c r="AE79" s="124"/>
      <c r="AF79" s="124"/>
      <c r="AG79" s="124"/>
      <c r="AH79" s="124"/>
      <c r="AI79" s="129">
        <f t="shared" si="75"/>
        <v>185.61668874172184</v>
      </c>
      <c r="AJ79" s="129">
        <f t="shared" si="138"/>
        <v>188.12046806400667</v>
      </c>
      <c r="AK79" s="129">
        <f t="shared" si="131"/>
        <v>129.04550117658945</v>
      </c>
      <c r="AL79" s="399">
        <f t="shared" si="139"/>
        <v>119.81636210374177</v>
      </c>
      <c r="AM79" s="393">
        <f t="shared" si="132"/>
        <v>105.51013693817885</v>
      </c>
      <c r="AN79" s="393">
        <f t="shared" si="133"/>
        <v>111.28099786533116</v>
      </c>
      <c r="AO79" s="393">
        <f t="shared" si="134"/>
        <v>81.303221063132028</v>
      </c>
      <c r="AP79" s="96">
        <f t="shared" si="135"/>
        <v>53.920437614586369</v>
      </c>
      <c r="AQ79" s="91">
        <f t="shared" si="136"/>
        <v>14.537126356308221</v>
      </c>
      <c r="AR79" s="198"/>
      <c r="AS79" s="81">
        <f>$H$79*月別販売比率!AG5</f>
        <v>49.229139072847687</v>
      </c>
      <c r="AT79" s="21"/>
      <c r="AU79" s="81">
        <f>$H$79*月別販売比率!AL5</f>
        <v>44.306225165562914</v>
      </c>
      <c r="AV79" s="21"/>
      <c r="AW79" s="245">
        <f>$H$79*月別販売比率!AQ5</f>
        <v>49.229139072847687</v>
      </c>
      <c r="AX79" s="241">
        <v>45</v>
      </c>
      <c r="AY79" s="245">
        <f>$H$79*月別販売比率!AV5</f>
        <v>29.977776802199134</v>
      </c>
      <c r="AZ79" s="241">
        <v>36</v>
      </c>
      <c r="BA79" s="245">
        <f>$H$79*月別販売比率!BA5</f>
        <v>27.382783448545659</v>
      </c>
      <c r="BB79" s="241">
        <v>36</v>
      </c>
      <c r="BC79" s="81">
        <f>$H$79*月別販売比率!BF5</f>
        <v>39.383311258278148</v>
      </c>
      <c r="BD79" s="21"/>
      <c r="BE79" s="245">
        <f>$H$79*月別販売比率!C21</f>
        <v>34.885860734748988</v>
      </c>
      <c r="BF79" s="241">
        <v>70</v>
      </c>
      <c r="BG79" s="81">
        <f>$H$79*月別販売比率!H21</f>
        <v>34.460397350993382</v>
      </c>
      <c r="BH79" s="21"/>
      <c r="BI79" s="245">
        <f>$H$79*月別販売比率!M21</f>
        <v>49.752784070834068</v>
      </c>
      <c r="BJ79" s="241">
        <v>90</v>
      </c>
      <c r="BK79" s="245">
        <f>$H$79*月別販売比率!R21</f>
        <v>39.383311258278148</v>
      </c>
      <c r="BL79" s="241">
        <v>140</v>
      </c>
      <c r="BM79" s="81">
        <f>$H$79*月別販売比率!W21</f>
        <v>37.496220677715179</v>
      </c>
      <c r="BN79" s="21"/>
      <c r="BO79" s="245">
        <f>$H$79*月別販売比率!AB21</f>
        <v>59.074966887417219</v>
      </c>
      <c r="BP79" s="241">
        <v>115</v>
      </c>
      <c r="BQ79" s="81">
        <f>$H$79*月別販売比率!AG21</f>
        <v>49.229139072847687</v>
      </c>
      <c r="BR79" s="21"/>
      <c r="BS79" s="245">
        <f>$H$79*月別販売比率!AL21</f>
        <v>44.306225165562914</v>
      </c>
      <c r="BT79" s="241">
        <v>40</v>
      </c>
      <c r="BU79" s="81">
        <f>$H$79*月別販売比率!AQ21</f>
        <v>49.229139072847687</v>
      </c>
      <c r="BV79" s="21"/>
      <c r="BW79" s="245">
        <f>$H$79*月別販売比率!AV21</f>
        <v>29.977776802199134</v>
      </c>
      <c r="BX79" s="241">
        <v>120</v>
      </c>
      <c r="BY79" s="81">
        <f>$H$79*月別販売比率!BA21</f>
        <v>27.382783448545659</v>
      </c>
      <c r="BZ79" s="21"/>
      <c r="CA79" s="81">
        <f>$H$79*月別販売比率!BF21</f>
        <v>39.383311258278148</v>
      </c>
      <c r="CB79" s="21"/>
      <c r="CC79" s="81">
        <f>H79*月別販売比率!$C$21</f>
        <v>34.885860734748988</v>
      </c>
      <c r="CD79" s="21"/>
      <c r="CE79" s="81">
        <f>H79*月別販売比率!$H$21</f>
        <v>34.460397350993382</v>
      </c>
      <c r="CF79" s="241">
        <v>47</v>
      </c>
      <c r="CG79" s="81">
        <f>H79*月別販売比率!$M$21</f>
        <v>49.752784070834068</v>
      </c>
      <c r="CH79" s="21"/>
      <c r="CI79" s="81">
        <f>H79*月別販売比率!$R$21</f>
        <v>39.383311258278148</v>
      </c>
      <c r="CJ79" s="21"/>
      <c r="CK79" s="81">
        <f>H79*月別販売比率!$W$21</f>
        <v>37.496220677715179</v>
      </c>
      <c r="CL79" s="21">
        <v>40</v>
      </c>
      <c r="CM79" s="81">
        <f>H79*月別販売比率!$AB$21</f>
        <v>59.074966887417219</v>
      </c>
      <c r="CN79" s="21"/>
      <c r="CO79" s="81">
        <f>H79*月別販売比率!$AG$21</f>
        <v>49.229139072847687</v>
      </c>
      <c r="CP79" s="21">
        <v>40</v>
      </c>
      <c r="CQ79" s="81">
        <f>H79*月別販売比率!$AL$21</f>
        <v>44.306225165562914</v>
      </c>
      <c r="CR79" s="21">
        <v>30</v>
      </c>
      <c r="CS79" s="81">
        <f>H79*月別販売比率!$AQ$21</f>
        <v>49.229139072847687</v>
      </c>
      <c r="CT79" s="21">
        <v>55</v>
      </c>
      <c r="CU79" s="81">
        <f>H79*月別販売比率!$AV$21</f>
        <v>29.977776802199134</v>
      </c>
      <c r="CV79" s="21"/>
      <c r="CW79" s="81">
        <f>H79*月別販売比率!$BA$21</f>
        <v>27.382783448545659</v>
      </c>
      <c r="CX79" s="21"/>
      <c r="CY79" s="81">
        <f>H79*月別販売比率!$BF$21</f>
        <v>39.383311258278148</v>
      </c>
      <c r="CZ79" s="21"/>
      <c r="DA79" s="28"/>
      <c r="DB79" s="294"/>
    </row>
    <row r="80" spans="2:106" ht="30.75" customHeight="1">
      <c r="C80" s="457"/>
      <c r="D80" s="441"/>
      <c r="E80" s="99" t="s">
        <v>49</v>
      </c>
      <c r="F80" s="56">
        <v>31</v>
      </c>
      <c r="G80" s="46">
        <f t="shared" si="137"/>
        <v>112530</v>
      </c>
      <c r="H80" s="45">
        <f t="shared" si="140"/>
        <v>158.96909492273733</v>
      </c>
      <c r="I80" s="46">
        <f t="shared" si="129"/>
        <v>577057.81456953648</v>
      </c>
      <c r="J80" s="49">
        <v>49</v>
      </c>
      <c r="K80" s="21">
        <f t="shared" si="130"/>
        <v>22</v>
      </c>
      <c r="L80" s="21">
        <v>8</v>
      </c>
      <c r="M80" s="21">
        <v>14</v>
      </c>
      <c r="N80" s="384"/>
      <c r="O80" s="19"/>
      <c r="P80" s="288"/>
      <c r="Q80" s="331">
        <v>45631</v>
      </c>
      <c r="R80" s="124"/>
      <c r="S80" s="124"/>
      <c r="T80" s="124"/>
      <c r="U80" s="328"/>
      <c r="V80" s="124"/>
      <c r="W80" s="124"/>
      <c r="X80" s="124"/>
      <c r="Y80" s="124"/>
      <c r="Z80" s="124"/>
      <c r="AA80" s="124"/>
      <c r="AB80" s="124"/>
      <c r="AC80" s="124"/>
      <c r="AD80" s="124"/>
      <c r="AE80" s="124"/>
      <c r="AF80" s="124"/>
      <c r="AG80" s="124"/>
      <c r="AH80" s="124"/>
      <c r="AI80" s="129">
        <f t="shared" si="75"/>
        <v>58.282472406181014</v>
      </c>
      <c r="AJ80" s="129">
        <f t="shared" si="138"/>
        <v>46.174317812335488</v>
      </c>
      <c r="AK80" s="129">
        <f t="shared" si="131"/>
        <v>27.09802642160701</v>
      </c>
      <c r="AL80" s="399">
        <f t="shared" si="139"/>
        <v>11.201116929333276</v>
      </c>
      <c r="AM80" s="393">
        <f t="shared" si="132"/>
        <v>21.893898386286917</v>
      </c>
      <c r="AN80" s="393">
        <f t="shared" si="133"/>
        <v>30.996988894013185</v>
      </c>
      <c r="AO80" s="393">
        <f t="shared" si="134"/>
        <v>21.316665134969714</v>
      </c>
      <c r="AP80" s="96">
        <f t="shared" si="135"/>
        <v>12.474307979710177</v>
      </c>
      <c r="AQ80" s="91">
        <f t="shared" si="136"/>
        <v>-0.2432196141088081</v>
      </c>
      <c r="AR80" s="198"/>
      <c r="AS80" s="81">
        <f>$H$80*月別販売比率!AG5</f>
        <v>15.896909492273734</v>
      </c>
      <c r="AT80" s="39"/>
      <c r="AU80" s="81">
        <f>$H$80*月別販売比率!AL5</f>
        <v>14.307218543046359</v>
      </c>
      <c r="AV80" s="39"/>
      <c r="AW80" s="245">
        <f>$H$80*月別販売比率!AQ5</f>
        <v>15.896909492273734</v>
      </c>
      <c r="AX80" s="280">
        <v>25</v>
      </c>
      <c r="AY80" s="245">
        <f>$H$80*月別販売比率!AV5</f>
        <v>9.6803237590434712</v>
      </c>
      <c r="AZ80" s="280">
        <v>12</v>
      </c>
      <c r="BA80" s="245">
        <f>$H$80*月別販売比率!BA5</f>
        <v>8.8423571552595366</v>
      </c>
      <c r="BB80" s="280">
        <v>12</v>
      </c>
      <c r="BC80" s="81">
        <f>$H$80*月別販売比率!BF5</f>
        <v>12.717527593818986</v>
      </c>
      <c r="BD80" s="39"/>
      <c r="BE80" s="245">
        <f>$H$80*月別販売比率!C21</f>
        <v>11.265225862262696</v>
      </c>
      <c r="BF80" s="280">
        <v>43</v>
      </c>
      <c r="BG80" s="81">
        <f>$H$80*月別販売比率!H21</f>
        <v>11.127836644591614</v>
      </c>
      <c r="BH80" s="39"/>
      <c r="BI80" s="245">
        <f>$H$80*月別販売比率!M21</f>
        <v>16.066003189540169</v>
      </c>
      <c r="BJ80" s="280">
        <v>10</v>
      </c>
      <c r="BK80" s="245">
        <f>$H$80*月別販売比率!R21</f>
        <v>12.717527593818986</v>
      </c>
      <c r="BL80" s="280">
        <v>30</v>
      </c>
      <c r="BM80" s="81">
        <f>$H$80*月別販売比率!W21</f>
        <v>12.10815459384553</v>
      </c>
      <c r="BN80" s="39"/>
      <c r="BO80" s="245">
        <f>$H$80*月別販売比率!AB21</f>
        <v>19.076291390728478</v>
      </c>
      <c r="BP80" s="243">
        <v>45</v>
      </c>
      <c r="BQ80" s="81">
        <f>$H$80*月別販売比率!AG21</f>
        <v>15.896909492273734</v>
      </c>
      <c r="BR80" s="39"/>
      <c r="BS80" s="245">
        <f>$H$80*月別販売比率!AL21</f>
        <v>14.307218543046359</v>
      </c>
      <c r="BT80" s="280">
        <v>15</v>
      </c>
      <c r="BU80" s="81">
        <f>$H$80*月別販売比率!AQ21</f>
        <v>15.896909492273734</v>
      </c>
      <c r="BV80" s="39"/>
      <c r="BW80" s="245">
        <f>$H$80*月別販売比率!AV21</f>
        <v>9.6803237590434712</v>
      </c>
      <c r="BX80" s="280">
        <v>45</v>
      </c>
      <c r="BY80" s="81">
        <f>$H$80*月別販売比率!BA21</f>
        <v>8.8423571552595366</v>
      </c>
      <c r="BZ80" s="39"/>
      <c r="CA80" s="81">
        <f>$H$80*月別販売比率!BF21</f>
        <v>12.717527593818986</v>
      </c>
      <c r="CB80" s="39"/>
      <c r="CC80" s="81">
        <f>H80*月別販売比率!$C$21</f>
        <v>11.265225862262696</v>
      </c>
      <c r="CD80" s="39"/>
      <c r="CE80" s="81">
        <f>H80*月別販売比率!$H$21</f>
        <v>11.127836644591614</v>
      </c>
      <c r="CF80" s="280">
        <v>42</v>
      </c>
      <c r="CG80" s="81">
        <f>H80*月別販売比率!$M$21</f>
        <v>16.066003189540169</v>
      </c>
      <c r="CH80" s="39"/>
      <c r="CI80" s="81">
        <f>H80*月別販売比率!$R$21</f>
        <v>12.717527593818986</v>
      </c>
      <c r="CJ80" s="39"/>
      <c r="CK80" s="81">
        <f>H80*月別販売比率!$W$21</f>
        <v>12.10815459384553</v>
      </c>
      <c r="CL80" s="39"/>
      <c r="CM80" s="81">
        <f>H80*月別販売比率!$AB$21</f>
        <v>19.076291390728478</v>
      </c>
      <c r="CN80" s="39"/>
      <c r="CO80" s="81">
        <f>H80*月別販売比率!$AG$21</f>
        <v>15.896909492273734</v>
      </c>
      <c r="CP80" s="39"/>
      <c r="CQ80" s="81">
        <f>H80*月別販売比率!$AL$21</f>
        <v>14.307218543046359</v>
      </c>
      <c r="CR80" s="39">
        <v>25</v>
      </c>
      <c r="CS80" s="81">
        <f>H80*月別販売比率!$AQ$21</f>
        <v>15.896909492273734</v>
      </c>
      <c r="CT80" s="39">
        <v>25</v>
      </c>
      <c r="CU80" s="81">
        <f>H80*月別販売比率!$AV$21</f>
        <v>9.6803237590434712</v>
      </c>
      <c r="CV80" s="39"/>
      <c r="CW80" s="81">
        <f>H80*月別販売比率!$BA$21</f>
        <v>8.8423571552595366</v>
      </c>
      <c r="CX80" s="39"/>
      <c r="CY80" s="81">
        <f>H80*月別販売比率!$BF$21</f>
        <v>12.717527593818986</v>
      </c>
      <c r="CZ80" s="39"/>
      <c r="DA80" s="50"/>
      <c r="DB80" s="295"/>
    </row>
    <row r="81" spans="2:106" ht="30.75" customHeight="1">
      <c r="C81" s="458"/>
      <c r="D81" s="444"/>
      <c r="E81" s="101" t="s">
        <v>50</v>
      </c>
      <c r="F81" s="58">
        <v>23</v>
      </c>
      <c r="G81" s="35">
        <f t="shared" si="137"/>
        <v>83490</v>
      </c>
      <c r="H81" s="52">
        <f t="shared" si="140"/>
        <v>117.94481236203092</v>
      </c>
      <c r="I81" s="35">
        <f t="shared" si="129"/>
        <v>428139.6688741722</v>
      </c>
      <c r="J81" s="127">
        <v>37</v>
      </c>
      <c r="K81" s="103">
        <f t="shared" si="130"/>
        <v>23</v>
      </c>
      <c r="L81" s="103">
        <v>4</v>
      </c>
      <c r="M81" s="104">
        <v>19</v>
      </c>
      <c r="N81" s="385"/>
      <c r="O81" s="123"/>
      <c r="P81" s="123"/>
      <c r="Q81" s="332"/>
      <c r="R81" s="238"/>
      <c r="S81" s="238"/>
      <c r="T81" s="238"/>
      <c r="U81" s="238"/>
      <c r="V81" s="238"/>
      <c r="W81" s="238"/>
      <c r="X81" s="238"/>
      <c r="Y81" s="238"/>
      <c r="Z81" s="238"/>
      <c r="AA81" s="238"/>
      <c r="AB81" s="238"/>
      <c r="AC81" s="238"/>
      <c r="AD81" s="238"/>
      <c r="AE81" s="238"/>
      <c r="AF81" s="238"/>
      <c r="AG81" s="238"/>
      <c r="AH81" s="238"/>
      <c r="AI81" s="238">
        <f t="shared" si="75"/>
        <v>50.564415011037525</v>
      </c>
      <c r="AJ81" s="238">
        <f t="shared" si="138"/>
        <v>51.580945473668265</v>
      </c>
      <c r="AK81" s="238">
        <f t="shared" si="131"/>
        <v>37.42756799022456</v>
      </c>
      <c r="AL81" s="401">
        <f t="shared" si="139"/>
        <v>25.63308675402147</v>
      </c>
      <c r="AM81" s="395">
        <f t="shared" si="132"/>
        <v>25.018053641438687</v>
      </c>
      <c r="AN81" s="395">
        <f t="shared" si="133"/>
        <v>28.223572405235593</v>
      </c>
      <c r="AO81" s="395">
        <f t="shared" si="134"/>
        <v>21.041396713042051</v>
      </c>
      <c r="AP81" s="403">
        <f t="shared" si="135"/>
        <v>14.480938178494652</v>
      </c>
      <c r="AQ81" s="90">
        <f t="shared" si="136"/>
        <v>5.0453531895321788</v>
      </c>
      <c r="AR81" s="238"/>
      <c r="AS81" s="282">
        <f>$H$81*月別販売比率!AG5</f>
        <v>11.794481236203092</v>
      </c>
      <c r="AT81" s="104"/>
      <c r="AU81" s="282">
        <f>$H$81*月別販売比率!AL5</f>
        <v>10.615033112582783</v>
      </c>
      <c r="AV81" s="104"/>
      <c r="AW81" s="301">
        <f>$H$81*月別販売比率!AQ5</f>
        <v>11.794481236203092</v>
      </c>
      <c r="AX81" s="339">
        <v>20</v>
      </c>
      <c r="AY81" s="301">
        <f>$H$81*月別販売比率!AV5</f>
        <v>7.1821756921935433</v>
      </c>
      <c r="AZ81" s="339">
        <v>12</v>
      </c>
      <c r="BA81" s="301">
        <f>$H$81*月別販売比率!BA5</f>
        <v>6.5604585345473989</v>
      </c>
      <c r="BB81" s="339">
        <v>12</v>
      </c>
      <c r="BC81" s="282">
        <f>$H$81*月別販売比率!BF5</f>
        <v>9.4355849889624732</v>
      </c>
      <c r="BD81" s="104"/>
      <c r="BE81" s="301">
        <f>$H$81*月別販売比率!C21</f>
        <v>8.3580708010336124</v>
      </c>
      <c r="BF81" s="339">
        <v>10</v>
      </c>
      <c r="BG81" s="282">
        <f>$H$81*月別販売比率!H21</f>
        <v>8.2561368653421656</v>
      </c>
      <c r="BH81" s="104"/>
      <c r="BI81" s="301">
        <f>$H$81*月別販売比率!M21</f>
        <v>11.919937850303995</v>
      </c>
      <c r="BJ81" s="339">
        <v>30</v>
      </c>
      <c r="BK81" s="301">
        <f>$H$81*月別販売比率!R21</f>
        <v>9.4355849889624732</v>
      </c>
      <c r="BL81" s="339"/>
      <c r="BM81" s="282">
        <f>$H$81*月別販売比率!W21</f>
        <v>8.9834695373692632</v>
      </c>
      <c r="BN81" s="104"/>
      <c r="BO81" s="301">
        <f>$H$81*月別販売比率!AB21</f>
        <v>14.153377483443709</v>
      </c>
      <c r="BP81" s="381">
        <v>35</v>
      </c>
      <c r="BQ81" s="282">
        <f>$H$81*月別販売比率!AG21</f>
        <v>11.794481236203092</v>
      </c>
      <c r="BR81" s="104"/>
      <c r="BS81" s="301">
        <f>$H$81*月別販売比率!AL21</f>
        <v>10.615033112582783</v>
      </c>
      <c r="BT81" s="339">
        <v>20</v>
      </c>
      <c r="BU81" s="282">
        <f>$H$81*月別販売比率!AQ21</f>
        <v>11.794481236203092</v>
      </c>
      <c r="BV81" s="104"/>
      <c r="BW81" s="301">
        <f>$H$81*月別販売比率!AV21</f>
        <v>7.1821756921935433</v>
      </c>
      <c r="BX81" s="302">
        <v>30</v>
      </c>
      <c r="BY81" s="282">
        <f>$H$81*月別販売比率!BA21</f>
        <v>6.5604585345473989</v>
      </c>
      <c r="BZ81" s="103"/>
      <c r="CA81" s="282">
        <f>$H$81*月別販売比率!BF21</f>
        <v>9.4355849889624732</v>
      </c>
      <c r="CB81" s="103"/>
      <c r="CC81" s="282">
        <f>H81*月別販売比率!$C$21</f>
        <v>8.3580708010336124</v>
      </c>
      <c r="CD81" s="103"/>
      <c r="CE81" s="282">
        <f>H81*月別販売比率!$H$21</f>
        <v>8.2561368653421656</v>
      </c>
      <c r="CF81" s="302">
        <v>12</v>
      </c>
      <c r="CG81" s="282">
        <f>H81*月別販売比率!$M$21</f>
        <v>11.919937850303995</v>
      </c>
      <c r="CH81" s="103"/>
      <c r="CI81" s="282">
        <f>H81*月別販売比率!$R$21</f>
        <v>9.4355849889624732</v>
      </c>
      <c r="CJ81" s="103"/>
      <c r="CK81" s="282">
        <f>H81*月別販売比率!$W$21</f>
        <v>8.9834695373692632</v>
      </c>
      <c r="CL81" s="103">
        <v>10</v>
      </c>
      <c r="CM81" s="282">
        <f>H81*月別販売比率!$AB$21</f>
        <v>14.153377483443709</v>
      </c>
      <c r="CN81" s="103"/>
      <c r="CO81" s="282">
        <f>H81*月別販売比率!$AG$21</f>
        <v>11.794481236203092</v>
      </c>
      <c r="CP81" s="103"/>
      <c r="CQ81" s="282">
        <f>H81*月別販売比率!$AL$21</f>
        <v>10.615033112582783</v>
      </c>
      <c r="CR81" s="103">
        <v>10</v>
      </c>
      <c r="CS81" s="282">
        <f>H81*月別販売比率!$AQ$21</f>
        <v>11.794481236203092</v>
      </c>
      <c r="CT81" s="103">
        <v>15</v>
      </c>
      <c r="CU81" s="282">
        <f>H81*月別販売比率!$AV$21</f>
        <v>7.1821756921935433</v>
      </c>
      <c r="CV81" s="103"/>
      <c r="CW81" s="282">
        <f>H81*月別販売比率!$BA$21</f>
        <v>6.5604585345473989</v>
      </c>
      <c r="CX81" s="103"/>
      <c r="CY81" s="282">
        <f>H81*月別販売比率!$BF$21</f>
        <v>9.4355849889624732</v>
      </c>
      <c r="CZ81" s="103"/>
      <c r="DA81" s="300"/>
      <c r="DB81" s="297"/>
    </row>
    <row r="82" spans="2:106" ht="30.75" customHeight="1">
      <c r="B82" s="2">
        <v>7</v>
      </c>
      <c r="C82" s="435" t="s">
        <v>7</v>
      </c>
      <c r="D82" s="436"/>
      <c r="E82" s="437"/>
      <c r="F82" s="130">
        <f>SUM(F83:F98)</f>
        <v>421</v>
      </c>
      <c r="G82" s="131">
        <f>SUM(G83:G98)</f>
        <v>2083950</v>
      </c>
      <c r="H82" s="130">
        <v>1000</v>
      </c>
      <c r="I82" s="131">
        <f t="shared" ref="I82:N82" si="141">SUM(I83:I98)</f>
        <v>5565399.0498812348</v>
      </c>
      <c r="J82" s="133">
        <f t="shared" si="141"/>
        <v>7</v>
      </c>
      <c r="K82" s="134">
        <f t="shared" si="141"/>
        <v>207</v>
      </c>
      <c r="L82" s="134">
        <f t="shared" si="141"/>
        <v>70</v>
      </c>
      <c r="M82" s="134">
        <f t="shared" si="141"/>
        <v>137</v>
      </c>
      <c r="N82" s="135">
        <f t="shared" si="141"/>
        <v>0</v>
      </c>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6">
        <f t="shared" ref="AS82:CB82" si="142">SUM(AS83:AS98)</f>
        <v>112.43230403800473</v>
      </c>
      <c r="AT82" s="134">
        <f t="shared" si="142"/>
        <v>0</v>
      </c>
      <c r="AU82" s="136">
        <f t="shared" si="142"/>
        <v>101.18907363420428</v>
      </c>
      <c r="AV82" s="134">
        <f t="shared" si="142"/>
        <v>0</v>
      </c>
      <c r="AW82" s="136">
        <f t="shared" si="142"/>
        <v>112.43230403800473</v>
      </c>
      <c r="AX82" s="134">
        <f t="shared" si="142"/>
        <v>506</v>
      </c>
      <c r="AY82" s="136">
        <f t="shared" si="142"/>
        <v>68.464949403660839</v>
      </c>
      <c r="AZ82" s="134">
        <f t="shared" si="142"/>
        <v>0</v>
      </c>
      <c r="BA82" s="136">
        <f t="shared" si="142"/>
        <v>62.538356186525135</v>
      </c>
      <c r="BB82" s="134">
        <f t="shared" si="142"/>
        <v>70</v>
      </c>
      <c r="BC82" s="136">
        <f t="shared" si="142"/>
        <v>89.945843230403781</v>
      </c>
      <c r="BD82" s="134">
        <f t="shared" si="142"/>
        <v>0</v>
      </c>
      <c r="BE82" s="136">
        <f t="shared" si="142"/>
        <v>79.674310268816612</v>
      </c>
      <c r="BF82" s="134">
        <f t="shared" si="142"/>
        <v>0</v>
      </c>
      <c r="BG82" s="136">
        <f t="shared" si="142"/>
        <v>78.702612826603314</v>
      </c>
      <c r="BH82" s="134">
        <f t="shared" si="142"/>
        <v>0</v>
      </c>
      <c r="BI82" s="136">
        <f t="shared" si="142"/>
        <v>113.6282342275306</v>
      </c>
      <c r="BJ82" s="134">
        <f t="shared" si="142"/>
        <v>0</v>
      </c>
      <c r="BK82" s="136">
        <f t="shared" si="142"/>
        <v>89.945843230403781</v>
      </c>
      <c r="BL82" s="134">
        <f t="shared" si="142"/>
        <v>0</v>
      </c>
      <c r="BM82" s="136">
        <f t="shared" si="142"/>
        <v>85.635998575449563</v>
      </c>
      <c r="BN82" s="134">
        <f>SUM(BN83:BN98)</f>
        <v>335</v>
      </c>
      <c r="BO82" s="136">
        <f t="shared" si="142"/>
        <v>134.91876484560569</v>
      </c>
      <c r="BP82" s="134">
        <f t="shared" si="142"/>
        <v>0</v>
      </c>
      <c r="BQ82" s="136">
        <f t="shared" si="142"/>
        <v>112.43230403800473</v>
      </c>
      <c r="BR82" s="134">
        <f t="shared" si="142"/>
        <v>0</v>
      </c>
      <c r="BS82" s="136">
        <f t="shared" si="142"/>
        <v>101.18907363420428</v>
      </c>
      <c r="BT82" s="134">
        <f t="shared" si="142"/>
        <v>0</v>
      </c>
      <c r="BU82" s="136">
        <f t="shared" si="142"/>
        <v>112.43230403800473</v>
      </c>
      <c r="BV82" s="134">
        <f t="shared" si="142"/>
        <v>0</v>
      </c>
      <c r="BW82" s="136">
        <f t="shared" si="142"/>
        <v>68.464949403660839</v>
      </c>
      <c r="BX82" s="134">
        <f t="shared" si="142"/>
        <v>0</v>
      </c>
      <c r="BY82" s="136">
        <f t="shared" si="142"/>
        <v>62.538356186525135</v>
      </c>
      <c r="BZ82" s="134">
        <f t="shared" si="142"/>
        <v>0</v>
      </c>
      <c r="CA82" s="136">
        <f t="shared" si="142"/>
        <v>89.945843230403781</v>
      </c>
      <c r="CB82" s="134">
        <f t="shared" si="142"/>
        <v>193</v>
      </c>
      <c r="CC82" s="136">
        <f t="shared" ref="CC82:CD82" si="143">SUM(CC83:CC98)</f>
        <v>79.674310268816612</v>
      </c>
      <c r="CD82" s="134">
        <f t="shared" si="143"/>
        <v>0</v>
      </c>
      <c r="CE82" s="136">
        <f t="shared" ref="CE82:CF82" si="144">SUM(CE83:CE98)</f>
        <v>78.702612826603314</v>
      </c>
      <c r="CF82" s="134">
        <f t="shared" si="144"/>
        <v>0</v>
      </c>
      <c r="CG82" s="136">
        <f t="shared" ref="CG82:CJ82" si="145">SUM(CG83:CG98)</f>
        <v>113.6282342275306</v>
      </c>
      <c r="CH82" s="134">
        <f t="shared" si="145"/>
        <v>0</v>
      </c>
      <c r="CI82" s="136">
        <f t="shared" si="145"/>
        <v>89.945843230403781</v>
      </c>
      <c r="CJ82" s="134">
        <f t="shared" si="145"/>
        <v>490</v>
      </c>
      <c r="CK82" s="136">
        <f t="shared" ref="CK82:CN82" si="146">SUM(CK83:CK98)</f>
        <v>85.635998575449563</v>
      </c>
      <c r="CL82" s="134">
        <f t="shared" si="146"/>
        <v>0</v>
      </c>
      <c r="CM82" s="136">
        <f t="shared" si="146"/>
        <v>134.91876484560569</v>
      </c>
      <c r="CN82" s="134">
        <f t="shared" si="146"/>
        <v>0</v>
      </c>
      <c r="CO82" s="136">
        <f t="shared" ref="CO82:CR82" si="147">SUM(CO83:CO98)</f>
        <v>112.43230403800473</v>
      </c>
      <c r="CP82" s="134">
        <f t="shared" si="147"/>
        <v>0</v>
      </c>
      <c r="CQ82" s="136">
        <f t="shared" si="147"/>
        <v>101.18907363420428</v>
      </c>
      <c r="CR82" s="134">
        <f t="shared" si="147"/>
        <v>0</v>
      </c>
      <c r="CS82" s="136">
        <f t="shared" ref="CS82:CX82" si="148">SUM(CS83:CS98)</f>
        <v>112.43230403800473</v>
      </c>
      <c r="CT82" s="134">
        <f t="shared" si="148"/>
        <v>0</v>
      </c>
      <c r="CU82" s="136">
        <v>68.464949403660839</v>
      </c>
      <c r="CV82" s="134">
        <f t="shared" si="148"/>
        <v>0</v>
      </c>
      <c r="CW82" s="136">
        <f t="shared" si="148"/>
        <v>62.538356186525135</v>
      </c>
      <c r="CX82" s="134">
        <f t="shared" si="148"/>
        <v>0</v>
      </c>
      <c r="CY82" s="136">
        <f t="shared" ref="CY82:CZ82" si="149">SUM(CY83:CY98)</f>
        <v>89.945843230403781</v>
      </c>
      <c r="CZ82" s="134">
        <f t="shared" si="149"/>
        <v>0</v>
      </c>
      <c r="DA82" s="141"/>
      <c r="DB82" s="293"/>
    </row>
    <row r="83" spans="2:106" ht="30.75" customHeight="1">
      <c r="C83" s="446" t="s">
        <v>478</v>
      </c>
      <c r="D83" s="443">
        <v>1</v>
      </c>
      <c r="E83" s="99" t="s">
        <v>47</v>
      </c>
      <c r="F83" s="56">
        <v>72</v>
      </c>
      <c r="G83" s="46">
        <f>F83*4950</f>
        <v>356400</v>
      </c>
      <c r="H83" s="165">
        <v>250</v>
      </c>
      <c r="I83" s="46">
        <f t="shared" ref="I83:I98" si="150">H83*4950</f>
        <v>1237500</v>
      </c>
      <c r="J83" s="49">
        <v>0</v>
      </c>
      <c r="K83" s="39">
        <f t="shared" ref="K83:K98" si="151">SUM(L83:N83)</f>
        <v>8</v>
      </c>
      <c r="L83" s="39">
        <v>0</v>
      </c>
      <c r="M83" s="39">
        <v>8</v>
      </c>
      <c r="N83" s="42"/>
      <c r="O83" s="288"/>
      <c r="P83" s="288"/>
      <c r="Q83" s="331"/>
      <c r="R83" s="331">
        <v>45667</v>
      </c>
      <c r="S83" s="124"/>
      <c r="T83" s="124"/>
      <c r="U83" s="124"/>
      <c r="V83" s="124"/>
      <c r="W83" s="124"/>
      <c r="X83" s="328"/>
      <c r="Y83" s="328"/>
      <c r="Z83" s="124"/>
      <c r="AA83" s="124"/>
      <c r="AB83" s="124"/>
      <c r="AC83" s="124"/>
      <c r="AD83" s="124"/>
      <c r="AE83" s="124"/>
      <c r="AF83" s="328"/>
      <c r="AG83" s="124"/>
      <c r="AH83" s="124"/>
      <c r="AI83" s="129">
        <f t="shared" si="75"/>
        <v>108</v>
      </c>
      <c r="AJ83" s="129">
        <f t="shared" ref="AJ83:AJ98" si="152">AI83-CK83+CL83</f>
        <v>88.958319917889739</v>
      </c>
      <c r="AK83" s="129">
        <f t="shared" ref="AK83:AK98" si="153">AJ83-CM83+CN83</f>
        <v>58.958319917889739</v>
      </c>
      <c r="AL83" s="399">
        <f t="shared" ref="AL83:AL98" si="154">AK83-CO83+CP83</f>
        <v>33.958319917889739</v>
      </c>
      <c r="AM83" s="393">
        <f t="shared" ref="AM83:AM98" si="155">AL83-CQ83+CR83</f>
        <v>11.458319917889739</v>
      </c>
      <c r="AN83" s="393">
        <f t="shared" ref="AN83:AN98" si="156">AM83-CS83+CT83</f>
        <v>-13.541680082110261</v>
      </c>
      <c r="AO83" s="393">
        <f t="shared" ref="AO83:AO98" si="157">AN83-CU83+CV83</f>
        <v>-28.765273956989422</v>
      </c>
      <c r="AP83" s="96">
        <f t="shared" ref="AP83:AP98" si="158">AO83-CW83+CX83</f>
        <v>-42.671054133251246</v>
      </c>
      <c r="AQ83" s="91">
        <f t="shared" ref="AQ83:AQ98" si="159">AP83-CY83+CZ83</f>
        <v>-62.671054133251246</v>
      </c>
      <c r="AR83" s="198"/>
      <c r="AS83" s="81">
        <f>$H$83*月別販売比率!AG5</f>
        <v>25</v>
      </c>
      <c r="AT83" s="39"/>
      <c r="AU83" s="81">
        <f>$H$83*月別販売比率!AL5</f>
        <v>22.5</v>
      </c>
      <c r="AV83" s="39"/>
      <c r="AW83" s="245">
        <f>$H$83*月別販売比率!AQ5</f>
        <v>25</v>
      </c>
      <c r="AX83" s="280">
        <v>110</v>
      </c>
      <c r="AY83" s="81">
        <f>$H$83*月別販売比率!AV5</f>
        <v>15.22359387487916</v>
      </c>
      <c r="AZ83" s="39"/>
      <c r="BA83" s="245">
        <f>$H$83*月別販売比率!BA5</f>
        <v>13.905780176261821</v>
      </c>
      <c r="BB83" s="280">
        <v>5</v>
      </c>
      <c r="BC83" s="81">
        <f>$H$83*月別販売比率!BF5</f>
        <v>20</v>
      </c>
      <c r="BD83" s="39"/>
      <c r="BE83" s="81">
        <f>$H$83*月別販売比率!C21</f>
        <v>17.716062778960051</v>
      </c>
      <c r="BF83" s="39"/>
      <c r="BG83" s="81">
        <f>$H$83*月別販売比率!H21</f>
        <v>17.5</v>
      </c>
      <c r="BH83" s="39"/>
      <c r="BI83" s="81">
        <f>$H$83*月別販売比率!M21</f>
        <v>25.2659222809135</v>
      </c>
      <c r="BJ83" s="39"/>
      <c r="BK83" s="81">
        <f>$H$83*月別販売比率!R21</f>
        <v>20</v>
      </c>
      <c r="BL83" s="39"/>
      <c r="BM83" s="245">
        <f>$H$83*月別販売比率!W21</f>
        <v>19.041680082110258</v>
      </c>
      <c r="BN83" s="280">
        <v>80</v>
      </c>
      <c r="BO83" s="81">
        <f>$H$83*月別販売比率!AB21</f>
        <v>30</v>
      </c>
      <c r="BP83" s="39"/>
      <c r="BQ83" s="81">
        <f>$H$83*月別販売比率!AG21</f>
        <v>25</v>
      </c>
      <c r="BR83" s="39"/>
      <c r="BS83" s="81">
        <f>$H$83*月別販売比率!AL21</f>
        <v>22.5</v>
      </c>
      <c r="BT83" s="39"/>
      <c r="BU83" s="81">
        <f>$H$83*月別販売比率!AQ21</f>
        <v>25</v>
      </c>
      <c r="BV83" s="39"/>
      <c r="BW83" s="81">
        <f>$H$83*月別販売比率!AV21</f>
        <v>15.22359387487916</v>
      </c>
      <c r="BX83" s="39"/>
      <c r="BY83" s="81">
        <f>$H$83*月別販売比率!BA21</f>
        <v>13.905780176261821</v>
      </c>
      <c r="BZ83" s="39"/>
      <c r="CA83" s="245">
        <f>$H$83*月別販売比率!BF21</f>
        <v>20</v>
      </c>
      <c r="CB83" s="280">
        <v>38</v>
      </c>
      <c r="CC83" s="81">
        <f>H83*月別販売比率!$C$21</f>
        <v>17.716062778960051</v>
      </c>
      <c r="CD83" s="39"/>
      <c r="CE83" s="81">
        <f>H83*月別販売比率!$H$21</f>
        <v>17.5</v>
      </c>
      <c r="CF83" s="39"/>
      <c r="CG83" s="81">
        <f>H83*月別販売比率!$M$21</f>
        <v>25.2659222809135</v>
      </c>
      <c r="CH83" s="39"/>
      <c r="CI83" s="81">
        <f>H83*月別販売比率!$R$21</f>
        <v>20</v>
      </c>
      <c r="CJ83" s="39">
        <v>120</v>
      </c>
      <c r="CK83" s="81">
        <f>H83*月別販売比率!$W$21</f>
        <v>19.041680082110258</v>
      </c>
      <c r="CL83" s="39"/>
      <c r="CM83" s="81">
        <f>H83*月別販売比率!$AB$21</f>
        <v>30</v>
      </c>
      <c r="CN83" s="39"/>
      <c r="CO83" s="81">
        <f>H83*月別販売比率!$AG$21</f>
        <v>25</v>
      </c>
      <c r="CP83" s="39"/>
      <c r="CQ83" s="81">
        <f>H83*月別販売比率!$AL$21</f>
        <v>22.5</v>
      </c>
      <c r="CR83" s="39"/>
      <c r="CS83" s="81">
        <f>H83*月別販売比率!$AQ$21</f>
        <v>25</v>
      </c>
      <c r="CT83" s="39"/>
      <c r="CU83" s="81">
        <f>H83*月別販売比率!$AV$21</f>
        <v>15.22359387487916</v>
      </c>
      <c r="CV83" s="39"/>
      <c r="CW83" s="81">
        <f>H83*月別販売比率!$BA$21</f>
        <v>13.905780176261821</v>
      </c>
      <c r="CX83" s="39"/>
      <c r="CY83" s="81">
        <f>H83*月別販売比率!$BF$21</f>
        <v>20</v>
      </c>
      <c r="CZ83" s="39"/>
      <c r="DA83" s="28"/>
      <c r="DB83" s="294"/>
    </row>
    <row r="84" spans="2:106" ht="30.75" customHeight="1">
      <c r="C84" s="457"/>
      <c r="D84" s="441"/>
      <c r="E84" s="94" t="s">
        <v>51</v>
      </c>
      <c r="F84" s="57">
        <v>48</v>
      </c>
      <c r="G84" s="5">
        <f t="shared" ref="G84:G98" si="160">F84*4950</f>
        <v>237600</v>
      </c>
      <c r="H84" s="165">
        <v>140</v>
      </c>
      <c r="I84" s="5">
        <f t="shared" si="150"/>
        <v>693000</v>
      </c>
      <c r="J84" s="9">
        <v>1</v>
      </c>
      <c r="K84" s="21">
        <f t="shared" si="151"/>
        <v>6</v>
      </c>
      <c r="L84" s="21">
        <v>6</v>
      </c>
      <c r="M84" s="21">
        <v>0</v>
      </c>
      <c r="N84" s="42"/>
      <c r="O84" s="288"/>
      <c r="P84" s="288"/>
      <c r="Q84" s="331"/>
      <c r="R84" s="331">
        <v>45667</v>
      </c>
      <c r="S84" s="124"/>
      <c r="T84" s="124"/>
      <c r="U84" s="124"/>
      <c r="V84" s="124"/>
      <c r="W84" s="124"/>
      <c r="X84" s="124"/>
      <c r="Y84" s="124"/>
      <c r="Z84" s="124"/>
      <c r="AA84" s="124"/>
      <c r="AB84" s="124"/>
      <c r="AC84" s="124"/>
      <c r="AD84" s="328"/>
      <c r="AE84" s="328"/>
      <c r="AF84" s="328"/>
      <c r="AG84" s="124"/>
      <c r="AH84" s="124"/>
      <c r="AI84" s="129">
        <f t="shared" si="75"/>
        <v>65.8</v>
      </c>
      <c r="AJ84" s="129">
        <f t="shared" si="152"/>
        <v>55.136659154018254</v>
      </c>
      <c r="AK84" s="129">
        <f t="shared" si="153"/>
        <v>38.33665915401825</v>
      </c>
      <c r="AL84" s="399">
        <f t="shared" si="154"/>
        <v>24.33665915401825</v>
      </c>
      <c r="AM84" s="393">
        <f t="shared" si="155"/>
        <v>11.73665915401825</v>
      </c>
      <c r="AN84" s="393">
        <f t="shared" si="156"/>
        <v>-2.2633408459817499</v>
      </c>
      <c r="AO84" s="393">
        <f t="shared" si="157"/>
        <v>-10.78855341591408</v>
      </c>
      <c r="AP84" s="96">
        <f t="shared" si="158"/>
        <v>-18.575790314620701</v>
      </c>
      <c r="AQ84" s="91">
        <f t="shared" si="159"/>
        <v>-29.7757903146207</v>
      </c>
      <c r="AR84" s="198"/>
      <c r="AS84" s="81">
        <f>$H$84*月別販売比率!AG5</f>
        <v>14</v>
      </c>
      <c r="AT84" s="21"/>
      <c r="AU84" s="81">
        <f>$H$84*月別販売比率!AL5</f>
        <v>12.6</v>
      </c>
      <c r="AV84" s="21"/>
      <c r="AW84" s="245">
        <f>$H$84*月別販売比率!AQ5</f>
        <v>14</v>
      </c>
      <c r="AX84" s="241">
        <v>90</v>
      </c>
      <c r="AY84" s="81">
        <f>$H$84*月別販売比率!AV5</f>
        <v>8.5252125699323305</v>
      </c>
      <c r="AZ84" s="21"/>
      <c r="BA84" s="245">
        <f>$H$84*月別販売比率!BA5</f>
        <v>7.7872368987066194</v>
      </c>
      <c r="BB84" s="241">
        <v>5</v>
      </c>
      <c r="BC84" s="81">
        <f>$H$84*月別販売比率!BF5</f>
        <v>11.200000000000001</v>
      </c>
      <c r="BD84" s="21"/>
      <c r="BE84" s="81">
        <f>$H$84*月別販売比率!C21</f>
        <v>9.9209951562176286</v>
      </c>
      <c r="BF84" s="21"/>
      <c r="BG84" s="81">
        <f>$H$84*月別販売比率!H21</f>
        <v>9.8000000000000007</v>
      </c>
      <c r="BH84" s="21"/>
      <c r="BI84" s="81">
        <f>$H$84*月別販売比率!M21</f>
        <v>14.148916477311561</v>
      </c>
      <c r="BJ84" s="21"/>
      <c r="BK84" s="81">
        <f>$H$84*月別販売比率!R21</f>
        <v>11.200000000000001</v>
      </c>
      <c r="BL84" s="21"/>
      <c r="BM84" s="245">
        <f>$H$84*月別販売比率!W21</f>
        <v>10.663340845981745</v>
      </c>
      <c r="BN84" s="241">
        <v>15</v>
      </c>
      <c r="BO84" s="81">
        <f>$H$84*月別販売比率!AB21</f>
        <v>16.8</v>
      </c>
      <c r="BP84" s="21"/>
      <c r="BQ84" s="81">
        <f>$H$84*月別販売比率!AG21</f>
        <v>14</v>
      </c>
      <c r="BR84" s="21"/>
      <c r="BS84" s="81">
        <f>$H$84*月別販売比率!AL21</f>
        <v>12.6</v>
      </c>
      <c r="BT84" s="21"/>
      <c r="BU84" s="81">
        <f>$H$84*月別販売比率!AQ21</f>
        <v>14</v>
      </c>
      <c r="BV84" s="21"/>
      <c r="BW84" s="81">
        <f>$H$84*月別販売比率!AV21</f>
        <v>8.5252125699323305</v>
      </c>
      <c r="BX84" s="21"/>
      <c r="BY84" s="81">
        <f>$H$84*月別販売比率!BA21</f>
        <v>7.7872368987066194</v>
      </c>
      <c r="BZ84" s="21"/>
      <c r="CA84" s="245">
        <f>$H$84*月別販売比率!BF21</f>
        <v>11.200000000000001</v>
      </c>
      <c r="CB84" s="241">
        <v>16</v>
      </c>
      <c r="CC84" s="81">
        <f>H84*月別販売比率!$C$21</f>
        <v>9.9209951562176286</v>
      </c>
      <c r="CD84" s="21"/>
      <c r="CE84" s="81">
        <f>H84*月別販売比率!$H$21</f>
        <v>9.8000000000000007</v>
      </c>
      <c r="CF84" s="21"/>
      <c r="CG84" s="81">
        <f>H84*月別販売比率!$M$21</f>
        <v>14.148916477311561</v>
      </c>
      <c r="CH84" s="21"/>
      <c r="CI84" s="81">
        <f>H84*月別販売比率!$R$21</f>
        <v>11.200000000000001</v>
      </c>
      <c r="CJ84" s="415">
        <v>70</v>
      </c>
      <c r="CK84" s="81">
        <f>H84*月別販売比率!$W$21</f>
        <v>10.663340845981745</v>
      </c>
      <c r="CL84" s="416"/>
      <c r="CM84" s="81">
        <f>H84*月別販売比率!$AB$21</f>
        <v>16.8</v>
      </c>
      <c r="CN84" s="21"/>
      <c r="CO84" s="81">
        <f>H84*月別販売比率!$AG$21</f>
        <v>14</v>
      </c>
      <c r="CP84" s="21"/>
      <c r="CQ84" s="81">
        <f>H84*月別販売比率!$AL$21</f>
        <v>12.6</v>
      </c>
      <c r="CR84" s="21"/>
      <c r="CS84" s="81">
        <f>H84*月別販売比率!$AQ$21</f>
        <v>14</v>
      </c>
      <c r="CT84" s="21"/>
      <c r="CU84" s="81">
        <f>H84*月別販売比率!$AV$21</f>
        <v>8.5252125699323305</v>
      </c>
      <c r="CV84" s="21"/>
      <c r="CW84" s="81">
        <f>H84*月別販売比率!$BA$21</f>
        <v>7.7872368987066194</v>
      </c>
      <c r="CX84" s="21"/>
      <c r="CY84" s="81">
        <f>H84*月別販売比率!$BF$21</f>
        <v>11.200000000000001</v>
      </c>
      <c r="CZ84" s="21"/>
      <c r="DA84" s="28"/>
      <c r="DB84" s="294"/>
    </row>
    <row r="85" spans="2:106" ht="30.75" customHeight="1">
      <c r="C85" s="457"/>
      <c r="D85" s="441"/>
      <c r="E85" s="94" t="s">
        <v>49</v>
      </c>
      <c r="F85" s="57">
        <v>22</v>
      </c>
      <c r="G85" s="5">
        <f t="shared" si="160"/>
        <v>108900</v>
      </c>
      <c r="H85" s="7">
        <f t="shared" ref="H85:H98" si="161">F85*($H$82/$F$82)</f>
        <v>52.256532066508314</v>
      </c>
      <c r="I85" s="5">
        <f t="shared" si="150"/>
        <v>258669.83372921616</v>
      </c>
      <c r="J85" s="9">
        <v>0</v>
      </c>
      <c r="K85" s="21">
        <f t="shared" si="151"/>
        <v>15</v>
      </c>
      <c r="L85" s="21">
        <v>8</v>
      </c>
      <c r="M85" s="21">
        <v>7</v>
      </c>
      <c r="N85" s="42"/>
      <c r="O85" s="19"/>
      <c r="P85" s="19"/>
      <c r="Q85" s="330"/>
      <c r="R85" s="124"/>
      <c r="S85" s="124"/>
      <c r="T85" s="124"/>
      <c r="U85" s="124"/>
      <c r="V85" s="124"/>
      <c r="W85" s="124"/>
      <c r="X85" s="328"/>
      <c r="Y85" s="328"/>
      <c r="Z85" s="124"/>
      <c r="AA85" s="124"/>
      <c r="AB85" s="124"/>
      <c r="AC85" s="124"/>
      <c r="AD85" s="124"/>
      <c r="AE85" s="124"/>
      <c r="AF85" s="124"/>
      <c r="AG85" s="124"/>
      <c r="AH85" s="124"/>
      <c r="AI85" s="129">
        <f t="shared" si="75"/>
        <v>30.819477434679335</v>
      </c>
      <c r="AJ85" s="129">
        <f t="shared" si="152"/>
        <v>26.839268771435385</v>
      </c>
      <c r="AK85" s="129">
        <f t="shared" si="153"/>
        <v>20.568484923454388</v>
      </c>
      <c r="AL85" s="399">
        <f t="shared" si="154"/>
        <v>15.342831716803556</v>
      </c>
      <c r="AM85" s="393">
        <f t="shared" si="155"/>
        <v>10.639743830817807</v>
      </c>
      <c r="AN85" s="393">
        <f t="shared" si="156"/>
        <v>5.4140906241669748</v>
      </c>
      <c r="AO85" s="393">
        <f t="shared" si="157"/>
        <v>2.2319617382064854</v>
      </c>
      <c r="AP85" s="96">
        <f t="shared" si="158"/>
        <v>-0.67470965255608029</v>
      </c>
      <c r="AQ85" s="91">
        <f t="shared" si="159"/>
        <v>-4.8552322178767451</v>
      </c>
      <c r="AR85" s="198"/>
      <c r="AS85" s="81">
        <f>$H$85*月別販売比率!AG5</f>
        <v>5.2256532066508319</v>
      </c>
      <c r="AT85" s="21"/>
      <c r="AU85" s="81">
        <f>$H$85*月別販売比率!AL5</f>
        <v>4.7030878859857479</v>
      </c>
      <c r="AV85" s="21"/>
      <c r="AW85" s="245">
        <f>$H$85*月別販売比率!AQ5</f>
        <v>5.2256532066508319</v>
      </c>
      <c r="AX85" s="241"/>
      <c r="AY85" s="81">
        <f>$H$85*月別販売比率!AV5</f>
        <v>3.1821288859604895</v>
      </c>
      <c r="AZ85" s="21"/>
      <c r="BA85" s="245">
        <f>$H$85*月別販売比率!BA5</f>
        <v>2.9066713907625656</v>
      </c>
      <c r="BB85" s="241">
        <v>25</v>
      </c>
      <c r="BC85" s="81">
        <f>$H$85*月別販売比率!BF5</f>
        <v>4.1805225653206648</v>
      </c>
      <c r="BD85" s="21"/>
      <c r="BE85" s="81">
        <f>$H$85*月別販売比率!C21</f>
        <v>3.703120010804001</v>
      </c>
      <c r="BF85" s="21"/>
      <c r="BG85" s="81">
        <f>$H$85*月別販売比率!H21</f>
        <v>3.6579572446555821</v>
      </c>
      <c r="BH85" s="21"/>
      <c r="BI85" s="81">
        <f>$H$85*月別販売比率!M21</f>
        <v>5.2812379114498524</v>
      </c>
      <c r="BJ85" s="21"/>
      <c r="BK85" s="81">
        <f>$H$85*月別販売比率!R21</f>
        <v>4.1805225653206648</v>
      </c>
      <c r="BL85" s="21"/>
      <c r="BM85" s="245">
        <f>$H$85*月別販売比率!W21</f>
        <v>3.9802086632439493</v>
      </c>
      <c r="BN85" s="241">
        <v>15</v>
      </c>
      <c r="BO85" s="81">
        <f>$H$85*月別販売比率!AB21</f>
        <v>6.2707838479809972</v>
      </c>
      <c r="BP85" s="21"/>
      <c r="BQ85" s="81">
        <f>$H$85*月別販売比率!AG21</f>
        <v>5.2256532066508319</v>
      </c>
      <c r="BR85" s="21"/>
      <c r="BS85" s="81">
        <f>$H$85*月別販売比率!AL21</f>
        <v>4.7030878859857479</v>
      </c>
      <c r="BT85" s="21"/>
      <c r="BU85" s="81">
        <f>$H$85*月別販売比率!AQ21</f>
        <v>5.2256532066508319</v>
      </c>
      <c r="BV85" s="21"/>
      <c r="BW85" s="81">
        <f>$H$85*月別販売比率!AV21</f>
        <v>3.1821288859604895</v>
      </c>
      <c r="BX85" s="21"/>
      <c r="BY85" s="81">
        <f>$H$85*月別販売比率!BA21</f>
        <v>2.9066713907625656</v>
      </c>
      <c r="BZ85" s="21"/>
      <c r="CA85" s="245">
        <f>$H$85*月別販売比率!BF21</f>
        <v>4.1805225653206648</v>
      </c>
      <c r="CB85" s="241"/>
      <c r="CC85" s="81">
        <f>H85*月別販売比率!$C$21</f>
        <v>3.703120010804001</v>
      </c>
      <c r="CD85" s="21"/>
      <c r="CE85" s="81">
        <f>H85*月別販売比率!$H$21</f>
        <v>3.6579572446555821</v>
      </c>
      <c r="CF85" s="21"/>
      <c r="CG85" s="81">
        <f>H85*月別販売比率!$M$21</f>
        <v>5.2812379114498524</v>
      </c>
      <c r="CH85" s="21"/>
      <c r="CI85" s="81">
        <f>H85*月別販売比率!$R$21</f>
        <v>4.1805225653206648</v>
      </c>
      <c r="CJ85" s="21">
        <v>20</v>
      </c>
      <c r="CK85" s="81">
        <f>H85*月別販売比率!$W$21</f>
        <v>3.9802086632439493</v>
      </c>
      <c r="CL85" s="21"/>
      <c r="CM85" s="81">
        <f>H85*月別販売比率!$AB$21</f>
        <v>6.2707838479809972</v>
      </c>
      <c r="CN85" s="21"/>
      <c r="CO85" s="81">
        <f>H85*月別販売比率!$AG$21</f>
        <v>5.2256532066508319</v>
      </c>
      <c r="CP85" s="21"/>
      <c r="CQ85" s="81">
        <f>H85*月別販売比率!$AL$21</f>
        <v>4.7030878859857479</v>
      </c>
      <c r="CR85" s="21"/>
      <c r="CS85" s="81">
        <f>H85*月別販売比率!$AQ$21</f>
        <v>5.2256532066508319</v>
      </c>
      <c r="CT85" s="21"/>
      <c r="CU85" s="81">
        <f>H85*月別販売比率!$AV$21</f>
        <v>3.1821288859604895</v>
      </c>
      <c r="CV85" s="21"/>
      <c r="CW85" s="81">
        <f>H85*月別販売比率!$BA$21</f>
        <v>2.9066713907625656</v>
      </c>
      <c r="CX85" s="21"/>
      <c r="CY85" s="81">
        <f>H85*月別販売比率!$BF$21</f>
        <v>4.1805225653206648</v>
      </c>
      <c r="CZ85" s="21"/>
      <c r="DA85" s="28"/>
      <c r="DB85" s="294"/>
    </row>
    <row r="86" spans="2:106" ht="30.75" customHeight="1">
      <c r="C86" s="457"/>
      <c r="D86" s="442"/>
      <c r="E86" s="94" t="s">
        <v>50</v>
      </c>
      <c r="F86" s="57">
        <v>13</v>
      </c>
      <c r="G86" s="5">
        <f t="shared" si="160"/>
        <v>64350</v>
      </c>
      <c r="H86" s="7">
        <f t="shared" si="161"/>
        <v>30.878859857482183</v>
      </c>
      <c r="I86" s="5">
        <f t="shared" si="150"/>
        <v>152850.35629453682</v>
      </c>
      <c r="J86" s="9">
        <v>4</v>
      </c>
      <c r="K86" s="21">
        <f t="shared" si="151"/>
        <v>20</v>
      </c>
      <c r="L86" s="21">
        <v>9</v>
      </c>
      <c r="M86" s="21">
        <v>11</v>
      </c>
      <c r="N86" s="42"/>
      <c r="O86" s="288"/>
      <c r="P86" s="288"/>
      <c r="Q86" s="331"/>
      <c r="R86" s="331">
        <v>45667</v>
      </c>
      <c r="S86" s="331">
        <v>45707</v>
      </c>
      <c r="T86" s="124"/>
      <c r="U86" s="124"/>
      <c r="V86" s="124"/>
      <c r="W86" s="124"/>
      <c r="X86" s="124"/>
      <c r="Y86" s="124"/>
      <c r="Z86" s="124"/>
      <c r="AA86" s="124"/>
      <c r="AB86" s="124"/>
      <c r="AC86" s="124"/>
      <c r="AD86" s="124"/>
      <c r="AE86" s="124"/>
      <c r="AF86" s="124"/>
      <c r="AG86" s="124"/>
      <c r="AH86" s="124"/>
      <c r="AI86" s="129">
        <f t="shared" si="75"/>
        <v>31.529691211401424</v>
      </c>
      <c r="AJ86" s="129">
        <f t="shared" si="152"/>
        <v>29.177749728575453</v>
      </c>
      <c r="AK86" s="129">
        <f t="shared" si="153"/>
        <v>25.472286545677591</v>
      </c>
      <c r="AL86" s="399">
        <f t="shared" si="154"/>
        <v>22.384400559929372</v>
      </c>
      <c r="AM86" s="393">
        <f t="shared" si="155"/>
        <v>19.605303172755974</v>
      </c>
      <c r="AN86" s="393">
        <f t="shared" si="156"/>
        <v>16.517417187007755</v>
      </c>
      <c r="AO86" s="393">
        <f t="shared" si="157"/>
        <v>14.637068299849284</v>
      </c>
      <c r="AP86" s="96">
        <f t="shared" si="158"/>
        <v>12.919489750762313</v>
      </c>
      <c r="AQ86" s="91">
        <f t="shared" si="159"/>
        <v>10.449180962163739</v>
      </c>
      <c r="AR86" s="198"/>
      <c r="AS86" s="81">
        <f>$H$86*月別販売比率!AG5</f>
        <v>3.0878859857482186</v>
      </c>
      <c r="AT86" s="21"/>
      <c r="AU86" s="81">
        <f>$H$86*月別販売比率!AL5</f>
        <v>2.7790973871733966</v>
      </c>
      <c r="AV86" s="21"/>
      <c r="AW86" s="245">
        <f>$H$86*月別販売比率!AQ5</f>
        <v>3.0878859857482186</v>
      </c>
      <c r="AX86" s="241">
        <v>20</v>
      </c>
      <c r="AY86" s="81">
        <f>$H$86*月別販売比率!AV5</f>
        <v>1.880348887158471</v>
      </c>
      <c r="AZ86" s="21"/>
      <c r="BA86" s="245">
        <f>$H$86*月別販売比率!BA5</f>
        <v>1.7175785490869706</v>
      </c>
      <c r="BB86" s="241"/>
      <c r="BC86" s="81">
        <f>$H$86*月別販売比率!BF5</f>
        <v>2.4703087885985746</v>
      </c>
      <c r="BD86" s="21"/>
      <c r="BE86" s="81">
        <f>$H$86*月別販売比率!C21</f>
        <v>2.1882072791114551</v>
      </c>
      <c r="BF86" s="21"/>
      <c r="BG86" s="81">
        <f>$H$86*月別販売比率!H21</f>
        <v>2.1615201900237531</v>
      </c>
      <c r="BH86" s="21"/>
      <c r="BI86" s="81">
        <f>$H$86*月別販売比率!M21</f>
        <v>3.1207314931294583</v>
      </c>
      <c r="BJ86" s="21"/>
      <c r="BK86" s="81">
        <f>$H$86*月別販売比率!R21</f>
        <v>2.4703087885985746</v>
      </c>
      <c r="BL86" s="21"/>
      <c r="BM86" s="245">
        <f>$H$86*月別販売比率!W21</f>
        <v>2.3519414828259699</v>
      </c>
      <c r="BN86" s="241"/>
      <c r="BO86" s="81">
        <f>$H$86*月別販売比率!AB21</f>
        <v>3.7054631828978617</v>
      </c>
      <c r="BP86" s="21"/>
      <c r="BQ86" s="81">
        <f>$H$86*月別販売比率!AG21</f>
        <v>3.0878859857482186</v>
      </c>
      <c r="BR86" s="21"/>
      <c r="BS86" s="81">
        <f>$H$86*月別販売比率!AL21</f>
        <v>2.7790973871733966</v>
      </c>
      <c r="BT86" s="21"/>
      <c r="BU86" s="81">
        <f>$H$86*月別販売比率!AQ21</f>
        <v>3.0878859857482186</v>
      </c>
      <c r="BV86" s="21"/>
      <c r="BW86" s="81">
        <f>$H$86*月別販売比率!AV21</f>
        <v>1.880348887158471</v>
      </c>
      <c r="BX86" s="21"/>
      <c r="BY86" s="81">
        <f>$H$86*月別販売比率!BA21</f>
        <v>1.7175785490869706</v>
      </c>
      <c r="BZ86" s="21"/>
      <c r="CA86" s="245">
        <f>$H$86*月別販売比率!BF21</f>
        <v>2.4703087885985746</v>
      </c>
      <c r="CB86" s="241"/>
      <c r="CC86" s="81">
        <f>H86*月別販売比率!$C$21</f>
        <v>2.1882072791114551</v>
      </c>
      <c r="CD86" s="21"/>
      <c r="CE86" s="81">
        <f>H86*月別販売比率!$H$21</f>
        <v>2.1615201900237531</v>
      </c>
      <c r="CF86" s="21"/>
      <c r="CG86" s="81">
        <f>H86*月別販売比率!$M$21</f>
        <v>3.1207314931294583</v>
      </c>
      <c r="CH86" s="21"/>
      <c r="CI86" s="81">
        <f>H86*月別販売比率!$R$21</f>
        <v>2.4703087885985746</v>
      </c>
      <c r="CJ86" s="21">
        <v>10</v>
      </c>
      <c r="CK86" s="81">
        <f>H86*月別販売比率!$W$21</f>
        <v>2.3519414828259699</v>
      </c>
      <c r="CL86" s="21"/>
      <c r="CM86" s="81">
        <f>H86*月別販売比率!$AB$21</f>
        <v>3.7054631828978617</v>
      </c>
      <c r="CN86" s="21"/>
      <c r="CO86" s="81">
        <f>H86*月別販売比率!$AG$21</f>
        <v>3.0878859857482186</v>
      </c>
      <c r="CP86" s="21"/>
      <c r="CQ86" s="81">
        <f>H86*月別販売比率!$AL$21</f>
        <v>2.7790973871733966</v>
      </c>
      <c r="CR86" s="21"/>
      <c r="CS86" s="81">
        <f>H86*月別販売比率!$AQ$21</f>
        <v>3.0878859857482186</v>
      </c>
      <c r="CT86" s="21"/>
      <c r="CU86" s="81">
        <f>H86*月別販売比率!$AV$21</f>
        <v>1.880348887158471</v>
      </c>
      <c r="CV86" s="21"/>
      <c r="CW86" s="81">
        <f>H86*月別販売比率!$BA$21</f>
        <v>1.7175785490869706</v>
      </c>
      <c r="CX86" s="21"/>
      <c r="CY86" s="81">
        <f>H86*月別販売比率!$BF$21</f>
        <v>2.4703087885985746</v>
      </c>
      <c r="CZ86" s="21"/>
      <c r="DA86" s="28"/>
      <c r="DB86" s="294"/>
    </row>
    <row r="87" spans="2:106" ht="30.75" customHeight="1">
      <c r="C87" s="457"/>
      <c r="D87" s="441">
        <v>2</v>
      </c>
      <c r="E87" s="94" t="s">
        <v>47</v>
      </c>
      <c r="F87" s="57">
        <v>55</v>
      </c>
      <c r="G87" s="5">
        <f t="shared" si="160"/>
        <v>272250</v>
      </c>
      <c r="H87" s="165">
        <v>150</v>
      </c>
      <c r="I87" s="5">
        <f t="shared" si="150"/>
        <v>742500</v>
      </c>
      <c r="J87" s="9">
        <v>0</v>
      </c>
      <c r="K87" s="21">
        <f t="shared" si="151"/>
        <v>15</v>
      </c>
      <c r="L87" s="21">
        <v>6</v>
      </c>
      <c r="M87" s="21">
        <v>9</v>
      </c>
      <c r="N87" s="42"/>
      <c r="O87" s="288"/>
      <c r="P87" s="288"/>
      <c r="Q87" s="331"/>
      <c r="R87" s="331">
        <v>45667</v>
      </c>
      <c r="S87" s="124"/>
      <c r="T87" s="124"/>
      <c r="U87" s="124"/>
      <c r="V87" s="328"/>
      <c r="W87" s="328"/>
      <c r="X87" s="328"/>
      <c r="Y87" s="328"/>
      <c r="Z87" s="124"/>
      <c r="AA87" s="328"/>
      <c r="AB87" s="328"/>
      <c r="AC87" s="328"/>
      <c r="AD87" s="328"/>
      <c r="AE87" s="328"/>
      <c r="AF87" s="328"/>
      <c r="AG87" s="124"/>
      <c r="AH87" s="124"/>
      <c r="AI87" s="129">
        <f t="shared" si="75"/>
        <v>63</v>
      </c>
      <c r="AJ87" s="129">
        <f t="shared" si="152"/>
        <v>51.574991950733846</v>
      </c>
      <c r="AK87" s="129">
        <f t="shared" si="153"/>
        <v>33.574991950733846</v>
      </c>
      <c r="AL87" s="399">
        <f t="shared" si="154"/>
        <v>18.574991950733846</v>
      </c>
      <c r="AM87" s="393">
        <f t="shared" si="155"/>
        <v>5.0749919507338461</v>
      </c>
      <c r="AN87" s="393">
        <f t="shared" si="156"/>
        <v>-9.9250080492661539</v>
      </c>
      <c r="AO87" s="393">
        <f t="shared" si="157"/>
        <v>-19.059164374193649</v>
      </c>
      <c r="AP87" s="96">
        <f t="shared" si="158"/>
        <v>-27.402632479950739</v>
      </c>
      <c r="AQ87" s="91">
        <f t="shared" si="159"/>
        <v>-39.402632479950739</v>
      </c>
      <c r="AR87" s="198"/>
      <c r="AS87" s="81">
        <f>$H$87*月別販売比率!AG5</f>
        <v>15</v>
      </c>
      <c r="AT87" s="21"/>
      <c r="AU87" s="81">
        <f>$H$87*月別販売比率!AL5</f>
        <v>13.5</v>
      </c>
      <c r="AV87" s="21"/>
      <c r="AW87" s="245">
        <f>$H$87*月別販売比率!AQ5</f>
        <v>15</v>
      </c>
      <c r="AX87" s="241">
        <v>87</v>
      </c>
      <c r="AY87" s="81">
        <f>$H$87*月別販売比率!AV5</f>
        <v>9.1341563249274973</v>
      </c>
      <c r="AZ87" s="21"/>
      <c r="BA87" s="245">
        <f>$H$87*月別販売比率!BA5</f>
        <v>8.3434681057570916</v>
      </c>
      <c r="BB87" s="241"/>
      <c r="BC87" s="81">
        <f>$H$87*月別販売比率!BF5</f>
        <v>12</v>
      </c>
      <c r="BD87" s="21"/>
      <c r="BE87" s="81">
        <f>$H$87*月別販売比率!C21</f>
        <v>10.629637667376031</v>
      </c>
      <c r="BF87" s="21"/>
      <c r="BG87" s="81">
        <f>$H$87*月別販売比率!H21</f>
        <v>10.500000000000002</v>
      </c>
      <c r="BH87" s="21"/>
      <c r="BI87" s="81">
        <f>$H$87*月別販売比率!M21</f>
        <v>15.159553368548099</v>
      </c>
      <c r="BJ87" s="21"/>
      <c r="BK87" s="81">
        <f>$H$87*月別販売比率!R21</f>
        <v>12</v>
      </c>
      <c r="BL87" s="21"/>
      <c r="BM87" s="245">
        <f>$H$87*月別販売比率!W21</f>
        <v>11.425008049266154</v>
      </c>
      <c r="BN87" s="241">
        <v>75</v>
      </c>
      <c r="BO87" s="81">
        <f>$H$87*月別販売比率!AB21</f>
        <v>18</v>
      </c>
      <c r="BP87" s="21"/>
      <c r="BQ87" s="81">
        <f>$H$87*月別販売比率!AG21</f>
        <v>15</v>
      </c>
      <c r="BR87" s="21"/>
      <c r="BS87" s="81">
        <f>$H$87*月別販売比率!AL21</f>
        <v>13.5</v>
      </c>
      <c r="BT87" s="21"/>
      <c r="BU87" s="81">
        <f>$H$87*月別販売比率!AQ21</f>
        <v>15</v>
      </c>
      <c r="BV87" s="21"/>
      <c r="BW87" s="81">
        <f>$H$87*月別販売比率!AV21</f>
        <v>9.1341563249274973</v>
      </c>
      <c r="BX87" s="21"/>
      <c r="BY87" s="81">
        <f>$H$87*月別販売比率!BA21</f>
        <v>8.3434681057570916</v>
      </c>
      <c r="BZ87" s="21"/>
      <c r="CA87" s="245">
        <f>$H$87*月別販売比率!BF21</f>
        <v>12</v>
      </c>
      <c r="CB87" s="241">
        <v>30</v>
      </c>
      <c r="CC87" s="81">
        <f>H87*月別販売比率!$C$21</f>
        <v>10.629637667376031</v>
      </c>
      <c r="CD87" s="21"/>
      <c r="CE87" s="81">
        <f>H87*月別販売比率!$H$21</f>
        <v>10.500000000000002</v>
      </c>
      <c r="CF87" s="21"/>
      <c r="CG87" s="81">
        <f>H87*月別販売比率!$M$21</f>
        <v>15.159553368548099</v>
      </c>
      <c r="CH87" s="21"/>
      <c r="CI87" s="81">
        <f>H87*月別販売比率!$R$21</f>
        <v>12</v>
      </c>
      <c r="CJ87" s="21">
        <v>60</v>
      </c>
      <c r="CK87" s="81">
        <f>H87*月別販売比率!$W$21</f>
        <v>11.425008049266154</v>
      </c>
      <c r="CL87" s="21"/>
      <c r="CM87" s="81">
        <f>H87*月別販売比率!$AB$21</f>
        <v>18</v>
      </c>
      <c r="CN87" s="21"/>
      <c r="CO87" s="81">
        <f>H87*月別販売比率!$AG$21</f>
        <v>15</v>
      </c>
      <c r="CP87" s="21"/>
      <c r="CQ87" s="81">
        <f>H87*月別販売比率!$AL$21</f>
        <v>13.5</v>
      </c>
      <c r="CR87" s="21"/>
      <c r="CS87" s="81">
        <f>H87*月別販売比率!$AQ$21</f>
        <v>15</v>
      </c>
      <c r="CT87" s="21"/>
      <c r="CU87" s="81">
        <f>H87*月別販売比率!$AV$21</f>
        <v>9.1341563249274973</v>
      </c>
      <c r="CV87" s="21"/>
      <c r="CW87" s="81">
        <f>H87*月別販売比率!$BA$21</f>
        <v>8.3434681057570916</v>
      </c>
      <c r="CX87" s="21"/>
      <c r="CY87" s="81">
        <f>H87*月別販売比率!$BF$21</f>
        <v>12</v>
      </c>
      <c r="CZ87" s="21"/>
      <c r="DA87" s="28"/>
      <c r="DB87" s="294"/>
    </row>
    <row r="88" spans="2:106" ht="30.75" customHeight="1">
      <c r="C88" s="457"/>
      <c r="D88" s="441"/>
      <c r="E88" s="94" t="s">
        <v>51</v>
      </c>
      <c r="F88" s="57">
        <v>40</v>
      </c>
      <c r="G88" s="5">
        <f t="shared" si="160"/>
        <v>198000</v>
      </c>
      <c r="H88" s="7">
        <f t="shared" si="161"/>
        <v>95.01187648456056</v>
      </c>
      <c r="I88" s="5">
        <f t="shared" si="150"/>
        <v>470308.78859857476</v>
      </c>
      <c r="J88" s="9">
        <v>0</v>
      </c>
      <c r="K88" s="21">
        <f t="shared" si="151"/>
        <v>8</v>
      </c>
      <c r="L88" s="21">
        <v>0</v>
      </c>
      <c r="M88" s="21">
        <v>8</v>
      </c>
      <c r="N88" s="42"/>
      <c r="O88" s="19"/>
      <c r="P88" s="19"/>
      <c r="Q88" s="330"/>
      <c r="R88" s="124"/>
      <c r="S88" s="124"/>
      <c r="T88" s="124"/>
      <c r="U88" s="124"/>
      <c r="V88" s="328"/>
      <c r="W88" s="328"/>
      <c r="X88" s="328"/>
      <c r="Y88" s="328"/>
      <c r="Z88" s="124"/>
      <c r="AA88" s="328"/>
      <c r="AB88" s="328"/>
      <c r="AC88" s="124"/>
      <c r="AD88" s="124"/>
      <c r="AE88" s="124"/>
      <c r="AF88" s="328"/>
      <c r="AG88" s="124"/>
      <c r="AH88" s="124"/>
      <c r="AI88" s="129">
        <f t="shared" si="75"/>
        <v>50.399049881235157</v>
      </c>
      <c r="AJ88" s="129">
        <f t="shared" si="152"/>
        <v>43.162306857155251</v>
      </c>
      <c r="AK88" s="129">
        <f t="shared" si="153"/>
        <v>31.760881679007984</v>
      </c>
      <c r="AL88" s="399">
        <f t="shared" si="154"/>
        <v>22.259694030551927</v>
      </c>
      <c r="AM88" s="393">
        <f t="shared" si="155"/>
        <v>13.708625146941477</v>
      </c>
      <c r="AN88" s="393">
        <f t="shared" si="156"/>
        <v>4.2074374984854206</v>
      </c>
      <c r="AO88" s="393">
        <f t="shared" si="157"/>
        <v>-1.5782513850791053</v>
      </c>
      <c r="AP88" s="96">
        <f t="shared" si="158"/>
        <v>-6.8631084591928611</v>
      </c>
      <c r="AQ88" s="91">
        <f t="shared" si="159"/>
        <v>-14.464058577957706</v>
      </c>
      <c r="AR88" s="198"/>
      <c r="AS88" s="81">
        <f>$H$88*月別販売比率!AG5</f>
        <v>9.5011876484560567</v>
      </c>
      <c r="AT88" s="21"/>
      <c r="AU88" s="81">
        <f>$H$88*月別販売比率!AL5</f>
        <v>8.5510688836104496</v>
      </c>
      <c r="AV88" s="21"/>
      <c r="AW88" s="245">
        <f>$H$88*月別販売比率!AQ5</f>
        <v>9.5011876484560567</v>
      </c>
      <c r="AX88" s="241">
        <v>40</v>
      </c>
      <c r="AY88" s="81">
        <f>$H$88*月別販売比率!AV5</f>
        <v>5.7856888835645259</v>
      </c>
      <c r="AZ88" s="21"/>
      <c r="BA88" s="245">
        <f>$H$88*月別販売比率!BA5</f>
        <v>5.2848570741137557</v>
      </c>
      <c r="BB88" s="241"/>
      <c r="BC88" s="81">
        <f>$H$88*月別販売比率!BF5</f>
        <v>7.6009501187648452</v>
      </c>
      <c r="BD88" s="21"/>
      <c r="BE88" s="81">
        <f>$H$88*月別販売比率!C21</f>
        <v>6.7329454741890924</v>
      </c>
      <c r="BF88" s="21"/>
      <c r="BG88" s="81">
        <f>$H$88*月別販売比率!H21</f>
        <v>6.6508313539192399</v>
      </c>
      <c r="BH88" s="21"/>
      <c r="BI88" s="81">
        <f>$H$88*月別販売比率!M21</f>
        <v>9.6022507480906398</v>
      </c>
      <c r="BJ88" s="21"/>
      <c r="BK88" s="81">
        <f>$H$88*月別販売比率!R21</f>
        <v>7.6009501187648452</v>
      </c>
      <c r="BL88" s="21"/>
      <c r="BM88" s="245">
        <f>$H$88*月別販売比率!W21</f>
        <v>7.2367430240799075</v>
      </c>
      <c r="BN88" s="241">
        <v>50</v>
      </c>
      <c r="BO88" s="81">
        <f>$H$88*月別販売比率!AB21</f>
        <v>11.401425178147267</v>
      </c>
      <c r="BP88" s="21"/>
      <c r="BQ88" s="81">
        <f>$H$88*月別販売比率!AG21</f>
        <v>9.5011876484560567</v>
      </c>
      <c r="BR88" s="21"/>
      <c r="BS88" s="81">
        <f>$H$88*月別販売比率!AL21</f>
        <v>8.5510688836104496</v>
      </c>
      <c r="BT88" s="21"/>
      <c r="BU88" s="81">
        <f>$H$88*月別販売比率!AQ21</f>
        <v>9.5011876484560567</v>
      </c>
      <c r="BV88" s="21"/>
      <c r="BW88" s="81">
        <f>$H$88*月別販売比率!AV21</f>
        <v>5.7856888835645259</v>
      </c>
      <c r="BX88" s="21"/>
      <c r="BY88" s="81">
        <f>$H$88*月別販売比率!BA21</f>
        <v>5.2848570741137557</v>
      </c>
      <c r="BZ88" s="21"/>
      <c r="CA88" s="245">
        <f>$H$88*月別販売比率!BF21</f>
        <v>7.6009501187648452</v>
      </c>
      <c r="CB88" s="241">
        <v>34</v>
      </c>
      <c r="CC88" s="81">
        <f>H88*月別販売比率!$C$21</f>
        <v>6.7329454741890924</v>
      </c>
      <c r="CD88" s="21"/>
      <c r="CE88" s="81">
        <f>H88*月別販売比率!$H$21</f>
        <v>6.6508313539192399</v>
      </c>
      <c r="CF88" s="21"/>
      <c r="CG88" s="81">
        <f>H88*月別販売比率!$M$21</f>
        <v>9.6022507480906398</v>
      </c>
      <c r="CH88" s="21"/>
      <c r="CI88" s="81">
        <f>H88*月別販売比率!$R$21</f>
        <v>7.6009501187648452</v>
      </c>
      <c r="CJ88" s="21">
        <v>50</v>
      </c>
      <c r="CK88" s="81">
        <f>H88*月別販売比率!$W$21</f>
        <v>7.2367430240799075</v>
      </c>
      <c r="CL88" s="21"/>
      <c r="CM88" s="81">
        <f>H88*月別販売比率!$AB$21</f>
        <v>11.401425178147267</v>
      </c>
      <c r="CN88" s="21"/>
      <c r="CO88" s="81">
        <f>H88*月別販売比率!$AG$21</f>
        <v>9.5011876484560567</v>
      </c>
      <c r="CP88" s="21"/>
      <c r="CQ88" s="81">
        <f>H88*月別販売比率!$AL$21</f>
        <v>8.5510688836104496</v>
      </c>
      <c r="CR88" s="21"/>
      <c r="CS88" s="81">
        <f>H88*月別販売比率!$AQ$21</f>
        <v>9.5011876484560567</v>
      </c>
      <c r="CT88" s="21"/>
      <c r="CU88" s="81">
        <f>H88*月別販売比率!$AV$21</f>
        <v>5.7856888835645259</v>
      </c>
      <c r="CV88" s="21"/>
      <c r="CW88" s="81">
        <f>H88*月別販売比率!$BA$21</f>
        <v>5.2848570741137557</v>
      </c>
      <c r="CX88" s="21"/>
      <c r="CY88" s="81">
        <f>H88*月別販売比率!$BF$21</f>
        <v>7.6009501187648452</v>
      </c>
      <c r="CZ88" s="21"/>
      <c r="DA88" s="28"/>
      <c r="DB88" s="294"/>
    </row>
    <row r="89" spans="2:106" ht="30.75" customHeight="1">
      <c r="C89" s="457"/>
      <c r="D89" s="441"/>
      <c r="E89" s="94" t="s">
        <v>49</v>
      </c>
      <c r="F89" s="57">
        <v>11</v>
      </c>
      <c r="G89" s="5">
        <f t="shared" si="160"/>
        <v>54450</v>
      </c>
      <c r="H89" s="7">
        <f t="shared" si="161"/>
        <v>26.128266033254157</v>
      </c>
      <c r="I89" s="5">
        <f t="shared" si="150"/>
        <v>129334.91686460808</v>
      </c>
      <c r="J89" s="9">
        <v>0</v>
      </c>
      <c r="K89" s="21">
        <f t="shared" si="151"/>
        <v>18</v>
      </c>
      <c r="L89" s="21">
        <v>7</v>
      </c>
      <c r="M89" s="21">
        <v>11</v>
      </c>
      <c r="N89" s="42"/>
      <c r="O89" s="19"/>
      <c r="P89" s="19"/>
      <c r="Q89" s="330"/>
      <c r="R89" s="124"/>
      <c r="S89" s="124"/>
      <c r="T89" s="124"/>
      <c r="U89" s="124"/>
      <c r="V89" s="124"/>
      <c r="W89" s="124"/>
      <c r="X89" s="124"/>
      <c r="Y89" s="124"/>
      <c r="Z89" s="124"/>
      <c r="AA89" s="124"/>
      <c r="AB89" s="328"/>
      <c r="AC89" s="328"/>
      <c r="AD89" s="328"/>
      <c r="AE89" s="328"/>
      <c r="AF89" s="328"/>
      <c r="AG89" s="124"/>
      <c r="AH89" s="124"/>
      <c r="AI89" s="129">
        <f t="shared" si="75"/>
        <v>25.909738717339668</v>
      </c>
      <c r="AJ89" s="129">
        <f t="shared" si="152"/>
        <v>23.919634385717693</v>
      </c>
      <c r="AK89" s="129">
        <f t="shared" si="153"/>
        <v>20.784242461727196</v>
      </c>
      <c r="AL89" s="399">
        <f t="shared" si="154"/>
        <v>18.17141585840178</v>
      </c>
      <c r="AM89" s="393">
        <f t="shared" si="155"/>
        <v>15.819871915408905</v>
      </c>
      <c r="AN89" s="393">
        <f t="shared" si="156"/>
        <v>13.207045312083489</v>
      </c>
      <c r="AO89" s="393">
        <f t="shared" si="157"/>
        <v>11.615980869103243</v>
      </c>
      <c r="AP89" s="96">
        <f t="shared" si="158"/>
        <v>10.162645173721961</v>
      </c>
      <c r="AQ89" s="91">
        <f t="shared" si="159"/>
        <v>8.0723838910616283</v>
      </c>
      <c r="AR89" s="198"/>
      <c r="AS89" s="81">
        <f>$H$89*月別販売比率!AG5</f>
        <v>2.6128266033254159</v>
      </c>
      <c r="AT89" s="21"/>
      <c r="AU89" s="81">
        <f>$H$89*月別販売比率!AL5</f>
        <v>2.3515439429928739</v>
      </c>
      <c r="AV89" s="21"/>
      <c r="AW89" s="245">
        <f>$H$89*月別販売比率!AQ5</f>
        <v>2.6128266033254159</v>
      </c>
      <c r="AX89" s="241"/>
      <c r="AY89" s="81">
        <f>$H$89*月別販売比率!AV5</f>
        <v>1.5910644429802447</v>
      </c>
      <c r="AZ89" s="21"/>
      <c r="BA89" s="245">
        <f>$H$89*月別販売比率!BA5</f>
        <v>1.4533356953812828</v>
      </c>
      <c r="BB89" s="241"/>
      <c r="BC89" s="81">
        <f>$H$89*月別販売比率!BF5</f>
        <v>2.0902612826603324</v>
      </c>
      <c r="BD89" s="21"/>
      <c r="BE89" s="81">
        <f>$H$89*月別販売比率!C21</f>
        <v>1.8515600054020005</v>
      </c>
      <c r="BF89" s="21"/>
      <c r="BG89" s="81">
        <f>$H$89*月別販売比率!H21</f>
        <v>1.8289786223277911</v>
      </c>
      <c r="BH89" s="21"/>
      <c r="BI89" s="81">
        <f>$H$89*月別販売比率!M21</f>
        <v>2.6406189557249262</v>
      </c>
      <c r="BJ89" s="21"/>
      <c r="BK89" s="81">
        <f>$H$89*月別販売比率!R21</f>
        <v>2.0902612826603324</v>
      </c>
      <c r="BL89" s="21"/>
      <c r="BM89" s="245">
        <f>$H$89*月別販売比率!W21</f>
        <v>1.9901043316219746</v>
      </c>
      <c r="BN89" s="241"/>
      <c r="BO89" s="81">
        <f>$H$89*月別販売比率!AB21</f>
        <v>3.1353919239904986</v>
      </c>
      <c r="BP89" s="21"/>
      <c r="BQ89" s="81">
        <f>$H$89*月別販売比率!AG21</f>
        <v>2.6128266033254159</v>
      </c>
      <c r="BR89" s="21"/>
      <c r="BS89" s="81">
        <f>$H$89*月別販売比率!AL21</f>
        <v>2.3515439429928739</v>
      </c>
      <c r="BT89" s="21"/>
      <c r="BU89" s="81">
        <f>$H$89*月別販売比率!AQ21</f>
        <v>2.6128266033254159</v>
      </c>
      <c r="BV89" s="21"/>
      <c r="BW89" s="81">
        <f>$H$89*月別販売比率!AV21</f>
        <v>1.5910644429802447</v>
      </c>
      <c r="BX89" s="21"/>
      <c r="BY89" s="81">
        <f>$H$89*月別販売比率!BA21</f>
        <v>1.4533356953812828</v>
      </c>
      <c r="BZ89" s="21"/>
      <c r="CA89" s="245">
        <f>$H$89*月別販売比率!BF21</f>
        <v>2.0902612826603324</v>
      </c>
      <c r="CB89" s="241"/>
      <c r="CC89" s="81">
        <f>H89*月別販売比率!$C$21</f>
        <v>1.8515600054020005</v>
      </c>
      <c r="CD89" s="21"/>
      <c r="CE89" s="81">
        <f>H89*月別販売比率!$H$21</f>
        <v>1.8289786223277911</v>
      </c>
      <c r="CF89" s="21"/>
      <c r="CG89" s="81">
        <f>H89*月別販売比率!$M$21</f>
        <v>2.6406189557249262</v>
      </c>
      <c r="CH89" s="21"/>
      <c r="CI89" s="81">
        <f>H89*月別販売比率!$R$21</f>
        <v>2.0902612826603324</v>
      </c>
      <c r="CJ89" s="21">
        <v>10</v>
      </c>
      <c r="CK89" s="81">
        <f>H89*月別販売比率!$W$21</f>
        <v>1.9901043316219746</v>
      </c>
      <c r="CL89" s="21"/>
      <c r="CM89" s="81">
        <f>H89*月別販売比率!$AB$21</f>
        <v>3.1353919239904986</v>
      </c>
      <c r="CN89" s="21"/>
      <c r="CO89" s="81">
        <f>H89*月別販売比率!$AG$21</f>
        <v>2.6128266033254159</v>
      </c>
      <c r="CP89" s="21"/>
      <c r="CQ89" s="81">
        <f>H89*月別販売比率!$AL$21</f>
        <v>2.3515439429928739</v>
      </c>
      <c r="CR89" s="21"/>
      <c r="CS89" s="81">
        <f>H89*月別販売比率!$AQ$21</f>
        <v>2.6128266033254159</v>
      </c>
      <c r="CT89" s="21"/>
      <c r="CU89" s="81">
        <f>H89*月別販売比率!$AV$21</f>
        <v>1.5910644429802447</v>
      </c>
      <c r="CV89" s="21"/>
      <c r="CW89" s="81">
        <f>H89*月別販売比率!$BA$21</f>
        <v>1.4533356953812828</v>
      </c>
      <c r="CX89" s="21"/>
      <c r="CY89" s="81">
        <f>H89*月別販売比率!$BF$21</f>
        <v>2.0902612826603324</v>
      </c>
      <c r="CZ89" s="21"/>
      <c r="DA89" s="28"/>
      <c r="DB89" s="294"/>
    </row>
    <row r="90" spans="2:106" ht="30.75" customHeight="1">
      <c r="C90" s="457"/>
      <c r="D90" s="442"/>
      <c r="E90" s="94" t="s">
        <v>50</v>
      </c>
      <c r="F90" s="57">
        <v>5</v>
      </c>
      <c r="G90" s="5">
        <f t="shared" si="160"/>
        <v>24750</v>
      </c>
      <c r="H90" s="7">
        <f t="shared" si="161"/>
        <v>11.87648456057007</v>
      </c>
      <c r="I90" s="5">
        <f t="shared" si="150"/>
        <v>58788.598574821845</v>
      </c>
      <c r="J90" s="9">
        <v>0</v>
      </c>
      <c r="K90" s="21">
        <f t="shared" si="151"/>
        <v>17</v>
      </c>
      <c r="L90" s="21">
        <v>5</v>
      </c>
      <c r="M90" s="21">
        <v>12</v>
      </c>
      <c r="N90" s="42"/>
      <c r="O90" s="288"/>
      <c r="P90" s="288"/>
      <c r="Q90" s="331">
        <v>45641</v>
      </c>
      <c r="R90" s="124"/>
      <c r="S90" s="124"/>
      <c r="T90" s="124"/>
      <c r="U90" s="124"/>
      <c r="V90" s="124"/>
      <c r="W90" s="124"/>
      <c r="X90" s="124"/>
      <c r="Y90" s="124"/>
      <c r="Z90" s="124"/>
      <c r="AA90" s="124"/>
      <c r="AB90" s="328"/>
      <c r="AC90" s="328"/>
      <c r="AD90" s="328"/>
      <c r="AE90" s="328"/>
      <c r="AF90" s="124"/>
      <c r="AG90" s="124"/>
      <c r="AH90" s="331"/>
      <c r="AI90" s="129">
        <f t="shared" si="75"/>
        <v>16.049881235154395</v>
      </c>
      <c r="AJ90" s="129">
        <f t="shared" si="152"/>
        <v>15.145288357144405</v>
      </c>
      <c r="AK90" s="129">
        <f t="shared" si="153"/>
        <v>13.720110209875997</v>
      </c>
      <c r="AL90" s="399">
        <f t="shared" si="154"/>
        <v>12.532461753818991</v>
      </c>
      <c r="AM90" s="393">
        <f t="shared" si="155"/>
        <v>11.463578143367684</v>
      </c>
      <c r="AN90" s="393">
        <f t="shared" si="156"/>
        <v>10.275929687310677</v>
      </c>
      <c r="AO90" s="393">
        <f t="shared" si="157"/>
        <v>9.5527185768651108</v>
      </c>
      <c r="AP90" s="96">
        <f t="shared" si="158"/>
        <v>8.8921114426008909</v>
      </c>
      <c r="AQ90" s="91">
        <f t="shared" si="159"/>
        <v>7.9419926777552856</v>
      </c>
      <c r="AR90" s="198"/>
      <c r="AS90" s="81">
        <f>$H$90*月別販売比率!AG5</f>
        <v>1.1876484560570071</v>
      </c>
      <c r="AT90" s="21"/>
      <c r="AU90" s="81">
        <f>$H$90*月別販売比率!AL5</f>
        <v>1.0688836104513062</v>
      </c>
      <c r="AV90" s="21"/>
      <c r="AW90" s="245">
        <f>$H$90*月別販売比率!AQ5</f>
        <v>1.1876484560570071</v>
      </c>
      <c r="AX90" s="241">
        <v>20</v>
      </c>
      <c r="AY90" s="81">
        <f>$H$90*月別販売比率!AV5</f>
        <v>0.72321111044556574</v>
      </c>
      <c r="AZ90" s="21"/>
      <c r="BA90" s="245">
        <f>$H$90*月別販売比率!BA5</f>
        <v>0.66060713426421946</v>
      </c>
      <c r="BB90" s="241"/>
      <c r="BC90" s="81">
        <f>$H$90*月別販売比率!BF5</f>
        <v>0.95011876484560565</v>
      </c>
      <c r="BD90" s="21"/>
      <c r="BE90" s="81">
        <f>$H$90*月別販売比率!C21</f>
        <v>0.84161818427363655</v>
      </c>
      <c r="BF90" s="21"/>
      <c r="BG90" s="81">
        <f>$H$90*月別販売比率!H21</f>
        <v>0.83135391923990498</v>
      </c>
      <c r="BH90" s="21"/>
      <c r="BI90" s="81">
        <f>$H$90*月別販売比率!M21</f>
        <v>1.20028134351133</v>
      </c>
      <c r="BJ90" s="21"/>
      <c r="BK90" s="81">
        <f>$H$90*月別販売比率!R21</f>
        <v>0.95011876484560565</v>
      </c>
      <c r="BL90" s="21"/>
      <c r="BM90" s="245">
        <f>$H$90*月別販売比率!W21</f>
        <v>0.90459287800998844</v>
      </c>
      <c r="BN90" s="241"/>
      <c r="BO90" s="81">
        <f>$H$90*月別販売比率!AB21</f>
        <v>1.4251781472684084</v>
      </c>
      <c r="BP90" s="21"/>
      <c r="BQ90" s="81">
        <f>$H$90*月別販売比率!AG21</f>
        <v>1.1876484560570071</v>
      </c>
      <c r="BR90" s="21"/>
      <c r="BS90" s="81">
        <f>$H$90*月別販売比率!AL21</f>
        <v>1.0688836104513062</v>
      </c>
      <c r="BT90" s="21"/>
      <c r="BU90" s="81">
        <f>$H$90*月別販売比率!AQ21</f>
        <v>1.1876484560570071</v>
      </c>
      <c r="BV90" s="21"/>
      <c r="BW90" s="81">
        <f>$H$90*月別販売比率!AV21</f>
        <v>0.72321111044556574</v>
      </c>
      <c r="BX90" s="21"/>
      <c r="BY90" s="81">
        <f>$H$90*月別販売比率!BA21</f>
        <v>0.66060713426421946</v>
      </c>
      <c r="BZ90" s="21"/>
      <c r="CA90" s="245">
        <f>$H$90*月別販売比率!BF21</f>
        <v>0.95011876484560565</v>
      </c>
      <c r="CB90" s="241"/>
      <c r="CC90" s="81">
        <f>H90*月別販売比率!$C$21</f>
        <v>0.84161818427363655</v>
      </c>
      <c r="CD90" s="21"/>
      <c r="CE90" s="81">
        <f>H90*月別販売比率!$H$21</f>
        <v>0.83135391923990498</v>
      </c>
      <c r="CF90" s="21"/>
      <c r="CG90" s="81">
        <f>H90*月別販売比率!$M$21</f>
        <v>1.20028134351133</v>
      </c>
      <c r="CH90" s="21"/>
      <c r="CI90" s="81">
        <f>H90*月別販売比率!$R$21</f>
        <v>0.95011876484560565</v>
      </c>
      <c r="CJ90" s="21"/>
      <c r="CK90" s="81">
        <f>H90*月別販売比率!$W$21</f>
        <v>0.90459287800998844</v>
      </c>
      <c r="CL90" s="21"/>
      <c r="CM90" s="81">
        <f>H90*月別販売比率!$AB$21</f>
        <v>1.4251781472684084</v>
      </c>
      <c r="CN90" s="21"/>
      <c r="CO90" s="81">
        <f>H90*月別販売比率!$AG$21</f>
        <v>1.1876484560570071</v>
      </c>
      <c r="CP90" s="21"/>
      <c r="CQ90" s="81">
        <f>H90*月別販売比率!$AL$21</f>
        <v>1.0688836104513062</v>
      </c>
      <c r="CR90" s="21"/>
      <c r="CS90" s="81">
        <f>H90*月別販売比率!$AQ$21</f>
        <v>1.1876484560570071</v>
      </c>
      <c r="CT90" s="21"/>
      <c r="CU90" s="81">
        <f>H90*月別販売比率!$AV$21</f>
        <v>0.72321111044556574</v>
      </c>
      <c r="CV90" s="21"/>
      <c r="CW90" s="81">
        <f>H90*月別販売比率!$BA$21</f>
        <v>0.66060713426421946</v>
      </c>
      <c r="CX90" s="21"/>
      <c r="CY90" s="81">
        <f>H90*月別販売比率!$BF$21</f>
        <v>0.95011876484560565</v>
      </c>
      <c r="CZ90" s="21"/>
      <c r="DA90" s="28"/>
      <c r="DB90" s="294"/>
    </row>
    <row r="91" spans="2:106" ht="30.75" customHeight="1">
      <c r="C91" s="457"/>
      <c r="D91" s="441">
        <v>3</v>
      </c>
      <c r="E91" s="94" t="s">
        <v>47</v>
      </c>
      <c r="F91" s="57">
        <v>41</v>
      </c>
      <c r="G91" s="5">
        <f t="shared" si="160"/>
        <v>202950</v>
      </c>
      <c r="H91" s="7">
        <f t="shared" si="161"/>
        <v>97.387173396674584</v>
      </c>
      <c r="I91" s="5">
        <f t="shared" si="150"/>
        <v>482066.50831353921</v>
      </c>
      <c r="J91" s="9">
        <v>0</v>
      </c>
      <c r="K91" s="21">
        <f t="shared" si="151"/>
        <v>13</v>
      </c>
      <c r="L91" s="21">
        <v>3</v>
      </c>
      <c r="M91" s="21">
        <v>10</v>
      </c>
      <c r="N91" s="42"/>
      <c r="O91" s="19"/>
      <c r="P91" s="19"/>
      <c r="Q91" s="331"/>
      <c r="R91" s="331">
        <v>45667</v>
      </c>
      <c r="S91" s="124"/>
      <c r="T91" s="124"/>
      <c r="U91" s="124"/>
      <c r="V91" s="124"/>
      <c r="W91" s="124"/>
      <c r="X91" s="328"/>
      <c r="Y91" s="328"/>
      <c r="Z91" s="124"/>
      <c r="AA91" s="328"/>
      <c r="AB91" s="328"/>
      <c r="AC91" s="328"/>
      <c r="AD91" s="328"/>
      <c r="AE91" s="328"/>
      <c r="AF91" s="328"/>
      <c r="AG91" s="124"/>
      <c r="AH91" s="124"/>
      <c r="AI91" s="129">
        <f t="shared" si="75"/>
        <v>35.209026128266032</v>
      </c>
      <c r="AJ91" s="129">
        <f t="shared" si="152"/>
        <v>27.791364528584126</v>
      </c>
      <c r="AK91" s="129">
        <f t="shared" si="153"/>
        <v>16.104903720983174</v>
      </c>
      <c r="AL91" s="399">
        <f t="shared" si="154"/>
        <v>6.366186381315714</v>
      </c>
      <c r="AM91" s="393">
        <f t="shared" si="155"/>
        <v>-2.398659224384998</v>
      </c>
      <c r="AN91" s="393">
        <f t="shared" si="156"/>
        <v>-12.137376564052458</v>
      </c>
      <c r="AO91" s="393">
        <f t="shared" si="157"/>
        <v>-18.067707669706099</v>
      </c>
      <c r="AP91" s="96">
        <f t="shared" si="158"/>
        <v>-23.484686170672699</v>
      </c>
      <c r="AQ91" s="91">
        <f t="shared" si="159"/>
        <v>-31.275660042406667</v>
      </c>
      <c r="AR91" s="198"/>
      <c r="AS91" s="81">
        <f>$H$91*月別販売比率!AG5</f>
        <v>9.7387173396674598</v>
      </c>
      <c r="AT91" s="21"/>
      <c r="AU91" s="81">
        <f>$H$91*月別販売比率!AL5</f>
        <v>8.764845605700712</v>
      </c>
      <c r="AV91" s="21"/>
      <c r="AW91" s="245">
        <f>$H$91*月別販売比率!AQ5</f>
        <v>9.7387173396674598</v>
      </c>
      <c r="AX91" s="241">
        <v>70</v>
      </c>
      <c r="AY91" s="81">
        <f>$H$91*月別販売比率!AV5</f>
        <v>5.9303311056536403</v>
      </c>
      <c r="AZ91" s="21"/>
      <c r="BA91" s="245">
        <f>$H$91*月別販売比率!BA5</f>
        <v>5.4169785009666001</v>
      </c>
      <c r="BB91" s="241"/>
      <c r="BC91" s="81">
        <f>$H$91*月別販売比率!BF5</f>
        <v>7.7909738717339669</v>
      </c>
      <c r="BD91" s="21"/>
      <c r="BE91" s="81">
        <f>$H$91*月別販売比率!C21</f>
        <v>6.9012691110438205</v>
      </c>
      <c r="BF91" s="21"/>
      <c r="BG91" s="81">
        <f>$H$91*月別販売比率!H21</f>
        <v>6.8171021377672218</v>
      </c>
      <c r="BH91" s="21"/>
      <c r="BI91" s="81">
        <f>$H$91*月別販売比率!M21</f>
        <v>9.8423070167929083</v>
      </c>
      <c r="BJ91" s="21"/>
      <c r="BK91" s="81">
        <f>$H$91*月別販売比率!R21</f>
        <v>7.7909738717339669</v>
      </c>
      <c r="BL91" s="21"/>
      <c r="BM91" s="245">
        <f>$H$91*月別販売比率!W21</f>
        <v>7.4176615996819057</v>
      </c>
      <c r="BN91" s="241">
        <v>15</v>
      </c>
      <c r="BO91" s="81">
        <f>$H$91*月別販売比率!AB21</f>
        <v>11.68646080760095</v>
      </c>
      <c r="BP91" s="21"/>
      <c r="BQ91" s="81">
        <f>$H$91*月別販売比率!AG21</f>
        <v>9.7387173396674598</v>
      </c>
      <c r="BR91" s="21"/>
      <c r="BS91" s="81">
        <f>$H$91*月別販売比率!AL21</f>
        <v>8.764845605700712</v>
      </c>
      <c r="BT91" s="21"/>
      <c r="BU91" s="81">
        <f>$H$91*月別販売比率!AQ21</f>
        <v>9.7387173396674598</v>
      </c>
      <c r="BV91" s="21"/>
      <c r="BW91" s="81">
        <f>$H$91*月別販売比率!AV21</f>
        <v>5.9303311056536403</v>
      </c>
      <c r="BX91" s="21"/>
      <c r="BY91" s="81">
        <f>$H$91*月別販売比率!BA21</f>
        <v>5.4169785009666001</v>
      </c>
      <c r="BZ91" s="21"/>
      <c r="CA91" s="245">
        <f>$H$91*月別販売比率!BF21</f>
        <v>7.7909738717339669</v>
      </c>
      <c r="CB91" s="241">
        <v>50</v>
      </c>
      <c r="CC91" s="81">
        <f>H91*月別販売比率!$C$21</f>
        <v>6.9012691110438205</v>
      </c>
      <c r="CD91" s="21"/>
      <c r="CE91" s="81">
        <f>H91*月別販売比率!$H$21</f>
        <v>6.8171021377672218</v>
      </c>
      <c r="CF91" s="21"/>
      <c r="CG91" s="81">
        <f>H91*月別販売比率!$M$21</f>
        <v>9.8423070167929083</v>
      </c>
      <c r="CH91" s="21"/>
      <c r="CI91" s="81">
        <f>H91*月別販売比率!$R$21</f>
        <v>7.7909738717339669</v>
      </c>
      <c r="CJ91" s="21">
        <v>30</v>
      </c>
      <c r="CK91" s="81">
        <f>H91*月別販売比率!$W$21</f>
        <v>7.4176615996819057</v>
      </c>
      <c r="CL91" s="21"/>
      <c r="CM91" s="81">
        <f>H91*月別販売比率!$AB$21</f>
        <v>11.68646080760095</v>
      </c>
      <c r="CN91" s="21"/>
      <c r="CO91" s="81">
        <f>H91*月別販売比率!$AG$21</f>
        <v>9.7387173396674598</v>
      </c>
      <c r="CP91" s="21"/>
      <c r="CQ91" s="81">
        <f>H91*月別販売比率!$AL$21</f>
        <v>8.764845605700712</v>
      </c>
      <c r="CR91" s="21"/>
      <c r="CS91" s="81">
        <f>H91*月別販売比率!$AQ$21</f>
        <v>9.7387173396674598</v>
      </c>
      <c r="CT91" s="21"/>
      <c r="CU91" s="81">
        <f>H91*月別販売比率!$AV$21</f>
        <v>5.9303311056536403</v>
      </c>
      <c r="CV91" s="21"/>
      <c r="CW91" s="81">
        <f>H91*月別販売比率!$BA$21</f>
        <v>5.4169785009666001</v>
      </c>
      <c r="CX91" s="21"/>
      <c r="CY91" s="81">
        <f>H91*月別販売比率!$BF$21</f>
        <v>7.7909738717339669</v>
      </c>
      <c r="CZ91" s="21"/>
      <c r="DA91" s="28"/>
      <c r="DB91" s="294"/>
    </row>
    <row r="92" spans="2:106" ht="30.75" customHeight="1">
      <c r="C92" s="457"/>
      <c r="D92" s="441"/>
      <c r="E92" s="94" t="s">
        <v>51</v>
      </c>
      <c r="F92" s="57">
        <v>21</v>
      </c>
      <c r="G92" s="5">
        <f t="shared" si="160"/>
        <v>103950</v>
      </c>
      <c r="H92" s="7">
        <f t="shared" si="161"/>
        <v>49.881235154394297</v>
      </c>
      <c r="I92" s="5">
        <f t="shared" si="150"/>
        <v>246912.11401425177</v>
      </c>
      <c r="J92" s="9">
        <v>0</v>
      </c>
      <c r="K92" s="21">
        <f t="shared" si="151"/>
        <v>11</v>
      </c>
      <c r="L92" s="21">
        <v>0</v>
      </c>
      <c r="M92" s="21">
        <v>11</v>
      </c>
      <c r="N92" s="42"/>
      <c r="O92" s="19"/>
      <c r="P92" s="19"/>
      <c r="Q92" s="330"/>
      <c r="R92" s="129"/>
      <c r="S92" s="124"/>
      <c r="T92" s="124"/>
      <c r="U92" s="124"/>
      <c r="V92" s="124"/>
      <c r="W92" s="124"/>
      <c r="X92" s="124"/>
      <c r="Y92" s="124"/>
      <c r="Z92" s="124"/>
      <c r="AA92" s="124"/>
      <c r="AB92" s="124"/>
      <c r="AC92" s="124"/>
      <c r="AD92" s="328"/>
      <c r="AE92" s="328"/>
      <c r="AF92" s="328"/>
      <c r="AG92" s="124"/>
      <c r="AH92" s="124"/>
      <c r="AI92" s="129">
        <f t="shared" si="75"/>
        <v>27.009501187648457</v>
      </c>
      <c r="AJ92" s="129">
        <f t="shared" si="152"/>
        <v>23.210211100006504</v>
      </c>
      <c r="AK92" s="129">
        <f t="shared" si="153"/>
        <v>17.224462881479187</v>
      </c>
      <c r="AL92" s="399">
        <f t="shared" si="154"/>
        <v>12.236339366039758</v>
      </c>
      <c r="AM92" s="393">
        <f t="shared" si="155"/>
        <v>7.7470282021442713</v>
      </c>
      <c r="AN92" s="393">
        <f t="shared" si="156"/>
        <v>2.7589046867048417</v>
      </c>
      <c r="AO92" s="393">
        <f t="shared" si="157"/>
        <v>-0.27858197716653477</v>
      </c>
      <c r="AP92" s="96">
        <f t="shared" si="158"/>
        <v>-3.0531319410762565</v>
      </c>
      <c r="AQ92" s="91">
        <f t="shared" si="159"/>
        <v>-7.0436307534278004</v>
      </c>
      <c r="AR92" s="198"/>
      <c r="AS92" s="81">
        <f>$H$92*月別販売比率!AG5</f>
        <v>4.9881235154394297</v>
      </c>
      <c r="AT92" s="21"/>
      <c r="AU92" s="81">
        <f>$H$92*月別販売比率!AL5</f>
        <v>4.4893111638954863</v>
      </c>
      <c r="AV92" s="21"/>
      <c r="AW92" s="245">
        <f>$H$92*月別販売比率!AQ5</f>
        <v>4.9881235154394297</v>
      </c>
      <c r="AX92" s="241"/>
      <c r="AY92" s="81">
        <f>$H$92*月別販売比率!AV5</f>
        <v>3.0374866638713764</v>
      </c>
      <c r="AZ92" s="21"/>
      <c r="BA92" s="245">
        <f>$H$92*月別販売比率!BA5</f>
        <v>2.7745499639097218</v>
      </c>
      <c r="BB92" s="241">
        <v>25</v>
      </c>
      <c r="BC92" s="81">
        <f>$H$92*月別販売比率!BF5</f>
        <v>3.9904988123515439</v>
      </c>
      <c r="BD92" s="21"/>
      <c r="BE92" s="81">
        <f>$H$92*月別販売比率!C21</f>
        <v>3.5347963739492734</v>
      </c>
      <c r="BF92" s="21"/>
      <c r="BG92" s="81">
        <f>$H$92*月別販売比率!H21</f>
        <v>3.491686460807601</v>
      </c>
      <c r="BH92" s="21"/>
      <c r="BI92" s="81">
        <f>$H$92*月別販売比率!M21</f>
        <v>5.0411816427475866</v>
      </c>
      <c r="BJ92" s="21"/>
      <c r="BK92" s="81">
        <f>$H$92*月別販売比率!R21</f>
        <v>3.9904988123515439</v>
      </c>
      <c r="BL92" s="21"/>
      <c r="BM92" s="245">
        <f>$H$92*月別販売比率!W21</f>
        <v>3.7992900876419515</v>
      </c>
      <c r="BN92" s="241"/>
      <c r="BO92" s="81">
        <f>$H$92*月別販売比率!AB21</f>
        <v>5.9857482185273154</v>
      </c>
      <c r="BP92" s="21"/>
      <c r="BQ92" s="81">
        <f>$H$92*月別販売比率!AG21</f>
        <v>4.9881235154394297</v>
      </c>
      <c r="BR92" s="21"/>
      <c r="BS92" s="81">
        <f>$H$92*月別販売比率!AL21</f>
        <v>4.4893111638954863</v>
      </c>
      <c r="BT92" s="21"/>
      <c r="BU92" s="81">
        <f>$H$92*月別販売比率!AQ21</f>
        <v>4.9881235154394297</v>
      </c>
      <c r="BV92" s="21"/>
      <c r="BW92" s="81">
        <f>$H$92*月別販売比率!AV21</f>
        <v>3.0374866638713764</v>
      </c>
      <c r="BX92" s="21"/>
      <c r="BY92" s="81">
        <f>$H$92*月別販売比率!BA21</f>
        <v>2.7745499639097218</v>
      </c>
      <c r="BZ92" s="21"/>
      <c r="CA92" s="245">
        <f>$H$92*月別販売比率!BF21</f>
        <v>3.9904988123515439</v>
      </c>
      <c r="CB92" s="241"/>
      <c r="CC92" s="81">
        <f>H92*月別販売比率!$C$21</f>
        <v>3.5347963739492734</v>
      </c>
      <c r="CD92" s="21"/>
      <c r="CE92" s="81">
        <f>H92*月別販売比率!$H$21</f>
        <v>3.491686460807601</v>
      </c>
      <c r="CF92" s="21"/>
      <c r="CG92" s="81">
        <f>H92*月別販売比率!$M$21</f>
        <v>5.0411816427475866</v>
      </c>
      <c r="CH92" s="21"/>
      <c r="CI92" s="81">
        <f>H92*月別販売比率!$R$21</f>
        <v>3.9904988123515439</v>
      </c>
      <c r="CJ92" s="21">
        <v>20</v>
      </c>
      <c r="CK92" s="81">
        <f>H92*月別販売比率!$W$21</f>
        <v>3.7992900876419515</v>
      </c>
      <c r="CL92" s="21"/>
      <c r="CM92" s="81">
        <f>H92*月別販売比率!$AB$21</f>
        <v>5.9857482185273154</v>
      </c>
      <c r="CN92" s="21"/>
      <c r="CO92" s="81">
        <f>H92*月別販売比率!$AG$21</f>
        <v>4.9881235154394297</v>
      </c>
      <c r="CP92" s="21"/>
      <c r="CQ92" s="81">
        <f>H92*月別販売比率!$AL$21</f>
        <v>4.4893111638954863</v>
      </c>
      <c r="CR92" s="21"/>
      <c r="CS92" s="81">
        <f>H92*月別販売比率!$AQ$21</f>
        <v>4.9881235154394297</v>
      </c>
      <c r="CT92" s="21"/>
      <c r="CU92" s="81">
        <f>H92*月別販売比率!$AV$21</f>
        <v>3.0374866638713764</v>
      </c>
      <c r="CV92" s="21"/>
      <c r="CW92" s="81">
        <f>H92*月別販売比率!$BA$21</f>
        <v>2.7745499639097218</v>
      </c>
      <c r="CX92" s="21"/>
      <c r="CY92" s="81">
        <f>H92*月別販売比率!$BF$21</f>
        <v>3.9904988123515439</v>
      </c>
      <c r="CZ92" s="21"/>
      <c r="DA92" s="28"/>
      <c r="DB92" s="294"/>
    </row>
    <row r="93" spans="2:106" ht="30.75" customHeight="1">
      <c r="C93" s="457"/>
      <c r="D93" s="441"/>
      <c r="E93" s="94" t="s">
        <v>49</v>
      </c>
      <c r="F93" s="57">
        <v>7</v>
      </c>
      <c r="G93" s="5">
        <f t="shared" si="160"/>
        <v>34650</v>
      </c>
      <c r="H93" s="7">
        <f t="shared" si="161"/>
        <v>16.6270783847981</v>
      </c>
      <c r="I93" s="5">
        <f t="shared" si="150"/>
        <v>82304.03800475059</v>
      </c>
      <c r="J93" s="9">
        <v>0</v>
      </c>
      <c r="K93" s="21">
        <f t="shared" si="151"/>
        <v>12</v>
      </c>
      <c r="L93" s="21">
        <v>5</v>
      </c>
      <c r="M93" s="21">
        <v>7</v>
      </c>
      <c r="N93" s="42"/>
      <c r="O93" s="19"/>
      <c r="P93" s="19"/>
      <c r="Q93" s="330"/>
      <c r="R93" s="124"/>
      <c r="S93" s="124"/>
      <c r="T93" s="124"/>
      <c r="U93" s="124"/>
      <c r="V93" s="124"/>
      <c r="W93" s="124"/>
      <c r="X93" s="124"/>
      <c r="Y93" s="124"/>
      <c r="Z93" s="124"/>
      <c r="AA93" s="124"/>
      <c r="AB93" s="124"/>
      <c r="AC93" s="124"/>
      <c r="AD93" s="328"/>
      <c r="AE93" s="328"/>
      <c r="AF93" s="124"/>
      <c r="AG93" s="331"/>
      <c r="AH93" s="331"/>
      <c r="AI93" s="129">
        <f t="shared" si="75"/>
        <v>20.669833729216151</v>
      </c>
      <c r="AJ93" s="129">
        <f t="shared" si="152"/>
        <v>19.403403700002166</v>
      </c>
      <c r="AK93" s="129">
        <f t="shared" si="153"/>
        <v>17.408154293826392</v>
      </c>
      <c r="AL93" s="399">
        <f t="shared" si="154"/>
        <v>15.745446455346581</v>
      </c>
      <c r="AM93" s="393">
        <f t="shared" si="155"/>
        <v>14.249009400714753</v>
      </c>
      <c r="AN93" s="393">
        <f t="shared" si="156"/>
        <v>12.586301562234944</v>
      </c>
      <c r="AO93" s="393">
        <f t="shared" si="157"/>
        <v>11.573806007611152</v>
      </c>
      <c r="AP93" s="96">
        <f t="shared" si="158"/>
        <v>10.648956019641245</v>
      </c>
      <c r="AQ93" s="91">
        <f t="shared" si="159"/>
        <v>9.3187897488573981</v>
      </c>
      <c r="AR93" s="198"/>
      <c r="AS93" s="81">
        <f>$H$93*月別販売比率!AG5</f>
        <v>1.6627078384798102</v>
      </c>
      <c r="AT93" s="21"/>
      <c r="AU93" s="81">
        <f>$H$93*月別販売比率!AL5</f>
        <v>1.4964370546318289</v>
      </c>
      <c r="AV93" s="21"/>
      <c r="AW93" s="245">
        <f>$H$93*月別販売比率!AQ5</f>
        <v>1.6627078384798102</v>
      </c>
      <c r="AX93" s="241"/>
      <c r="AY93" s="81">
        <f>$H$93*月別販売比率!AV5</f>
        <v>1.0124955546237921</v>
      </c>
      <c r="AZ93" s="21"/>
      <c r="BA93" s="245">
        <f>$H$93*月別販売比率!BA5</f>
        <v>0.92484998796990736</v>
      </c>
      <c r="BB93" s="241">
        <v>10</v>
      </c>
      <c r="BC93" s="81">
        <f>$H$93*月別販売比率!BF5</f>
        <v>1.330166270783848</v>
      </c>
      <c r="BD93" s="21"/>
      <c r="BE93" s="81">
        <f>$H$93*月別販売比率!C21</f>
        <v>1.1782654579830913</v>
      </c>
      <c r="BF93" s="21"/>
      <c r="BG93" s="81">
        <f>$H$93*月別販売比率!H21</f>
        <v>1.1638954869358671</v>
      </c>
      <c r="BH93" s="21"/>
      <c r="BI93" s="81">
        <f>$H$93*月別販売比率!M21</f>
        <v>1.6803938809158623</v>
      </c>
      <c r="BJ93" s="21"/>
      <c r="BK93" s="81">
        <f>$H$93*月別販売比率!R21</f>
        <v>1.330166270783848</v>
      </c>
      <c r="BL93" s="21"/>
      <c r="BM93" s="245">
        <f>$H$93*月別販売比率!W21</f>
        <v>1.2664300292139838</v>
      </c>
      <c r="BN93" s="241"/>
      <c r="BO93" s="81">
        <f>$H$93*月別販売比率!AB21</f>
        <v>1.995249406175772</v>
      </c>
      <c r="BP93" s="21"/>
      <c r="BQ93" s="81">
        <f>$H$93*月別販売比率!AG21</f>
        <v>1.6627078384798102</v>
      </c>
      <c r="BR93" s="21"/>
      <c r="BS93" s="81">
        <f>$H$93*月別販売比率!AL21</f>
        <v>1.4964370546318289</v>
      </c>
      <c r="BT93" s="21"/>
      <c r="BU93" s="81">
        <f>$H$93*月別販売比率!AQ21</f>
        <v>1.6627078384798102</v>
      </c>
      <c r="BV93" s="21"/>
      <c r="BW93" s="81">
        <f>$H$93*月別販売比率!AV21</f>
        <v>1.0124955546237921</v>
      </c>
      <c r="BX93" s="21"/>
      <c r="BY93" s="81">
        <f>$H$93*月別販売比率!BA21</f>
        <v>0.92484998796990736</v>
      </c>
      <c r="BZ93" s="21"/>
      <c r="CA93" s="245">
        <f>$H$93*月別販売比率!BF21</f>
        <v>1.330166270783848</v>
      </c>
      <c r="CB93" s="241"/>
      <c r="CC93" s="81">
        <f>H93*月別販売比率!$C$21</f>
        <v>1.1782654579830913</v>
      </c>
      <c r="CD93" s="21"/>
      <c r="CE93" s="81">
        <f>H93*月別販売比率!$H$21</f>
        <v>1.1638954869358671</v>
      </c>
      <c r="CF93" s="21"/>
      <c r="CG93" s="81">
        <f>H93*月別販売比率!$M$21</f>
        <v>1.6803938809158623</v>
      </c>
      <c r="CH93" s="21"/>
      <c r="CI93" s="81">
        <f>H93*月別販売比率!$R$21</f>
        <v>1.330166270783848</v>
      </c>
      <c r="CJ93" s="21">
        <v>10</v>
      </c>
      <c r="CK93" s="81">
        <f>H93*月別販売比率!$W$21</f>
        <v>1.2664300292139838</v>
      </c>
      <c r="CL93" s="21"/>
      <c r="CM93" s="81">
        <f>H93*月別販売比率!$AB$21</f>
        <v>1.995249406175772</v>
      </c>
      <c r="CN93" s="21"/>
      <c r="CO93" s="81">
        <f>H93*月別販売比率!$AG$21</f>
        <v>1.6627078384798102</v>
      </c>
      <c r="CP93" s="21"/>
      <c r="CQ93" s="81">
        <f>H93*月別販売比率!$AL$21</f>
        <v>1.4964370546318289</v>
      </c>
      <c r="CR93" s="21"/>
      <c r="CS93" s="81">
        <f>H93*月別販売比率!$AQ$21</f>
        <v>1.6627078384798102</v>
      </c>
      <c r="CT93" s="21"/>
      <c r="CU93" s="81">
        <f>H93*月別販売比率!$AV$21</f>
        <v>1.0124955546237921</v>
      </c>
      <c r="CV93" s="21"/>
      <c r="CW93" s="81">
        <f>H93*月別販売比率!$BA$21</f>
        <v>0.92484998796990736</v>
      </c>
      <c r="CX93" s="21"/>
      <c r="CY93" s="81">
        <f>H93*月別販売比率!$BF$21</f>
        <v>1.330166270783848</v>
      </c>
      <c r="CZ93" s="21"/>
      <c r="DA93" s="28"/>
      <c r="DB93" s="294"/>
    </row>
    <row r="94" spans="2:106" ht="30.75" customHeight="1">
      <c r="C94" s="457"/>
      <c r="D94" s="441"/>
      <c r="E94" s="119" t="s">
        <v>50</v>
      </c>
      <c r="F94" s="120">
        <v>7</v>
      </c>
      <c r="G94" s="36">
        <f t="shared" si="160"/>
        <v>34650</v>
      </c>
      <c r="H94" s="7">
        <f t="shared" si="161"/>
        <v>16.6270783847981</v>
      </c>
      <c r="I94" s="36">
        <f t="shared" si="150"/>
        <v>82304.03800475059</v>
      </c>
      <c r="J94" s="102">
        <v>0</v>
      </c>
      <c r="K94" s="21">
        <f t="shared" si="151"/>
        <v>14</v>
      </c>
      <c r="L94" s="2">
        <v>8</v>
      </c>
      <c r="M94" s="107">
        <v>6</v>
      </c>
      <c r="N94" s="42"/>
      <c r="O94" s="288"/>
      <c r="P94" s="288"/>
      <c r="Q94" s="331">
        <v>45641</v>
      </c>
      <c r="R94" s="124"/>
      <c r="S94" s="124"/>
      <c r="T94" s="124"/>
      <c r="U94" s="124"/>
      <c r="V94" s="124"/>
      <c r="W94" s="124"/>
      <c r="X94" s="124"/>
      <c r="Y94" s="124"/>
      <c r="Z94" s="124"/>
      <c r="AA94" s="124"/>
      <c r="AB94" s="124"/>
      <c r="AC94" s="124"/>
      <c r="AD94" s="124"/>
      <c r="AE94" s="124"/>
      <c r="AF94" s="124"/>
      <c r="AG94" s="124"/>
      <c r="AH94" s="331"/>
      <c r="AI94" s="129">
        <f t="shared" si="75"/>
        <v>12.669833729216151</v>
      </c>
      <c r="AJ94" s="129">
        <f t="shared" si="152"/>
        <v>11.403403700002167</v>
      </c>
      <c r="AK94" s="129">
        <f t="shared" si="153"/>
        <v>9.4081542938263958</v>
      </c>
      <c r="AL94" s="399">
        <f t="shared" si="154"/>
        <v>7.7454464553465856</v>
      </c>
      <c r="AM94" s="393">
        <f t="shared" si="155"/>
        <v>6.2490094007147565</v>
      </c>
      <c r="AN94" s="393">
        <f t="shared" si="156"/>
        <v>4.5863015622349463</v>
      </c>
      <c r="AO94" s="393">
        <f t="shared" si="157"/>
        <v>3.5738060076111542</v>
      </c>
      <c r="AP94" s="96">
        <f t="shared" si="158"/>
        <v>2.6489560196412469</v>
      </c>
      <c r="AQ94" s="91">
        <f t="shared" si="159"/>
        <v>1.318789748857399</v>
      </c>
      <c r="AR94" s="198"/>
      <c r="AS94" s="81">
        <f>$H$94*月別販売比率!AG5</f>
        <v>1.6627078384798102</v>
      </c>
      <c r="AT94" s="107"/>
      <c r="AU94" s="81">
        <f>$H$94*月別販売比率!AL5</f>
        <v>1.4964370546318289</v>
      </c>
      <c r="AV94" s="107"/>
      <c r="AW94" s="245">
        <f>$H$94*月別販売比率!AQ5</f>
        <v>1.6627078384798102</v>
      </c>
      <c r="AX94" s="341">
        <v>20</v>
      </c>
      <c r="AY94" s="81">
        <f>$H$94*月別販売比率!AV5</f>
        <v>1.0124955546237921</v>
      </c>
      <c r="AZ94" s="107"/>
      <c r="BA94" s="245">
        <f>$H$94*月別販売比率!BA5</f>
        <v>0.92484998796990736</v>
      </c>
      <c r="BB94" s="341"/>
      <c r="BC94" s="81">
        <f>$H$94*月別販売比率!BF5</f>
        <v>1.330166270783848</v>
      </c>
      <c r="BD94" s="107"/>
      <c r="BE94" s="81">
        <f>$H$94*月別販売比率!C21</f>
        <v>1.1782654579830913</v>
      </c>
      <c r="BF94" s="107"/>
      <c r="BG94" s="81">
        <f>$H$94*月別販売比率!H21</f>
        <v>1.1638954869358671</v>
      </c>
      <c r="BH94" s="107"/>
      <c r="BI94" s="81">
        <f>$H$94*月別販売比率!M21</f>
        <v>1.6803938809158623</v>
      </c>
      <c r="BJ94" s="107"/>
      <c r="BK94" s="81">
        <f>$H$94*月別販売比率!R21</f>
        <v>1.330166270783848</v>
      </c>
      <c r="BL94" s="107"/>
      <c r="BM94" s="245">
        <f>$H$94*月別販売比率!W21</f>
        <v>1.2664300292139838</v>
      </c>
      <c r="BN94" s="341"/>
      <c r="BO94" s="81">
        <f>$H$94*月別販売比率!AB21</f>
        <v>1.995249406175772</v>
      </c>
      <c r="BP94" s="107"/>
      <c r="BQ94" s="81">
        <f>$H$94*月別販売比率!AG21</f>
        <v>1.6627078384798102</v>
      </c>
      <c r="BR94" s="107"/>
      <c r="BS94" s="81">
        <f>$H$94*月別販売比率!AL21</f>
        <v>1.4964370546318289</v>
      </c>
      <c r="BT94" s="107"/>
      <c r="BU94" s="81">
        <f>$H$94*月別販売比率!AQ21</f>
        <v>1.6627078384798102</v>
      </c>
      <c r="BV94" s="107"/>
      <c r="BW94" s="81">
        <f>$H$94*月別販売比率!AV21</f>
        <v>1.0124955546237921</v>
      </c>
      <c r="BX94" s="107"/>
      <c r="BY94" s="81">
        <f>$H$94*月別販売比率!BA21</f>
        <v>0.92484998796990736</v>
      </c>
      <c r="BZ94" s="107"/>
      <c r="CA94" s="245">
        <f>$H$94*月別販売比率!BF21</f>
        <v>1.330166270783848</v>
      </c>
      <c r="CB94" s="341"/>
      <c r="CC94" s="81">
        <f>H94*月別販売比率!$C$21</f>
        <v>1.1782654579830913</v>
      </c>
      <c r="CD94" s="107"/>
      <c r="CE94" s="81">
        <f>H94*月別販売比率!$H$21</f>
        <v>1.1638954869358671</v>
      </c>
      <c r="CF94" s="107"/>
      <c r="CG94" s="81">
        <f>H94*月別販売比率!$M$21</f>
        <v>1.6803938809158623</v>
      </c>
      <c r="CH94" s="107"/>
      <c r="CI94" s="81">
        <f>H94*月別販売比率!$R$21</f>
        <v>1.330166270783848</v>
      </c>
      <c r="CJ94" s="107"/>
      <c r="CK94" s="81">
        <f>H94*月別販売比率!$W$21</f>
        <v>1.2664300292139838</v>
      </c>
      <c r="CL94" s="107"/>
      <c r="CM94" s="81">
        <f>H94*月別販売比率!$AB$21</f>
        <v>1.995249406175772</v>
      </c>
      <c r="CN94" s="107"/>
      <c r="CO94" s="81">
        <f>H94*月別販売比率!$AG$21</f>
        <v>1.6627078384798102</v>
      </c>
      <c r="CP94" s="107"/>
      <c r="CQ94" s="81">
        <f>H94*月別販売比率!$AL$21</f>
        <v>1.4964370546318289</v>
      </c>
      <c r="CR94" s="107"/>
      <c r="CS94" s="81">
        <f>H94*月別販売比率!$AQ$21</f>
        <v>1.6627078384798102</v>
      </c>
      <c r="CT94" s="107"/>
      <c r="CU94" s="81">
        <f>H94*月別販売比率!$AV$21</f>
        <v>1.0124955546237921</v>
      </c>
      <c r="CV94" s="107"/>
      <c r="CW94" s="81">
        <f>H94*月別販売比率!$BA$21</f>
        <v>0.92484998796990736</v>
      </c>
      <c r="CX94" s="107"/>
      <c r="CY94" s="81">
        <f>H94*月別販売比率!$BF$21</f>
        <v>1.330166270783848</v>
      </c>
      <c r="CZ94" s="107"/>
      <c r="DA94" s="28"/>
      <c r="DB94" s="294"/>
    </row>
    <row r="95" spans="2:106" ht="30.75" customHeight="1">
      <c r="C95" s="457"/>
      <c r="D95" s="494">
        <v>4</v>
      </c>
      <c r="E95" s="99" t="s">
        <v>47</v>
      </c>
      <c r="F95" s="56">
        <v>38</v>
      </c>
      <c r="G95" s="46">
        <f t="shared" si="160"/>
        <v>188100</v>
      </c>
      <c r="H95" s="7">
        <f t="shared" si="161"/>
        <v>90.26128266033254</v>
      </c>
      <c r="I95" s="46">
        <f t="shared" si="150"/>
        <v>446793.34916864609</v>
      </c>
      <c r="J95" s="49">
        <v>0</v>
      </c>
      <c r="K95" s="21">
        <f t="shared" si="151"/>
        <v>7</v>
      </c>
      <c r="L95" s="107">
        <v>0</v>
      </c>
      <c r="M95" s="39">
        <v>7</v>
      </c>
      <c r="N95" s="42"/>
      <c r="O95" s="19"/>
      <c r="P95" s="19"/>
      <c r="Q95" s="331"/>
      <c r="R95" s="331">
        <v>45667</v>
      </c>
      <c r="S95" s="328"/>
      <c r="T95" s="328"/>
      <c r="U95" s="328"/>
      <c r="V95" s="328"/>
      <c r="W95" s="328"/>
      <c r="X95" s="328"/>
      <c r="Y95" s="328"/>
      <c r="Z95" s="124"/>
      <c r="AA95" s="124"/>
      <c r="AB95" s="124"/>
      <c r="AC95" s="124"/>
      <c r="AD95" s="328"/>
      <c r="AE95" s="328"/>
      <c r="AF95" s="328"/>
      <c r="AG95" s="124"/>
      <c r="AH95" s="331"/>
      <c r="AI95" s="129">
        <f t="shared" si="75"/>
        <v>54.779097387173394</v>
      </c>
      <c r="AJ95" s="129">
        <f t="shared" si="152"/>
        <v>47.90419151429748</v>
      </c>
      <c r="AK95" s="129">
        <f t="shared" si="153"/>
        <v>37.072837595057578</v>
      </c>
      <c r="AL95" s="399">
        <f t="shared" si="154"/>
        <v>28.046709329024324</v>
      </c>
      <c r="AM95" s="393">
        <f t="shared" si="155"/>
        <v>19.923193889594394</v>
      </c>
      <c r="AN95" s="393">
        <f t="shared" si="156"/>
        <v>10.89706562356114</v>
      </c>
      <c r="AO95" s="393">
        <f t="shared" si="157"/>
        <v>5.4006611841748393</v>
      </c>
      <c r="AP95" s="96">
        <f t="shared" si="158"/>
        <v>0.38004696376677138</v>
      </c>
      <c r="AQ95" s="91">
        <f t="shared" si="159"/>
        <v>-6.840855649059832</v>
      </c>
      <c r="AR95" s="198"/>
      <c r="AS95" s="81">
        <f>$H$95*月別販売比率!AG5</f>
        <v>9.026128266033254</v>
      </c>
      <c r="AT95" s="39"/>
      <c r="AU95" s="81">
        <f>$H$95*月別販売比率!AL5</f>
        <v>8.1235154394299283</v>
      </c>
      <c r="AV95" s="39"/>
      <c r="AW95" s="245">
        <f>$H$95*月別販売比率!AQ5</f>
        <v>9.026128266033254</v>
      </c>
      <c r="AX95" s="280">
        <v>49</v>
      </c>
      <c r="AY95" s="81">
        <f>$H$95*月別販売比率!AV5</f>
        <v>5.4964044393863007</v>
      </c>
      <c r="AZ95" s="39"/>
      <c r="BA95" s="245">
        <f>$H$95*月別販売比率!BA5</f>
        <v>5.0206142204080679</v>
      </c>
      <c r="BB95" s="280"/>
      <c r="BC95" s="81">
        <f>$H$95*月別販売比率!BF5</f>
        <v>7.2209026128266034</v>
      </c>
      <c r="BD95" s="39"/>
      <c r="BE95" s="81">
        <f>$H$95*月別販売比率!C21</f>
        <v>6.396298200479638</v>
      </c>
      <c r="BF95" s="39"/>
      <c r="BG95" s="81">
        <f>$H$95*月別販売比率!H21</f>
        <v>6.3182897862232785</v>
      </c>
      <c r="BH95" s="39"/>
      <c r="BI95" s="81">
        <f>$H$95*月別販売比率!M21</f>
        <v>9.12213821068611</v>
      </c>
      <c r="BJ95" s="39"/>
      <c r="BK95" s="81">
        <f>$H$95*月別販売比率!R21</f>
        <v>7.2209026128266034</v>
      </c>
      <c r="BL95" s="39"/>
      <c r="BM95" s="245">
        <f>$H$95*月別販売比率!W21</f>
        <v>6.8749058728759129</v>
      </c>
      <c r="BN95" s="280">
        <v>55</v>
      </c>
      <c r="BO95" s="81">
        <f>$H$95*月別販売比率!AB21</f>
        <v>10.831353919239904</v>
      </c>
      <c r="BP95" s="39"/>
      <c r="BQ95" s="81">
        <f>$H$95*月別販売比率!AG21</f>
        <v>9.026128266033254</v>
      </c>
      <c r="BR95" s="39"/>
      <c r="BS95" s="81">
        <f>$H$95*月別販売比率!AL21</f>
        <v>8.1235154394299283</v>
      </c>
      <c r="BT95" s="39"/>
      <c r="BU95" s="81">
        <f>$H$95*月別販売比率!AQ21</f>
        <v>9.026128266033254</v>
      </c>
      <c r="BV95" s="39"/>
      <c r="BW95" s="81">
        <f>$H$95*月別販売比率!AV21</f>
        <v>5.4964044393863007</v>
      </c>
      <c r="BX95" s="39"/>
      <c r="BY95" s="81">
        <f>$H$95*月別販売比率!BA21</f>
        <v>5.0206142204080679</v>
      </c>
      <c r="BZ95" s="39"/>
      <c r="CA95" s="245">
        <f>$H$95*月別販売比率!BF21</f>
        <v>7.2209026128266034</v>
      </c>
      <c r="CB95" s="280">
        <v>25</v>
      </c>
      <c r="CC95" s="81">
        <f>H95*月別販売比率!$C$21</f>
        <v>6.396298200479638</v>
      </c>
      <c r="CD95" s="39"/>
      <c r="CE95" s="81">
        <f>H95*月別販売比率!$H$21</f>
        <v>6.3182897862232785</v>
      </c>
      <c r="CF95" s="39"/>
      <c r="CG95" s="81">
        <f>H95*月別販売比率!$M$21</f>
        <v>9.12213821068611</v>
      </c>
      <c r="CH95" s="39"/>
      <c r="CI95" s="81">
        <f>H95*月別販売比率!$R$21</f>
        <v>7.2209026128266034</v>
      </c>
      <c r="CJ95" s="39">
        <v>55</v>
      </c>
      <c r="CK95" s="81">
        <f>H95*月別販売比率!$W$21</f>
        <v>6.8749058728759129</v>
      </c>
      <c r="CL95" s="39"/>
      <c r="CM95" s="81">
        <f>H95*月別販売比率!$AB$21</f>
        <v>10.831353919239904</v>
      </c>
      <c r="CN95" s="39"/>
      <c r="CO95" s="81">
        <f>H95*月別販売比率!$AG$21</f>
        <v>9.026128266033254</v>
      </c>
      <c r="CP95" s="39"/>
      <c r="CQ95" s="81">
        <f>H95*月別販売比率!$AL$21</f>
        <v>8.1235154394299283</v>
      </c>
      <c r="CR95" s="39"/>
      <c r="CS95" s="81">
        <f>H95*月別販売比率!$AQ$21</f>
        <v>9.026128266033254</v>
      </c>
      <c r="CT95" s="39"/>
      <c r="CU95" s="81">
        <f>H95*月別販売比率!$AV$21</f>
        <v>5.4964044393863007</v>
      </c>
      <c r="CV95" s="39"/>
      <c r="CW95" s="81">
        <f>H95*月別販売比率!$BA$21</f>
        <v>5.0206142204080679</v>
      </c>
      <c r="CX95" s="39"/>
      <c r="CY95" s="81">
        <f>H95*月別販売比率!$BF$21</f>
        <v>7.2209026128266034</v>
      </c>
      <c r="CZ95" s="39"/>
      <c r="DA95" s="28"/>
      <c r="DB95" s="294"/>
    </row>
    <row r="96" spans="2:106" ht="30.75" customHeight="1">
      <c r="C96" s="457"/>
      <c r="D96" s="494"/>
      <c r="E96" s="99" t="s">
        <v>51</v>
      </c>
      <c r="F96" s="56">
        <v>19</v>
      </c>
      <c r="G96" s="46">
        <f t="shared" si="160"/>
        <v>94050</v>
      </c>
      <c r="H96" s="7">
        <f t="shared" si="161"/>
        <v>45.13064133016627</v>
      </c>
      <c r="I96" s="46">
        <f t="shared" si="150"/>
        <v>223396.67458432305</v>
      </c>
      <c r="J96" s="49">
        <v>0</v>
      </c>
      <c r="K96" s="21">
        <f t="shared" si="151"/>
        <v>12</v>
      </c>
      <c r="L96" s="39">
        <v>4</v>
      </c>
      <c r="M96" s="39">
        <v>8</v>
      </c>
      <c r="N96" s="42"/>
      <c r="O96" s="19"/>
      <c r="P96" s="19"/>
      <c r="Q96" s="330"/>
      <c r="R96" s="124"/>
      <c r="S96" s="124"/>
      <c r="T96" s="124"/>
      <c r="U96" s="328"/>
      <c r="V96" s="328"/>
      <c r="W96" s="328"/>
      <c r="X96" s="328"/>
      <c r="Y96" s="328"/>
      <c r="Z96" s="124"/>
      <c r="AA96" s="124"/>
      <c r="AB96" s="124"/>
      <c r="AC96" s="124"/>
      <c r="AD96" s="328"/>
      <c r="AE96" s="328"/>
      <c r="AF96" s="328"/>
      <c r="AG96" s="331"/>
      <c r="AH96" s="331"/>
      <c r="AI96" s="129">
        <f t="shared" si="75"/>
        <v>28.389548693586697</v>
      </c>
      <c r="AJ96" s="129">
        <f t="shared" si="152"/>
        <v>24.95209575714874</v>
      </c>
      <c r="AK96" s="129">
        <f t="shared" si="153"/>
        <v>19.536418797528789</v>
      </c>
      <c r="AL96" s="399">
        <f t="shared" si="154"/>
        <v>15.023354664512162</v>
      </c>
      <c r="AM96" s="393">
        <f t="shared" si="155"/>
        <v>10.961596944797197</v>
      </c>
      <c r="AN96" s="393">
        <f t="shared" si="156"/>
        <v>6.44853281178057</v>
      </c>
      <c r="AO96" s="393">
        <f t="shared" si="157"/>
        <v>3.7003305920874197</v>
      </c>
      <c r="AP96" s="96">
        <f t="shared" si="158"/>
        <v>1.1900234818833857</v>
      </c>
      <c r="AQ96" s="91">
        <f t="shared" si="159"/>
        <v>-2.420427824529916</v>
      </c>
      <c r="AR96" s="198"/>
      <c r="AS96" s="81">
        <f>$H$96*月別販売比率!AG5</f>
        <v>4.513064133016627</v>
      </c>
      <c r="AT96" s="39"/>
      <c r="AU96" s="81">
        <f>$H$96*月別販売比率!AL5</f>
        <v>4.0617577197149641</v>
      </c>
      <c r="AV96" s="39"/>
      <c r="AW96" s="245">
        <f>$H$96*月別販売比率!AQ5</f>
        <v>4.513064133016627</v>
      </c>
      <c r="AX96" s="280"/>
      <c r="AY96" s="81">
        <f>$H$96*月別販売比率!AV5</f>
        <v>2.7482022196931504</v>
      </c>
      <c r="AZ96" s="39"/>
      <c r="BA96" s="245">
        <f>$H$96*月別販売比率!BA5</f>
        <v>2.510307110204034</v>
      </c>
      <c r="BB96" s="280"/>
      <c r="BC96" s="81">
        <f>$H$96*月別販売比率!BF5</f>
        <v>3.6104513064133017</v>
      </c>
      <c r="BD96" s="39"/>
      <c r="BE96" s="81">
        <f>$H$96*月別販売比率!C21</f>
        <v>3.198149100239819</v>
      </c>
      <c r="BF96" s="39"/>
      <c r="BG96" s="81">
        <f>$H$96*月別販売比率!H21</f>
        <v>3.1591448931116393</v>
      </c>
      <c r="BH96" s="39"/>
      <c r="BI96" s="81">
        <f>$H$96*月別販売比率!M21</f>
        <v>4.561069105343055</v>
      </c>
      <c r="BJ96" s="39"/>
      <c r="BK96" s="81">
        <f>$H$96*月別販売比率!R21</f>
        <v>3.6104513064133017</v>
      </c>
      <c r="BL96" s="39"/>
      <c r="BM96" s="245">
        <f>$H$96*月別販売比率!W21</f>
        <v>3.4374529364379565</v>
      </c>
      <c r="BN96" s="280">
        <v>25</v>
      </c>
      <c r="BO96" s="81">
        <f>$H$96*月別販売比率!AB21</f>
        <v>5.4156769596199519</v>
      </c>
      <c r="BP96" s="39"/>
      <c r="BQ96" s="81">
        <f>$H$96*月別販売比率!AG21</f>
        <v>4.513064133016627</v>
      </c>
      <c r="BR96" s="39"/>
      <c r="BS96" s="81">
        <f>$H$96*月別販売比率!AL21</f>
        <v>4.0617577197149641</v>
      </c>
      <c r="BT96" s="39"/>
      <c r="BU96" s="81">
        <f>$H$96*月別販売比率!AQ21</f>
        <v>4.513064133016627</v>
      </c>
      <c r="BV96" s="39"/>
      <c r="BW96" s="81">
        <f>$H$96*月別販売比率!AV21</f>
        <v>2.7482022196931504</v>
      </c>
      <c r="BX96" s="39"/>
      <c r="BY96" s="81">
        <f>$H$96*月別販売比率!BA21</f>
        <v>2.510307110204034</v>
      </c>
      <c r="BZ96" s="39"/>
      <c r="CA96" s="245">
        <f>$H$96*月別販売比率!BF21</f>
        <v>3.6104513064133017</v>
      </c>
      <c r="CB96" s="280"/>
      <c r="CC96" s="81">
        <f>H96*月別販売比率!$C$21</f>
        <v>3.198149100239819</v>
      </c>
      <c r="CD96" s="39"/>
      <c r="CE96" s="81">
        <f>H96*月別販売比率!$H$21</f>
        <v>3.1591448931116393</v>
      </c>
      <c r="CF96" s="39"/>
      <c r="CG96" s="81">
        <f>H96*月別販売比率!$M$21</f>
        <v>4.561069105343055</v>
      </c>
      <c r="CH96" s="39"/>
      <c r="CI96" s="81">
        <f>H96*月別販売比率!$R$21</f>
        <v>3.6104513064133017</v>
      </c>
      <c r="CJ96" s="39">
        <v>20</v>
      </c>
      <c r="CK96" s="81">
        <f>H96*月別販売比率!$W$21</f>
        <v>3.4374529364379565</v>
      </c>
      <c r="CL96" s="39"/>
      <c r="CM96" s="81">
        <f>H96*月別販売比率!$AB$21</f>
        <v>5.4156769596199519</v>
      </c>
      <c r="CN96" s="39"/>
      <c r="CO96" s="81">
        <f>H96*月別販売比率!$AG$21</f>
        <v>4.513064133016627</v>
      </c>
      <c r="CP96" s="39"/>
      <c r="CQ96" s="81">
        <f>H96*月別販売比率!$AL$21</f>
        <v>4.0617577197149641</v>
      </c>
      <c r="CR96" s="39"/>
      <c r="CS96" s="81">
        <f>H96*月別販売比率!$AQ$21</f>
        <v>4.513064133016627</v>
      </c>
      <c r="CT96" s="39"/>
      <c r="CU96" s="81">
        <f>H96*月別販売比率!$AV$21</f>
        <v>2.7482022196931504</v>
      </c>
      <c r="CV96" s="39"/>
      <c r="CW96" s="81">
        <f>H96*月別販売比率!$BA$21</f>
        <v>2.510307110204034</v>
      </c>
      <c r="CX96" s="39"/>
      <c r="CY96" s="81">
        <f>H96*月別販売比率!$BF$21</f>
        <v>3.6104513064133017</v>
      </c>
      <c r="CZ96" s="39"/>
      <c r="DA96" s="28"/>
      <c r="DB96" s="294"/>
    </row>
    <row r="97" spans="2:106" ht="30.75" customHeight="1">
      <c r="C97" s="457"/>
      <c r="D97" s="494"/>
      <c r="E97" s="99" t="s">
        <v>49</v>
      </c>
      <c r="F97" s="56">
        <v>13</v>
      </c>
      <c r="G97" s="46">
        <f t="shared" si="160"/>
        <v>64350</v>
      </c>
      <c r="H97" s="7">
        <f t="shared" si="161"/>
        <v>30.878859857482183</v>
      </c>
      <c r="I97" s="46">
        <f t="shared" si="150"/>
        <v>152850.35629453682</v>
      </c>
      <c r="J97" s="49">
        <v>2</v>
      </c>
      <c r="K97" s="21">
        <f t="shared" si="151"/>
        <v>18</v>
      </c>
      <c r="L97" s="39">
        <v>3</v>
      </c>
      <c r="M97" s="39">
        <v>15</v>
      </c>
      <c r="N97" s="42"/>
      <c r="O97" s="19"/>
      <c r="P97" s="19"/>
      <c r="Q97" s="330"/>
      <c r="R97" s="124"/>
      <c r="S97" s="124"/>
      <c r="T97" s="124"/>
      <c r="U97" s="124"/>
      <c r="V97" s="124"/>
      <c r="W97" s="124"/>
      <c r="X97" s="124"/>
      <c r="Y97" s="124"/>
      <c r="Z97" s="124"/>
      <c r="AA97" s="124"/>
      <c r="AB97" s="124"/>
      <c r="AC97" s="124"/>
      <c r="AD97" s="124"/>
      <c r="AE97" s="328"/>
      <c r="AF97" s="124"/>
      <c r="AG97" s="331"/>
      <c r="AH97" s="331"/>
      <c r="AI97" s="129">
        <f t="shared" si="75"/>
        <v>27.529691211401424</v>
      </c>
      <c r="AJ97" s="129">
        <f t="shared" si="152"/>
        <v>25.177749728575453</v>
      </c>
      <c r="AK97" s="129">
        <f t="shared" si="153"/>
        <v>21.472286545677591</v>
      </c>
      <c r="AL97" s="399">
        <f t="shared" si="154"/>
        <v>18.384400559929372</v>
      </c>
      <c r="AM97" s="393">
        <f t="shared" si="155"/>
        <v>15.605303172755974</v>
      </c>
      <c r="AN97" s="393">
        <f t="shared" si="156"/>
        <v>12.517417187007755</v>
      </c>
      <c r="AO97" s="393">
        <f t="shared" si="157"/>
        <v>10.637068299849284</v>
      </c>
      <c r="AP97" s="96">
        <f t="shared" si="158"/>
        <v>8.9194897507623132</v>
      </c>
      <c r="AQ97" s="91">
        <f t="shared" si="159"/>
        <v>6.449180962163739</v>
      </c>
      <c r="AR97" s="198"/>
      <c r="AS97" s="81">
        <f>$H$97*月別販売比率!AG5</f>
        <v>3.0878859857482186</v>
      </c>
      <c r="AT97" s="39"/>
      <c r="AU97" s="81">
        <f>$H$97*月別販売比率!AL5</f>
        <v>2.7790973871733966</v>
      </c>
      <c r="AV97" s="39"/>
      <c r="AW97" s="245">
        <f>$H$97*月別販売比率!AQ5</f>
        <v>3.0878859857482186</v>
      </c>
      <c r="AX97" s="280"/>
      <c r="AY97" s="81">
        <f>$H$97*月別販売比率!AV5</f>
        <v>1.880348887158471</v>
      </c>
      <c r="AZ97" s="39"/>
      <c r="BA97" s="245">
        <f>$H$97*月別販売比率!BA5</f>
        <v>1.7175785490869706</v>
      </c>
      <c r="BB97" s="280"/>
      <c r="BC97" s="81">
        <f>$H$97*月別販売比率!BF5</f>
        <v>2.4703087885985746</v>
      </c>
      <c r="BD97" s="39"/>
      <c r="BE97" s="81">
        <f>$H$97*月別販売比率!C21</f>
        <v>2.1882072791114551</v>
      </c>
      <c r="BF97" s="39"/>
      <c r="BG97" s="81">
        <f>$H$97*月別販売比率!H21</f>
        <v>2.1615201900237531</v>
      </c>
      <c r="BH97" s="39"/>
      <c r="BI97" s="81">
        <f>$H$97*月別販売比率!M21</f>
        <v>3.1207314931294583</v>
      </c>
      <c r="BJ97" s="39"/>
      <c r="BK97" s="81">
        <f>$H$97*月別販売比率!R21</f>
        <v>2.4703087885985746</v>
      </c>
      <c r="BL97" s="39"/>
      <c r="BM97" s="245">
        <f>$H$97*月別販売比率!W21</f>
        <v>2.3519414828259699</v>
      </c>
      <c r="BN97" s="280"/>
      <c r="BO97" s="81">
        <f>$H$97*月別販売比率!AB21</f>
        <v>3.7054631828978617</v>
      </c>
      <c r="BP97" s="39"/>
      <c r="BQ97" s="81">
        <f>$H$97*月別販売比率!AG21</f>
        <v>3.0878859857482186</v>
      </c>
      <c r="BR97" s="39"/>
      <c r="BS97" s="81">
        <f>$H$97*月別販売比率!AL21</f>
        <v>2.7790973871733966</v>
      </c>
      <c r="BT97" s="39"/>
      <c r="BU97" s="81">
        <f>$H$97*月別販売比率!AQ21</f>
        <v>3.0878859857482186</v>
      </c>
      <c r="BV97" s="39"/>
      <c r="BW97" s="81">
        <f>$H$97*月別販売比率!AV21</f>
        <v>1.880348887158471</v>
      </c>
      <c r="BX97" s="39"/>
      <c r="BY97" s="81">
        <f>$H$97*月別販売比率!BA21</f>
        <v>1.7175785490869706</v>
      </c>
      <c r="BZ97" s="39"/>
      <c r="CA97" s="245">
        <f>$H$97*月別販売比率!BF21</f>
        <v>2.4703087885985746</v>
      </c>
      <c r="CB97" s="280"/>
      <c r="CC97" s="81">
        <f>H97*月別販売比率!$C$21</f>
        <v>2.1882072791114551</v>
      </c>
      <c r="CD97" s="42"/>
      <c r="CE97" s="81">
        <f>H97*月別販売比率!$H$21</f>
        <v>2.1615201900237531</v>
      </c>
      <c r="CF97" s="42"/>
      <c r="CG97" s="81">
        <f>H97*月別販売比率!$M$21</f>
        <v>3.1207314931294583</v>
      </c>
      <c r="CH97" s="42"/>
      <c r="CI97" s="81">
        <f>H97*月別販売比率!$R$21</f>
        <v>2.4703087885985746</v>
      </c>
      <c r="CJ97" s="42">
        <v>10</v>
      </c>
      <c r="CK97" s="81">
        <f>H97*月別販売比率!$W$21</f>
        <v>2.3519414828259699</v>
      </c>
      <c r="CL97" s="42"/>
      <c r="CM97" s="81">
        <f>H97*月別販売比率!$AB$21</f>
        <v>3.7054631828978617</v>
      </c>
      <c r="CN97" s="42"/>
      <c r="CO97" s="81">
        <f>H97*月別販売比率!$AG$21</f>
        <v>3.0878859857482186</v>
      </c>
      <c r="CP97" s="42"/>
      <c r="CQ97" s="81">
        <f>H97*月別販売比率!$AL$21</f>
        <v>2.7790973871733966</v>
      </c>
      <c r="CR97" s="42"/>
      <c r="CS97" s="81">
        <f>H97*月別販売比率!$AQ$21</f>
        <v>3.0878859857482186</v>
      </c>
      <c r="CT97" s="42"/>
      <c r="CU97" s="81">
        <f>H97*月別販売比率!$AV$21</f>
        <v>1.880348887158471</v>
      </c>
      <c r="CV97" s="39"/>
      <c r="CW97" s="81">
        <f>H97*月別販売比率!$BA$21</f>
        <v>1.7175785490869706</v>
      </c>
      <c r="CX97" s="39"/>
      <c r="CY97" s="81">
        <f>H97*月別販売比率!$BF$21</f>
        <v>2.4703087885985746</v>
      </c>
      <c r="CZ97" s="39"/>
      <c r="DA97" s="28"/>
      <c r="DB97" s="294"/>
    </row>
    <row r="98" spans="2:106" ht="30.75" customHeight="1">
      <c r="C98" s="458"/>
      <c r="D98" s="495"/>
      <c r="E98" s="122" t="s">
        <v>50</v>
      </c>
      <c r="F98" s="126">
        <v>9</v>
      </c>
      <c r="G98" s="53">
        <f t="shared" si="160"/>
        <v>44550</v>
      </c>
      <c r="H98" s="52">
        <f t="shared" si="161"/>
        <v>21.377672209026127</v>
      </c>
      <c r="I98" s="53">
        <f t="shared" si="150"/>
        <v>105819.47743467933</v>
      </c>
      <c r="J98" s="127">
        <v>0</v>
      </c>
      <c r="K98" s="103">
        <f t="shared" si="151"/>
        <v>13</v>
      </c>
      <c r="L98" s="103">
        <v>6</v>
      </c>
      <c r="M98" s="103">
        <v>7</v>
      </c>
      <c r="N98" s="117"/>
      <c r="O98" s="123"/>
      <c r="P98" s="123"/>
      <c r="Q98" s="332"/>
      <c r="R98" s="238"/>
      <c r="S98" s="238"/>
      <c r="T98" s="238"/>
      <c r="U98" s="238"/>
      <c r="V98" s="329"/>
      <c r="W98" s="329"/>
      <c r="X98" s="329"/>
      <c r="Y98" s="329"/>
      <c r="Z98" s="238"/>
      <c r="AA98" s="238"/>
      <c r="AB98" s="238"/>
      <c r="AC98" s="238"/>
      <c r="AD98" s="238"/>
      <c r="AE98" s="328"/>
      <c r="AF98" s="124"/>
      <c r="AG98" s="124"/>
      <c r="AH98" s="331"/>
      <c r="AI98" s="238">
        <f t="shared" si="75"/>
        <v>16.289786223277908</v>
      </c>
      <c r="AJ98" s="238">
        <f t="shared" si="152"/>
        <v>14.661519042859929</v>
      </c>
      <c r="AK98" s="238">
        <f t="shared" si="153"/>
        <v>12.096198377776794</v>
      </c>
      <c r="AL98" s="401">
        <f t="shared" si="154"/>
        <v>9.9584311568741803</v>
      </c>
      <c r="AM98" s="395">
        <f t="shared" si="155"/>
        <v>8.0344406580618291</v>
      </c>
      <c r="AN98" s="395">
        <f t="shared" si="156"/>
        <v>5.8966734371592162</v>
      </c>
      <c r="AO98" s="395">
        <f t="shared" si="157"/>
        <v>4.5948934383571975</v>
      </c>
      <c r="AP98" s="403">
        <f t="shared" si="158"/>
        <v>3.4058005966816025</v>
      </c>
      <c r="AQ98" s="90">
        <f t="shared" si="159"/>
        <v>1.6955868199595123</v>
      </c>
      <c r="AR98" s="238"/>
      <c r="AS98" s="282">
        <f>$H$98*月別販売比率!AG5</f>
        <v>2.1377672209026128</v>
      </c>
      <c r="AT98" s="103"/>
      <c r="AU98" s="282">
        <f>$H$98*月別販売比率!AL5</f>
        <v>1.9239904988123513</v>
      </c>
      <c r="AV98" s="103"/>
      <c r="AW98" s="301">
        <f>$H$98*月別販売比率!AQ5</f>
        <v>2.1377672209026128</v>
      </c>
      <c r="AX98" s="302"/>
      <c r="AY98" s="282">
        <f>$H$98*月別販売比率!AV5</f>
        <v>1.3017799988020184</v>
      </c>
      <c r="AZ98" s="103"/>
      <c r="BA98" s="301">
        <f>$H$98*月別販売比率!BA5</f>
        <v>1.189092841675595</v>
      </c>
      <c r="BB98" s="302"/>
      <c r="BC98" s="282">
        <f>$H$98*月別販売比率!BF5</f>
        <v>1.7102137767220902</v>
      </c>
      <c r="BD98" s="103"/>
      <c r="BE98" s="282">
        <f>$H$98*月別販売比率!C21</f>
        <v>1.5149127316925457</v>
      </c>
      <c r="BF98" s="103"/>
      <c r="BG98" s="282">
        <f>$H$98*月別販売比率!H21</f>
        <v>1.4964370546318291</v>
      </c>
      <c r="BH98" s="103"/>
      <c r="BI98" s="282">
        <f>$H$98*月別販売比率!M21</f>
        <v>2.1605064183203941</v>
      </c>
      <c r="BJ98" s="103"/>
      <c r="BK98" s="282">
        <f>$H$98*月別販売比率!R21</f>
        <v>1.7102137767220902</v>
      </c>
      <c r="BL98" s="103"/>
      <c r="BM98" s="301">
        <f>$H$98*月別販売比率!W21</f>
        <v>1.6282671804179791</v>
      </c>
      <c r="BN98" s="302">
        <v>5</v>
      </c>
      <c r="BO98" s="282">
        <f>$H$98*月別販売比率!AB21</f>
        <v>2.5653206650831351</v>
      </c>
      <c r="BP98" s="103"/>
      <c r="BQ98" s="282">
        <f>$H$98*月別販売比率!AG21</f>
        <v>2.1377672209026128</v>
      </c>
      <c r="BR98" s="103"/>
      <c r="BS98" s="282">
        <f>$H$98*月別販売比率!AL21</f>
        <v>1.9239904988123513</v>
      </c>
      <c r="BT98" s="103"/>
      <c r="BU98" s="282">
        <f>$H$98*月別販売比率!AQ21</f>
        <v>2.1377672209026128</v>
      </c>
      <c r="BV98" s="103"/>
      <c r="BW98" s="282">
        <f>$H$98*月別販売比率!AV21</f>
        <v>1.3017799988020184</v>
      </c>
      <c r="BX98" s="103"/>
      <c r="BY98" s="282">
        <f>$H$98*月別販売比率!BA21</f>
        <v>1.189092841675595</v>
      </c>
      <c r="BZ98" s="103"/>
      <c r="CA98" s="301">
        <f>$H$98*月別販売比率!BF21</f>
        <v>1.7102137767220902</v>
      </c>
      <c r="CB98" s="302"/>
      <c r="CC98" s="282">
        <f>H98*月別販売比率!$C$21</f>
        <v>1.5149127316925457</v>
      </c>
      <c r="CD98" s="117"/>
      <c r="CE98" s="282">
        <f>H98*月別販売比率!$H$21</f>
        <v>1.4964370546318291</v>
      </c>
      <c r="CF98" s="117"/>
      <c r="CG98" s="282">
        <f>H98*月別販売比率!$M$21</f>
        <v>2.1605064183203941</v>
      </c>
      <c r="CH98" s="117"/>
      <c r="CI98" s="282">
        <f>H98*月別販売比率!$R$21</f>
        <v>1.7102137767220902</v>
      </c>
      <c r="CJ98" s="117">
        <v>5</v>
      </c>
      <c r="CK98" s="282">
        <f>H98*月別販売比率!$W$21</f>
        <v>1.6282671804179791</v>
      </c>
      <c r="CL98" s="117"/>
      <c r="CM98" s="282">
        <f>H98*月別販売比率!$AB$21</f>
        <v>2.5653206650831351</v>
      </c>
      <c r="CN98" s="117"/>
      <c r="CO98" s="282">
        <f>H98*月別販売比率!$AG$21</f>
        <v>2.1377672209026128</v>
      </c>
      <c r="CP98" s="117"/>
      <c r="CQ98" s="282">
        <f>H98*月別販売比率!$AL$21</f>
        <v>1.9239904988123513</v>
      </c>
      <c r="CR98" s="117"/>
      <c r="CS98" s="282">
        <f>H98*月別販売比率!$AQ$21</f>
        <v>2.1377672209026128</v>
      </c>
      <c r="CT98" s="117"/>
      <c r="CU98" s="282">
        <f>H98*月別販売比率!$AV$21</f>
        <v>1.3017799988020184</v>
      </c>
      <c r="CV98" s="103"/>
      <c r="CW98" s="282">
        <f>H98*月別販売比率!$BA$21</f>
        <v>1.189092841675595</v>
      </c>
      <c r="CX98" s="103"/>
      <c r="CY98" s="282">
        <f>H98*月別販売比率!$BF$21</f>
        <v>1.7102137767220902</v>
      </c>
      <c r="CZ98" s="103"/>
      <c r="DA98" s="303"/>
      <c r="DB98" s="300"/>
    </row>
    <row r="99" spans="2:106" ht="30.6" customHeight="1">
      <c r="B99" s="2">
        <v>8</v>
      </c>
      <c r="C99" s="435" t="s">
        <v>280</v>
      </c>
      <c r="D99" s="436"/>
      <c r="E99" s="445"/>
      <c r="F99" s="170">
        <f>SUM(F100:F111)</f>
        <v>272</v>
      </c>
      <c r="G99" s="171">
        <f>SUM(G100:G111)</f>
        <v>1795200</v>
      </c>
      <c r="H99" s="165">
        <v>1250</v>
      </c>
      <c r="I99" s="171">
        <f t="shared" ref="I99:N99" si="162">SUM(I100:I111)</f>
        <v>8250000</v>
      </c>
      <c r="J99" s="133">
        <f t="shared" si="162"/>
        <v>137</v>
      </c>
      <c r="K99" s="134">
        <f t="shared" si="162"/>
        <v>515</v>
      </c>
      <c r="L99" s="134">
        <f t="shared" si="162"/>
        <v>113</v>
      </c>
      <c r="M99" s="134">
        <f t="shared" si="162"/>
        <v>96</v>
      </c>
      <c r="N99" s="135">
        <f t="shared" si="162"/>
        <v>306</v>
      </c>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6">
        <f t="shared" ref="AS99:CB99" si="163">SUM(AS100:AS111)</f>
        <v>125</v>
      </c>
      <c r="AT99" s="134">
        <f t="shared" si="163"/>
        <v>0</v>
      </c>
      <c r="AU99" s="136">
        <f t="shared" si="163"/>
        <v>112.5</v>
      </c>
      <c r="AV99" s="134">
        <f t="shared" si="163"/>
        <v>0</v>
      </c>
      <c r="AW99" s="136">
        <f t="shared" si="163"/>
        <v>125</v>
      </c>
      <c r="AX99" s="134">
        <f t="shared" si="163"/>
        <v>0</v>
      </c>
      <c r="AY99" s="136">
        <f t="shared" si="163"/>
        <v>76.117969374395813</v>
      </c>
      <c r="AZ99" s="134">
        <f t="shared" si="163"/>
        <v>0</v>
      </c>
      <c r="BA99" s="136">
        <f t="shared" si="163"/>
        <v>69.528900881309113</v>
      </c>
      <c r="BB99" s="134">
        <f t="shared" si="163"/>
        <v>193</v>
      </c>
      <c r="BC99" s="136">
        <f t="shared" si="163"/>
        <v>100</v>
      </c>
      <c r="BD99" s="134">
        <f t="shared" si="163"/>
        <v>0</v>
      </c>
      <c r="BE99" s="136">
        <f t="shared" si="163"/>
        <v>88.58031389480027</v>
      </c>
      <c r="BF99" s="134">
        <f t="shared" si="163"/>
        <v>0</v>
      </c>
      <c r="BG99" s="136">
        <f t="shared" si="163"/>
        <v>87.500000000000014</v>
      </c>
      <c r="BH99" s="134">
        <f t="shared" si="163"/>
        <v>155</v>
      </c>
      <c r="BI99" s="136">
        <f t="shared" si="163"/>
        <v>126.32961140456752</v>
      </c>
      <c r="BJ99" s="134">
        <f t="shared" si="163"/>
        <v>0</v>
      </c>
      <c r="BK99" s="136">
        <f t="shared" si="163"/>
        <v>100</v>
      </c>
      <c r="BL99" s="134">
        <f t="shared" si="163"/>
        <v>0</v>
      </c>
      <c r="BM99" s="136">
        <f t="shared" si="163"/>
        <v>95.208400410551292</v>
      </c>
      <c r="BN99" s="136">
        <f>SUM(BN100:BN111)</f>
        <v>264</v>
      </c>
      <c r="BO99" s="136">
        <f t="shared" si="163"/>
        <v>150.00000000000003</v>
      </c>
      <c r="BP99" s="134">
        <f t="shared" si="163"/>
        <v>0</v>
      </c>
      <c r="BQ99" s="136">
        <f t="shared" si="163"/>
        <v>125</v>
      </c>
      <c r="BR99" s="134">
        <f t="shared" si="163"/>
        <v>0</v>
      </c>
      <c r="BS99" s="136">
        <f t="shared" si="163"/>
        <v>112.5</v>
      </c>
      <c r="BT99" s="134">
        <f t="shared" si="163"/>
        <v>0</v>
      </c>
      <c r="BU99" s="136">
        <f t="shared" si="163"/>
        <v>125</v>
      </c>
      <c r="BV99" s="134">
        <f t="shared" si="163"/>
        <v>173</v>
      </c>
      <c r="BW99" s="136">
        <f t="shared" si="163"/>
        <v>76.117969374395813</v>
      </c>
      <c r="BX99" s="134">
        <f t="shared" si="163"/>
        <v>0</v>
      </c>
      <c r="BY99" s="136">
        <f t="shared" si="163"/>
        <v>69.528900881309113</v>
      </c>
      <c r="BZ99" s="134">
        <f t="shared" si="163"/>
        <v>286</v>
      </c>
      <c r="CA99" s="136">
        <f t="shared" si="163"/>
        <v>100</v>
      </c>
      <c r="CB99" s="134">
        <f t="shared" si="163"/>
        <v>0</v>
      </c>
      <c r="CC99" s="136">
        <f t="shared" ref="CC99:CD99" si="164">SUM(CC100:CC111)</f>
        <v>88.58031389480027</v>
      </c>
      <c r="CD99" s="134">
        <f t="shared" si="164"/>
        <v>0</v>
      </c>
      <c r="CE99" s="136">
        <f t="shared" ref="CE99:CF99" si="165">SUM(CE100:CE111)</f>
        <v>87.500000000000014</v>
      </c>
      <c r="CF99" s="134">
        <f t="shared" si="165"/>
        <v>385</v>
      </c>
      <c r="CG99" s="136">
        <f t="shared" ref="CG99:CJ99" si="166">SUM(CG100:CG111)</f>
        <v>126.32961140456752</v>
      </c>
      <c r="CH99" s="134">
        <f>SUM(CH100:CH111)</f>
        <v>320</v>
      </c>
      <c r="CI99" s="136">
        <f t="shared" si="166"/>
        <v>100</v>
      </c>
      <c r="CJ99" s="134">
        <f t="shared" si="166"/>
        <v>60</v>
      </c>
      <c r="CK99" s="136">
        <f t="shared" ref="CK99:CN99" si="167">SUM(CK100:CK111)</f>
        <v>95.208400410551292</v>
      </c>
      <c r="CL99" s="134">
        <f t="shared" si="167"/>
        <v>245</v>
      </c>
      <c r="CM99" s="136">
        <f t="shared" si="167"/>
        <v>150.00000000000003</v>
      </c>
      <c r="CN99" s="134">
        <f t="shared" si="167"/>
        <v>0</v>
      </c>
      <c r="CO99" s="136">
        <f t="shared" ref="CO99:CR99" si="168">SUM(CO100:CO111)</f>
        <v>125</v>
      </c>
      <c r="CP99" s="134">
        <f t="shared" si="168"/>
        <v>185</v>
      </c>
      <c r="CQ99" s="136">
        <f t="shared" si="168"/>
        <v>112.5</v>
      </c>
      <c r="CR99" s="134">
        <f t="shared" si="168"/>
        <v>0</v>
      </c>
      <c r="CS99" s="136">
        <f t="shared" ref="CS99:CX99" si="169">SUM(CS100:CS111)</f>
        <v>125</v>
      </c>
      <c r="CT99" s="134">
        <f t="shared" si="169"/>
        <v>0</v>
      </c>
      <c r="CU99" s="136">
        <v>76.117969374395813</v>
      </c>
      <c r="CV99" s="134">
        <f t="shared" si="169"/>
        <v>0</v>
      </c>
      <c r="CW99" s="136">
        <f t="shared" si="169"/>
        <v>69.528900881309113</v>
      </c>
      <c r="CX99" s="134">
        <f t="shared" si="169"/>
        <v>0</v>
      </c>
      <c r="CY99" s="136">
        <f t="shared" ref="CY99:CZ99" si="170">SUM(CY100:CY111)</f>
        <v>100</v>
      </c>
      <c r="CZ99" s="134">
        <f t="shared" si="170"/>
        <v>0</v>
      </c>
      <c r="DA99" s="141"/>
      <c r="DB99" s="293"/>
    </row>
    <row r="100" spans="2:106" ht="30.75" customHeight="1">
      <c r="C100" s="438" t="s">
        <v>505</v>
      </c>
      <c r="D100" s="441">
        <v>1</v>
      </c>
      <c r="E100" s="94" t="s">
        <v>47</v>
      </c>
      <c r="F100" s="57">
        <v>31</v>
      </c>
      <c r="G100" s="5">
        <f>F100*6600</f>
        <v>204600</v>
      </c>
      <c r="H100" s="7">
        <f>F100*($H$99/$F$99)</f>
        <v>142.46323529411765</v>
      </c>
      <c r="I100" s="5">
        <f>H100*6600</f>
        <v>940257.3529411765</v>
      </c>
      <c r="J100" s="9">
        <v>3</v>
      </c>
      <c r="K100" s="21">
        <f t="shared" ref="K100:K104" si="171">SUM(L100:N100)</f>
        <v>57</v>
      </c>
      <c r="L100" s="21">
        <v>9</v>
      </c>
      <c r="M100" s="21">
        <v>3</v>
      </c>
      <c r="N100" s="42">
        <v>45</v>
      </c>
      <c r="O100" s="288"/>
      <c r="P100" s="288"/>
      <c r="Q100" s="328"/>
      <c r="R100" s="328"/>
      <c r="S100" s="331">
        <v>45716</v>
      </c>
      <c r="T100" s="328"/>
      <c r="U100" s="328"/>
      <c r="V100" s="331">
        <v>45786</v>
      </c>
      <c r="W100" s="331"/>
      <c r="X100" s="328"/>
      <c r="Y100" s="331">
        <v>45879</v>
      </c>
      <c r="Z100" s="330"/>
      <c r="AA100" s="331"/>
      <c r="AB100" s="331"/>
      <c r="AC100" s="331"/>
      <c r="AD100" s="331"/>
      <c r="AE100" s="331"/>
      <c r="AG100" s="331"/>
      <c r="AH100" s="331">
        <v>46172</v>
      </c>
      <c r="AI100" s="129">
        <f t="shared" si="75"/>
        <v>58.602941176470587</v>
      </c>
      <c r="AJ100" s="129">
        <f t="shared" ref="AJ100:AJ111" si="172">AI100-CK100+CL100</f>
        <v>77.751983776738641</v>
      </c>
      <c r="AK100" s="129">
        <f t="shared" ref="AK100:AK111" si="173">AJ100-CM100+CN100</f>
        <v>60.656395541444525</v>
      </c>
      <c r="AL100" s="399">
        <f t="shared" ref="AL100:AL111" si="174">AK100-CO100+CP100</f>
        <v>66.410072012032757</v>
      </c>
      <c r="AM100" s="393">
        <f t="shared" ref="AM100:AM111" si="175">AL100-CQ100+CR100</f>
        <v>53.58838083556217</v>
      </c>
      <c r="AN100" s="393">
        <f t="shared" ref="AN100:AN111" si="176">AM100-CS100+CT100</f>
        <v>39.342057306150402</v>
      </c>
      <c r="AO100" s="393">
        <f t="shared" ref="AO100:AO111" si="177">AN100-CU100+CV100</f>
        <v>30.666847561274409</v>
      </c>
      <c r="AP100" s="96">
        <f t="shared" ref="AP100:AP111" si="178">AO100-CW100+CX100</f>
        <v>22.74259782847815</v>
      </c>
      <c r="AQ100" s="91">
        <f t="shared" ref="AQ100:AQ111" si="179">AP100-CY100+CZ100</f>
        <v>11.345539004948737</v>
      </c>
      <c r="AR100" s="198"/>
      <c r="AS100" s="81">
        <f>$H$100*月別販売比率!AG5</f>
        <v>14.246323529411766</v>
      </c>
      <c r="AT100" s="21"/>
      <c r="AU100" s="81">
        <f>$H$100*月別販売比率!AL5</f>
        <v>12.821691176470589</v>
      </c>
      <c r="AV100" s="21"/>
      <c r="AW100" s="81">
        <f>$H$100*月別販売比率!AQ5</f>
        <v>14.246323529411766</v>
      </c>
      <c r="AX100" s="21"/>
      <c r="AY100" s="81">
        <f>$H$100*月別販売比率!AV5</f>
        <v>8.6752097448759926</v>
      </c>
      <c r="AZ100" s="21"/>
      <c r="BA100" s="245">
        <f>$H$100*月別販売比率!BA5</f>
        <v>7.924249732796258</v>
      </c>
      <c r="BB100" s="241">
        <v>20</v>
      </c>
      <c r="BC100" s="81">
        <f>$H$100*月別販売比率!BF5</f>
        <v>11.397058823529413</v>
      </c>
      <c r="BD100" s="21"/>
      <c r="BE100" s="81">
        <f>$H$100*月別販売比率!C21</f>
        <v>10.095550480657382</v>
      </c>
      <c r="BF100" s="21"/>
      <c r="BG100" s="245">
        <f>$H$100*月別販売比率!H21</f>
        <v>9.9724264705882373</v>
      </c>
      <c r="BH100" s="241">
        <v>10</v>
      </c>
      <c r="BI100" s="81">
        <f>$H$100*月別販売比率!M21</f>
        <v>14.397860123314679</v>
      </c>
      <c r="BJ100" s="21"/>
      <c r="BK100" s="81">
        <f>$H$100*月別販売比率!R21</f>
        <v>11.397058823529413</v>
      </c>
      <c r="BL100" s="21"/>
      <c r="BM100" s="245">
        <f>$H$100*月別販売比率!W21</f>
        <v>10.850957399731948</v>
      </c>
      <c r="BN100" s="241">
        <v>37</v>
      </c>
      <c r="BO100" s="81">
        <f>$H$100*月別販売比率!AB21</f>
        <v>17.095588235294116</v>
      </c>
      <c r="BP100" s="21"/>
      <c r="BQ100" s="81">
        <f>$H$100*月別販売比率!AG21</f>
        <v>14.246323529411766</v>
      </c>
      <c r="BR100" s="21"/>
      <c r="BS100" s="81">
        <f>$H$100*月別販売比率!AL21</f>
        <v>12.821691176470589</v>
      </c>
      <c r="BT100" s="21"/>
      <c r="BU100" s="245">
        <f>$H$100*月別販売比率!AQ21</f>
        <v>14.246323529411766</v>
      </c>
      <c r="BV100" s="241">
        <v>10</v>
      </c>
      <c r="BW100" s="81">
        <f>$H$100*月別販売比率!AV21</f>
        <v>8.6752097448759926</v>
      </c>
      <c r="BX100" s="21"/>
      <c r="BY100" s="245">
        <f>$H$100*月別販売比率!BA21</f>
        <v>7.924249732796258</v>
      </c>
      <c r="BZ100" s="241">
        <v>35</v>
      </c>
      <c r="CA100" s="81">
        <f>$H$100*月別販売比率!BF21</f>
        <v>11.397058823529413</v>
      </c>
      <c r="CB100" s="21"/>
      <c r="CC100" s="81">
        <f>H100*月別販売比率!$C$21</f>
        <v>10.095550480657382</v>
      </c>
      <c r="CD100" s="21"/>
      <c r="CE100" s="245">
        <f>H100*月別販売比率!$H$21</f>
        <v>9.9724264705882373</v>
      </c>
      <c r="CF100" s="241">
        <v>40</v>
      </c>
      <c r="CG100" s="81">
        <f>H100*月別販売比率!$M$21</f>
        <v>14.397860123314679</v>
      </c>
      <c r="CH100" s="241">
        <v>40</v>
      </c>
      <c r="CI100" s="81">
        <f>H100*月別販売比率!$R$21</f>
        <v>11.397058823529413</v>
      </c>
      <c r="CJ100" s="241">
        <v>10</v>
      </c>
      <c r="CK100" s="81">
        <f>H100*月別販売比率!$W$21</f>
        <v>10.850957399731948</v>
      </c>
      <c r="CL100" s="21">
        <v>30</v>
      </c>
      <c r="CM100" s="81">
        <f>H100*月別販売比率!$AB$21</f>
        <v>17.095588235294116</v>
      </c>
      <c r="CN100" s="21"/>
      <c r="CO100" s="81">
        <f>H100*月別販売比率!$AG$21</f>
        <v>14.246323529411766</v>
      </c>
      <c r="CP100" s="21">
        <v>20</v>
      </c>
      <c r="CQ100" s="81">
        <f>H100*月別販売比率!$AL$21</f>
        <v>12.821691176470589</v>
      </c>
      <c r="CR100" s="21"/>
      <c r="CS100" s="81">
        <f>H100*月別販売比率!$AQ$21</f>
        <v>14.246323529411766</v>
      </c>
      <c r="CT100" s="21"/>
      <c r="CU100" s="81">
        <f>H100*月別販売比率!$AV$21</f>
        <v>8.6752097448759926</v>
      </c>
      <c r="CV100" s="21"/>
      <c r="CW100" s="81">
        <f>H100*月別販売比率!$BA$21</f>
        <v>7.924249732796258</v>
      </c>
      <c r="CX100" s="21"/>
      <c r="CY100" s="81">
        <f>H100*月別販売比率!$BF$21</f>
        <v>11.397058823529413</v>
      </c>
      <c r="CZ100" s="21"/>
      <c r="DA100" s="28"/>
      <c r="DB100" s="294"/>
    </row>
    <row r="101" spans="2:106" ht="30.75" customHeight="1">
      <c r="C101" s="457"/>
      <c r="D101" s="441"/>
      <c r="E101" s="94" t="s">
        <v>51</v>
      </c>
      <c r="F101" s="57">
        <v>33</v>
      </c>
      <c r="G101" s="5">
        <f t="shared" ref="G101:G111" si="180">F101*6600</f>
        <v>217800</v>
      </c>
      <c r="H101" s="7">
        <f t="shared" ref="H101:H111" si="181">F101*($H$99/$F$99)</f>
        <v>151.65441176470588</v>
      </c>
      <c r="I101" s="5">
        <f t="shared" ref="I101:I111" si="182">H101*6600</f>
        <v>1000919.1176470588</v>
      </c>
      <c r="J101" s="9">
        <v>0</v>
      </c>
      <c r="K101" s="21">
        <f t="shared" si="171"/>
        <v>46</v>
      </c>
      <c r="L101" s="21">
        <v>8</v>
      </c>
      <c r="M101" s="21">
        <v>3</v>
      </c>
      <c r="N101" s="42">
        <v>35</v>
      </c>
      <c r="O101" s="288"/>
      <c r="P101" s="288"/>
      <c r="Q101" s="328"/>
      <c r="R101" s="328"/>
      <c r="S101" s="331">
        <v>45716</v>
      </c>
      <c r="T101" s="124"/>
      <c r="U101" s="328"/>
      <c r="V101" s="331">
        <v>45786</v>
      </c>
      <c r="W101" s="331"/>
      <c r="X101" s="328"/>
      <c r="Y101" s="331">
        <v>45879</v>
      </c>
      <c r="Z101" s="330"/>
      <c r="AA101" s="330"/>
      <c r="AB101" s="331"/>
      <c r="AC101" s="331">
        <v>46011</v>
      </c>
      <c r="AD101" s="331"/>
      <c r="AE101" s="331"/>
      <c r="AF101" s="331"/>
      <c r="AG101" s="331"/>
      <c r="AH101" s="331">
        <v>46172</v>
      </c>
      <c r="AI101" s="129">
        <f t="shared" si="75"/>
        <v>38.867647058823529</v>
      </c>
      <c r="AJ101" s="129">
        <f t="shared" si="172"/>
        <v>57.316627891366934</v>
      </c>
      <c r="AK101" s="129">
        <f t="shared" si="173"/>
        <v>39.118098479602224</v>
      </c>
      <c r="AL101" s="399">
        <f t="shared" si="174"/>
        <v>43.952657303131637</v>
      </c>
      <c r="AM101" s="393">
        <f t="shared" si="175"/>
        <v>30.303760244308108</v>
      </c>
      <c r="AN101" s="393">
        <f t="shared" si="176"/>
        <v>15.13831906783752</v>
      </c>
      <c r="AO101" s="393">
        <f t="shared" si="177"/>
        <v>5.903418371679205</v>
      </c>
      <c r="AP101" s="96">
        <f t="shared" si="178"/>
        <v>-2.5320732793619722</v>
      </c>
      <c r="AQ101" s="91">
        <f t="shared" si="179"/>
        <v>-14.664426220538443</v>
      </c>
      <c r="AR101" s="198"/>
      <c r="AS101" s="81">
        <f>$H$101*月別販売比率!AG5</f>
        <v>15.165441176470589</v>
      </c>
      <c r="AT101" s="21"/>
      <c r="AU101" s="81">
        <f>$H$101*月別販売比率!AL5</f>
        <v>13.648897058823529</v>
      </c>
      <c r="AV101" s="21"/>
      <c r="AW101" s="81">
        <f>$H$101*月別販売比率!AQ5</f>
        <v>15.165441176470589</v>
      </c>
      <c r="AX101" s="21"/>
      <c r="AY101" s="81">
        <f>$H$101*月別販売比率!AV5</f>
        <v>9.2349006961583147</v>
      </c>
      <c r="AZ101" s="21"/>
      <c r="BA101" s="245">
        <f>$H$101*月別販売比率!BA5</f>
        <v>8.4354916510411773</v>
      </c>
      <c r="BB101" s="241">
        <v>18</v>
      </c>
      <c r="BC101" s="81">
        <f>$H$101*月別販売比率!BF5</f>
        <v>12.132352941176471</v>
      </c>
      <c r="BD101" s="21"/>
      <c r="BE101" s="81">
        <f>$H$101*月別販売比率!C21</f>
        <v>10.746876318119149</v>
      </c>
      <c r="BF101" s="21"/>
      <c r="BG101" s="245">
        <f>$H$101*月別販売比率!H21</f>
        <v>10.615808823529413</v>
      </c>
      <c r="BH101" s="241">
        <v>20</v>
      </c>
      <c r="BI101" s="81">
        <f>$H$101*月別販売比率!M21</f>
        <v>15.326754324818852</v>
      </c>
      <c r="BJ101" s="21"/>
      <c r="BK101" s="81">
        <f>$H$101*月別販売比率!R21</f>
        <v>12.132352941176471</v>
      </c>
      <c r="BL101" s="21"/>
      <c r="BM101" s="245">
        <f>$H$101*月別販売比率!W21</f>
        <v>11.551019167456591</v>
      </c>
      <c r="BN101" s="241">
        <v>35</v>
      </c>
      <c r="BO101" s="81">
        <f>$H$101*月別販売比率!AB21</f>
        <v>18.198529411764707</v>
      </c>
      <c r="BP101" s="21"/>
      <c r="BQ101" s="81">
        <f>$H$101*月別販売比率!AG21</f>
        <v>15.165441176470589</v>
      </c>
      <c r="BR101" s="21"/>
      <c r="BS101" s="81">
        <f>$H$101*月別販売比率!AL21</f>
        <v>13.648897058823529</v>
      </c>
      <c r="BT101" s="21"/>
      <c r="BU101" s="245">
        <f>$H$101*月別販売比率!AQ21</f>
        <v>15.165441176470589</v>
      </c>
      <c r="BV101" s="241">
        <v>25</v>
      </c>
      <c r="BW101" s="81">
        <f>$H$101*月別販売比率!AV21</f>
        <v>9.2349006961583147</v>
      </c>
      <c r="BX101" s="21"/>
      <c r="BY101" s="245">
        <f>$H$101*月別販売比率!BA21</f>
        <v>8.4354916510411773</v>
      </c>
      <c r="BZ101" s="241">
        <v>33</v>
      </c>
      <c r="CA101" s="81">
        <f>$H$101*月別販売比率!BF21</f>
        <v>12.132352941176471</v>
      </c>
      <c r="CB101" s="21"/>
      <c r="CC101" s="81">
        <f>H101*月別販売比率!$C$21</f>
        <v>10.746876318119149</v>
      </c>
      <c r="CD101" s="21"/>
      <c r="CE101" s="245">
        <f>H101*月別販売比率!$H$21</f>
        <v>10.615808823529413</v>
      </c>
      <c r="CF101" s="241">
        <v>45</v>
      </c>
      <c r="CG101" s="81">
        <f>H101*月別販売比率!$M$21</f>
        <v>15.326754324818852</v>
      </c>
      <c r="CH101" s="241">
        <v>40</v>
      </c>
      <c r="CI101" s="81">
        <f>H101*月別販売比率!$R$21</f>
        <v>12.132352941176471</v>
      </c>
      <c r="CJ101" s="241">
        <v>5</v>
      </c>
      <c r="CK101" s="81">
        <f>H101*月別販売比率!$W$21</f>
        <v>11.551019167456591</v>
      </c>
      <c r="CL101" s="21">
        <v>30</v>
      </c>
      <c r="CM101" s="81">
        <f>H101*月別販売比率!$AB$21</f>
        <v>18.198529411764707</v>
      </c>
      <c r="CN101" s="21"/>
      <c r="CO101" s="81">
        <f>H101*月別販売比率!$AG$21</f>
        <v>15.165441176470589</v>
      </c>
      <c r="CP101" s="21">
        <v>20</v>
      </c>
      <c r="CQ101" s="81">
        <f>H101*月別販売比率!$AL$21</f>
        <v>13.648897058823529</v>
      </c>
      <c r="CR101" s="21"/>
      <c r="CS101" s="81">
        <f>H101*月別販売比率!$AQ$21</f>
        <v>15.165441176470589</v>
      </c>
      <c r="CT101" s="21"/>
      <c r="CU101" s="81">
        <f>H101*月別販売比率!$AV$21</f>
        <v>9.2349006961583147</v>
      </c>
      <c r="CV101" s="21"/>
      <c r="CW101" s="81">
        <f>H101*月別販売比率!$BA$21</f>
        <v>8.4354916510411773</v>
      </c>
      <c r="CX101" s="21"/>
      <c r="CY101" s="81">
        <f>H101*月別販売比率!$BF$21</f>
        <v>12.132352941176471</v>
      </c>
      <c r="CZ101" s="21"/>
      <c r="DA101" s="28"/>
      <c r="DB101" s="294"/>
    </row>
    <row r="102" spans="2:106" ht="30.75" customHeight="1">
      <c r="C102" s="457"/>
      <c r="D102" s="441"/>
      <c r="E102" s="94" t="s">
        <v>49</v>
      </c>
      <c r="F102" s="57">
        <v>22</v>
      </c>
      <c r="G102" s="5">
        <f t="shared" si="180"/>
        <v>145200</v>
      </c>
      <c r="H102" s="7">
        <f t="shared" si="181"/>
        <v>101.10294117647059</v>
      </c>
      <c r="I102" s="5">
        <f t="shared" si="182"/>
        <v>667279.4117647059</v>
      </c>
      <c r="J102" s="9">
        <v>16</v>
      </c>
      <c r="K102" s="21">
        <f t="shared" si="171"/>
        <v>53</v>
      </c>
      <c r="L102" s="21">
        <v>10</v>
      </c>
      <c r="M102" s="21">
        <v>18</v>
      </c>
      <c r="N102" s="42">
        <v>25</v>
      </c>
      <c r="O102" s="288"/>
      <c r="P102" s="288"/>
      <c r="Q102" s="328"/>
      <c r="R102" s="328"/>
      <c r="S102" s="331">
        <v>45716</v>
      </c>
      <c r="T102" s="124"/>
      <c r="U102" s="328"/>
      <c r="V102" s="331">
        <v>45786</v>
      </c>
      <c r="W102" s="331"/>
      <c r="X102" s="331">
        <v>45855</v>
      </c>
      <c r="Y102" s="124"/>
      <c r="Z102" s="124"/>
      <c r="AA102" s="328"/>
      <c r="AB102" s="328"/>
      <c r="AG102" s="331"/>
      <c r="AH102" s="331">
        <v>46172</v>
      </c>
      <c r="AI102" s="129">
        <f t="shared" si="75"/>
        <v>65.911764705882348</v>
      </c>
      <c r="AJ102" s="129">
        <f t="shared" si="172"/>
        <v>78.21108526091129</v>
      </c>
      <c r="AK102" s="129">
        <f t="shared" si="173"/>
        <v>66.078732319734826</v>
      </c>
      <c r="AL102" s="399">
        <f t="shared" si="174"/>
        <v>70.968438202087768</v>
      </c>
      <c r="AM102" s="393">
        <f t="shared" si="175"/>
        <v>61.869173496205413</v>
      </c>
      <c r="AN102" s="393">
        <f t="shared" si="176"/>
        <v>51.758879378558355</v>
      </c>
      <c r="AO102" s="393">
        <f t="shared" si="177"/>
        <v>45.60227891445281</v>
      </c>
      <c r="AP102" s="96">
        <f t="shared" si="178"/>
        <v>39.978617813758689</v>
      </c>
      <c r="AQ102" s="91">
        <f t="shared" si="179"/>
        <v>31.89038251964104</v>
      </c>
      <c r="AR102" s="198"/>
      <c r="AS102" s="81">
        <f>$H$102*月別販売比率!AG5</f>
        <v>10.11029411764706</v>
      </c>
      <c r="AT102" s="21"/>
      <c r="AU102" s="81">
        <f>$H$102*月別販売比率!AL5</f>
        <v>9.0992647058823533</v>
      </c>
      <c r="AV102" s="21"/>
      <c r="AW102" s="81">
        <f>$H$102*月別販売比率!AQ5</f>
        <v>10.11029411764706</v>
      </c>
      <c r="AX102" s="21"/>
      <c r="AY102" s="81">
        <f>$H$102*月別販売比率!AV5</f>
        <v>6.1566004641055434</v>
      </c>
      <c r="AZ102" s="21"/>
      <c r="BA102" s="245">
        <f>$H$102*月別販売比率!BA5</f>
        <v>5.6236611006941191</v>
      </c>
      <c r="BB102" s="241">
        <v>17</v>
      </c>
      <c r="BC102" s="81">
        <f>$H$102*月別販売比率!BF5</f>
        <v>8.0882352941176485</v>
      </c>
      <c r="BD102" s="21"/>
      <c r="BE102" s="81">
        <f>$H$102*月別販売比率!C21</f>
        <v>7.1645842120794327</v>
      </c>
      <c r="BF102" s="21"/>
      <c r="BG102" s="245">
        <f>$H$102*月別販売比率!H21</f>
        <v>7.077205882352942</v>
      </c>
      <c r="BH102" s="241">
        <v>10</v>
      </c>
      <c r="BI102" s="81">
        <f>$H$102*月別販売比率!M21</f>
        <v>10.217836216545901</v>
      </c>
      <c r="BJ102" s="21"/>
      <c r="BK102" s="81">
        <f>$H$102*月別販売比率!R21</f>
        <v>8.0882352941176485</v>
      </c>
      <c r="BL102" s="21"/>
      <c r="BM102" s="245">
        <f>$H$102*月別販売比率!W21</f>
        <v>7.7006794449710609</v>
      </c>
      <c r="BN102" s="241">
        <v>25</v>
      </c>
      <c r="BO102" s="81">
        <f>$H$102*月別販売比率!AB21</f>
        <v>12.132352941176471</v>
      </c>
      <c r="BP102" s="21"/>
      <c r="BQ102" s="81">
        <f>$H$102*月別販売比率!AG21</f>
        <v>10.11029411764706</v>
      </c>
      <c r="BR102" s="21"/>
      <c r="BS102" s="81">
        <f>$H$102*月別販売比率!AL21</f>
        <v>9.0992647058823533</v>
      </c>
      <c r="BT102" s="21"/>
      <c r="BU102" s="245">
        <f>$H$102*月別販売比率!AQ21</f>
        <v>10.11029411764706</v>
      </c>
      <c r="BV102" s="241">
        <v>10</v>
      </c>
      <c r="BW102" s="81">
        <f>$H$102*月別販売比率!AV21</f>
        <v>6.1566004641055434</v>
      </c>
      <c r="BX102" s="21"/>
      <c r="BY102" s="245">
        <f>$H$102*月別販売比率!BA21</f>
        <v>5.6236611006941191</v>
      </c>
      <c r="BZ102" s="241">
        <v>23</v>
      </c>
      <c r="CA102" s="81">
        <f>$H$102*月別販売比率!BF21</f>
        <v>8.0882352941176485</v>
      </c>
      <c r="CB102" s="21"/>
      <c r="CC102" s="81">
        <f>H102*月別販売比率!$C$21</f>
        <v>7.1645842120794327</v>
      </c>
      <c r="CD102" s="21"/>
      <c r="CE102" s="245">
        <f>H102*月別販売比率!$H$21</f>
        <v>7.077205882352942</v>
      </c>
      <c r="CF102" s="241">
        <v>35</v>
      </c>
      <c r="CG102" s="81">
        <f>H102*月別販売比率!$M$21</f>
        <v>10.217836216545901</v>
      </c>
      <c r="CH102" s="241">
        <v>20</v>
      </c>
      <c r="CI102" s="81">
        <f>H102*月別販売比率!$R$21</f>
        <v>8.0882352941176485</v>
      </c>
      <c r="CJ102" s="241">
        <v>5</v>
      </c>
      <c r="CK102" s="81">
        <f>H102*月別販売比率!$W$21</f>
        <v>7.7006794449710609</v>
      </c>
      <c r="CL102" s="21">
        <v>20</v>
      </c>
      <c r="CM102" s="81">
        <f>H102*月別販売比率!$AB$21</f>
        <v>12.132352941176471</v>
      </c>
      <c r="CN102" s="21"/>
      <c r="CO102" s="81">
        <f>H102*月別販売比率!$AG$21</f>
        <v>10.11029411764706</v>
      </c>
      <c r="CP102" s="21">
        <v>15</v>
      </c>
      <c r="CQ102" s="81">
        <f>H102*月別販売比率!$AL$21</f>
        <v>9.0992647058823533</v>
      </c>
      <c r="CR102" s="21"/>
      <c r="CS102" s="81">
        <f>H102*月別販売比率!$AQ$21</f>
        <v>10.11029411764706</v>
      </c>
      <c r="CT102" s="21"/>
      <c r="CU102" s="81">
        <f>H102*月別販売比率!$AV$21</f>
        <v>6.1566004641055434</v>
      </c>
      <c r="CV102" s="21"/>
      <c r="CW102" s="81">
        <f>H102*月別販売比率!$BA$21</f>
        <v>5.6236611006941191</v>
      </c>
      <c r="CX102" s="21"/>
      <c r="CY102" s="81">
        <f>H102*月別販売比率!$BF$21</f>
        <v>8.0882352941176485</v>
      </c>
      <c r="CZ102" s="21"/>
      <c r="DA102" s="28"/>
      <c r="DB102" s="294"/>
    </row>
    <row r="103" spans="2:106" ht="30.75" customHeight="1">
      <c r="C103" s="457"/>
      <c r="D103" s="442"/>
      <c r="E103" s="94" t="s">
        <v>50</v>
      </c>
      <c r="F103" s="57">
        <v>18</v>
      </c>
      <c r="G103" s="5">
        <f t="shared" si="180"/>
        <v>118800</v>
      </c>
      <c r="H103" s="7">
        <f t="shared" si="181"/>
        <v>82.720588235294116</v>
      </c>
      <c r="I103" s="5">
        <f t="shared" si="182"/>
        <v>545955.8823529412</v>
      </c>
      <c r="J103" s="9">
        <v>7</v>
      </c>
      <c r="K103" s="21">
        <f t="shared" si="171"/>
        <v>39</v>
      </c>
      <c r="L103" s="21">
        <v>10</v>
      </c>
      <c r="M103" s="21">
        <v>17</v>
      </c>
      <c r="N103" s="42">
        <v>12</v>
      </c>
      <c r="O103" s="288"/>
      <c r="P103" s="288"/>
      <c r="Q103" s="328"/>
      <c r="R103" s="328"/>
      <c r="S103" s="331">
        <v>45716</v>
      </c>
      <c r="T103" s="124"/>
      <c r="U103" s="124"/>
      <c r="V103" s="124"/>
      <c r="W103" s="124"/>
      <c r="X103" s="124"/>
      <c r="Y103" s="124"/>
      <c r="Z103" s="124"/>
      <c r="AA103" s="124"/>
      <c r="AB103" s="328"/>
      <c r="AC103" s="331">
        <v>46011</v>
      </c>
      <c r="AG103" s="124"/>
      <c r="AH103" s="124"/>
      <c r="AI103" s="129">
        <f t="shared" ref="AI103:AI111" si="183">SUM(J103:K103)-CI103+CJ103</f>
        <v>39.382352941176471</v>
      </c>
      <c r="AJ103" s="129">
        <f t="shared" si="172"/>
        <v>48.081797031654695</v>
      </c>
      <c r="AK103" s="129">
        <f t="shared" si="173"/>
        <v>38.155326443419398</v>
      </c>
      <c r="AL103" s="399">
        <f t="shared" si="174"/>
        <v>39.883267619889985</v>
      </c>
      <c r="AM103" s="393">
        <f t="shared" si="175"/>
        <v>32.438414678713514</v>
      </c>
      <c r="AN103" s="393">
        <f t="shared" si="176"/>
        <v>24.166355855184101</v>
      </c>
      <c r="AO103" s="393">
        <f t="shared" si="177"/>
        <v>19.129137293643204</v>
      </c>
      <c r="AP103" s="96">
        <f t="shared" si="178"/>
        <v>14.527960029438926</v>
      </c>
      <c r="AQ103" s="91">
        <f t="shared" si="179"/>
        <v>7.9103129706153972</v>
      </c>
      <c r="AR103" s="198"/>
      <c r="AS103" s="81">
        <f>$H$103*月別販売比率!AG5</f>
        <v>8.2720588235294112</v>
      </c>
      <c r="AT103" s="21"/>
      <c r="AU103" s="81">
        <f>$H$103*月別販売比率!AL5</f>
        <v>7.4448529411764701</v>
      </c>
      <c r="AV103" s="21"/>
      <c r="AW103" s="81">
        <f>$H$103*月別販売比率!AQ5</f>
        <v>8.2720588235294112</v>
      </c>
      <c r="AX103" s="21"/>
      <c r="AY103" s="81">
        <f>$H$103*月別販売比率!AV5</f>
        <v>5.0372185615408984</v>
      </c>
      <c r="AZ103" s="21"/>
      <c r="BA103" s="245">
        <f>$H$103*月別販売比率!BA5</f>
        <v>4.6011772642042787</v>
      </c>
      <c r="BB103" s="241">
        <v>15</v>
      </c>
      <c r="BC103" s="81">
        <f>$H$103*月別販売比率!BF5</f>
        <v>6.617647058823529</v>
      </c>
      <c r="BD103" s="21"/>
      <c r="BE103" s="81">
        <f>$H$103*月別販売比率!C21</f>
        <v>5.8619325371558988</v>
      </c>
      <c r="BF103" s="21"/>
      <c r="BG103" s="245">
        <f>$H$103*月別販売比率!H21</f>
        <v>5.7904411764705888</v>
      </c>
      <c r="BH103" s="241"/>
      <c r="BI103" s="81">
        <f>$H$103*月別販売比率!M21</f>
        <v>8.3600478135375553</v>
      </c>
      <c r="BJ103" s="21"/>
      <c r="BK103" s="81">
        <f>$H$103*月別販売比率!R21</f>
        <v>6.617647058823529</v>
      </c>
      <c r="BL103" s="21"/>
      <c r="BM103" s="245">
        <f>$H$103*月別販売比率!W21</f>
        <v>6.3005559095217762</v>
      </c>
      <c r="BN103" s="241">
        <v>25</v>
      </c>
      <c r="BO103" s="81">
        <f>$H$103*月別販売比率!AB21</f>
        <v>9.9264705882352935</v>
      </c>
      <c r="BP103" s="21"/>
      <c r="BQ103" s="81">
        <f>$H$103*月別販売比率!AG21</f>
        <v>8.2720588235294112</v>
      </c>
      <c r="BR103" s="21"/>
      <c r="BS103" s="81">
        <f>$H$103*月別販売比率!AL21</f>
        <v>7.4448529411764701</v>
      </c>
      <c r="BT103" s="21"/>
      <c r="BU103" s="245">
        <f>$H$103*月別販売比率!AQ21</f>
        <v>8.2720588235294112</v>
      </c>
      <c r="BV103" s="241">
        <v>15</v>
      </c>
      <c r="BW103" s="81">
        <f>$H$103*月別販売比率!AV21</f>
        <v>5.0372185615408984</v>
      </c>
      <c r="BX103" s="21"/>
      <c r="BY103" s="245">
        <f>$H$103*月別販売比率!BA21</f>
        <v>4.6011772642042787</v>
      </c>
      <c r="BZ103" s="241">
        <v>5</v>
      </c>
      <c r="CA103" s="81">
        <f>$H$103*月別販売比率!BF21</f>
        <v>6.617647058823529</v>
      </c>
      <c r="CB103" s="21"/>
      <c r="CC103" s="81">
        <f>H103*月別販売比率!$C$21</f>
        <v>5.8619325371558988</v>
      </c>
      <c r="CD103" s="21"/>
      <c r="CE103" s="245">
        <f>H103*月別販売比率!$H$21</f>
        <v>5.7904411764705888</v>
      </c>
      <c r="CF103" s="241">
        <v>20</v>
      </c>
      <c r="CG103" s="81">
        <f>H103*月別販売比率!$M$21</f>
        <v>8.3600478135375553</v>
      </c>
      <c r="CH103" s="241">
        <v>15</v>
      </c>
      <c r="CI103" s="81">
        <f>H103*月別販売比率!$R$21</f>
        <v>6.617647058823529</v>
      </c>
      <c r="CJ103" s="241"/>
      <c r="CK103" s="81">
        <f>H103*月別販売比率!$W$21</f>
        <v>6.3005559095217762</v>
      </c>
      <c r="CL103" s="21">
        <v>15</v>
      </c>
      <c r="CM103" s="81">
        <f>H103*月別販売比率!$AB$21</f>
        <v>9.9264705882352935</v>
      </c>
      <c r="CN103" s="21"/>
      <c r="CO103" s="81">
        <f>H103*月別販売比率!$AG$21</f>
        <v>8.2720588235294112</v>
      </c>
      <c r="CP103" s="21">
        <v>10</v>
      </c>
      <c r="CQ103" s="81">
        <f>H103*月別販売比率!$AL$21</f>
        <v>7.4448529411764701</v>
      </c>
      <c r="CR103" s="21"/>
      <c r="CS103" s="81">
        <f>H103*月別販売比率!$AQ$21</f>
        <v>8.2720588235294112</v>
      </c>
      <c r="CT103" s="21"/>
      <c r="CU103" s="81">
        <f>H103*月別販売比率!$AV$21</f>
        <v>5.0372185615408984</v>
      </c>
      <c r="CV103" s="21"/>
      <c r="CW103" s="81">
        <f>H103*月別販売比率!$BA$21</f>
        <v>4.6011772642042787</v>
      </c>
      <c r="CX103" s="21"/>
      <c r="CY103" s="81">
        <f>H103*月別販売比率!$BF$21</f>
        <v>6.617647058823529</v>
      </c>
      <c r="CZ103" s="21"/>
      <c r="DA103" s="28"/>
      <c r="DB103" s="294"/>
    </row>
    <row r="104" spans="2:106" ht="30.75" customHeight="1">
      <c r="C104" s="457"/>
      <c r="D104" s="441">
        <v>2</v>
      </c>
      <c r="E104" s="94" t="s">
        <v>47</v>
      </c>
      <c r="F104" s="57">
        <v>30</v>
      </c>
      <c r="G104" s="5">
        <f t="shared" si="180"/>
        <v>198000</v>
      </c>
      <c r="H104" s="7">
        <f t="shared" si="181"/>
        <v>137.86764705882354</v>
      </c>
      <c r="I104" s="5">
        <f t="shared" si="182"/>
        <v>909926.4705882353</v>
      </c>
      <c r="J104" s="9">
        <v>2</v>
      </c>
      <c r="K104" s="21">
        <f t="shared" si="171"/>
        <v>59</v>
      </c>
      <c r="L104" s="21">
        <v>10</v>
      </c>
      <c r="M104" s="21">
        <v>3</v>
      </c>
      <c r="N104" s="42">
        <v>46</v>
      </c>
      <c r="O104" s="288"/>
      <c r="P104" s="288"/>
      <c r="Q104" s="328"/>
      <c r="R104" s="328"/>
      <c r="S104" s="331">
        <v>45716</v>
      </c>
      <c r="T104" s="328"/>
      <c r="U104" s="328"/>
      <c r="V104" s="331">
        <v>45786</v>
      </c>
      <c r="W104" s="331"/>
      <c r="X104" s="328"/>
      <c r="Y104" s="331">
        <v>45879</v>
      </c>
      <c r="Z104" s="330"/>
      <c r="AA104" s="331"/>
      <c r="AB104" s="331"/>
      <c r="AC104" s="331"/>
      <c r="AD104" s="331"/>
      <c r="AE104" s="331"/>
      <c r="AG104" s="331"/>
      <c r="AH104" s="331">
        <v>46172</v>
      </c>
      <c r="AI104" s="129">
        <f t="shared" si="183"/>
        <v>69.970588235294116</v>
      </c>
      <c r="AJ104" s="129">
        <f t="shared" si="172"/>
        <v>79.469661719424494</v>
      </c>
      <c r="AK104" s="129">
        <f t="shared" si="173"/>
        <v>62.925544072365668</v>
      </c>
      <c r="AL104" s="399">
        <f t="shared" si="174"/>
        <v>69.138779366483305</v>
      </c>
      <c r="AM104" s="393">
        <f t="shared" si="175"/>
        <v>56.730691131189189</v>
      </c>
      <c r="AN104" s="393">
        <f t="shared" si="176"/>
        <v>42.943926425306834</v>
      </c>
      <c r="AO104" s="393">
        <f t="shared" si="177"/>
        <v>34.548562156072002</v>
      </c>
      <c r="AP104" s="96">
        <f t="shared" si="178"/>
        <v>26.879933382398203</v>
      </c>
      <c r="AQ104" s="91">
        <f t="shared" si="179"/>
        <v>15.850521617692321</v>
      </c>
      <c r="AR104" s="198"/>
      <c r="AS104" s="81">
        <f>$H$104*月別販売比率!AG5</f>
        <v>13.786764705882355</v>
      </c>
      <c r="AT104" s="21"/>
      <c r="AU104" s="81">
        <f>$H$104*月別販売比率!AL5</f>
        <v>12.408088235294118</v>
      </c>
      <c r="AV104" s="21"/>
      <c r="AW104" s="81">
        <f>$H$104*月別販売比率!AQ5</f>
        <v>13.786764705882355</v>
      </c>
      <c r="AX104" s="21"/>
      <c r="AY104" s="81">
        <f>$H$104*月別販売比率!AV5</f>
        <v>8.3953642692348325</v>
      </c>
      <c r="AZ104" s="21"/>
      <c r="BA104" s="245">
        <f>$H$104*月別販売比率!BA5</f>
        <v>7.6686287736737988</v>
      </c>
      <c r="BB104" s="241">
        <v>25</v>
      </c>
      <c r="BC104" s="81">
        <f>$H$104*月別販売比率!BF5</f>
        <v>11.029411764705882</v>
      </c>
      <c r="BD104" s="21"/>
      <c r="BE104" s="81">
        <f>$H$104*月別販売比率!C21</f>
        <v>9.7698875619264989</v>
      </c>
      <c r="BF104" s="21"/>
      <c r="BG104" s="245">
        <f>$H$104*月別販売比率!H21</f>
        <v>9.6507352941176485</v>
      </c>
      <c r="BH104" s="241">
        <v>20</v>
      </c>
      <c r="BI104" s="81">
        <f>$H$104*月別販売比率!M21</f>
        <v>13.933413022562593</v>
      </c>
      <c r="BJ104" s="21"/>
      <c r="BK104" s="81">
        <f>$H$104*月別販売比率!R21</f>
        <v>11.029411764705882</v>
      </c>
      <c r="BL104" s="21"/>
      <c r="BM104" s="245">
        <f>$H$104*月別販売比率!W21</f>
        <v>10.500926515869628</v>
      </c>
      <c r="BN104" s="241">
        <v>19</v>
      </c>
      <c r="BO104" s="81">
        <f>$H$104*月別販売比率!AB21</f>
        <v>16.544117647058822</v>
      </c>
      <c r="BP104" s="21"/>
      <c r="BQ104" s="81">
        <f>$H$104*月別販売比率!AG21</f>
        <v>13.786764705882355</v>
      </c>
      <c r="BR104" s="21"/>
      <c r="BS104" s="81">
        <f>$H$104*月別販売比率!AL21</f>
        <v>12.408088235294118</v>
      </c>
      <c r="BT104" s="21"/>
      <c r="BU104" s="245">
        <f>$H$104*月別販売比率!AQ21</f>
        <v>13.786764705882355</v>
      </c>
      <c r="BV104" s="241">
        <v>11</v>
      </c>
      <c r="BW104" s="81">
        <f>$H$104*月別販売比率!AV21</f>
        <v>8.3953642692348325</v>
      </c>
      <c r="BX104" s="21"/>
      <c r="BY104" s="245">
        <f>$H$104*月別販売比率!BA21</f>
        <v>7.6686287736737988</v>
      </c>
      <c r="BZ104" s="241">
        <v>30</v>
      </c>
      <c r="CA104" s="81">
        <f>$H$104*月別販売比率!BF21</f>
        <v>11.029411764705882</v>
      </c>
      <c r="CB104" s="21"/>
      <c r="CC104" s="81">
        <f>H104*月別販売比率!$C$21</f>
        <v>9.7698875619264989</v>
      </c>
      <c r="CD104" s="21"/>
      <c r="CE104" s="245">
        <f>H104*月別販売比率!$H$21</f>
        <v>9.6507352941176485</v>
      </c>
      <c r="CF104" s="241">
        <v>45</v>
      </c>
      <c r="CG104" s="81">
        <f>H104*月別販売比率!$M$21</f>
        <v>13.933413022562593</v>
      </c>
      <c r="CH104" s="241">
        <v>30</v>
      </c>
      <c r="CI104" s="81">
        <f>H104*月別販売比率!$R$21</f>
        <v>11.029411764705882</v>
      </c>
      <c r="CJ104" s="241">
        <v>20</v>
      </c>
      <c r="CK104" s="81">
        <f>H104*月別販売比率!$W$21</f>
        <v>10.500926515869628</v>
      </c>
      <c r="CL104" s="21">
        <v>20</v>
      </c>
      <c r="CM104" s="81">
        <f>H104*月別販売比率!$AB$21</f>
        <v>16.544117647058822</v>
      </c>
      <c r="CN104" s="21"/>
      <c r="CO104" s="81">
        <f>H104*月別販売比率!$AG$21</f>
        <v>13.786764705882355</v>
      </c>
      <c r="CP104" s="21">
        <v>20</v>
      </c>
      <c r="CQ104" s="81">
        <f>H104*月別販売比率!$AL$21</f>
        <v>12.408088235294118</v>
      </c>
      <c r="CR104" s="21"/>
      <c r="CS104" s="81">
        <f>H104*月別販売比率!$AQ$21</f>
        <v>13.786764705882355</v>
      </c>
      <c r="CT104" s="21"/>
      <c r="CU104" s="81">
        <f>H104*月別販売比率!$AV$21</f>
        <v>8.3953642692348325</v>
      </c>
      <c r="CV104" s="21"/>
      <c r="CW104" s="81">
        <f>H104*月別販売比率!$BA$21</f>
        <v>7.6686287736737988</v>
      </c>
      <c r="CX104" s="21"/>
      <c r="CY104" s="81">
        <f>H104*月別販売比率!$BF$21</f>
        <v>11.029411764705882</v>
      </c>
      <c r="CZ104" s="21"/>
      <c r="DA104" s="28"/>
      <c r="DB104" s="294"/>
    </row>
    <row r="105" spans="2:106" ht="30.75" customHeight="1">
      <c r="C105" s="457"/>
      <c r="D105" s="441"/>
      <c r="E105" s="94" t="s">
        <v>51</v>
      </c>
      <c r="F105" s="57">
        <v>23</v>
      </c>
      <c r="G105" s="5">
        <f t="shared" si="180"/>
        <v>151800</v>
      </c>
      <c r="H105" s="7">
        <f t="shared" si="181"/>
        <v>105.69852941176471</v>
      </c>
      <c r="I105" s="5">
        <f t="shared" si="182"/>
        <v>697610.29411764711</v>
      </c>
      <c r="J105" s="9">
        <v>3</v>
      </c>
      <c r="K105" s="21">
        <f t="shared" ref="K105:K111" si="184">SUM(L105:N105)</f>
        <v>50</v>
      </c>
      <c r="L105" s="21">
        <v>7</v>
      </c>
      <c r="M105" s="21">
        <v>5</v>
      </c>
      <c r="N105" s="42">
        <v>38</v>
      </c>
      <c r="O105" s="288"/>
      <c r="P105" s="288"/>
      <c r="Q105" s="328"/>
      <c r="R105" s="328"/>
      <c r="S105" s="331">
        <v>45716</v>
      </c>
      <c r="T105" s="328"/>
      <c r="U105" s="328"/>
      <c r="V105" s="331">
        <v>45786</v>
      </c>
      <c r="W105" s="331"/>
      <c r="X105" s="331">
        <v>45855</v>
      </c>
      <c r="Y105" s="124"/>
      <c r="Z105" s="124"/>
      <c r="AA105" s="328"/>
      <c r="AB105" s="328"/>
      <c r="AC105" s="328"/>
      <c r="AD105" s="328"/>
      <c r="AE105" s="328"/>
      <c r="AF105" s="328"/>
      <c r="AG105" s="331"/>
      <c r="AH105" s="331"/>
      <c r="AI105" s="129">
        <f t="shared" si="183"/>
        <v>54.544117647058826</v>
      </c>
      <c r="AJ105" s="129">
        <f t="shared" si="172"/>
        <v>66.493407318225451</v>
      </c>
      <c r="AK105" s="129">
        <f t="shared" si="173"/>
        <v>53.809583788813683</v>
      </c>
      <c r="AL105" s="399">
        <f t="shared" si="174"/>
        <v>63.239730847637212</v>
      </c>
      <c r="AM105" s="393">
        <f t="shared" si="175"/>
        <v>53.726863200578386</v>
      </c>
      <c r="AN105" s="393">
        <f t="shared" si="176"/>
        <v>43.157010259401915</v>
      </c>
      <c r="AO105" s="393">
        <f t="shared" si="177"/>
        <v>36.72056431965521</v>
      </c>
      <c r="AP105" s="96">
        <f t="shared" si="178"/>
        <v>30.841282259838632</v>
      </c>
      <c r="AQ105" s="91">
        <f t="shared" si="179"/>
        <v>22.385399906897455</v>
      </c>
      <c r="AR105" s="198"/>
      <c r="AS105" s="81">
        <f>$H$105*月別販売比率!AG5</f>
        <v>10.569852941176471</v>
      </c>
      <c r="AT105" s="21"/>
      <c r="AU105" s="81">
        <f>$H$105*月別販売比率!AL5</f>
        <v>9.5128676470588243</v>
      </c>
      <c r="AV105" s="21"/>
      <c r="AW105" s="81">
        <f>$H$105*月別販売比率!AQ5</f>
        <v>10.569852941176471</v>
      </c>
      <c r="AX105" s="21"/>
      <c r="AY105" s="81">
        <f>$H$105*月別販売比率!AV5</f>
        <v>6.4364459397467044</v>
      </c>
      <c r="AZ105" s="21"/>
      <c r="BA105" s="245">
        <f>$H$105*月別販売比率!BA5</f>
        <v>5.8792820598165791</v>
      </c>
      <c r="BB105" s="241">
        <v>22</v>
      </c>
      <c r="BC105" s="81">
        <f>$H$105*月別販売比率!BF5</f>
        <v>8.4558823529411775</v>
      </c>
      <c r="BD105" s="21"/>
      <c r="BE105" s="81">
        <f>$H$105*月別販売比率!C21</f>
        <v>7.4902471308103156</v>
      </c>
      <c r="BF105" s="21"/>
      <c r="BG105" s="245">
        <f>$H$105*月別販売比率!H21</f>
        <v>7.3988970588235308</v>
      </c>
      <c r="BH105" s="241">
        <v>10</v>
      </c>
      <c r="BI105" s="81">
        <f>$H$105*月別販売比率!M21</f>
        <v>10.682283317297987</v>
      </c>
      <c r="BJ105" s="21"/>
      <c r="BK105" s="81">
        <f>$H$105*月別販売比率!R21</f>
        <v>8.4558823529411775</v>
      </c>
      <c r="BL105" s="21"/>
      <c r="BM105" s="245">
        <f>$H$105*月別販売比率!W21</f>
        <v>8.0507103288333806</v>
      </c>
      <c r="BN105" s="241">
        <v>30</v>
      </c>
      <c r="BO105" s="81">
        <f>$H$105*月別販売比率!AB21</f>
        <v>12.683823529411764</v>
      </c>
      <c r="BP105" s="21"/>
      <c r="BQ105" s="81">
        <f>$H$105*月別販売比率!AG21</f>
        <v>10.569852941176471</v>
      </c>
      <c r="BR105" s="21"/>
      <c r="BS105" s="81">
        <f>$H$105*月別販売比率!AL21</f>
        <v>9.5128676470588243</v>
      </c>
      <c r="BT105" s="21"/>
      <c r="BU105" s="245">
        <f>$H$105*月別販売比率!AQ21</f>
        <v>10.569852941176471</v>
      </c>
      <c r="BV105" s="241"/>
      <c r="BW105" s="81">
        <f>$H$105*月別販売比率!AV21</f>
        <v>6.4364459397467044</v>
      </c>
      <c r="BX105" s="21"/>
      <c r="BY105" s="245">
        <f>$H$105*月別販売比率!BA21</f>
        <v>5.8792820598165791</v>
      </c>
      <c r="BZ105" s="241">
        <v>40</v>
      </c>
      <c r="CA105" s="81">
        <f>$H$105*月別販売比率!BF21</f>
        <v>8.4558823529411775</v>
      </c>
      <c r="CB105" s="21"/>
      <c r="CC105" s="81">
        <f>H105*月別販売比率!$C$21</f>
        <v>7.4902471308103156</v>
      </c>
      <c r="CD105" s="21"/>
      <c r="CE105" s="245">
        <f>H105*月別販売比率!$H$21</f>
        <v>7.3988970588235308</v>
      </c>
      <c r="CF105" s="241">
        <v>20</v>
      </c>
      <c r="CG105" s="81">
        <f>H105*月別販売比率!$M$21</f>
        <v>10.682283317297987</v>
      </c>
      <c r="CH105" s="241">
        <v>40</v>
      </c>
      <c r="CI105" s="81">
        <f>H105*月別販売比率!$R$21</f>
        <v>8.4558823529411775</v>
      </c>
      <c r="CJ105" s="241">
        <v>10</v>
      </c>
      <c r="CK105" s="81">
        <f>H105*月別販売比率!$W$21</f>
        <v>8.0507103288333806</v>
      </c>
      <c r="CL105" s="21">
        <v>20</v>
      </c>
      <c r="CM105" s="81">
        <f>H105*月別販売比率!$AB$21</f>
        <v>12.683823529411764</v>
      </c>
      <c r="CN105" s="21"/>
      <c r="CO105" s="81">
        <f>H105*月別販売比率!$AG$21</f>
        <v>10.569852941176471</v>
      </c>
      <c r="CP105" s="21">
        <v>20</v>
      </c>
      <c r="CQ105" s="81">
        <f>H105*月別販売比率!$AL$21</f>
        <v>9.5128676470588243</v>
      </c>
      <c r="CR105" s="21"/>
      <c r="CS105" s="81">
        <f>H105*月別販売比率!$AQ$21</f>
        <v>10.569852941176471</v>
      </c>
      <c r="CT105" s="21"/>
      <c r="CU105" s="81">
        <f>H105*月別販売比率!$AV$21</f>
        <v>6.4364459397467044</v>
      </c>
      <c r="CV105" s="21"/>
      <c r="CW105" s="81">
        <f>H105*月別販売比率!$BA$21</f>
        <v>5.8792820598165791</v>
      </c>
      <c r="CX105" s="21"/>
      <c r="CY105" s="81">
        <f>H105*月別販売比率!$BF$21</f>
        <v>8.4558823529411775</v>
      </c>
      <c r="CZ105" s="21"/>
      <c r="DA105" s="28"/>
      <c r="DB105" s="294"/>
    </row>
    <row r="106" spans="2:106" ht="30.75" customHeight="1">
      <c r="C106" s="457"/>
      <c r="D106" s="441"/>
      <c r="E106" s="94" t="s">
        <v>49</v>
      </c>
      <c r="F106" s="57">
        <v>29</v>
      </c>
      <c r="G106" s="5">
        <f t="shared" si="180"/>
        <v>191400</v>
      </c>
      <c r="H106" s="7">
        <f t="shared" si="181"/>
        <v>133.27205882352942</v>
      </c>
      <c r="I106" s="5">
        <f t="shared" si="182"/>
        <v>879595.58823529421</v>
      </c>
      <c r="J106" s="9">
        <v>18</v>
      </c>
      <c r="K106" s="21">
        <f t="shared" si="184"/>
        <v>58</v>
      </c>
      <c r="L106" s="21">
        <v>10</v>
      </c>
      <c r="M106" s="21">
        <v>10</v>
      </c>
      <c r="N106" s="42">
        <v>38</v>
      </c>
      <c r="O106" s="19"/>
      <c r="P106" s="288"/>
      <c r="Q106" s="328"/>
      <c r="R106" s="328"/>
      <c r="S106" s="331">
        <v>45716</v>
      </c>
      <c r="T106" s="124"/>
      <c r="U106" s="328"/>
      <c r="V106" s="331">
        <v>45786</v>
      </c>
      <c r="W106" s="331"/>
      <c r="X106" s="331">
        <v>45855</v>
      </c>
      <c r="Y106" s="124"/>
      <c r="Z106" s="124"/>
      <c r="AA106" s="328"/>
      <c r="AB106" s="328"/>
      <c r="AC106" s="331">
        <v>46011</v>
      </c>
      <c r="AD106" s="331"/>
      <c r="AE106" s="331"/>
      <c r="AG106" s="331"/>
      <c r="AH106" s="331">
        <v>46172</v>
      </c>
      <c r="AI106" s="129">
        <f t="shared" si="183"/>
        <v>75.338235294117652</v>
      </c>
      <c r="AJ106" s="129">
        <f t="shared" si="172"/>
        <v>85.187339662110347</v>
      </c>
      <c r="AK106" s="129">
        <f t="shared" si="173"/>
        <v>69.194692603286825</v>
      </c>
      <c r="AL106" s="399">
        <f t="shared" si="174"/>
        <v>75.867486720933883</v>
      </c>
      <c r="AM106" s="393">
        <f t="shared" si="175"/>
        <v>63.873001426816238</v>
      </c>
      <c r="AN106" s="393">
        <f t="shared" si="176"/>
        <v>50.545795544463296</v>
      </c>
      <c r="AO106" s="393">
        <f t="shared" si="177"/>
        <v>42.430276750869623</v>
      </c>
      <c r="AP106" s="96">
        <f t="shared" si="178"/>
        <v>35.017268936318288</v>
      </c>
      <c r="AQ106" s="91">
        <f t="shared" si="179"/>
        <v>24.355504230435933</v>
      </c>
      <c r="AR106" s="198"/>
      <c r="AS106" s="81">
        <f>$H$106*月別販売比率!AG5</f>
        <v>13.327205882352942</v>
      </c>
      <c r="AT106" s="21"/>
      <c r="AU106" s="81">
        <f>$H$106*月別販売比率!AL5</f>
        <v>11.994485294117647</v>
      </c>
      <c r="AV106" s="21"/>
      <c r="AW106" s="81">
        <f>$H$106*月別販売比率!AQ5</f>
        <v>13.327205882352942</v>
      </c>
      <c r="AX106" s="21"/>
      <c r="AY106" s="81">
        <f>$H$106*月別販売比率!AV5</f>
        <v>8.1155187935936706</v>
      </c>
      <c r="AZ106" s="21"/>
      <c r="BA106" s="245">
        <f>$H$106*月別販売比率!BA5</f>
        <v>7.4130078145513387</v>
      </c>
      <c r="BB106" s="241">
        <v>25</v>
      </c>
      <c r="BC106" s="81">
        <f>$H$106*月別販売比率!BF5</f>
        <v>10.661764705882353</v>
      </c>
      <c r="BD106" s="21"/>
      <c r="BE106" s="81">
        <f>$H$106*月別販売比率!C21</f>
        <v>9.4442246431956161</v>
      </c>
      <c r="BF106" s="21"/>
      <c r="BG106" s="245">
        <f>$H$106*月別販売比率!H21</f>
        <v>9.3290441176470598</v>
      </c>
      <c r="BH106" s="241">
        <v>20</v>
      </c>
      <c r="BI106" s="81">
        <f>$H$106*月別販売比率!M21</f>
        <v>13.468965921810506</v>
      </c>
      <c r="BJ106" s="21"/>
      <c r="BK106" s="81">
        <f>$H$106*月別販売比率!R21</f>
        <v>10.661764705882353</v>
      </c>
      <c r="BL106" s="21"/>
      <c r="BM106" s="245">
        <f>$H$106*月別販売比率!W21</f>
        <v>10.150895632007307</v>
      </c>
      <c r="BN106" s="241">
        <v>27</v>
      </c>
      <c r="BO106" s="81">
        <f>$H$106*月別販売比率!AB21</f>
        <v>15.992647058823529</v>
      </c>
      <c r="BP106" s="21"/>
      <c r="BQ106" s="81">
        <f>$H$106*月別販売比率!AG21</f>
        <v>13.327205882352942</v>
      </c>
      <c r="BR106" s="21"/>
      <c r="BS106" s="81">
        <f>$H$106*月別販売比率!AL21</f>
        <v>11.994485294117647</v>
      </c>
      <c r="BT106" s="21"/>
      <c r="BU106" s="245">
        <f>$H$106*月別販売比率!AQ21</f>
        <v>13.327205882352942</v>
      </c>
      <c r="BV106" s="241">
        <v>13</v>
      </c>
      <c r="BW106" s="81">
        <f>$H$106*月別販売比率!AV21</f>
        <v>8.1155187935936706</v>
      </c>
      <c r="BX106" s="21"/>
      <c r="BY106" s="245">
        <f>$H$106*月別販売比率!BA21</f>
        <v>7.4130078145513387</v>
      </c>
      <c r="BZ106" s="241">
        <v>30</v>
      </c>
      <c r="CA106" s="81">
        <f>$H$106*月別販売比率!BF21</f>
        <v>10.661764705882353</v>
      </c>
      <c r="CB106" s="21"/>
      <c r="CC106" s="81">
        <f>H106*月別販売比率!$C$21</f>
        <v>9.4442246431956161</v>
      </c>
      <c r="CD106" s="21"/>
      <c r="CE106" s="245">
        <f>H106*月別販売比率!$H$21</f>
        <v>9.3290441176470598</v>
      </c>
      <c r="CF106" s="241">
        <v>40</v>
      </c>
      <c r="CG106" s="81">
        <f>H106*月別販売比率!$M$21</f>
        <v>13.468965921810506</v>
      </c>
      <c r="CH106" s="241">
        <v>30</v>
      </c>
      <c r="CI106" s="81">
        <f>H106*月別販売比率!$R$21</f>
        <v>10.661764705882353</v>
      </c>
      <c r="CJ106" s="241">
        <v>10</v>
      </c>
      <c r="CK106" s="81">
        <f>H106*月別販売比率!$W$21</f>
        <v>10.150895632007307</v>
      </c>
      <c r="CL106" s="21">
        <v>20</v>
      </c>
      <c r="CM106" s="81">
        <f>H106*月別販売比率!$AB$21</f>
        <v>15.992647058823529</v>
      </c>
      <c r="CN106" s="21"/>
      <c r="CO106" s="81">
        <f>H106*月別販売比率!$AG$21</f>
        <v>13.327205882352942</v>
      </c>
      <c r="CP106" s="21">
        <v>20</v>
      </c>
      <c r="CQ106" s="81">
        <f>H106*月別販売比率!$AL$21</f>
        <v>11.994485294117647</v>
      </c>
      <c r="CR106" s="21"/>
      <c r="CS106" s="81">
        <f>H106*月別販売比率!$AQ$21</f>
        <v>13.327205882352942</v>
      </c>
      <c r="CT106" s="21"/>
      <c r="CU106" s="81">
        <f>H106*月別販売比率!$AV$21</f>
        <v>8.1155187935936706</v>
      </c>
      <c r="CV106" s="21"/>
      <c r="CW106" s="81">
        <f>H106*月別販売比率!$BA$21</f>
        <v>7.4130078145513387</v>
      </c>
      <c r="CX106" s="21"/>
      <c r="CY106" s="81">
        <f>H106*月別販売比率!$BF$21</f>
        <v>10.661764705882353</v>
      </c>
      <c r="CZ106" s="21"/>
      <c r="DA106" s="28"/>
      <c r="DB106" s="294"/>
    </row>
    <row r="107" spans="2:106" ht="30.75" customHeight="1">
      <c r="C107" s="457"/>
      <c r="D107" s="441"/>
      <c r="E107" s="99" t="s">
        <v>50</v>
      </c>
      <c r="F107" s="56">
        <v>9</v>
      </c>
      <c r="G107" s="5">
        <f t="shared" si="180"/>
        <v>59400</v>
      </c>
      <c r="H107" s="7">
        <f t="shared" si="181"/>
        <v>41.360294117647058</v>
      </c>
      <c r="I107" s="5">
        <f t="shared" si="182"/>
        <v>272977.9411764706</v>
      </c>
      <c r="J107" s="49">
        <v>0</v>
      </c>
      <c r="K107" s="21">
        <f t="shared" si="184"/>
        <v>20</v>
      </c>
      <c r="L107" s="39">
        <v>10</v>
      </c>
      <c r="M107" s="39">
        <v>2</v>
      </c>
      <c r="N107" s="42">
        <v>8</v>
      </c>
      <c r="O107" s="289">
        <v>45587</v>
      </c>
      <c r="P107" s="19"/>
      <c r="Q107" s="124"/>
      <c r="R107" s="328"/>
      <c r="S107" s="331">
        <v>45716</v>
      </c>
      <c r="T107" s="124"/>
      <c r="U107" s="124"/>
      <c r="V107" s="124"/>
      <c r="W107" s="124"/>
      <c r="X107" s="328"/>
      <c r="Y107" s="331">
        <v>45879</v>
      </c>
      <c r="Z107" s="330"/>
      <c r="AA107" s="330"/>
      <c r="AB107" s="331"/>
      <c r="AC107" s="331">
        <v>46011</v>
      </c>
      <c r="AD107" s="331"/>
      <c r="AE107" s="331"/>
      <c r="AF107" s="331"/>
      <c r="AG107" s="331"/>
      <c r="AH107" s="331">
        <v>46172</v>
      </c>
      <c r="AI107" s="129">
        <f t="shared" si="183"/>
        <v>16.691176470588236</v>
      </c>
      <c r="AJ107" s="129">
        <f t="shared" si="172"/>
        <v>28.540898515827347</v>
      </c>
      <c r="AK107" s="129">
        <f t="shared" si="173"/>
        <v>23.577663221709699</v>
      </c>
      <c r="AL107" s="399">
        <f t="shared" si="174"/>
        <v>19.441633809944992</v>
      </c>
      <c r="AM107" s="393">
        <f t="shared" si="175"/>
        <v>15.719207339356757</v>
      </c>
      <c r="AN107" s="393">
        <f t="shared" si="176"/>
        <v>11.58317792759205</v>
      </c>
      <c r="AO107" s="393">
        <f t="shared" si="177"/>
        <v>9.064568646821602</v>
      </c>
      <c r="AP107" s="96">
        <f t="shared" si="178"/>
        <v>6.7639800147194631</v>
      </c>
      <c r="AQ107" s="91">
        <f t="shared" si="179"/>
        <v>3.4551564853076986</v>
      </c>
      <c r="AR107" s="198"/>
      <c r="AS107" s="81">
        <f>$H$107*月別販売比率!AG5</f>
        <v>4.1360294117647056</v>
      </c>
      <c r="AT107" s="39"/>
      <c r="AU107" s="81">
        <f>$H$107*月別販売比率!AL5</f>
        <v>3.7224264705882351</v>
      </c>
      <c r="AV107" s="39"/>
      <c r="AW107" s="81">
        <f>$H$107*月別販売比率!AQ5</f>
        <v>4.1360294117647056</v>
      </c>
      <c r="AX107" s="39"/>
      <c r="AY107" s="81">
        <f>$H$107*月別販売比率!AV5</f>
        <v>2.5186092807704492</v>
      </c>
      <c r="AZ107" s="39"/>
      <c r="BA107" s="245">
        <f>$H$107*月別販売比率!BA5</f>
        <v>2.3005886321021394</v>
      </c>
      <c r="BB107" s="280">
        <v>10</v>
      </c>
      <c r="BC107" s="81">
        <f>$H$107*月別販売比率!BF5</f>
        <v>3.3088235294117645</v>
      </c>
      <c r="BD107" s="39"/>
      <c r="BE107" s="81">
        <f>$H$107*月別販売比率!C21</f>
        <v>2.9309662685779494</v>
      </c>
      <c r="BF107" s="39"/>
      <c r="BG107" s="245">
        <f>$H$107*月別販売比率!H21</f>
        <v>2.8952205882352944</v>
      </c>
      <c r="BH107" s="280">
        <v>5</v>
      </c>
      <c r="BI107" s="81">
        <f>$H$107*月別販売比率!M21</f>
        <v>4.1800239067687777</v>
      </c>
      <c r="BJ107" s="39"/>
      <c r="BK107" s="81">
        <f>$H$107*月別販売比率!R21</f>
        <v>3.3088235294117645</v>
      </c>
      <c r="BL107" s="39"/>
      <c r="BM107" s="245">
        <f>$H$107*月別販売比率!W21</f>
        <v>3.1502779547608881</v>
      </c>
      <c r="BN107" s="280">
        <v>5</v>
      </c>
      <c r="BO107" s="81">
        <f>$H$107*月別販売比率!AB21</f>
        <v>4.9632352941176467</v>
      </c>
      <c r="BP107" s="39"/>
      <c r="BQ107" s="81">
        <f>$H$107*月別販売比率!AG21</f>
        <v>4.1360294117647056</v>
      </c>
      <c r="BR107" s="39"/>
      <c r="BS107" s="81">
        <f>$H$107*月別販売比率!AL21</f>
        <v>3.7224264705882351</v>
      </c>
      <c r="BT107" s="39"/>
      <c r="BU107" s="245">
        <f>$H$107*月別販売比率!AQ21</f>
        <v>4.1360294117647056</v>
      </c>
      <c r="BV107" s="280">
        <v>10</v>
      </c>
      <c r="BW107" s="81">
        <f>$H$107*月別販売比率!AV21</f>
        <v>2.5186092807704492</v>
      </c>
      <c r="BX107" s="39"/>
      <c r="BY107" s="245">
        <f>$H$107*月別販売比率!BA21</f>
        <v>2.3005886321021394</v>
      </c>
      <c r="BZ107" s="280">
        <v>5</v>
      </c>
      <c r="CA107" s="81">
        <f>$H$107*月別販売比率!BF21</f>
        <v>3.3088235294117645</v>
      </c>
      <c r="CB107" s="39"/>
      <c r="CC107" s="81">
        <f>H107*月別販売比率!$C$21</f>
        <v>2.9309662685779494</v>
      </c>
      <c r="CD107" s="39"/>
      <c r="CE107" s="245">
        <f>H107*月別販売比率!$H$21</f>
        <v>2.8952205882352944</v>
      </c>
      <c r="CF107" s="280">
        <v>10</v>
      </c>
      <c r="CG107" s="81">
        <f>H107*月別販売比率!$M$21</f>
        <v>4.1800239067687777</v>
      </c>
      <c r="CH107" s="280">
        <v>15</v>
      </c>
      <c r="CI107" s="81">
        <f>H107*月別販売比率!$R$21</f>
        <v>3.3088235294117645</v>
      </c>
      <c r="CJ107" s="280"/>
      <c r="CK107" s="81">
        <f>H107*月別販売比率!$W$21</f>
        <v>3.1502779547608881</v>
      </c>
      <c r="CL107" s="39">
        <v>15</v>
      </c>
      <c r="CM107" s="81">
        <f>H107*月別販売比率!$AB$21</f>
        <v>4.9632352941176467</v>
      </c>
      <c r="CN107" s="39"/>
      <c r="CO107" s="81">
        <f>H107*月別販売比率!$AG$21</f>
        <v>4.1360294117647056</v>
      </c>
      <c r="CP107" s="39"/>
      <c r="CQ107" s="81">
        <f>H107*月別販売比率!$AL$21</f>
        <v>3.7224264705882351</v>
      </c>
      <c r="CR107" s="39"/>
      <c r="CS107" s="81">
        <f>H107*月別販売比率!$AQ$21</f>
        <v>4.1360294117647056</v>
      </c>
      <c r="CT107" s="39"/>
      <c r="CU107" s="81">
        <f>H107*月別販売比率!$AV$21</f>
        <v>2.5186092807704492</v>
      </c>
      <c r="CV107" s="39"/>
      <c r="CW107" s="81">
        <f>H107*月別販売比率!$BA$21</f>
        <v>2.3005886321021394</v>
      </c>
      <c r="CX107" s="39"/>
      <c r="CY107" s="81">
        <f>H107*月別販売比率!$BF$21</f>
        <v>3.3088235294117645</v>
      </c>
      <c r="CZ107" s="39"/>
      <c r="DA107" s="28"/>
      <c r="DB107" s="294"/>
    </row>
    <row r="108" spans="2:106" ht="30.75" customHeight="1">
      <c r="C108" s="457"/>
      <c r="D108" s="441">
        <v>3</v>
      </c>
      <c r="E108" s="94" t="s">
        <v>47</v>
      </c>
      <c r="F108" s="57">
        <v>22</v>
      </c>
      <c r="G108" s="5">
        <f t="shared" si="180"/>
        <v>145200</v>
      </c>
      <c r="H108" s="7">
        <f t="shared" si="181"/>
        <v>101.10294117647059</v>
      </c>
      <c r="I108" s="5">
        <f t="shared" si="182"/>
        <v>667279.4117647059</v>
      </c>
      <c r="J108" s="9">
        <v>0</v>
      </c>
      <c r="K108" s="21">
        <f t="shared" si="184"/>
        <v>36</v>
      </c>
      <c r="L108" s="21">
        <v>9</v>
      </c>
      <c r="M108" s="21">
        <v>5</v>
      </c>
      <c r="N108" s="42">
        <v>22</v>
      </c>
      <c r="O108" s="288"/>
      <c r="P108" s="288"/>
      <c r="Q108" s="328"/>
      <c r="R108" s="328"/>
      <c r="S108" s="331">
        <v>45716</v>
      </c>
      <c r="T108" s="124"/>
      <c r="U108" s="328"/>
      <c r="V108" s="331">
        <v>45786</v>
      </c>
      <c r="W108" s="331"/>
      <c r="X108" s="328"/>
      <c r="Y108" s="331">
        <v>45879</v>
      </c>
      <c r="Z108" s="330"/>
      <c r="AA108" s="331"/>
      <c r="AB108" s="331"/>
      <c r="AC108" s="331">
        <v>46011</v>
      </c>
      <c r="AD108" s="331"/>
      <c r="AE108" s="331"/>
      <c r="AF108" s="331"/>
      <c r="AG108" s="331"/>
      <c r="AH108" s="331">
        <v>46172</v>
      </c>
      <c r="AI108" s="129">
        <f t="shared" si="183"/>
        <v>27.911764705882351</v>
      </c>
      <c r="AJ108" s="129">
        <f t="shared" si="172"/>
        <v>40.21108526091129</v>
      </c>
      <c r="AK108" s="129">
        <f t="shared" si="173"/>
        <v>28.078732319734819</v>
      </c>
      <c r="AL108" s="399">
        <f t="shared" si="174"/>
        <v>32.968438202087761</v>
      </c>
      <c r="AM108" s="393">
        <f t="shared" si="175"/>
        <v>23.869173496205406</v>
      </c>
      <c r="AN108" s="393">
        <f t="shared" si="176"/>
        <v>13.758879378558346</v>
      </c>
      <c r="AO108" s="393">
        <f t="shared" si="177"/>
        <v>7.6022789144528025</v>
      </c>
      <c r="AP108" s="96">
        <f t="shared" si="178"/>
        <v>1.9786178137586834</v>
      </c>
      <c r="AQ108" s="91">
        <f t="shared" si="179"/>
        <v>-6.1096174803589651</v>
      </c>
      <c r="AR108" s="198"/>
      <c r="AS108" s="81">
        <f>$H$108*月別販売比率!AG5</f>
        <v>10.11029411764706</v>
      </c>
      <c r="AT108" s="21"/>
      <c r="AU108" s="81">
        <f>$H$108*月別販売比率!AL5</f>
        <v>9.0992647058823533</v>
      </c>
      <c r="AV108" s="21"/>
      <c r="AW108" s="81">
        <f>$H$108*月別販売比率!AQ5</f>
        <v>10.11029411764706</v>
      </c>
      <c r="AX108" s="21"/>
      <c r="AY108" s="81">
        <f>$H$108*月別販売比率!AV5</f>
        <v>6.1566004641055434</v>
      </c>
      <c r="AZ108" s="21"/>
      <c r="BA108" s="245">
        <f>$H$108*月別販売比率!BA5</f>
        <v>5.6236611006941191</v>
      </c>
      <c r="BB108" s="241">
        <v>20</v>
      </c>
      <c r="BC108" s="81">
        <f>$H$108*月別販売比率!BF5</f>
        <v>8.0882352941176485</v>
      </c>
      <c r="BD108" s="21"/>
      <c r="BE108" s="81">
        <f>$H$108*月別販売比率!C21</f>
        <v>7.1645842120794327</v>
      </c>
      <c r="BF108" s="21"/>
      <c r="BG108" s="245">
        <f>$H$108*月別販売比率!H21</f>
        <v>7.077205882352942</v>
      </c>
      <c r="BH108" s="241">
        <v>15</v>
      </c>
      <c r="BI108" s="81">
        <f>$H$108*月別販売比率!M21</f>
        <v>10.217836216545901</v>
      </c>
      <c r="BJ108" s="21"/>
      <c r="BK108" s="81">
        <f>$H$108*月別販売比率!R21</f>
        <v>8.0882352941176485</v>
      </c>
      <c r="BL108" s="21"/>
      <c r="BM108" s="245">
        <f>$H$108*月別販売比率!W21</f>
        <v>7.7006794449710609</v>
      </c>
      <c r="BN108" s="241">
        <v>23</v>
      </c>
      <c r="BO108" s="81">
        <f>$H$108*月別販売比率!AB21</f>
        <v>12.132352941176471</v>
      </c>
      <c r="BP108" s="21"/>
      <c r="BQ108" s="81">
        <f>$H$108*月別販売比率!AG21</f>
        <v>10.11029411764706</v>
      </c>
      <c r="BR108" s="21"/>
      <c r="BS108" s="81">
        <f>$H$108*月別販売比率!AL21</f>
        <v>9.0992647058823533</v>
      </c>
      <c r="BT108" s="21"/>
      <c r="BU108" s="245">
        <f>$H$108*月別販売比率!AQ21</f>
        <v>10.11029411764706</v>
      </c>
      <c r="BV108" s="241">
        <v>10</v>
      </c>
      <c r="BW108" s="81">
        <f>$H$108*月別販売比率!AV21</f>
        <v>6.1566004641055434</v>
      </c>
      <c r="BX108" s="21"/>
      <c r="BY108" s="245">
        <f>$H$108*月別販売比率!BA21</f>
        <v>5.6236611006941191</v>
      </c>
      <c r="BZ108" s="241">
        <v>30</v>
      </c>
      <c r="CA108" s="81">
        <f>$H$108*月別販売比率!BF21</f>
        <v>8.0882352941176485</v>
      </c>
      <c r="CB108" s="21"/>
      <c r="CC108" s="81">
        <f>H108*月別販売比率!$C$21</f>
        <v>7.1645842120794327</v>
      </c>
      <c r="CD108" s="21"/>
      <c r="CE108" s="245">
        <f>H108*月別販売比率!$H$21</f>
        <v>7.077205882352942</v>
      </c>
      <c r="CF108" s="241">
        <v>30</v>
      </c>
      <c r="CG108" s="81">
        <f>H108*月別販売比率!$M$21</f>
        <v>10.217836216545901</v>
      </c>
      <c r="CH108" s="241">
        <v>25</v>
      </c>
      <c r="CI108" s="81">
        <f>H108*月別販売比率!$R$21</f>
        <v>8.0882352941176485</v>
      </c>
      <c r="CJ108" s="241"/>
      <c r="CK108" s="81">
        <f>H108*月別販売比率!$W$21</f>
        <v>7.7006794449710609</v>
      </c>
      <c r="CL108" s="21">
        <v>20</v>
      </c>
      <c r="CM108" s="81">
        <f>H108*月別販売比率!$AB$21</f>
        <v>12.132352941176471</v>
      </c>
      <c r="CN108" s="21"/>
      <c r="CO108" s="81">
        <f>H108*月別販売比率!$AG$21</f>
        <v>10.11029411764706</v>
      </c>
      <c r="CP108" s="21">
        <v>15</v>
      </c>
      <c r="CQ108" s="81">
        <f>H108*月別販売比率!$AL$21</f>
        <v>9.0992647058823533</v>
      </c>
      <c r="CR108" s="21"/>
      <c r="CS108" s="81">
        <f>H108*月別販売比率!$AQ$21</f>
        <v>10.11029411764706</v>
      </c>
      <c r="CT108" s="21"/>
      <c r="CU108" s="81">
        <f>H108*月別販売比率!$AV$21</f>
        <v>6.1566004641055434</v>
      </c>
      <c r="CV108" s="21"/>
      <c r="CW108" s="81">
        <f>H108*月別販売比率!$BA$21</f>
        <v>5.6236611006941191</v>
      </c>
      <c r="CX108" s="21"/>
      <c r="CY108" s="81">
        <f>H108*月別販売比率!$BF$21</f>
        <v>8.0882352941176485</v>
      </c>
      <c r="CZ108" s="21"/>
      <c r="DA108" s="28"/>
      <c r="DB108" s="294"/>
    </row>
    <row r="109" spans="2:106" ht="30.75" customHeight="1">
      <c r="C109" s="457"/>
      <c r="D109" s="441"/>
      <c r="E109" s="94" t="s">
        <v>51</v>
      </c>
      <c r="F109" s="57">
        <v>25</v>
      </c>
      <c r="G109" s="5">
        <f t="shared" si="180"/>
        <v>165000</v>
      </c>
      <c r="H109" s="7">
        <f t="shared" si="181"/>
        <v>114.88970588235294</v>
      </c>
      <c r="I109" s="5">
        <f t="shared" si="182"/>
        <v>758272.0588235294</v>
      </c>
      <c r="J109" s="9">
        <v>61</v>
      </c>
      <c r="K109" s="21">
        <f t="shared" si="184"/>
        <v>22</v>
      </c>
      <c r="L109" s="21">
        <v>10</v>
      </c>
      <c r="M109" s="21">
        <v>11</v>
      </c>
      <c r="N109" s="42">
        <v>1</v>
      </c>
      <c r="O109" s="288"/>
      <c r="P109" s="288"/>
      <c r="Q109" s="328"/>
      <c r="R109" s="328"/>
      <c r="S109" s="331">
        <v>45716</v>
      </c>
      <c r="T109" s="124"/>
      <c r="U109" s="328"/>
      <c r="V109" s="331">
        <v>45786</v>
      </c>
      <c r="W109" s="331"/>
      <c r="X109" s="328"/>
      <c r="Y109" s="331">
        <v>45879</v>
      </c>
      <c r="Z109" s="330"/>
      <c r="AA109" s="331"/>
      <c r="AB109" s="331"/>
      <c r="AC109" s="331">
        <v>46011</v>
      </c>
      <c r="AD109" s="331"/>
      <c r="AE109" s="331"/>
      <c r="AG109" s="331"/>
      <c r="AH109" s="331">
        <v>46172</v>
      </c>
      <c r="AI109" s="129">
        <f t="shared" si="183"/>
        <v>73.808823529411768</v>
      </c>
      <c r="AJ109" s="129">
        <f t="shared" si="172"/>
        <v>85.058051432853745</v>
      </c>
      <c r="AK109" s="129">
        <f t="shared" si="173"/>
        <v>71.271286726971397</v>
      </c>
      <c r="AL109" s="399">
        <f t="shared" si="174"/>
        <v>79.782316138736093</v>
      </c>
      <c r="AM109" s="393">
        <f t="shared" si="175"/>
        <v>69.442242609324325</v>
      </c>
      <c r="AN109" s="393">
        <f t="shared" si="176"/>
        <v>57.953272021089028</v>
      </c>
      <c r="AO109" s="393">
        <f t="shared" si="177"/>
        <v>50.957135130060003</v>
      </c>
      <c r="AP109" s="96">
        <f t="shared" si="178"/>
        <v>44.566611151998501</v>
      </c>
      <c r="AQ109" s="91">
        <f t="shared" si="179"/>
        <v>35.375434681410269</v>
      </c>
      <c r="AR109" s="198"/>
      <c r="AS109" s="81">
        <f>$H$109*月別販売比率!AG5</f>
        <v>11.488970588235295</v>
      </c>
      <c r="AT109" s="21"/>
      <c r="AU109" s="81">
        <f>$H$109*月別販売比率!AL5</f>
        <v>10.340073529411764</v>
      </c>
      <c r="AV109" s="21"/>
      <c r="AW109" s="81">
        <f>$H$109*月別販売比率!AQ5</f>
        <v>11.488970588235295</v>
      </c>
      <c r="AX109" s="21"/>
      <c r="AY109" s="81">
        <f>$H$109*月別販売比率!AV5</f>
        <v>6.9961368910290265</v>
      </c>
      <c r="AZ109" s="21"/>
      <c r="BA109" s="245">
        <f>$H$109*月別販売比率!BA5</f>
        <v>6.3905239780614984</v>
      </c>
      <c r="BB109" s="241">
        <v>17</v>
      </c>
      <c r="BC109" s="81">
        <f>$H$109*月別販売比率!BF5</f>
        <v>9.1911764705882355</v>
      </c>
      <c r="BD109" s="21"/>
      <c r="BE109" s="81">
        <f>$H$109*月別販売比率!C21</f>
        <v>8.1415729682720812</v>
      </c>
      <c r="BF109" s="21"/>
      <c r="BG109" s="245">
        <f>$H$109*月別販売比率!H21</f>
        <v>8.0422794117647065</v>
      </c>
      <c r="BH109" s="241">
        <v>25</v>
      </c>
      <c r="BI109" s="81">
        <f>$H$109*月別販売比率!M21</f>
        <v>11.61117751880216</v>
      </c>
      <c r="BJ109" s="21"/>
      <c r="BK109" s="81">
        <f>$H$109*月別販売比率!R21</f>
        <v>9.1911764705882355</v>
      </c>
      <c r="BL109" s="21"/>
      <c r="BM109" s="245">
        <f>$H$109*月別販売比率!W21</f>
        <v>8.7507720965580233</v>
      </c>
      <c r="BN109" s="241">
        <v>20</v>
      </c>
      <c r="BO109" s="81">
        <f>$H$109*月別販売比率!AB21</f>
        <v>13.786764705882353</v>
      </c>
      <c r="BP109" s="21"/>
      <c r="BQ109" s="81">
        <f>$H$109*月別販売比率!AG21</f>
        <v>11.488970588235295</v>
      </c>
      <c r="BR109" s="21"/>
      <c r="BS109" s="81">
        <f>$H$109*月別販売比率!AL21</f>
        <v>10.340073529411764</v>
      </c>
      <c r="BT109" s="21"/>
      <c r="BU109" s="245">
        <f>$H$109*月別販売比率!AQ21</f>
        <v>11.488970588235295</v>
      </c>
      <c r="BV109" s="241">
        <v>19</v>
      </c>
      <c r="BW109" s="81">
        <f>$H$109*月別販売比率!AV21</f>
        <v>6.9961368910290265</v>
      </c>
      <c r="BX109" s="21"/>
      <c r="BY109" s="245">
        <f>$H$109*月別販売比率!BA21</f>
        <v>6.3905239780614984</v>
      </c>
      <c r="BZ109" s="241">
        <v>25</v>
      </c>
      <c r="CA109" s="81">
        <f>$H$109*月別販売比率!BF21</f>
        <v>9.1911764705882355</v>
      </c>
      <c r="CB109" s="21"/>
      <c r="CC109" s="81">
        <f>H109*月別販売比率!$C$21</f>
        <v>8.1415729682720812</v>
      </c>
      <c r="CD109" s="21"/>
      <c r="CE109" s="245">
        <f>H109*月別販売比率!$H$21</f>
        <v>8.0422794117647065</v>
      </c>
      <c r="CF109" s="241">
        <v>40</v>
      </c>
      <c r="CG109" s="81">
        <f>H109*月別販売比率!$M$21</f>
        <v>11.61117751880216</v>
      </c>
      <c r="CH109" s="241">
        <v>25</v>
      </c>
      <c r="CI109" s="81">
        <f>H109*月別販売比率!$R$21</f>
        <v>9.1911764705882355</v>
      </c>
      <c r="CJ109" s="241"/>
      <c r="CK109" s="81">
        <f>H109*月別販売比率!$W$21</f>
        <v>8.7507720965580233</v>
      </c>
      <c r="CL109" s="21">
        <v>20</v>
      </c>
      <c r="CM109" s="81">
        <f>H109*月別販売比率!$AB$21</f>
        <v>13.786764705882353</v>
      </c>
      <c r="CN109" s="21"/>
      <c r="CO109" s="81">
        <f>H109*月別販売比率!$AG$21</f>
        <v>11.488970588235295</v>
      </c>
      <c r="CP109" s="21">
        <v>20</v>
      </c>
      <c r="CQ109" s="81">
        <f>H109*月別販売比率!$AL$21</f>
        <v>10.340073529411764</v>
      </c>
      <c r="CR109" s="21"/>
      <c r="CS109" s="81">
        <f>H109*月別販売比率!$AQ$21</f>
        <v>11.488970588235295</v>
      </c>
      <c r="CT109" s="21"/>
      <c r="CU109" s="81">
        <f>H109*月別販売比率!$AV$21</f>
        <v>6.9961368910290265</v>
      </c>
      <c r="CV109" s="21"/>
      <c r="CW109" s="81">
        <f>H109*月別販売比率!$BA$21</f>
        <v>6.3905239780614984</v>
      </c>
      <c r="CX109" s="21"/>
      <c r="CY109" s="81">
        <f>H109*月別販売比率!$BF$21</f>
        <v>9.1911764705882355</v>
      </c>
      <c r="CZ109" s="21"/>
      <c r="DA109" s="28"/>
      <c r="DB109" s="294"/>
    </row>
    <row r="110" spans="2:106" ht="30.75" customHeight="1">
      <c r="C110" s="457"/>
      <c r="D110" s="441"/>
      <c r="E110" s="94" t="s">
        <v>49</v>
      </c>
      <c r="F110" s="57">
        <v>12</v>
      </c>
      <c r="G110" s="5">
        <f t="shared" si="180"/>
        <v>79200</v>
      </c>
      <c r="H110" s="7">
        <f t="shared" si="181"/>
        <v>55.147058823529413</v>
      </c>
      <c r="I110" s="5">
        <f t="shared" si="182"/>
        <v>363970.5882352941</v>
      </c>
      <c r="J110" s="9">
        <v>7</v>
      </c>
      <c r="K110" s="21">
        <f t="shared" si="184"/>
        <v>38</v>
      </c>
      <c r="L110" s="21">
        <v>10</v>
      </c>
      <c r="M110" s="21">
        <v>10</v>
      </c>
      <c r="N110" s="42">
        <v>18</v>
      </c>
      <c r="O110" s="19"/>
      <c r="P110" s="19"/>
      <c r="Q110" s="124"/>
      <c r="R110" s="328"/>
      <c r="S110" s="331">
        <v>45716</v>
      </c>
      <c r="T110" s="124"/>
      <c r="U110" s="328"/>
      <c r="V110" s="331">
        <v>45786</v>
      </c>
      <c r="W110" s="331"/>
      <c r="X110" s="328"/>
      <c r="Y110" s="331">
        <v>45879</v>
      </c>
      <c r="Z110" s="330"/>
      <c r="AA110" s="331"/>
      <c r="AB110" s="331"/>
      <c r="AC110" s="331">
        <v>46011</v>
      </c>
      <c r="AI110" s="129">
        <f t="shared" si="183"/>
        <v>40.588235294117645</v>
      </c>
      <c r="AJ110" s="129">
        <f t="shared" si="172"/>
        <v>56.387864687769792</v>
      </c>
      <c r="AK110" s="129">
        <f t="shared" si="173"/>
        <v>49.770217628946263</v>
      </c>
      <c r="AL110" s="399">
        <f t="shared" si="174"/>
        <v>59.255511746593321</v>
      </c>
      <c r="AM110" s="393">
        <f t="shared" si="175"/>
        <v>54.292276452475676</v>
      </c>
      <c r="AN110" s="393">
        <f t="shared" si="176"/>
        <v>48.777570570122734</v>
      </c>
      <c r="AO110" s="393">
        <f t="shared" si="177"/>
        <v>45.419424862428798</v>
      </c>
      <c r="AP110" s="96">
        <f t="shared" si="178"/>
        <v>42.351973352959277</v>
      </c>
      <c r="AQ110" s="91">
        <f t="shared" si="179"/>
        <v>37.940208647076922</v>
      </c>
      <c r="AR110" s="198"/>
      <c r="AS110" s="81">
        <f>$H$110*月別販売比率!AG5</f>
        <v>5.514705882352942</v>
      </c>
      <c r="AT110" s="21"/>
      <c r="AU110" s="81">
        <f>$H$110*月別販売比率!AL5</f>
        <v>4.9632352941176467</v>
      </c>
      <c r="AV110" s="21"/>
      <c r="AW110" s="81">
        <f>$H$110*月別販売比率!AQ5</f>
        <v>5.514705882352942</v>
      </c>
      <c r="AX110" s="21"/>
      <c r="AY110" s="81">
        <f>$H$110*月別販売比率!AV5</f>
        <v>3.3581457076939327</v>
      </c>
      <c r="AZ110" s="21"/>
      <c r="BA110" s="245">
        <f>$H$110*月別販売比率!BA5</f>
        <v>3.0674515094695192</v>
      </c>
      <c r="BB110" s="241">
        <v>4</v>
      </c>
      <c r="BC110" s="81">
        <f>$H$110*月別販売比率!BF5</f>
        <v>4.4117647058823533</v>
      </c>
      <c r="BD110" s="21"/>
      <c r="BE110" s="81">
        <f>$H$110*月別販売比率!C21</f>
        <v>3.9079550247705996</v>
      </c>
      <c r="BF110" s="21"/>
      <c r="BG110" s="245">
        <f>$H$110*月別販売比率!H21</f>
        <v>3.8602941176470593</v>
      </c>
      <c r="BH110" s="241">
        <v>10</v>
      </c>
      <c r="BI110" s="81">
        <f>$H$110*月別販売比率!M21</f>
        <v>5.5733652090250372</v>
      </c>
      <c r="BJ110" s="21"/>
      <c r="BK110" s="81">
        <f>$H$110*月別販売比率!R21</f>
        <v>4.4117647058823533</v>
      </c>
      <c r="BL110" s="21"/>
      <c r="BM110" s="245">
        <f>$H$110*月別販売比率!W21</f>
        <v>4.2003706063478514</v>
      </c>
      <c r="BN110" s="241">
        <v>13</v>
      </c>
      <c r="BO110" s="81">
        <f>$H$110*月別販売比率!AB21</f>
        <v>6.617647058823529</v>
      </c>
      <c r="BP110" s="21"/>
      <c r="BQ110" s="81">
        <f>$H$110*月別販売比率!AG21</f>
        <v>5.514705882352942</v>
      </c>
      <c r="BR110" s="21"/>
      <c r="BS110" s="81">
        <f>$H$110*月別販売比率!AL21</f>
        <v>4.9632352941176467</v>
      </c>
      <c r="BT110" s="21"/>
      <c r="BU110" s="245">
        <f>$H$110*月別販売比率!AQ21</f>
        <v>5.514705882352942</v>
      </c>
      <c r="BV110" s="241">
        <v>15</v>
      </c>
      <c r="BW110" s="81">
        <f>$H$110*月別販売比率!AV21</f>
        <v>3.3581457076939327</v>
      </c>
      <c r="BX110" s="21"/>
      <c r="BY110" s="245">
        <f>$H$110*月別販売比率!BA21</f>
        <v>3.0674515094695192</v>
      </c>
      <c r="BZ110" s="241">
        <v>25</v>
      </c>
      <c r="CA110" s="81">
        <f>$H$110*月別販売比率!BF21</f>
        <v>4.4117647058823533</v>
      </c>
      <c r="CB110" s="21"/>
      <c r="CC110" s="81">
        <f>H110*月別販売比率!$C$21</f>
        <v>3.9079550247705996</v>
      </c>
      <c r="CD110" s="21"/>
      <c r="CE110" s="245">
        <f>H110*月別販売比率!$H$21</f>
        <v>3.8602941176470593</v>
      </c>
      <c r="CF110" s="241">
        <v>25</v>
      </c>
      <c r="CG110" s="81">
        <f>H110*月別販売比率!$M$21</f>
        <v>5.5733652090250372</v>
      </c>
      <c r="CH110" s="241">
        <v>20</v>
      </c>
      <c r="CI110" s="81">
        <f>H110*月別販売比率!$R$21</f>
        <v>4.4117647058823533</v>
      </c>
      <c r="CJ110" s="241"/>
      <c r="CK110" s="81">
        <f>H110*月別販売比率!$W$21</f>
        <v>4.2003706063478514</v>
      </c>
      <c r="CL110" s="21">
        <v>20</v>
      </c>
      <c r="CM110" s="81">
        <f>H110*月別販売比率!$AB$21</f>
        <v>6.617647058823529</v>
      </c>
      <c r="CN110" s="21"/>
      <c r="CO110" s="81">
        <f>H110*月別販売比率!$AG$21</f>
        <v>5.514705882352942</v>
      </c>
      <c r="CP110" s="21">
        <v>15</v>
      </c>
      <c r="CQ110" s="81">
        <f>H110*月別販売比率!$AL$21</f>
        <v>4.9632352941176467</v>
      </c>
      <c r="CR110" s="21"/>
      <c r="CS110" s="81">
        <f>H110*月別販売比率!$AQ$21</f>
        <v>5.514705882352942</v>
      </c>
      <c r="CT110" s="21"/>
      <c r="CU110" s="81">
        <f>H110*月別販売比率!$AV$21</f>
        <v>3.3581457076939327</v>
      </c>
      <c r="CV110" s="21"/>
      <c r="CW110" s="81">
        <f>H110*月別販売比率!$BA$21</f>
        <v>3.0674515094695192</v>
      </c>
      <c r="CX110" s="21"/>
      <c r="CY110" s="81">
        <f>H110*月別販売比率!$BF$21</f>
        <v>4.4117647058823533</v>
      </c>
      <c r="CZ110" s="21"/>
      <c r="DA110" s="28"/>
      <c r="DB110" s="294"/>
    </row>
    <row r="111" spans="2:106" ht="30.75" customHeight="1">
      <c r="C111" s="458"/>
      <c r="D111" s="444"/>
      <c r="E111" s="101" t="s">
        <v>50</v>
      </c>
      <c r="F111" s="58">
        <v>18</v>
      </c>
      <c r="G111" s="35">
        <f t="shared" si="180"/>
        <v>118800</v>
      </c>
      <c r="H111" s="181">
        <f t="shared" si="181"/>
        <v>82.720588235294116</v>
      </c>
      <c r="I111" s="35">
        <f t="shared" si="182"/>
        <v>545955.8823529412</v>
      </c>
      <c r="J111" s="113">
        <v>20</v>
      </c>
      <c r="K111" s="103">
        <f t="shared" si="184"/>
        <v>37</v>
      </c>
      <c r="L111" s="104">
        <v>10</v>
      </c>
      <c r="M111" s="104">
        <v>9</v>
      </c>
      <c r="N111" s="117">
        <v>18</v>
      </c>
      <c r="O111" s="319">
        <v>45594</v>
      </c>
      <c r="P111" s="123"/>
      <c r="Q111" s="238"/>
      <c r="R111" s="238"/>
      <c r="S111" s="238"/>
      <c r="T111" s="238"/>
      <c r="U111" s="329"/>
      <c r="V111" s="331">
        <v>45786</v>
      </c>
      <c r="W111" s="331"/>
      <c r="X111" s="328"/>
      <c r="Y111" s="334">
        <v>45879</v>
      </c>
      <c r="Z111" s="332"/>
      <c r="AA111" s="332"/>
      <c r="AB111" s="334"/>
      <c r="AC111" s="334">
        <v>46011</v>
      </c>
      <c r="AD111" s="115"/>
      <c r="AE111" s="115"/>
      <c r="AF111" s="115"/>
      <c r="AG111" s="331"/>
      <c r="AH111" s="331">
        <v>46172</v>
      </c>
      <c r="AI111" s="238">
        <f t="shared" si="183"/>
        <v>50.382352941176471</v>
      </c>
      <c r="AJ111" s="238">
        <f t="shared" si="172"/>
        <v>59.081797031654695</v>
      </c>
      <c r="AK111" s="238">
        <f t="shared" si="173"/>
        <v>49.155326443419398</v>
      </c>
      <c r="AL111" s="401">
        <f t="shared" si="174"/>
        <v>50.883267619889985</v>
      </c>
      <c r="AM111" s="395">
        <f t="shared" si="175"/>
        <v>43.438414678713514</v>
      </c>
      <c r="AN111" s="395">
        <f t="shared" si="176"/>
        <v>35.166355855184101</v>
      </c>
      <c r="AO111" s="395">
        <f t="shared" si="177"/>
        <v>30.129137293643204</v>
      </c>
      <c r="AP111" s="403">
        <f t="shared" si="178"/>
        <v>25.527960029438926</v>
      </c>
      <c r="AQ111" s="90">
        <f t="shared" si="179"/>
        <v>18.910312970615397</v>
      </c>
      <c r="AR111" s="238"/>
      <c r="AS111" s="282">
        <f>$H$111*月別販売比率!AG5</f>
        <v>8.2720588235294112</v>
      </c>
      <c r="AT111" s="103"/>
      <c r="AU111" s="282">
        <f>$H$111*月別販売比率!AL5</f>
        <v>7.4448529411764701</v>
      </c>
      <c r="AV111" s="104"/>
      <c r="AW111" s="282">
        <f>$H$111*月別販売比率!AQ5</f>
        <v>8.2720588235294112</v>
      </c>
      <c r="AX111" s="104"/>
      <c r="AY111" s="282">
        <f>$H$111*月別販売比率!AV5</f>
        <v>5.0372185615408984</v>
      </c>
      <c r="AZ111" s="104"/>
      <c r="BA111" s="301">
        <f>$H$111*月別販売比率!BA5</f>
        <v>4.6011772642042787</v>
      </c>
      <c r="BB111" s="339"/>
      <c r="BC111" s="282">
        <f>$H$111*月別販売比率!BF5</f>
        <v>6.617647058823529</v>
      </c>
      <c r="BD111" s="104"/>
      <c r="BE111" s="282">
        <f>$H$111*月別販売比率!C21</f>
        <v>5.8619325371558988</v>
      </c>
      <c r="BF111" s="104"/>
      <c r="BG111" s="301">
        <f>$H$111*月別販売比率!H21</f>
        <v>5.7904411764705888</v>
      </c>
      <c r="BH111" s="339">
        <v>10</v>
      </c>
      <c r="BI111" s="282">
        <f>$H$111*月別販売比率!M21</f>
        <v>8.3600478135375553</v>
      </c>
      <c r="BJ111" s="104"/>
      <c r="BK111" s="282">
        <f>$H$111*月別販売比率!R21</f>
        <v>6.617647058823529</v>
      </c>
      <c r="BL111" s="104"/>
      <c r="BM111" s="301">
        <f>$H$111*月別販売比率!W21</f>
        <v>6.3005559095217762</v>
      </c>
      <c r="BN111" s="339">
        <v>5</v>
      </c>
      <c r="BO111" s="282">
        <f>$H$111*月別販売比率!AB21</f>
        <v>9.9264705882352935</v>
      </c>
      <c r="BP111" s="104"/>
      <c r="BQ111" s="282">
        <f>$H$111*月別販売比率!AG21</f>
        <v>8.2720588235294112</v>
      </c>
      <c r="BR111" s="104"/>
      <c r="BS111" s="282">
        <f>$H$111*月別販売比率!AL21</f>
        <v>7.4448529411764701</v>
      </c>
      <c r="BT111" s="104"/>
      <c r="BU111" s="301">
        <f>$H$111*月別販売比率!AQ21</f>
        <v>8.2720588235294112</v>
      </c>
      <c r="BV111" s="339">
        <v>35</v>
      </c>
      <c r="BW111" s="282">
        <f>$H$111*月別販売比率!AV21</f>
        <v>5.0372185615408984</v>
      </c>
      <c r="BX111" s="104"/>
      <c r="BY111" s="301">
        <f>$H$111*月別販売比率!BA21</f>
        <v>4.6011772642042787</v>
      </c>
      <c r="BZ111" s="339">
        <v>5</v>
      </c>
      <c r="CA111" s="282">
        <f>$H$111*月別販売比率!BF21</f>
        <v>6.617647058823529</v>
      </c>
      <c r="CB111" s="104"/>
      <c r="CC111" s="282">
        <f>H111*月別販売比率!$C$21</f>
        <v>5.8619325371558988</v>
      </c>
      <c r="CD111" s="104"/>
      <c r="CE111" s="301">
        <f>H111*月別販売比率!$H$21</f>
        <v>5.7904411764705888</v>
      </c>
      <c r="CF111" s="339">
        <v>35</v>
      </c>
      <c r="CG111" s="282">
        <f>H111*月別販売比率!$M$21</f>
        <v>8.3600478135375553</v>
      </c>
      <c r="CH111" s="339">
        <v>20</v>
      </c>
      <c r="CI111" s="282">
        <f>H111*月別販売比率!$R$21</f>
        <v>6.617647058823529</v>
      </c>
      <c r="CJ111" s="339"/>
      <c r="CK111" s="282">
        <f>H111*月別販売比率!$W$21</f>
        <v>6.3005559095217762</v>
      </c>
      <c r="CL111" s="104">
        <v>15</v>
      </c>
      <c r="CM111" s="282">
        <f>H111*月別販売比率!$AB$21</f>
        <v>9.9264705882352935</v>
      </c>
      <c r="CN111" s="104"/>
      <c r="CO111" s="282">
        <f>H111*月別販売比率!$AG$21</f>
        <v>8.2720588235294112</v>
      </c>
      <c r="CP111" s="104">
        <v>10</v>
      </c>
      <c r="CQ111" s="282">
        <f>H111*月別販売比率!$AL$21</f>
        <v>7.4448529411764701</v>
      </c>
      <c r="CR111" s="104"/>
      <c r="CS111" s="282">
        <f>H111*月別販売比率!$AQ$21</f>
        <v>8.2720588235294112</v>
      </c>
      <c r="CT111" s="104"/>
      <c r="CU111" s="282">
        <f>H111*月別販売比率!$AV$21</f>
        <v>5.0372185615408984</v>
      </c>
      <c r="CV111" s="104"/>
      <c r="CW111" s="282">
        <f>H111*月別販売比率!$BA$21</f>
        <v>4.6011772642042787</v>
      </c>
      <c r="CX111" s="104"/>
      <c r="CY111" s="282">
        <f>H111*月別販売比率!$BF$21</f>
        <v>6.617647058823529</v>
      </c>
      <c r="CZ111" s="104"/>
      <c r="DA111" s="296"/>
      <c r="DB111" s="297"/>
    </row>
    <row r="112" spans="2:106" ht="30.6" customHeight="1">
      <c r="B112" s="2" t="s">
        <v>281</v>
      </c>
      <c r="C112" s="435" t="s">
        <v>486</v>
      </c>
      <c r="D112" s="472"/>
      <c r="E112" s="437"/>
      <c r="F112" s="130">
        <f>SUM(F113:F121)</f>
        <v>293</v>
      </c>
      <c r="G112" s="131">
        <f>SUM(G113:G121)</f>
        <v>2256100</v>
      </c>
      <c r="H112" s="165">
        <v>850</v>
      </c>
      <c r="I112" s="131">
        <f t="shared" ref="I112:N112" si="185">SUM(I113:I121)</f>
        <v>6968105.8020477826</v>
      </c>
      <c r="J112" s="133">
        <f t="shared" si="185"/>
        <v>211</v>
      </c>
      <c r="K112" s="134">
        <f t="shared" si="185"/>
        <v>184</v>
      </c>
      <c r="L112" s="134">
        <f t="shared" si="185"/>
        <v>97</v>
      </c>
      <c r="M112" s="134">
        <f t="shared" si="185"/>
        <v>106</v>
      </c>
      <c r="N112" s="135">
        <f t="shared" si="185"/>
        <v>0</v>
      </c>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6">
        <f t="shared" ref="AS112:CB112" si="186">SUM(AS113:AS121)</f>
        <v>72.395904436860079</v>
      </c>
      <c r="AT112" s="134">
        <f t="shared" si="186"/>
        <v>0</v>
      </c>
      <c r="AU112" s="136">
        <f t="shared" si="186"/>
        <v>45.607016892257946</v>
      </c>
      <c r="AV112" s="134">
        <f t="shared" si="186"/>
        <v>0</v>
      </c>
      <c r="AW112" s="136">
        <f t="shared" si="186"/>
        <v>50.816470740800028</v>
      </c>
      <c r="AX112" s="134">
        <f t="shared" si="186"/>
        <v>0</v>
      </c>
      <c r="AY112" s="136">
        <f t="shared" si="186"/>
        <v>36.197952218430039</v>
      </c>
      <c r="AZ112" s="134">
        <f t="shared" si="186"/>
        <v>0</v>
      </c>
      <c r="BA112" s="136">
        <f t="shared" si="186"/>
        <v>24.624573378839589</v>
      </c>
      <c r="BB112" s="134">
        <f t="shared" si="186"/>
        <v>0</v>
      </c>
      <c r="BC112" s="136">
        <f t="shared" si="186"/>
        <v>45.159523676634819</v>
      </c>
      <c r="BD112" s="134">
        <f t="shared" si="186"/>
        <v>0</v>
      </c>
      <c r="BE112" s="136">
        <f t="shared" si="186"/>
        <v>63.346416382252571</v>
      </c>
      <c r="BF112" s="134">
        <f t="shared" si="186"/>
        <v>0</v>
      </c>
      <c r="BG112" s="136">
        <f t="shared" si="186"/>
        <v>72.395904436860079</v>
      </c>
      <c r="BH112" s="134">
        <f t="shared" si="186"/>
        <v>225</v>
      </c>
      <c r="BI112" s="136">
        <f t="shared" si="186"/>
        <v>126.69283276450514</v>
      </c>
      <c r="BJ112" s="134">
        <f t="shared" si="186"/>
        <v>0</v>
      </c>
      <c r="BK112" s="136">
        <f t="shared" si="186"/>
        <v>162.89078498293517</v>
      </c>
      <c r="BL112" s="134">
        <f t="shared" si="186"/>
        <v>0</v>
      </c>
      <c r="BM112" s="136">
        <f t="shared" si="186"/>
        <v>90.494880546075109</v>
      </c>
      <c r="BN112" s="134">
        <f t="shared" si="186"/>
        <v>200</v>
      </c>
      <c r="BO112" s="136">
        <f t="shared" si="186"/>
        <v>108.5938566552901</v>
      </c>
      <c r="BP112" s="134">
        <f t="shared" si="186"/>
        <v>0</v>
      </c>
      <c r="BQ112" s="136">
        <f t="shared" si="186"/>
        <v>72.395904436860079</v>
      </c>
      <c r="BR112" s="134">
        <f t="shared" si="186"/>
        <v>0</v>
      </c>
      <c r="BS112" s="136">
        <f t="shared" si="186"/>
        <v>45.607016892257946</v>
      </c>
      <c r="BT112" s="134">
        <f t="shared" si="186"/>
        <v>0</v>
      </c>
      <c r="BU112" s="136">
        <f t="shared" si="186"/>
        <v>50.816470740800028</v>
      </c>
      <c r="BV112" s="134">
        <f t="shared" si="186"/>
        <v>0</v>
      </c>
      <c r="BW112" s="136">
        <f t="shared" si="186"/>
        <v>36.197952218430039</v>
      </c>
      <c r="BX112" s="134">
        <f t="shared" si="186"/>
        <v>0</v>
      </c>
      <c r="BY112" s="136">
        <f t="shared" si="186"/>
        <v>27.148464163822524</v>
      </c>
      <c r="BZ112" s="134">
        <f t="shared" si="186"/>
        <v>0</v>
      </c>
      <c r="CA112" s="136">
        <f t="shared" si="186"/>
        <v>45.159523676634819</v>
      </c>
      <c r="CB112" s="134">
        <f t="shared" si="186"/>
        <v>0</v>
      </c>
      <c r="CC112" s="136">
        <f t="shared" ref="CC112:CD112" si="187">SUM(CC113:CC121)</f>
        <v>63.346416382252571</v>
      </c>
      <c r="CD112" s="134">
        <f t="shared" si="187"/>
        <v>175</v>
      </c>
      <c r="CE112" s="136">
        <f>SUM(CE113:CE121)</f>
        <v>72.395904436860079</v>
      </c>
      <c r="CF112" s="134">
        <f t="shared" ref="CF112" si="188">SUM(CF113:CF121)</f>
        <v>0</v>
      </c>
      <c r="CG112" s="136">
        <f t="shared" ref="CG112:CH112" si="189">SUM(CG113:CG121)</f>
        <v>126.69283276450514</v>
      </c>
      <c r="CH112" s="134">
        <f t="shared" si="189"/>
        <v>382</v>
      </c>
      <c r="CI112" s="136">
        <f>SUM(CI113:CI121)</f>
        <v>162.89078498293517</v>
      </c>
      <c r="CJ112" s="134">
        <f t="shared" ref="CJ112:CL112" si="190">SUM(CJ113:CJ121)</f>
        <v>0</v>
      </c>
      <c r="CK112" s="136">
        <f t="shared" si="190"/>
        <v>90.494880546075109</v>
      </c>
      <c r="CL112" s="134">
        <f t="shared" si="190"/>
        <v>300</v>
      </c>
      <c r="CM112" s="136">
        <f>SUM(CM113:CM121)</f>
        <v>108.5938566552901</v>
      </c>
      <c r="CN112" s="134">
        <f t="shared" ref="CN112:CP112" si="191">SUM(CN113:CN121)</f>
        <v>0</v>
      </c>
      <c r="CO112" s="136">
        <f t="shared" si="191"/>
        <v>72.395904436860079</v>
      </c>
      <c r="CP112" s="134">
        <f t="shared" si="191"/>
        <v>0</v>
      </c>
      <c r="CQ112" s="136">
        <f>SUM(CQ113:CQ121)</f>
        <v>45.607016892257946</v>
      </c>
      <c r="CR112" s="134">
        <f t="shared" ref="CR112:CX112" si="192">SUM(CR113:CR121)</f>
        <v>0</v>
      </c>
      <c r="CS112" s="136">
        <f t="shared" si="192"/>
        <v>50.816470740800028</v>
      </c>
      <c r="CT112" s="134">
        <f t="shared" si="192"/>
        <v>0</v>
      </c>
      <c r="CU112" s="136">
        <v>36.197952218430039</v>
      </c>
      <c r="CV112" s="134">
        <f t="shared" si="192"/>
        <v>0</v>
      </c>
      <c r="CW112" s="136">
        <f t="shared" si="192"/>
        <v>27.148464163822524</v>
      </c>
      <c r="CX112" s="134">
        <f t="shared" si="192"/>
        <v>0</v>
      </c>
      <c r="CY112" s="136">
        <f t="shared" ref="CY112:CZ112" si="193">SUM(CY113:CY121)</f>
        <v>45.159523676634819</v>
      </c>
      <c r="CZ112" s="134">
        <f t="shared" si="193"/>
        <v>0</v>
      </c>
      <c r="DA112" s="141"/>
      <c r="DB112" s="293"/>
    </row>
    <row r="113" spans="2:106" ht="30.75" customHeight="1">
      <c r="C113" s="476" t="s">
        <v>506</v>
      </c>
      <c r="D113" s="443">
        <v>1</v>
      </c>
      <c r="E113" s="99" t="s">
        <v>46</v>
      </c>
      <c r="F113">
        <v>23</v>
      </c>
      <c r="G113" s="46">
        <f>F113*7700</f>
        <v>177100</v>
      </c>
      <c r="H113" s="56">
        <f>F113*($H$112/$F$112)</f>
        <v>66.723549488054616</v>
      </c>
      <c r="I113" s="46">
        <f>H113*7700</f>
        <v>513771.33105802053</v>
      </c>
      <c r="J113" s="49">
        <v>10</v>
      </c>
      <c r="K113" s="39">
        <f t="shared" ref="K113:K115" si="194">SUM(L113:N113)</f>
        <v>23</v>
      </c>
      <c r="L113" s="39">
        <v>10</v>
      </c>
      <c r="M113" s="39">
        <v>13</v>
      </c>
      <c r="N113" s="42"/>
      <c r="O113" s="19"/>
      <c r="P113" s="19"/>
      <c r="Q113" s="124"/>
      <c r="R113" s="124"/>
      <c r="S113" s="124"/>
      <c r="T113" s="328"/>
      <c r="U113" s="328"/>
      <c r="V113" s="124"/>
      <c r="W113" s="124"/>
      <c r="X113" s="328"/>
      <c r="Y113" s="331">
        <v>45879</v>
      </c>
      <c r="Z113" s="330"/>
      <c r="AA113" s="330"/>
      <c r="AB113" s="330"/>
      <c r="AC113" s="331"/>
      <c r="AD113" s="331"/>
      <c r="AE113" s="331"/>
      <c r="AF113" s="331"/>
      <c r="AG113" s="331"/>
      <c r="AH113" s="331">
        <v>46172</v>
      </c>
      <c r="AI113" s="129">
        <f t="shared" ref="AI113:AI121" si="195">SUM(J113:K113)-CI113+CJ113</f>
        <v>20.989761092150168</v>
      </c>
      <c r="AJ113" s="129">
        <f t="shared" ref="AJ113:AJ120" si="196">AI113-CK113+CL113</f>
        <v>34.317406143344705</v>
      </c>
      <c r="AK113" s="129">
        <f t="shared" ref="AK113:AK121" si="197">AJ113-CM113+CN113</f>
        <v>26.310580204778152</v>
      </c>
      <c r="AL113" s="399">
        <f t="shared" ref="AL113:AL121" si="198">AK113-CO113+CP113</f>
        <v>20.972696245733783</v>
      </c>
      <c r="AM113" s="393">
        <f t="shared" ref="AM113:AM121" si="199">AL113-CQ113+CR113</f>
        <v>17.61000652201648</v>
      </c>
      <c r="AN113" s="393">
        <f t="shared" ref="AN113:AN121" si="200">AM113-CS113+CT113</f>
        <v>13.863214129096848</v>
      </c>
      <c r="AO113" s="393">
        <f t="shared" ref="AO113:AO121" si="201">AN113-CU113+CV113</f>
        <v>11.194272149574664</v>
      </c>
      <c r="AP113" s="96">
        <f t="shared" ref="AP113:AP121" si="202">AO113-CW113+CX113</f>
        <v>9.1925656649330243</v>
      </c>
      <c r="AQ113" s="91">
        <f t="shared" ref="AQ113:AQ121" si="203">AP113-CY113+CZ113</f>
        <v>5.8628704438196513</v>
      </c>
      <c r="AR113" s="198"/>
      <c r="AS113" s="81">
        <f>$H$113*月別販売比率!AG25</f>
        <v>5.337883959044369</v>
      </c>
      <c r="AT113" s="39"/>
      <c r="AU113" s="81">
        <f>$H$113*月別販売比率!AL25</f>
        <v>3.3626897237173035</v>
      </c>
      <c r="AV113" s="39"/>
      <c r="AW113" s="81">
        <f>$H$113*月別販売比率!AQ25</f>
        <v>3.7467923929196321</v>
      </c>
      <c r="AX113" s="39"/>
      <c r="AY113" s="81">
        <f>$H$113*月別販売比率!AV25</f>
        <v>2.6689419795221845</v>
      </c>
      <c r="AZ113" s="39"/>
      <c r="BA113" s="81">
        <f>$H$113*月別販売比率!BA25</f>
        <v>2.0017064846416384</v>
      </c>
      <c r="BB113" s="39"/>
      <c r="BC113" s="81">
        <f>$H$113*月別販売比率!BF25</f>
        <v>3.329695221113373</v>
      </c>
      <c r="BD113" s="39"/>
      <c r="BE113" s="81">
        <f>$H$113*月別販売比率!C25</f>
        <v>4.6706484641638237</v>
      </c>
      <c r="BF113" s="39"/>
      <c r="BG113" s="245">
        <f>$H$113*月別販売比率!H25</f>
        <v>5.337883959044369</v>
      </c>
      <c r="BH113" s="280">
        <v>12</v>
      </c>
      <c r="BI113" s="81">
        <f>$H$113*月別販売比率!M25</f>
        <v>9.3412969283276475</v>
      </c>
      <c r="BJ113" s="39"/>
      <c r="BK113" s="81">
        <f>$H$113*月別販売比率!R25</f>
        <v>12.01023890784983</v>
      </c>
      <c r="BL113" s="39"/>
      <c r="BM113" s="245">
        <f>$H$113*月別販売比率!W25</f>
        <v>6.6723549488054621</v>
      </c>
      <c r="BN113" s="280">
        <v>30</v>
      </c>
      <c r="BO113" s="81">
        <f>$H$113*月別販売比率!AB25</f>
        <v>8.0068259385665534</v>
      </c>
      <c r="BP113" s="39"/>
      <c r="BQ113" s="81">
        <f>$H$113*月別販売比率!AG25</f>
        <v>5.337883959044369</v>
      </c>
      <c r="BR113" s="39"/>
      <c r="BS113" s="81">
        <f>$H$113*月別販売比率!AL25</f>
        <v>3.3626897237173035</v>
      </c>
      <c r="BT113" s="39"/>
      <c r="BU113" s="81">
        <f>$H$113*月別販売比率!AQ25</f>
        <v>3.7467923929196321</v>
      </c>
      <c r="BV113" s="39"/>
      <c r="BW113" s="81">
        <f>$H$113*月別販売比率!AV25</f>
        <v>2.6689419795221845</v>
      </c>
      <c r="BX113" s="39"/>
      <c r="BY113" s="81">
        <f>$H$113*月別販売比率!BA25</f>
        <v>2.0017064846416384</v>
      </c>
      <c r="BZ113" s="39"/>
      <c r="CA113" s="81">
        <f>$H$113*月別販売比率!BF25</f>
        <v>3.329695221113373</v>
      </c>
      <c r="CB113" s="39"/>
      <c r="CC113" s="245">
        <f>H113*月別販売比率!$C$25</f>
        <v>4.6706484641638237</v>
      </c>
      <c r="CD113" s="280">
        <v>15</v>
      </c>
      <c r="CE113" s="81">
        <f>H113*月別販売比率!$H$25</f>
        <v>5.337883959044369</v>
      </c>
      <c r="CF113" s="39"/>
      <c r="CG113" s="81">
        <f>H113*月別販売比率!$M$25</f>
        <v>9.3412969283276475</v>
      </c>
      <c r="CH113" s="280">
        <v>29</v>
      </c>
      <c r="CI113" s="81">
        <f>H113*月別販売比率!$R$25</f>
        <v>12.01023890784983</v>
      </c>
      <c r="CJ113" s="39"/>
      <c r="CK113" s="81">
        <f>H113*月別販売比率!$W$25</f>
        <v>6.6723549488054621</v>
      </c>
      <c r="CL113" s="39">
        <v>20</v>
      </c>
      <c r="CM113" s="81">
        <f>H113*月別販売比率!$AB$25</f>
        <v>8.0068259385665534</v>
      </c>
      <c r="CN113" s="39"/>
      <c r="CO113" s="81">
        <f>H113*月別販売比率!$AG$25</f>
        <v>5.337883959044369</v>
      </c>
      <c r="CP113" s="39"/>
      <c r="CQ113" s="81">
        <f>H113*月別販売比率!$AL$25</f>
        <v>3.3626897237173035</v>
      </c>
      <c r="CR113" s="39"/>
      <c r="CS113" s="81">
        <f>H113*月別販売比率!$AQ$25</f>
        <v>3.7467923929196321</v>
      </c>
      <c r="CT113" s="39"/>
      <c r="CU113" s="81">
        <f>H113*月別販売比率!$AV$25</f>
        <v>2.6689419795221845</v>
      </c>
      <c r="CV113" s="39"/>
      <c r="CW113" s="81">
        <f>H113*月別販売比率!$BA$25</f>
        <v>2.0017064846416384</v>
      </c>
      <c r="CX113" s="39"/>
      <c r="CY113" s="81">
        <f>H113*月別販売比率!$BF$25</f>
        <v>3.329695221113373</v>
      </c>
      <c r="CZ113" s="39"/>
      <c r="DA113" s="28"/>
      <c r="DB113" s="294"/>
    </row>
    <row r="114" spans="2:106" ht="30.75" customHeight="1">
      <c r="C114" s="477"/>
      <c r="D114" s="441"/>
      <c r="E114" s="94" t="s">
        <v>47</v>
      </c>
      <c r="F114">
        <v>50</v>
      </c>
      <c r="G114" s="46">
        <f t="shared" ref="G114:G121" si="204">F114*7700</f>
        <v>385000</v>
      </c>
      <c r="H114" s="164">
        <v>200</v>
      </c>
      <c r="I114" s="46">
        <f t="shared" ref="I114:I121" si="205">H114*7700</f>
        <v>1540000</v>
      </c>
      <c r="J114" s="9">
        <v>61</v>
      </c>
      <c r="K114" s="21">
        <f t="shared" si="194"/>
        <v>23</v>
      </c>
      <c r="L114" s="21">
        <v>10</v>
      </c>
      <c r="M114" s="21">
        <v>13</v>
      </c>
      <c r="N114" s="42"/>
      <c r="O114" s="288"/>
      <c r="P114" s="289"/>
      <c r="Q114" s="328"/>
      <c r="R114" s="328"/>
      <c r="S114" s="328"/>
      <c r="T114" s="328"/>
      <c r="U114" s="328"/>
      <c r="V114" s="124"/>
      <c r="W114" s="124"/>
      <c r="X114" s="124"/>
      <c r="Y114" s="124"/>
      <c r="Z114" s="124"/>
      <c r="AA114" s="124"/>
      <c r="AB114" s="124"/>
      <c r="AC114" s="124"/>
      <c r="AD114" s="331"/>
      <c r="AE114" s="331"/>
      <c r="AF114" s="331"/>
      <c r="AG114" s="331"/>
      <c r="AH114" s="331">
        <v>46172</v>
      </c>
      <c r="AI114" s="129">
        <f t="shared" si="195"/>
        <v>48</v>
      </c>
      <c r="AJ114" s="129">
        <f t="shared" si="196"/>
        <v>113</v>
      </c>
      <c r="AK114" s="129">
        <f t="shared" si="197"/>
        <v>89</v>
      </c>
      <c r="AL114" s="399">
        <f t="shared" si="198"/>
        <v>73</v>
      </c>
      <c r="AM114" s="393">
        <f t="shared" si="199"/>
        <v>62.920531058320513</v>
      </c>
      <c r="AN114" s="393">
        <f t="shared" si="200"/>
        <v>51.689736468801826</v>
      </c>
      <c r="AO114" s="393">
        <f t="shared" si="201"/>
        <v>43.689736468801826</v>
      </c>
      <c r="AP114" s="96">
        <f t="shared" si="202"/>
        <v>37.689736468801826</v>
      </c>
      <c r="AQ114" s="91">
        <f t="shared" si="203"/>
        <v>27.709166650016986</v>
      </c>
      <c r="AR114" s="198"/>
      <c r="AS114" s="81">
        <f>$H$114*月別販売比率!AG25</f>
        <v>16</v>
      </c>
      <c r="AT114" s="21"/>
      <c r="AU114" s="81">
        <f>$H$114*月別販売比率!AL25</f>
        <v>10.079468941679487</v>
      </c>
      <c r="AV114" s="21"/>
      <c r="AW114" s="81">
        <f>$H$114*月別販売比率!AQ25</f>
        <v>11.230794589518691</v>
      </c>
      <c r="AX114" s="21"/>
      <c r="AY114" s="81">
        <f>$H$114*月別販売比率!AV25</f>
        <v>8</v>
      </c>
      <c r="AZ114" s="21"/>
      <c r="BA114" s="81">
        <f>$H$114*月別販売比率!BA25</f>
        <v>6</v>
      </c>
      <c r="BB114" s="21"/>
      <c r="BC114" s="81">
        <f>$H$114*月別販売比率!BF25</f>
        <v>9.98056981878484</v>
      </c>
      <c r="BD114" s="21"/>
      <c r="BE114" s="81">
        <f>$H$114*月別販売比率!C25</f>
        <v>14.000000000000002</v>
      </c>
      <c r="BF114" s="21"/>
      <c r="BG114" s="245">
        <f>$H$114*月別販売比率!H25</f>
        <v>16</v>
      </c>
      <c r="BH114" s="241">
        <v>37</v>
      </c>
      <c r="BI114" s="81">
        <f>$H$114*月別販売比率!M25</f>
        <v>28.000000000000004</v>
      </c>
      <c r="BJ114" s="21"/>
      <c r="BK114" s="81">
        <f>$H$114*月別販売比率!R25</f>
        <v>36</v>
      </c>
      <c r="BL114" s="21"/>
      <c r="BM114" s="245">
        <f>$H$114*月別販売比率!W25</f>
        <v>20</v>
      </c>
      <c r="BN114" s="241">
        <v>30</v>
      </c>
      <c r="BO114" s="81">
        <f>$H$114*月別販売比率!AB25</f>
        <v>24</v>
      </c>
      <c r="BP114" s="21"/>
      <c r="BQ114" s="81">
        <f>$H$114*月別販売比率!AG25</f>
        <v>16</v>
      </c>
      <c r="BR114" s="21"/>
      <c r="BS114" s="81">
        <f>$H$114*月別販売比率!AL25</f>
        <v>10.079468941679487</v>
      </c>
      <c r="BT114" s="21"/>
      <c r="BU114" s="81">
        <f>$H$114*月別販売比率!AQ25</f>
        <v>11.230794589518691</v>
      </c>
      <c r="BV114" s="21"/>
      <c r="BW114" s="81">
        <f>$H$114*月別販売比率!AV25</f>
        <v>8</v>
      </c>
      <c r="BX114" s="21"/>
      <c r="BY114" s="81">
        <f>$H$114*月別販売比率!BA25</f>
        <v>6</v>
      </c>
      <c r="BZ114" s="21"/>
      <c r="CA114" s="81">
        <f>$H$114*月別販売比率!BF25</f>
        <v>9.98056981878484</v>
      </c>
      <c r="CB114" s="21"/>
      <c r="CC114" s="245">
        <f>H114*月別販売比率!$C$25</f>
        <v>14.000000000000002</v>
      </c>
      <c r="CD114" s="241">
        <v>15</v>
      </c>
      <c r="CE114" s="81">
        <f>H114*月別販売比率!$H$25</f>
        <v>16</v>
      </c>
      <c r="CF114" s="21"/>
      <c r="CG114" s="81">
        <f>H114*月別販売比率!$M$25</f>
        <v>28.000000000000004</v>
      </c>
      <c r="CH114" s="241">
        <v>88</v>
      </c>
      <c r="CI114" s="81">
        <f>H114*月別販売比率!$R$25</f>
        <v>36</v>
      </c>
      <c r="CJ114" s="21"/>
      <c r="CK114" s="81">
        <f>H114*月別販売比率!$W$25</f>
        <v>20</v>
      </c>
      <c r="CL114" s="21">
        <v>85</v>
      </c>
      <c r="CM114" s="81">
        <f>H114*月別販売比率!$AB$25</f>
        <v>24</v>
      </c>
      <c r="CN114" s="21"/>
      <c r="CO114" s="81">
        <f>H114*月別販売比率!$AG$25</f>
        <v>16</v>
      </c>
      <c r="CP114" s="21"/>
      <c r="CQ114" s="81">
        <f>H114*月別販売比率!$AL$25</f>
        <v>10.079468941679487</v>
      </c>
      <c r="CR114" s="21"/>
      <c r="CS114" s="81">
        <f>H114*月別販売比率!$AQ$25</f>
        <v>11.230794589518691</v>
      </c>
      <c r="CT114" s="21"/>
      <c r="CU114" s="81">
        <f>H114*月別販売比率!$AV$25</f>
        <v>8</v>
      </c>
      <c r="CV114" s="21"/>
      <c r="CW114" s="81">
        <f>H114*月別販売比率!$BA$25</f>
        <v>6</v>
      </c>
      <c r="CX114" s="21"/>
      <c r="CY114" s="81">
        <f>H114*月別販売比率!$BF$25</f>
        <v>9.98056981878484</v>
      </c>
      <c r="CZ114" s="21"/>
      <c r="DA114" s="28"/>
      <c r="DB114" s="294"/>
    </row>
    <row r="115" spans="2:106" ht="30.75" customHeight="1">
      <c r="C115" s="477"/>
      <c r="D115" s="441"/>
      <c r="E115" s="94" t="s">
        <v>51</v>
      </c>
      <c r="F115">
        <v>38</v>
      </c>
      <c r="G115" s="46">
        <f t="shared" si="204"/>
        <v>292600</v>
      </c>
      <c r="H115" s="56">
        <f t="shared" ref="H115:H121" si="206">F115*($H$112/$F$112)</f>
        <v>110.23890784982936</v>
      </c>
      <c r="I115" s="46">
        <f t="shared" si="205"/>
        <v>848839.59044368612</v>
      </c>
      <c r="J115" s="9">
        <v>25</v>
      </c>
      <c r="K115" s="21">
        <f t="shared" si="194"/>
        <v>20</v>
      </c>
      <c r="L115" s="21">
        <v>7</v>
      </c>
      <c r="M115" s="21">
        <v>13</v>
      </c>
      <c r="N115" s="42"/>
      <c r="O115" s="19"/>
      <c r="P115" s="19"/>
      <c r="Q115" s="124"/>
      <c r="R115" s="328"/>
      <c r="S115" s="328"/>
      <c r="T115" s="328"/>
      <c r="U115" s="328"/>
      <c r="V115" s="124"/>
      <c r="W115" s="124"/>
      <c r="X115" s="124"/>
      <c r="Y115" s="124"/>
      <c r="Z115" s="124"/>
      <c r="AA115" s="124"/>
      <c r="AB115" s="124"/>
      <c r="AC115" s="328"/>
      <c r="AD115" s="328"/>
      <c r="AE115" s="328"/>
      <c r="AF115" s="328"/>
      <c r="AG115" s="331"/>
      <c r="AH115" s="331"/>
      <c r="AI115" s="129">
        <f t="shared" si="195"/>
        <v>25.156996587030715</v>
      </c>
      <c r="AJ115" s="129">
        <f t="shared" si="196"/>
        <v>54.13310580204778</v>
      </c>
      <c r="AK115" s="129">
        <f t="shared" si="197"/>
        <v>40.904436860068259</v>
      </c>
      <c r="AL115" s="399">
        <f t="shared" si="198"/>
        <v>32.085324232081909</v>
      </c>
      <c r="AM115" s="393">
        <f t="shared" si="199"/>
        <v>26.529575992896799</v>
      </c>
      <c r="AN115" s="393">
        <f t="shared" si="200"/>
        <v>20.339223343725234</v>
      </c>
      <c r="AO115" s="393">
        <f t="shared" si="201"/>
        <v>15.929667029732059</v>
      </c>
      <c r="AP115" s="96">
        <f t="shared" si="202"/>
        <v>12.622499794237179</v>
      </c>
      <c r="AQ115" s="91">
        <f t="shared" si="203"/>
        <v>7.1212642115281284</v>
      </c>
      <c r="AR115" s="198"/>
      <c r="AS115" s="81">
        <f>$H$115*月別販売比率!AG25</f>
        <v>8.8191126279863497</v>
      </c>
      <c r="AT115" s="21"/>
      <c r="AU115" s="81">
        <f>$H$115*月別販売比率!AL25</f>
        <v>5.5557482391851103</v>
      </c>
      <c r="AV115" s="21"/>
      <c r="AW115" s="81">
        <f>$H$115*月別販売比率!AQ25</f>
        <v>6.1903526491715661</v>
      </c>
      <c r="AX115" s="21"/>
      <c r="AY115" s="81">
        <f>$H$115*月別販売比率!AV25</f>
        <v>4.4095563139931748</v>
      </c>
      <c r="AZ115" s="21"/>
      <c r="BA115" s="81">
        <f>$H$115*月別販売比率!BA25</f>
        <v>3.3071672354948807</v>
      </c>
      <c r="BB115" s="21"/>
      <c r="BC115" s="81">
        <f>$H$115*月別販売比率!BF25</f>
        <v>5.5012355827090502</v>
      </c>
      <c r="BD115" s="21"/>
      <c r="BE115" s="81">
        <f>$H$115*月別販売比率!C25</f>
        <v>7.7167235494880559</v>
      </c>
      <c r="BF115" s="21"/>
      <c r="BG115" s="245">
        <f>$H$115*月別販売比率!H25</f>
        <v>8.8191126279863497</v>
      </c>
      <c r="BH115" s="241">
        <v>26</v>
      </c>
      <c r="BI115" s="81">
        <f>$H$115*月別販売比率!M25</f>
        <v>15.433447098976112</v>
      </c>
      <c r="BJ115" s="21"/>
      <c r="BK115" s="81">
        <f>$H$115*月別販売比率!R25</f>
        <v>19.843003412969285</v>
      </c>
      <c r="BL115" s="21"/>
      <c r="BM115" s="245">
        <f>$H$115*月別販売比率!W25</f>
        <v>11.023890784982937</v>
      </c>
      <c r="BN115" s="241">
        <v>30</v>
      </c>
      <c r="BO115" s="81">
        <f>$H$115*月別販売比率!AB25</f>
        <v>13.228668941979523</v>
      </c>
      <c r="BP115" s="21"/>
      <c r="BQ115" s="81">
        <f>$H$115*月別販売比率!AG25</f>
        <v>8.8191126279863497</v>
      </c>
      <c r="BR115" s="21"/>
      <c r="BS115" s="81">
        <f>$H$115*月別販売比率!AL25</f>
        <v>5.5557482391851103</v>
      </c>
      <c r="BT115" s="21"/>
      <c r="BU115" s="81">
        <f>$H$115*月別販売比率!AQ25</f>
        <v>6.1903526491715661</v>
      </c>
      <c r="BV115" s="21"/>
      <c r="BW115" s="81">
        <f>$H$115*月別販売比率!AV25</f>
        <v>4.4095563139931748</v>
      </c>
      <c r="BX115" s="21"/>
      <c r="BY115" s="81">
        <f>$H$115*月別販売比率!BA25</f>
        <v>3.3071672354948807</v>
      </c>
      <c r="BZ115" s="21"/>
      <c r="CA115" s="81">
        <f>$H$115*月別販売比率!BF25</f>
        <v>5.5012355827090502</v>
      </c>
      <c r="CB115" s="21"/>
      <c r="CC115" s="245">
        <f>H115*月別販売比率!$C$25</f>
        <v>7.7167235494880559</v>
      </c>
      <c r="CD115" s="241">
        <v>15</v>
      </c>
      <c r="CE115" s="81">
        <f>H115*月別販売比率!$H$25</f>
        <v>8.8191126279863497</v>
      </c>
      <c r="CF115" s="21"/>
      <c r="CG115" s="81">
        <f>H115*月別販売比率!$M$25</f>
        <v>15.433447098976112</v>
      </c>
      <c r="CH115" s="241">
        <v>50</v>
      </c>
      <c r="CI115" s="81">
        <f>H115*月別販売比率!$R$25</f>
        <v>19.843003412969285</v>
      </c>
      <c r="CJ115" s="21"/>
      <c r="CK115" s="81">
        <f>H115*月別販売比率!$W$25</f>
        <v>11.023890784982937</v>
      </c>
      <c r="CL115" s="21">
        <v>40</v>
      </c>
      <c r="CM115" s="81">
        <f>H115*月別販売比率!$AB$25</f>
        <v>13.228668941979523</v>
      </c>
      <c r="CN115" s="21"/>
      <c r="CO115" s="81">
        <f>H115*月別販売比率!$AG$25</f>
        <v>8.8191126279863497</v>
      </c>
      <c r="CP115" s="21"/>
      <c r="CQ115" s="81">
        <f>H115*月別販売比率!$AL$25</f>
        <v>5.5557482391851103</v>
      </c>
      <c r="CR115" s="21"/>
      <c r="CS115" s="81">
        <f>H115*月別販売比率!$AQ$25</f>
        <v>6.1903526491715661</v>
      </c>
      <c r="CT115" s="21"/>
      <c r="CU115" s="81">
        <f>H115*月別販売比率!$AV$25</f>
        <v>4.4095563139931748</v>
      </c>
      <c r="CV115" s="21"/>
      <c r="CW115" s="81">
        <f>H115*月別販売比率!$BA$25</f>
        <v>3.3071672354948807</v>
      </c>
      <c r="CX115" s="21"/>
      <c r="CY115" s="81">
        <f>H115*月別販売比率!$BF$25</f>
        <v>5.5012355827090502</v>
      </c>
      <c r="CZ115" s="21"/>
      <c r="DA115" s="28"/>
      <c r="DB115" s="294"/>
    </row>
    <row r="116" spans="2:106" ht="30.75" customHeight="1">
      <c r="C116" s="477"/>
      <c r="D116" s="441">
        <v>2</v>
      </c>
      <c r="E116" s="99" t="s">
        <v>46</v>
      </c>
      <c r="F116">
        <v>21</v>
      </c>
      <c r="G116" s="46">
        <f t="shared" si="204"/>
        <v>161700</v>
      </c>
      <c r="H116" s="56">
        <f t="shared" si="206"/>
        <v>60.921501706484641</v>
      </c>
      <c r="I116" s="46">
        <f t="shared" si="205"/>
        <v>469095.56313993171</v>
      </c>
      <c r="J116" s="9">
        <v>11</v>
      </c>
      <c r="K116" s="21">
        <f>SUM(L116:N116)</f>
        <v>25</v>
      </c>
      <c r="L116" s="21">
        <v>11</v>
      </c>
      <c r="M116" s="21">
        <v>14</v>
      </c>
      <c r="N116" s="42"/>
      <c r="O116" s="19"/>
      <c r="P116" s="19"/>
      <c r="Q116" s="124"/>
      <c r="R116" s="124"/>
      <c r="S116" s="124"/>
      <c r="T116" s="124"/>
      <c r="U116" s="124"/>
      <c r="V116" s="124"/>
      <c r="W116" s="124"/>
      <c r="X116" s="328"/>
      <c r="Y116" s="331">
        <v>45879</v>
      </c>
      <c r="Z116" s="330"/>
      <c r="AA116" s="331"/>
      <c r="AB116" s="331"/>
      <c r="AC116" s="331"/>
      <c r="AD116" s="331"/>
      <c r="AE116" s="331"/>
      <c r="AF116" s="331"/>
      <c r="AG116" s="331"/>
      <c r="AH116" s="331">
        <v>46172</v>
      </c>
      <c r="AI116" s="129">
        <f t="shared" si="195"/>
        <v>25.034129692832764</v>
      </c>
      <c r="AJ116" s="129">
        <f t="shared" si="196"/>
        <v>28.941979522184297</v>
      </c>
      <c r="AK116" s="129">
        <f t="shared" si="197"/>
        <v>21.631399317406142</v>
      </c>
      <c r="AL116" s="399">
        <f t="shared" si="198"/>
        <v>16.757679180887372</v>
      </c>
      <c r="AM116" s="393">
        <f t="shared" si="199"/>
        <v>13.687397259232444</v>
      </c>
      <c r="AN116" s="393">
        <f t="shared" si="200"/>
        <v>10.266412900479736</v>
      </c>
      <c r="AO116" s="393">
        <f t="shared" si="201"/>
        <v>7.8295528322203509</v>
      </c>
      <c r="AP116" s="96">
        <f t="shared" si="202"/>
        <v>6.0019077810258121</v>
      </c>
      <c r="AQ116" s="91">
        <f t="shared" si="203"/>
        <v>2.9617512747918635</v>
      </c>
      <c r="AR116" s="198"/>
      <c r="AS116" s="81">
        <f>$H$116*月別販売比率!AG25</f>
        <v>4.873720136518771</v>
      </c>
      <c r="AT116" s="21"/>
      <c r="AU116" s="81">
        <f>$H$116*月別販売比率!AL25</f>
        <v>3.0702819216549289</v>
      </c>
      <c r="AV116" s="21"/>
      <c r="AW116" s="81">
        <f>$H$116*月別販売比率!AQ25</f>
        <v>3.4209843587527073</v>
      </c>
      <c r="AX116" s="21"/>
      <c r="AY116" s="81">
        <f>$H$116*月別販売比率!AV25</f>
        <v>2.4368600682593855</v>
      </c>
      <c r="AZ116" s="21"/>
      <c r="BA116" s="81">
        <f>$H$116*月別販売比率!BA25</f>
        <v>1.8276450511945392</v>
      </c>
      <c r="BB116" s="21"/>
      <c r="BC116" s="81">
        <f>$H$116*月別販売比率!BF25</f>
        <v>3.0401565062339486</v>
      </c>
      <c r="BD116" s="21"/>
      <c r="BE116" s="81">
        <f>$H$116*月別販売比率!C25</f>
        <v>4.2645051194539256</v>
      </c>
      <c r="BF116" s="21"/>
      <c r="BG116" s="245">
        <f>$H$116*月別販売比率!H25</f>
        <v>4.873720136518771</v>
      </c>
      <c r="BH116" s="241">
        <v>10</v>
      </c>
      <c r="BI116" s="81">
        <f>$H$116*月別販売比率!M25</f>
        <v>8.5290102389078513</v>
      </c>
      <c r="BJ116" s="21"/>
      <c r="BK116" s="81">
        <f>$H$116*月別販売比率!R25</f>
        <v>10.965870307167235</v>
      </c>
      <c r="BL116" s="21"/>
      <c r="BM116" s="245">
        <f>$H$116*月別販売比率!W25</f>
        <v>6.0921501706484644</v>
      </c>
      <c r="BN116" s="241">
        <v>15</v>
      </c>
      <c r="BO116" s="81">
        <f>$H$116*月別販売比率!AB25</f>
        <v>7.310580204778157</v>
      </c>
      <c r="BP116" s="21"/>
      <c r="BQ116" s="81">
        <f>$H$116*月別販売比率!AG25</f>
        <v>4.873720136518771</v>
      </c>
      <c r="BR116" s="21"/>
      <c r="BS116" s="81">
        <f>$H$116*月別販売比率!AL25</f>
        <v>3.0702819216549289</v>
      </c>
      <c r="BT116" s="21"/>
      <c r="BU116" s="81">
        <f>$H$116*月別販売比率!AQ25</f>
        <v>3.4209843587527073</v>
      </c>
      <c r="BV116" s="21"/>
      <c r="BW116" s="81">
        <f>$H$116*月別販売比率!AV25</f>
        <v>2.4368600682593855</v>
      </c>
      <c r="BX116" s="21"/>
      <c r="BY116" s="81">
        <f>$H$116*月別販売比率!BA25</f>
        <v>1.8276450511945392</v>
      </c>
      <c r="BZ116" s="21"/>
      <c r="CA116" s="81">
        <f>$H$116*月別販売比率!BF25</f>
        <v>3.0401565062339486</v>
      </c>
      <c r="CB116" s="21"/>
      <c r="CC116" s="245">
        <f>H116*月別販売比率!$C$25</f>
        <v>4.2645051194539256</v>
      </c>
      <c r="CD116" s="241">
        <v>20</v>
      </c>
      <c r="CE116" s="81">
        <f>H116*月別販売比率!$H$25</f>
        <v>4.873720136518771</v>
      </c>
      <c r="CF116" s="21"/>
      <c r="CG116" s="81">
        <f>H116*月別販売比率!$M$25</f>
        <v>8.5290102389078513</v>
      </c>
      <c r="CH116" s="241">
        <v>26</v>
      </c>
      <c r="CI116" s="81">
        <f>H116*月別販売比率!$R$25</f>
        <v>10.965870307167235</v>
      </c>
      <c r="CJ116" s="21"/>
      <c r="CK116" s="81">
        <f>H116*月別販売比率!$W$25</f>
        <v>6.0921501706484644</v>
      </c>
      <c r="CL116" s="21">
        <v>10</v>
      </c>
      <c r="CM116" s="81">
        <f>H116*月別販売比率!$AB$25</f>
        <v>7.310580204778157</v>
      </c>
      <c r="CN116" s="21"/>
      <c r="CO116" s="81">
        <f>H116*月別販売比率!$AG$25</f>
        <v>4.873720136518771</v>
      </c>
      <c r="CP116" s="21"/>
      <c r="CQ116" s="81">
        <f>H116*月別販売比率!$AL$25</f>
        <v>3.0702819216549289</v>
      </c>
      <c r="CR116" s="21"/>
      <c r="CS116" s="81">
        <f>H116*月別販売比率!$AQ$25</f>
        <v>3.4209843587527073</v>
      </c>
      <c r="CT116" s="21"/>
      <c r="CU116" s="81">
        <f>H116*月別販売比率!$AV$25</f>
        <v>2.4368600682593855</v>
      </c>
      <c r="CV116" s="21"/>
      <c r="CW116" s="81">
        <f>H116*月別販売比率!$BA$25</f>
        <v>1.8276450511945392</v>
      </c>
      <c r="CX116" s="21"/>
      <c r="CY116" s="81">
        <f>H116*月別販売比率!$BF$25</f>
        <v>3.0401565062339486</v>
      </c>
      <c r="CZ116" s="21"/>
      <c r="DA116" s="28"/>
      <c r="DB116" s="294"/>
    </row>
    <row r="117" spans="2:106" ht="30.75" customHeight="1">
      <c r="C117" s="477"/>
      <c r="D117" s="441"/>
      <c r="E117" s="94" t="s">
        <v>47</v>
      </c>
      <c r="F117">
        <v>47</v>
      </c>
      <c r="G117" s="46">
        <f t="shared" si="204"/>
        <v>361900</v>
      </c>
      <c r="H117" s="56">
        <f t="shared" si="206"/>
        <v>136.34812286689422</v>
      </c>
      <c r="I117" s="46">
        <f t="shared" si="205"/>
        <v>1049880.5460750854</v>
      </c>
      <c r="J117" s="9">
        <v>43</v>
      </c>
      <c r="K117" s="21">
        <f t="shared" ref="K117:K120" si="207">SUM(L117:N117)</f>
        <v>23</v>
      </c>
      <c r="L117" s="21">
        <v>10</v>
      </c>
      <c r="M117" s="21">
        <v>13</v>
      </c>
      <c r="N117" s="42"/>
      <c r="O117" s="19"/>
      <c r="P117" s="19"/>
      <c r="Q117" s="328"/>
      <c r="R117" s="328"/>
      <c r="S117" s="328"/>
      <c r="T117" s="328"/>
      <c r="U117" s="328"/>
      <c r="V117" s="124"/>
      <c r="W117" s="124"/>
      <c r="X117" s="328"/>
      <c r="Y117" s="331">
        <v>45879</v>
      </c>
      <c r="Z117" s="330"/>
      <c r="AA117" s="330"/>
      <c r="AB117" s="330"/>
      <c r="AC117" s="330"/>
      <c r="AD117" s="330"/>
      <c r="AE117" s="328"/>
      <c r="AF117" s="331"/>
      <c r="AG117" s="331"/>
      <c r="AH117" s="331"/>
      <c r="AI117" s="129">
        <f t="shared" si="195"/>
        <v>41.457337883959042</v>
      </c>
      <c r="AJ117" s="129">
        <f t="shared" si="196"/>
        <v>82.822525597269617</v>
      </c>
      <c r="AK117" s="129">
        <f t="shared" si="197"/>
        <v>66.460750853242317</v>
      </c>
      <c r="AL117" s="399">
        <f t="shared" si="198"/>
        <v>55.552901023890783</v>
      </c>
      <c r="AM117" s="393">
        <f t="shared" si="199"/>
        <v>48.681317675424992</v>
      </c>
      <c r="AN117" s="393">
        <f t="shared" si="200"/>
        <v>41.024828872502269</v>
      </c>
      <c r="AO117" s="393">
        <f t="shared" si="201"/>
        <v>35.570903957826502</v>
      </c>
      <c r="AP117" s="96">
        <f t="shared" si="202"/>
        <v>31.480460271819677</v>
      </c>
      <c r="AQ117" s="91">
        <f t="shared" si="203"/>
        <v>24.676300472153219</v>
      </c>
      <c r="AR117" s="198"/>
      <c r="AS117" s="81">
        <f>$H$117*月別販売比率!AG25</f>
        <v>10.907849829351537</v>
      </c>
      <c r="AT117" s="21"/>
      <c r="AU117" s="81">
        <f>$H$117*月別販売比率!AL25</f>
        <v>6.8715833484657942</v>
      </c>
      <c r="AV117" s="21"/>
      <c r="AW117" s="81">
        <f>$H$117*月別販売比率!AQ25</f>
        <v>7.6564888029227269</v>
      </c>
      <c r="AX117" s="21"/>
      <c r="AY117" s="81">
        <f>$H$117*月別販売比率!AV25</f>
        <v>5.4539249146757687</v>
      </c>
      <c r="AZ117" s="21"/>
      <c r="BA117" s="81">
        <f>$H$117*月別販売比率!BA25</f>
        <v>4.0904436860068261</v>
      </c>
      <c r="BB117" s="21"/>
      <c r="BC117" s="81">
        <f>$H$117*月別販売比率!BF25</f>
        <v>6.8041597996664578</v>
      </c>
      <c r="BD117" s="21"/>
      <c r="BE117" s="81">
        <f>$H$117*月別販売比率!C25</f>
        <v>9.5443686006825956</v>
      </c>
      <c r="BF117" s="21"/>
      <c r="BG117" s="245">
        <f>$H$117*月別販売比率!H25</f>
        <v>10.907849829351537</v>
      </c>
      <c r="BH117" s="241">
        <v>40</v>
      </c>
      <c r="BI117" s="81">
        <f>$H$117*月別販売比率!M25</f>
        <v>19.088737201365191</v>
      </c>
      <c r="BJ117" s="21"/>
      <c r="BK117" s="81">
        <f>$H$117*月別販売比率!R25</f>
        <v>24.542662116040958</v>
      </c>
      <c r="BL117" s="21"/>
      <c r="BM117" s="245">
        <f>$H$117*月別販売比率!W25</f>
        <v>13.634812286689423</v>
      </c>
      <c r="BN117" s="241">
        <v>30</v>
      </c>
      <c r="BO117" s="81">
        <f>$H$117*月別販売比率!AB25</f>
        <v>16.361774744027304</v>
      </c>
      <c r="BP117" s="21"/>
      <c r="BQ117" s="81">
        <f>$H$117*月別販売比率!AG25</f>
        <v>10.907849829351537</v>
      </c>
      <c r="BR117" s="21"/>
      <c r="BS117" s="81">
        <f>$H$117*月別販売比率!AL25</f>
        <v>6.8715833484657942</v>
      </c>
      <c r="BT117" s="21"/>
      <c r="BU117" s="81">
        <f>$H$117*月別販売比率!AQ25</f>
        <v>7.6564888029227269</v>
      </c>
      <c r="BV117" s="21"/>
      <c r="BW117" s="81">
        <f>$H$117*月別販売比率!AV25</f>
        <v>5.4539249146757687</v>
      </c>
      <c r="BX117" s="21"/>
      <c r="BY117" s="81">
        <f>$H$117*月別販売比率!BA25</f>
        <v>4.0904436860068261</v>
      </c>
      <c r="BZ117" s="21"/>
      <c r="CA117" s="81">
        <f>$H$117*月別販売比率!BF25</f>
        <v>6.8041597996664578</v>
      </c>
      <c r="CB117" s="21"/>
      <c r="CC117" s="245">
        <f>H117*月別販売比率!$C$25</f>
        <v>9.5443686006825956</v>
      </c>
      <c r="CD117" s="241">
        <v>15</v>
      </c>
      <c r="CE117" s="81">
        <f>H117*月別販売比率!$H$25</f>
        <v>10.907849829351537</v>
      </c>
      <c r="CF117" s="21"/>
      <c r="CG117" s="81">
        <f>H117*月別販売比率!$M$25</f>
        <v>19.088737201365191</v>
      </c>
      <c r="CH117" s="241">
        <v>65</v>
      </c>
      <c r="CI117" s="81">
        <f>H117*月別販売比率!$R$25</f>
        <v>24.542662116040958</v>
      </c>
      <c r="CJ117" s="21"/>
      <c r="CK117" s="81">
        <f>H117*月別販売比率!$W$25</f>
        <v>13.634812286689423</v>
      </c>
      <c r="CL117" s="21">
        <v>55</v>
      </c>
      <c r="CM117" s="81">
        <f>H117*月別販売比率!$AB$25</f>
        <v>16.361774744027304</v>
      </c>
      <c r="CN117" s="21"/>
      <c r="CO117" s="81">
        <f>H117*月別販売比率!$AG$25</f>
        <v>10.907849829351537</v>
      </c>
      <c r="CP117" s="21"/>
      <c r="CQ117" s="81">
        <f>H117*月別販売比率!$AL$25</f>
        <v>6.8715833484657942</v>
      </c>
      <c r="CR117" s="21"/>
      <c r="CS117" s="81">
        <f>H117*月別販売比率!$AQ$25</f>
        <v>7.6564888029227269</v>
      </c>
      <c r="CT117" s="21"/>
      <c r="CU117" s="81">
        <f>H117*月別販売比率!$AV$25</f>
        <v>5.4539249146757687</v>
      </c>
      <c r="CV117" s="21"/>
      <c r="CW117" s="81">
        <f>H117*月別販売比率!$BA$25</f>
        <v>4.0904436860068261</v>
      </c>
      <c r="CX117" s="21"/>
      <c r="CY117" s="81">
        <f>H117*月別販売比率!$BF$25</f>
        <v>6.8041597996664578</v>
      </c>
      <c r="CZ117" s="21"/>
      <c r="DA117" s="28"/>
      <c r="DB117" s="294"/>
    </row>
    <row r="118" spans="2:106" ht="30.75" customHeight="1">
      <c r="C118" s="477"/>
      <c r="D118" s="441"/>
      <c r="E118" s="94" t="s">
        <v>51</v>
      </c>
      <c r="F118">
        <v>35</v>
      </c>
      <c r="G118" s="46">
        <f t="shared" si="204"/>
        <v>269500</v>
      </c>
      <c r="H118" s="56">
        <f t="shared" si="206"/>
        <v>101.53583617747441</v>
      </c>
      <c r="I118" s="46">
        <f t="shared" si="205"/>
        <v>781825.93856655294</v>
      </c>
      <c r="J118" s="9">
        <v>16</v>
      </c>
      <c r="K118" s="21">
        <f t="shared" si="207"/>
        <v>24</v>
      </c>
      <c r="L118" s="21">
        <v>10</v>
      </c>
      <c r="M118" s="21">
        <v>14</v>
      </c>
      <c r="N118" s="42"/>
      <c r="O118" s="19"/>
      <c r="P118" s="19"/>
      <c r="Q118" s="328"/>
      <c r="R118" s="328"/>
      <c r="S118" s="328"/>
      <c r="T118" s="328"/>
      <c r="U118" s="328"/>
      <c r="V118" s="124"/>
      <c r="W118" s="124"/>
      <c r="X118" s="328"/>
      <c r="Y118" s="331">
        <v>45879</v>
      </c>
      <c r="Z118" s="330"/>
      <c r="AA118" s="330"/>
      <c r="AB118" s="330"/>
      <c r="AC118" s="331"/>
      <c r="AD118" s="331"/>
      <c r="AE118" s="331"/>
      <c r="AF118" s="331"/>
      <c r="AG118" s="331"/>
      <c r="AH118" s="331">
        <v>46172</v>
      </c>
      <c r="AI118" s="129">
        <f t="shared" si="195"/>
        <v>21.723549488054609</v>
      </c>
      <c r="AJ118" s="129">
        <f t="shared" si="196"/>
        <v>51.569965870307165</v>
      </c>
      <c r="AK118" s="129">
        <f t="shared" si="197"/>
        <v>39.38566552901024</v>
      </c>
      <c r="AL118" s="399">
        <f t="shared" si="198"/>
        <v>31.262798634812285</v>
      </c>
      <c r="AM118" s="393">
        <f t="shared" si="199"/>
        <v>26.145662098720734</v>
      </c>
      <c r="AN118" s="393">
        <f t="shared" si="200"/>
        <v>20.444021500799554</v>
      </c>
      <c r="AO118" s="393">
        <f t="shared" si="201"/>
        <v>16.382588053700577</v>
      </c>
      <c r="AP118" s="96">
        <f t="shared" si="202"/>
        <v>13.336512968376343</v>
      </c>
      <c r="AQ118" s="91">
        <f t="shared" si="203"/>
        <v>8.2695854579864285</v>
      </c>
      <c r="AR118" s="198"/>
      <c r="AS118" s="81">
        <f>$H$118*月別販売比率!AG25</f>
        <v>8.1228668941979532</v>
      </c>
      <c r="AT118" s="21"/>
      <c r="AU118" s="81">
        <f>$H$118*月別販売比率!AL25</f>
        <v>5.1171365360915484</v>
      </c>
      <c r="AV118" s="21"/>
      <c r="AW118" s="81">
        <f>$H$118*月別販売比率!AQ25</f>
        <v>5.7016405979211795</v>
      </c>
      <c r="AX118" s="21"/>
      <c r="AY118" s="81">
        <f>$H$118*月別販売比率!AV25</f>
        <v>4.0614334470989766</v>
      </c>
      <c r="AZ118" s="21"/>
      <c r="BA118" s="81">
        <f>$H$118*月別販売比率!BA25</f>
        <v>3.0460750853242322</v>
      </c>
      <c r="BB118" s="21"/>
      <c r="BC118" s="81">
        <f>$H$118*月別販売比率!BF25</f>
        <v>5.066927510389915</v>
      </c>
      <c r="BD118" s="21"/>
      <c r="BE118" s="81">
        <f>$H$118*月別販売比率!C25</f>
        <v>7.1075085324232097</v>
      </c>
      <c r="BF118" s="21"/>
      <c r="BG118" s="245">
        <f>$H$118*月別販売比率!H25</f>
        <v>8.1228668941979532</v>
      </c>
      <c r="BH118" s="241">
        <v>25</v>
      </c>
      <c r="BI118" s="81">
        <f>$H$118*月別販売比率!M25</f>
        <v>14.215017064846419</v>
      </c>
      <c r="BJ118" s="21"/>
      <c r="BK118" s="81">
        <f>$H$118*月別販売比率!R25</f>
        <v>18.276450511945391</v>
      </c>
      <c r="BL118" s="21"/>
      <c r="BM118" s="245">
        <f>$H$118*月別販売比率!W25</f>
        <v>10.153583617747442</v>
      </c>
      <c r="BN118" s="241">
        <v>25</v>
      </c>
      <c r="BO118" s="81">
        <f>$H$118*月別販売比率!AB25</f>
        <v>12.184300341296929</v>
      </c>
      <c r="BP118" s="21"/>
      <c r="BQ118" s="81">
        <f>$H$118*月別販売比率!AG25</f>
        <v>8.1228668941979532</v>
      </c>
      <c r="BR118" s="21"/>
      <c r="BS118" s="81">
        <f>$H$118*月別販売比率!AL25</f>
        <v>5.1171365360915484</v>
      </c>
      <c r="BT118" s="21"/>
      <c r="BU118" s="81">
        <f>$H$118*月別販売比率!AQ25</f>
        <v>5.7016405979211795</v>
      </c>
      <c r="BV118" s="21"/>
      <c r="BW118" s="81">
        <f>$H$118*月別販売比率!AV25</f>
        <v>4.0614334470989766</v>
      </c>
      <c r="BX118" s="21"/>
      <c r="BY118" s="81">
        <f>$H$118*月別販売比率!BA25</f>
        <v>3.0460750853242322</v>
      </c>
      <c r="BZ118" s="21"/>
      <c r="CA118" s="81">
        <f>$H$118*月別販売比率!BF25</f>
        <v>5.066927510389915</v>
      </c>
      <c r="CB118" s="21"/>
      <c r="CC118" s="245">
        <f>H118*月別販売比率!$C$25</f>
        <v>7.1075085324232097</v>
      </c>
      <c r="CD118" s="241">
        <v>15</v>
      </c>
      <c r="CE118" s="81">
        <f>H118*月別販売比率!$H$25</f>
        <v>8.1228668941979532</v>
      </c>
      <c r="CF118" s="21"/>
      <c r="CG118" s="81">
        <f>H118*月別販売比率!$M$25</f>
        <v>14.215017064846419</v>
      </c>
      <c r="CH118" s="241">
        <v>41</v>
      </c>
      <c r="CI118" s="81">
        <f>H118*月別販売比率!$R$25</f>
        <v>18.276450511945391</v>
      </c>
      <c r="CJ118" s="21"/>
      <c r="CK118" s="81">
        <f>H118*月別販売比率!$W$25</f>
        <v>10.153583617747442</v>
      </c>
      <c r="CL118" s="21">
        <v>40</v>
      </c>
      <c r="CM118" s="81">
        <f>H118*月別販売比率!$AB$25</f>
        <v>12.184300341296929</v>
      </c>
      <c r="CN118" s="21"/>
      <c r="CO118" s="81">
        <f>H118*月別販売比率!$AG$25</f>
        <v>8.1228668941979532</v>
      </c>
      <c r="CP118" s="21"/>
      <c r="CQ118" s="81">
        <f>H118*月別販売比率!$AL$25</f>
        <v>5.1171365360915484</v>
      </c>
      <c r="CR118" s="21"/>
      <c r="CS118" s="81">
        <f>H118*月別販売比率!$AQ$25</f>
        <v>5.7016405979211795</v>
      </c>
      <c r="CT118" s="21"/>
      <c r="CU118" s="81">
        <f>H118*月別販売比率!$AV$25</f>
        <v>4.0614334470989766</v>
      </c>
      <c r="CV118" s="21"/>
      <c r="CW118" s="81">
        <f>H118*月別販売比率!$BA$25</f>
        <v>3.0460750853242322</v>
      </c>
      <c r="CX118" s="21"/>
      <c r="CY118" s="81">
        <f>H118*月別販売比率!$BF$25</f>
        <v>5.066927510389915</v>
      </c>
      <c r="CZ118" s="21"/>
      <c r="DA118" s="28"/>
      <c r="DB118" s="294"/>
    </row>
    <row r="119" spans="2:106" ht="30.75" customHeight="1">
      <c r="C119" s="477"/>
      <c r="D119" s="441">
        <v>3</v>
      </c>
      <c r="E119" s="99" t="s">
        <v>46</v>
      </c>
      <c r="F119">
        <v>18</v>
      </c>
      <c r="G119" s="46">
        <f t="shared" si="204"/>
        <v>138600</v>
      </c>
      <c r="H119" s="56">
        <f t="shared" si="206"/>
        <v>52.218430034129696</v>
      </c>
      <c r="I119" s="46">
        <f t="shared" si="205"/>
        <v>402081.91126279865</v>
      </c>
      <c r="J119" s="9">
        <v>0</v>
      </c>
      <c r="K119" s="21">
        <f t="shared" si="207"/>
        <v>19</v>
      </c>
      <c r="L119" s="21">
        <v>16</v>
      </c>
      <c r="M119" s="21">
        <v>3</v>
      </c>
      <c r="N119" s="42"/>
      <c r="O119" s="19"/>
      <c r="P119" s="19"/>
      <c r="Q119" s="124"/>
      <c r="R119" s="124"/>
      <c r="S119" s="124"/>
      <c r="T119" s="124"/>
      <c r="U119" s="124"/>
      <c r="V119" s="124"/>
      <c r="W119" s="124"/>
      <c r="X119" s="124"/>
      <c r="Y119" s="331">
        <v>45879</v>
      </c>
      <c r="Z119" s="330"/>
      <c r="AA119" s="331"/>
      <c r="AB119" s="331"/>
      <c r="AC119" s="331"/>
      <c r="AD119" s="331"/>
      <c r="AE119" s="331"/>
      <c r="AF119" s="331"/>
      <c r="AG119" s="331"/>
      <c r="AH119" s="331">
        <v>46172</v>
      </c>
      <c r="AI119" s="129">
        <f t="shared" si="195"/>
        <v>9.6006825938566553</v>
      </c>
      <c r="AJ119" s="129">
        <f t="shared" si="196"/>
        <v>19.378839590443686</v>
      </c>
      <c r="AK119" s="129">
        <f t="shared" si="197"/>
        <v>13.112627986348123</v>
      </c>
      <c r="AL119" s="399">
        <f t="shared" si="198"/>
        <v>8.9351535836177476</v>
      </c>
      <c r="AM119" s="393">
        <f t="shared" si="199"/>
        <v>6.3034833650563797</v>
      </c>
      <c r="AN119" s="393">
        <f t="shared" si="200"/>
        <v>3.371211057554059</v>
      </c>
      <c r="AO119" s="393">
        <f t="shared" si="201"/>
        <v>1.2824738561888713</v>
      </c>
      <c r="AP119" s="96">
        <f t="shared" si="202"/>
        <v>-0.28407904483501945</v>
      </c>
      <c r="AQ119" s="91">
        <f t="shared" si="203"/>
        <v>-2.8899274787498328</v>
      </c>
      <c r="AR119" s="198"/>
      <c r="AS119" s="81">
        <f>$H$119*月別販売比率!AG25</f>
        <v>4.1774744027303754</v>
      </c>
      <c r="AT119" s="21"/>
      <c r="AU119" s="81">
        <f>$H$119*月別販売比率!AL25</f>
        <v>2.6316702185613678</v>
      </c>
      <c r="AV119" s="21"/>
      <c r="AW119" s="81">
        <f>$H$119*月別販売比率!AQ25</f>
        <v>2.9322723075023207</v>
      </c>
      <c r="AX119" s="21"/>
      <c r="AY119" s="81">
        <f>$H$119*月別販売比率!AV25</f>
        <v>2.0887372013651877</v>
      </c>
      <c r="AZ119" s="21"/>
      <c r="BA119" s="81">
        <f>$H$119*月別販売比率!BA25</f>
        <v>1.5665529010238908</v>
      </c>
      <c r="BB119" s="21"/>
      <c r="BC119" s="81">
        <f>$H$119*月別販売比率!BF25</f>
        <v>2.6058484339148134</v>
      </c>
      <c r="BD119" s="21"/>
      <c r="BE119" s="81">
        <f>$H$119*月別販売比率!C25</f>
        <v>3.6552901023890789</v>
      </c>
      <c r="BF119" s="21"/>
      <c r="BG119" s="245">
        <f>$H$119*月別販売比率!H25</f>
        <v>4.1774744027303754</v>
      </c>
      <c r="BH119" s="241">
        <v>20</v>
      </c>
      <c r="BI119" s="81">
        <f>$H$119*月別販売比率!M25</f>
        <v>7.3105802047781578</v>
      </c>
      <c r="BJ119" s="21"/>
      <c r="BK119" s="81">
        <f>$H$119*月別販売比率!R25</f>
        <v>9.3993174061433447</v>
      </c>
      <c r="BL119" s="21"/>
      <c r="BM119" s="245">
        <f>$H$119*月別販売比率!W25</f>
        <v>5.2218430034129701</v>
      </c>
      <c r="BN119" s="241">
        <v>10</v>
      </c>
      <c r="BO119" s="81">
        <f>$H$119*月別販売比率!AB25</f>
        <v>6.2662116040955631</v>
      </c>
      <c r="BP119" s="21"/>
      <c r="BQ119" s="81">
        <f>$H$119*月別販売比率!AG25</f>
        <v>4.1774744027303754</v>
      </c>
      <c r="BR119" s="21"/>
      <c r="BS119" s="81">
        <f>$H$119*月別販売比率!AL25</f>
        <v>2.6316702185613678</v>
      </c>
      <c r="BT119" s="21"/>
      <c r="BU119" s="81">
        <f>$H$119*月別販売比率!AQ25</f>
        <v>2.9322723075023207</v>
      </c>
      <c r="BV119" s="21"/>
      <c r="BW119" s="81">
        <f>$H$119*月別販売比率!AV25</f>
        <v>2.0887372013651877</v>
      </c>
      <c r="BX119" s="21"/>
      <c r="BY119" s="81">
        <f>$H$119*月別販売比率!BA25</f>
        <v>1.5665529010238908</v>
      </c>
      <c r="BZ119" s="21"/>
      <c r="CA119" s="81">
        <f>$H$119*月別販売比率!BF25</f>
        <v>2.6058484339148134</v>
      </c>
      <c r="CB119" s="21"/>
      <c r="CC119" s="245">
        <f>H119*月別販売比率!$C$25</f>
        <v>3.6552901023890789</v>
      </c>
      <c r="CD119" s="241">
        <v>25</v>
      </c>
      <c r="CE119" s="81">
        <f>H119*月別販売比率!$H$25</f>
        <v>4.1774744027303754</v>
      </c>
      <c r="CF119" s="21"/>
      <c r="CG119" s="81">
        <f>H119*月別販売比率!$M$25</f>
        <v>7.3105802047781578</v>
      </c>
      <c r="CH119" s="241">
        <v>5</v>
      </c>
      <c r="CI119" s="81">
        <f>H119*月別販売比率!$R$25</f>
        <v>9.3993174061433447</v>
      </c>
      <c r="CJ119" s="21"/>
      <c r="CK119" s="81">
        <f>H119*月別販売比率!$W$25</f>
        <v>5.2218430034129701</v>
      </c>
      <c r="CL119" s="21">
        <v>15</v>
      </c>
      <c r="CM119" s="81">
        <f>H119*月別販売比率!$AB$25</f>
        <v>6.2662116040955631</v>
      </c>
      <c r="CN119" s="21"/>
      <c r="CO119" s="81">
        <f>H119*月別販売比率!$AG$25</f>
        <v>4.1774744027303754</v>
      </c>
      <c r="CP119" s="21"/>
      <c r="CQ119" s="81">
        <f>H119*月別販売比率!$AL$25</f>
        <v>2.6316702185613678</v>
      </c>
      <c r="CR119" s="21"/>
      <c r="CS119" s="81">
        <f>H119*月別販売比率!$AQ$25</f>
        <v>2.9322723075023207</v>
      </c>
      <c r="CT119" s="21"/>
      <c r="CU119" s="81">
        <f>H119*月別販売比率!$AV$25</f>
        <v>2.0887372013651877</v>
      </c>
      <c r="CV119" s="21"/>
      <c r="CW119" s="81">
        <f>H119*月別販売比率!$BA$25</f>
        <v>1.5665529010238908</v>
      </c>
      <c r="CX119" s="21"/>
      <c r="CY119" s="81">
        <f>H119*月別販売比率!$BF$25</f>
        <v>2.6058484339148134</v>
      </c>
      <c r="CZ119" s="21"/>
      <c r="DA119" s="28"/>
      <c r="DB119" s="294"/>
    </row>
    <row r="120" spans="2:106" ht="30.75" customHeight="1">
      <c r="C120" s="477"/>
      <c r="D120" s="441"/>
      <c r="E120" s="94" t="s">
        <v>47</v>
      </c>
      <c r="F120">
        <v>32</v>
      </c>
      <c r="G120" s="46">
        <f t="shared" si="204"/>
        <v>246400</v>
      </c>
      <c r="H120" s="56">
        <f t="shared" si="206"/>
        <v>92.832764505119457</v>
      </c>
      <c r="I120" s="46">
        <f t="shared" si="205"/>
        <v>714812.28668941977</v>
      </c>
      <c r="J120" s="9">
        <v>30</v>
      </c>
      <c r="K120" s="21">
        <f t="shared" si="207"/>
        <v>27</v>
      </c>
      <c r="L120" s="21">
        <v>14</v>
      </c>
      <c r="M120" s="21">
        <v>13</v>
      </c>
      <c r="N120" s="42"/>
      <c r="O120" s="19"/>
      <c r="P120" s="19"/>
      <c r="Q120" s="124"/>
      <c r="R120" s="124"/>
      <c r="S120" s="124"/>
      <c r="T120" s="124"/>
      <c r="U120" s="328"/>
      <c r="V120" s="124"/>
      <c r="W120" s="124"/>
      <c r="X120" s="328"/>
      <c r="Y120" s="331">
        <v>45879</v>
      </c>
      <c r="Z120" s="330"/>
      <c r="AA120" s="331"/>
      <c r="AB120" s="331"/>
      <c r="AC120" s="331"/>
      <c r="AD120" s="331"/>
      <c r="AE120" s="331"/>
      <c r="AF120" s="331"/>
      <c r="AG120" s="331"/>
      <c r="AH120" s="331">
        <v>46172</v>
      </c>
      <c r="AI120" s="129">
        <f t="shared" si="195"/>
        <v>40.290102389078498</v>
      </c>
      <c r="AJ120" s="129">
        <f t="shared" si="196"/>
        <v>51.00682593856655</v>
      </c>
      <c r="AK120" s="129">
        <f t="shared" si="197"/>
        <v>39.866894197952213</v>
      </c>
      <c r="AL120" s="399">
        <f t="shared" si="198"/>
        <v>32.440273037542653</v>
      </c>
      <c r="AM120" s="393">
        <f t="shared" si="199"/>
        <v>27.761748204544666</v>
      </c>
      <c r="AN120" s="393">
        <f t="shared" si="200"/>
        <v>22.548819657873874</v>
      </c>
      <c r="AO120" s="393">
        <f t="shared" si="201"/>
        <v>18.835509077669094</v>
      </c>
      <c r="AP120" s="96">
        <f t="shared" si="202"/>
        <v>16.050526142515512</v>
      </c>
      <c r="AQ120" s="91">
        <f t="shared" si="203"/>
        <v>11.417906704444732</v>
      </c>
      <c r="AR120" s="198"/>
      <c r="AS120" s="81">
        <f>$H$120*月別販売比率!AG25</f>
        <v>7.4266211604095567</v>
      </c>
      <c r="AT120" s="21"/>
      <c r="AU120" s="81">
        <f>$H$120*月別販売比率!AL25</f>
        <v>4.6785248329979874</v>
      </c>
      <c r="AV120" s="21"/>
      <c r="AW120" s="81">
        <f>$H$120*月別販売比率!AQ25</f>
        <v>5.212928546670792</v>
      </c>
      <c r="AX120" s="21"/>
      <c r="AY120" s="81">
        <f>$H$120*月別販売比率!AV25</f>
        <v>3.7133105802047783</v>
      </c>
      <c r="AZ120" s="21"/>
      <c r="BA120" s="81">
        <f>$H$120*月別販売比率!BA25</f>
        <v>2.7849829351535837</v>
      </c>
      <c r="BB120" s="21"/>
      <c r="BC120" s="81">
        <f>$H$120*月別販売比率!BF25</f>
        <v>4.6326194380707788</v>
      </c>
      <c r="BD120" s="21"/>
      <c r="BE120" s="81">
        <f>$H$120*月別販売比率!C25</f>
        <v>6.4982935153583625</v>
      </c>
      <c r="BF120" s="21"/>
      <c r="BG120" s="245">
        <f>$H$120*月別販売比率!H25</f>
        <v>7.4266211604095567</v>
      </c>
      <c r="BH120" s="241">
        <v>20</v>
      </c>
      <c r="BI120" s="81">
        <f>$H$120*月別販売比率!M25</f>
        <v>12.996587030716725</v>
      </c>
      <c r="BJ120" s="21"/>
      <c r="BK120" s="81">
        <f>$H$120*月別販売比率!R25</f>
        <v>16.709897610921502</v>
      </c>
      <c r="BL120" s="21"/>
      <c r="BM120" s="245">
        <f>$H$120*月別販売比率!W25</f>
        <v>9.2832764505119467</v>
      </c>
      <c r="BN120" s="241">
        <v>20</v>
      </c>
      <c r="BO120" s="81">
        <f>$H$120*月別販売比率!AB25</f>
        <v>11.139931740614335</v>
      </c>
      <c r="BP120" s="21"/>
      <c r="BQ120" s="81">
        <f>$H$120*月別販売比率!AG25</f>
        <v>7.4266211604095567</v>
      </c>
      <c r="BR120" s="21"/>
      <c r="BS120" s="81">
        <f>$H$120*月別販売比率!AL25</f>
        <v>4.6785248329979874</v>
      </c>
      <c r="BT120" s="21"/>
      <c r="BU120" s="81">
        <f>$H$120*月別販売比率!AQ25</f>
        <v>5.212928546670792</v>
      </c>
      <c r="BV120" s="21"/>
      <c r="BW120" s="81">
        <f>$H$120*月別販売比率!AV25</f>
        <v>3.7133105802047783</v>
      </c>
      <c r="BX120" s="21"/>
      <c r="BY120" s="81">
        <f>$H$120*月別販売比率!BA25</f>
        <v>2.7849829351535837</v>
      </c>
      <c r="BZ120" s="21"/>
      <c r="CA120" s="81">
        <f>$H$120*月別販売比率!BF25</f>
        <v>4.6326194380707788</v>
      </c>
      <c r="CB120" s="21"/>
      <c r="CC120" s="245">
        <f>H120*月別販売比率!$C$25</f>
        <v>6.4982935153583625</v>
      </c>
      <c r="CD120" s="241">
        <v>25</v>
      </c>
      <c r="CE120" s="81">
        <f>H120*月別販売比率!$H$25</f>
        <v>7.4266211604095567</v>
      </c>
      <c r="CF120" s="21"/>
      <c r="CG120" s="81">
        <f>H120*月別販売比率!$M$25</f>
        <v>12.996587030716725</v>
      </c>
      <c r="CH120" s="241">
        <v>44</v>
      </c>
      <c r="CI120" s="81">
        <f>H120*月別販売比率!$R$25</f>
        <v>16.709897610921502</v>
      </c>
      <c r="CJ120" s="21"/>
      <c r="CK120" s="81">
        <f>H120*月別販売比率!$W$25</f>
        <v>9.2832764505119467</v>
      </c>
      <c r="CL120" s="21">
        <v>20</v>
      </c>
      <c r="CM120" s="81">
        <f>H120*月別販売比率!$AB$25</f>
        <v>11.139931740614335</v>
      </c>
      <c r="CN120" s="21"/>
      <c r="CO120" s="81">
        <f>H120*月別販売比率!$AG$25</f>
        <v>7.4266211604095567</v>
      </c>
      <c r="CP120" s="21"/>
      <c r="CQ120" s="81">
        <f>H120*月別販売比率!$AL$25</f>
        <v>4.6785248329979874</v>
      </c>
      <c r="CR120" s="21"/>
      <c r="CS120" s="81">
        <f>H120*月別販売比率!$AQ$25</f>
        <v>5.212928546670792</v>
      </c>
      <c r="CT120" s="21"/>
      <c r="CU120" s="81">
        <f>H120*月別販売比率!$AV$25</f>
        <v>3.7133105802047783</v>
      </c>
      <c r="CV120" s="21"/>
      <c r="CW120" s="81">
        <f>H120*月別販売比率!$BA$25</f>
        <v>2.7849829351535837</v>
      </c>
      <c r="CX120" s="21"/>
      <c r="CY120" s="81">
        <f>H120*月別販売比率!$BF$25</f>
        <v>4.6326194380707788</v>
      </c>
      <c r="CZ120" s="21"/>
      <c r="DA120" s="28"/>
      <c r="DB120" s="294"/>
    </row>
    <row r="121" spans="2:106" ht="30.75" customHeight="1">
      <c r="C121" s="478"/>
      <c r="D121" s="444"/>
      <c r="E121" s="94" t="s">
        <v>51</v>
      </c>
      <c r="F121" s="314">
        <v>29</v>
      </c>
      <c r="G121" s="53">
        <f t="shared" si="204"/>
        <v>223300</v>
      </c>
      <c r="H121" s="126">
        <f t="shared" si="206"/>
        <v>84.129692832764505</v>
      </c>
      <c r="I121" s="53">
        <f t="shared" si="205"/>
        <v>647798.63481228671</v>
      </c>
      <c r="J121" s="113">
        <v>15</v>
      </c>
      <c r="K121" s="103">
        <v>0</v>
      </c>
      <c r="L121" s="104">
        <v>9</v>
      </c>
      <c r="M121" s="104">
        <v>10</v>
      </c>
      <c r="N121" s="117"/>
      <c r="O121" s="313"/>
      <c r="P121" s="123"/>
      <c r="Q121" s="238"/>
      <c r="R121" s="238"/>
      <c r="S121" s="329"/>
      <c r="T121" s="329"/>
      <c r="U121" s="329"/>
      <c r="V121" s="238"/>
      <c r="W121" s="238"/>
      <c r="X121" s="238"/>
      <c r="Y121" s="238"/>
      <c r="Z121" s="238"/>
      <c r="AA121" s="238"/>
      <c r="AB121" s="238"/>
      <c r="AC121" s="329"/>
      <c r="AD121" s="329"/>
      <c r="AE121" s="329"/>
      <c r="AF121" s="329"/>
      <c r="AG121" s="331"/>
      <c r="AH121" s="331">
        <v>46172</v>
      </c>
      <c r="AI121" s="238">
        <f t="shared" si="195"/>
        <v>-0.14334470989760995</v>
      </c>
      <c r="AJ121" s="238">
        <f>0-CK121+CL121</f>
        <v>6.5870307167235485</v>
      </c>
      <c r="AK121" s="238">
        <f t="shared" si="197"/>
        <v>-3.5085324232081909</v>
      </c>
      <c r="AL121" s="401">
        <f t="shared" si="198"/>
        <v>-10.238907849829351</v>
      </c>
      <c r="AM121" s="395">
        <f t="shared" si="199"/>
        <v>-14.478820979733776</v>
      </c>
      <c r="AN121" s="395">
        <f t="shared" si="200"/>
        <v>-19.203037475154183</v>
      </c>
      <c r="AO121" s="395">
        <f t="shared" si="201"/>
        <v>-22.568225188464762</v>
      </c>
      <c r="AP121" s="403">
        <f t="shared" si="202"/>
        <v>-25.092115973447697</v>
      </c>
      <c r="AQ121" s="90">
        <f t="shared" si="203"/>
        <v>-29.29042733919934</v>
      </c>
      <c r="AR121" s="238"/>
      <c r="AS121" s="282">
        <f>$H$121*月別販売比率!AG25</f>
        <v>6.7303754266211602</v>
      </c>
      <c r="AT121" s="103"/>
      <c r="AU121" s="282">
        <f>$H$121*月別販売比率!AL25</f>
        <v>4.2399131299044255</v>
      </c>
      <c r="AV121" s="103"/>
      <c r="AW121" s="282">
        <f>$H$121*月別販売比率!AQ25</f>
        <v>4.7242164954204053</v>
      </c>
      <c r="AX121" s="103"/>
      <c r="AY121" s="282">
        <f>$H$121*月別販売比率!AV25</f>
        <v>3.3651877133105801</v>
      </c>
      <c r="AZ121" s="103"/>
      <c r="BA121" s="282">
        <f>$H$121*月別販売比率!BA425</f>
        <v>0</v>
      </c>
      <c r="BB121" s="103"/>
      <c r="BC121" s="282">
        <f>$H$121*月別販売比率!BF25</f>
        <v>4.1983113657516435</v>
      </c>
      <c r="BD121" s="103"/>
      <c r="BE121" s="282">
        <f>$H$121*月別販売比率!C25</f>
        <v>5.8890784982935163</v>
      </c>
      <c r="BF121" s="103"/>
      <c r="BG121" s="301">
        <f>$H$121*月別販売比率!H25</f>
        <v>6.7303754266211602</v>
      </c>
      <c r="BH121" s="302">
        <v>35</v>
      </c>
      <c r="BI121" s="282">
        <f>$H$121*月別販売比率!M25</f>
        <v>11.778156996587033</v>
      </c>
      <c r="BJ121" s="103"/>
      <c r="BK121" s="282">
        <f>$H$121*月別販売比率!R25</f>
        <v>15.14334470989761</v>
      </c>
      <c r="BL121" s="103"/>
      <c r="BM121" s="301">
        <f>$H$121*月別販売比率!W25</f>
        <v>8.4129692832764515</v>
      </c>
      <c r="BN121" s="302">
        <v>10</v>
      </c>
      <c r="BO121" s="282">
        <f>$H$121*月別販売比率!AB25</f>
        <v>10.095563139931739</v>
      </c>
      <c r="BP121" s="103"/>
      <c r="BQ121" s="282">
        <f>$H$121*月別販売比率!AG25</f>
        <v>6.7303754266211602</v>
      </c>
      <c r="BR121" s="103"/>
      <c r="BS121" s="282">
        <f>$H$121*月別販売比率!AL25</f>
        <v>4.2399131299044255</v>
      </c>
      <c r="BT121" s="103"/>
      <c r="BU121" s="282">
        <f>$H$121*月別販売比率!AQ25</f>
        <v>4.7242164954204053</v>
      </c>
      <c r="BV121" s="103"/>
      <c r="BW121" s="282">
        <f>$H$121*月別販売比率!AV25</f>
        <v>3.3651877133105801</v>
      </c>
      <c r="BX121" s="103"/>
      <c r="BY121" s="282">
        <f>$H$121*月別販売比率!BA25</f>
        <v>2.5238907849829348</v>
      </c>
      <c r="BZ121" s="103"/>
      <c r="CA121" s="282">
        <f>$H$121*月別販売比率!BF25</f>
        <v>4.1983113657516435</v>
      </c>
      <c r="CB121" s="103"/>
      <c r="CC121" s="301">
        <f>H121*月別販売比率!$C$25</f>
        <v>5.8890784982935163</v>
      </c>
      <c r="CD121" s="302">
        <v>30</v>
      </c>
      <c r="CE121" s="282">
        <f>H121*月別販売比率!$H$25</f>
        <v>6.7303754266211602</v>
      </c>
      <c r="CF121" s="103"/>
      <c r="CG121" s="282">
        <f>H121*月別販売比率!$M$25</f>
        <v>11.778156996587033</v>
      </c>
      <c r="CH121" s="302">
        <v>34</v>
      </c>
      <c r="CI121" s="282">
        <f>H121*月別販売比率!$R$25</f>
        <v>15.14334470989761</v>
      </c>
      <c r="CJ121" s="103"/>
      <c r="CK121" s="282">
        <f>H121*月別販売比率!$W$25</f>
        <v>8.4129692832764515</v>
      </c>
      <c r="CL121" s="103">
        <v>15</v>
      </c>
      <c r="CM121" s="282">
        <f>H121*月別販売比率!$AB$25</f>
        <v>10.095563139931739</v>
      </c>
      <c r="CN121" s="103"/>
      <c r="CO121" s="282">
        <f>H121*月別販売比率!$AG$25</f>
        <v>6.7303754266211602</v>
      </c>
      <c r="CP121" s="103"/>
      <c r="CQ121" s="282">
        <f>H121*月別販売比率!$AL$25</f>
        <v>4.2399131299044255</v>
      </c>
      <c r="CR121" s="103"/>
      <c r="CS121" s="282">
        <f>H121*月別販売比率!$AQ$25</f>
        <v>4.7242164954204053</v>
      </c>
      <c r="CT121" s="103"/>
      <c r="CU121" s="282">
        <f>H121*月別販売比率!$AV$25</f>
        <v>3.3651877133105801</v>
      </c>
      <c r="CV121" s="103"/>
      <c r="CW121" s="282">
        <f>H121*月別販売比率!$BA$25</f>
        <v>2.5238907849829348</v>
      </c>
      <c r="CX121" s="103"/>
      <c r="CY121" s="282">
        <f>H121*月別販売比率!$BF$25</f>
        <v>4.1983113657516435</v>
      </c>
      <c r="CZ121" s="103"/>
      <c r="DA121" s="303"/>
      <c r="DB121" s="300"/>
    </row>
    <row r="122" spans="2:106" ht="30.75" customHeight="1">
      <c r="B122" s="2">
        <v>9</v>
      </c>
      <c r="C122" s="435" t="s">
        <v>4</v>
      </c>
      <c r="D122" s="436"/>
      <c r="E122" s="445"/>
      <c r="F122" s="130">
        <f>SUM(F123:F130)</f>
        <v>1288</v>
      </c>
      <c r="G122" s="131">
        <f>SUM(G123:G126)</f>
        <v>3034680</v>
      </c>
      <c r="H122" s="130">
        <v>1288</v>
      </c>
      <c r="I122" s="131">
        <f t="shared" ref="I122:N122" si="208">SUM(I123:I126)</f>
        <v>3034680</v>
      </c>
      <c r="J122" s="147">
        <f>SUM(J123:J126)</f>
        <v>0</v>
      </c>
      <c r="K122" s="148">
        <f t="shared" si="208"/>
        <v>3</v>
      </c>
      <c r="L122" s="148">
        <f t="shared" si="208"/>
        <v>3</v>
      </c>
      <c r="M122" s="148">
        <f t="shared" si="208"/>
        <v>0</v>
      </c>
      <c r="N122" s="149">
        <f t="shared" si="208"/>
        <v>0</v>
      </c>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6">
        <f>SUM(AS123:AS126)</f>
        <v>83.600000000000009</v>
      </c>
      <c r="AT122" s="134"/>
      <c r="AU122" s="136">
        <f>SUM(AU123:AU126)</f>
        <v>75.240000000000009</v>
      </c>
      <c r="AV122" s="134">
        <f>SUM(AV123:AV130)</f>
        <v>0</v>
      </c>
      <c r="AW122" s="136">
        <f>SUM(AW123:AW126)</f>
        <v>83.600000000000009</v>
      </c>
      <c r="AX122" s="134">
        <f>SUM(AX123:AX130)</f>
        <v>0</v>
      </c>
      <c r="AY122" s="136">
        <f>SUM(AY123:AY126)</f>
        <v>50.907697917595918</v>
      </c>
      <c r="AZ122" s="134">
        <f>SUM(AZ123:AZ130)</f>
        <v>153</v>
      </c>
      <c r="BA122" s="136">
        <f>SUM(BA123:BA126)</f>
        <v>46.500928909419528</v>
      </c>
      <c r="BB122" s="134">
        <f>SUM(BB123:BB130)</f>
        <v>0</v>
      </c>
      <c r="BC122" s="136">
        <f>SUM(BC123:BC126)</f>
        <v>66.88</v>
      </c>
      <c r="BD122" s="134">
        <f>SUM(BD123:BD130)</f>
        <v>160</v>
      </c>
      <c r="BE122" s="136">
        <f>SUM(BE123:BE126)</f>
        <v>59.242513932842407</v>
      </c>
      <c r="BF122" s="134">
        <f>SUM(BF123:BF130)</f>
        <v>0</v>
      </c>
      <c r="BG122" s="136">
        <f>SUM(BG123:BG126)</f>
        <v>58.52000000000001</v>
      </c>
      <c r="BH122" s="134">
        <f>SUM(BH123:BH130)</f>
        <v>0</v>
      </c>
      <c r="BI122" s="136">
        <f>SUM(BI123:BI126)</f>
        <v>82.097340044853397</v>
      </c>
      <c r="BJ122" s="134">
        <f>SUM(BJ123:BJ130)</f>
        <v>215</v>
      </c>
      <c r="BK122" s="136">
        <f>SUM(BK123:BK126)</f>
        <v>66.88</v>
      </c>
      <c r="BL122" s="134">
        <f>SUM(BL123:BL130)</f>
        <v>170</v>
      </c>
      <c r="BM122" s="136">
        <f>SUM(BM123:BM126)</f>
        <v>63.675378194576702</v>
      </c>
      <c r="BN122" s="134">
        <f>SUM(BN123:BN130)</f>
        <v>320</v>
      </c>
      <c r="BO122" s="136">
        <f>SUM(BO123:BO126)</f>
        <v>100.32</v>
      </c>
      <c r="BP122" s="134">
        <f>SUM(BP123:BP130)</f>
        <v>91</v>
      </c>
      <c r="BQ122" s="136">
        <f>SUM(BQ123:BQ126)</f>
        <v>83.600000000000009</v>
      </c>
      <c r="BR122" s="134">
        <f>SUM(BR123:BR130)</f>
        <v>0</v>
      </c>
      <c r="BS122" s="136">
        <f>SUM(BS123:BS126)</f>
        <v>75.240000000000009</v>
      </c>
      <c r="BT122" s="134">
        <f>SUM(BT123:BT130)</f>
        <v>0</v>
      </c>
      <c r="BU122" s="136">
        <f>SUM(BU123:BU126)</f>
        <v>83.600000000000009</v>
      </c>
      <c r="BV122" s="134">
        <f>SUM(BV123:BV130)</f>
        <v>0</v>
      </c>
      <c r="BW122" s="136">
        <f>SUM(BW123:BW126)</f>
        <v>50.907697917595918</v>
      </c>
      <c r="BX122" s="134">
        <f>SUM(BX123:BX130)</f>
        <v>0</v>
      </c>
      <c r="BY122" s="136">
        <f>SUM(BY123:BY126)</f>
        <v>46.500928909419528</v>
      </c>
      <c r="BZ122" s="134">
        <f>SUM(BZ123:BZ130)</f>
        <v>81</v>
      </c>
      <c r="CA122" s="136">
        <f>SUM(CA123:CA126)</f>
        <v>66.88</v>
      </c>
      <c r="CB122" s="134">
        <f>SUM(CB123:CB130)</f>
        <v>0</v>
      </c>
      <c r="CC122" s="136">
        <f>SUM(CC123:CC126)</f>
        <v>59.242513932842407</v>
      </c>
      <c r="CD122" s="134">
        <f>SUM(CD123:CD130)</f>
        <v>289</v>
      </c>
      <c r="CE122" s="136">
        <f>SUM(CE123:CE126)</f>
        <v>58.52000000000001</v>
      </c>
      <c r="CF122" s="134">
        <f>SUM(CF123:CF130)</f>
        <v>0</v>
      </c>
      <c r="CG122" s="136">
        <f>SUM(CG123:CG126)</f>
        <v>84.489244107374759</v>
      </c>
      <c r="CH122" s="134">
        <f>SUM(CH123:CH130)</f>
        <v>0</v>
      </c>
      <c r="CI122" s="136">
        <f>SUM(CI123:CI126)</f>
        <v>66.88</v>
      </c>
      <c r="CJ122" s="134">
        <f>SUM(CJ123:CJ130)</f>
        <v>0</v>
      </c>
      <c r="CK122" s="136">
        <f>SUM(CK123:CK126)</f>
        <v>63.675378194576702</v>
      </c>
      <c r="CL122" s="134">
        <f>SUM(CL123:CL130)</f>
        <v>238</v>
      </c>
      <c r="CM122" s="136">
        <f>SUM(CM123:CM126)</f>
        <v>100.32</v>
      </c>
      <c r="CN122" s="134">
        <f>SUM(CN123:CN130)</f>
        <v>0</v>
      </c>
      <c r="CO122" s="136">
        <f>SUM(CO123:CO126)</f>
        <v>83.600000000000009</v>
      </c>
      <c r="CP122" s="134">
        <f>SUM(CP123:CP130)</f>
        <v>300</v>
      </c>
      <c r="CQ122" s="136">
        <f>SUM(CQ123:CQ126)</f>
        <v>75.240000000000009</v>
      </c>
      <c r="CR122" s="134">
        <f>SUM(CR123:CR130)</f>
        <v>0</v>
      </c>
      <c r="CS122" s="136">
        <f>SUM(CS123:CS126)</f>
        <v>83.600000000000009</v>
      </c>
      <c r="CT122" s="134">
        <f>SUM(CT123:CT130)</f>
        <v>0</v>
      </c>
      <c r="CU122" s="136">
        <v>50.907697917595918</v>
      </c>
      <c r="CV122" s="134">
        <f>SUM(CV123:CV130)</f>
        <v>0</v>
      </c>
      <c r="CW122" s="136">
        <f>SUM(CW123:CW126)</f>
        <v>46.500928909419528</v>
      </c>
      <c r="CX122" s="134">
        <f>SUM(CX123:CX130)</f>
        <v>0</v>
      </c>
      <c r="CY122" s="136">
        <f>SUM(CY123:CY126)</f>
        <v>66.88</v>
      </c>
      <c r="CZ122" s="134">
        <f>SUM(CZ123:CZ130)</f>
        <v>0</v>
      </c>
      <c r="DA122" s="141"/>
      <c r="DB122" s="293"/>
    </row>
    <row r="123" spans="2:106" ht="30.75" customHeight="1">
      <c r="C123" s="446" t="s">
        <v>507</v>
      </c>
      <c r="D123" s="443">
        <v>2</v>
      </c>
      <c r="E123" s="99" t="s">
        <v>46</v>
      </c>
      <c r="F123" s="56">
        <v>270</v>
      </c>
      <c r="G123" s="46">
        <f t="shared" ref="G123:G130" si="209">F123*3630</f>
        <v>980100</v>
      </c>
      <c r="H123" s="57">
        <f>F123*($H$122/$F$122)</f>
        <v>270</v>
      </c>
      <c r="I123" s="46">
        <f t="shared" ref="I123:I130" si="210">H123*3630</f>
        <v>980100</v>
      </c>
      <c r="J123" s="49">
        <v>0</v>
      </c>
      <c r="K123" s="39">
        <f>SUM(L123:N123)</f>
        <v>3</v>
      </c>
      <c r="L123" s="39">
        <v>3</v>
      </c>
      <c r="M123" s="39">
        <v>0</v>
      </c>
      <c r="N123" s="42"/>
      <c r="O123" s="289">
        <v>45593</v>
      </c>
      <c r="P123" s="19"/>
      <c r="Q123" s="124"/>
      <c r="R123" s="124"/>
      <c r="S123" s="129"/>
      <c r="T123" s="129"/>
      <c r="U123" s="129"/>
      <c r="V123" s="129"/>
      <c r="W123" s="129"/>
      <c r="X123" s="129"/>
      <c r="Y123" s="129"/>
      <c r="Z123" s="129"/>
      <c r="AA123" s="129"/>
      <c r="AB123" s="129"/>
      <c r="AC123" s="129"/>
      <c r="AD123" s="129"/>
      <c r="AE123" s="129"/>
      <c r="AF123" s="129"/>
      <c r="AG123" s="129"/>
      <c r="AH123" s="129"/>
      <c r="AI123" s="129">
        <f>SUM(J123:K123)-CI123+CJ123</f>
        <v>-18.600000000000001</v>
      </c>
      <c r="AJ123" s="129">
        <f>0-CK123+CL123</f>
        <v>56.434985511320917</v>
      </c>
      <c r="AK123" s="129">
        <f t="shared" ref="AK123:AK130" si="211">AJ123-CM123+CN123</f>
        <v>24.034985511320919</v>
      </c>
      <c r="AL123" s="399">
        <f t="shared" ref="AL123:AL130" si="212">AK123-CO123+CP123</f>
        <v>77.034985511320912</v>
      </c>
      <c r="AM123" s="393">
        <f t="shared" ref="AM123:AM130" si="213">AL123-CQ123+CR123</f>
        <v>52.734985511320914</v>
      </c>
      <c r="AN123" s="393">
        <f t="shared" ref="AN123:AN130" si="214">AM123-CS123+CT123</f>
        <v>25.734985511320914</v>
      </c>
      <c r="AO123" s="393">
        <f t="shared" ref="AO123:AO130" si="215">AN123-CU123+CV123</f>
        <v>9.2935041264514204</v>
      </c>
      <c r="AP123" s="96">
        <f t="shared" ref="AP123:AP130" si="216">AO123-CW123+CX123</f>
        <v>-5.7247384639113452</v>
      </c>
      <c r="AQ123" s="91">
        <f t="shared" ref="AQ123:AQ130" si="217">AP123-CY123+CZ123</f>
        <v>-27.324738463911345</v>
      </c>
      <c r="AR123" s="198"/>
      <c r="AS123" s="245">
        <f>$H$123*月別販売比率!AG5</f>
        <v>27</v>
      </c>
      <c r="AT123" s="280">
        <v>24</v>
      </c>
      <c r="AU123" s="81">
        <f>$H$123*月別販売比率!AL5</f>
        <v>24.3</v>
      </c>
      <c r="AV123" s="39"/>
      <c r="AW123" s="81">
        <f>$H$123*月別販売比率!AQ5</f>
        <v>27</v>
      </c>
      <c r="AX123" s="39"/>
      <c r="AY123" s="81">
        <f>$H$123*月別販売比率!AV5</f>
        <v>16.441481384869494</v>
      </c>
      <c r="AZ123" s="39">
        <v>55</v>
      </c>
      <c r="BA123" s="81">
        <f>$H$123*月別販売比率!BA5</f>
        <v>15.018242590362766</v>
      </c>
      <c r="BB123" s="39"/>
      <c r="BC123" s="245">
        <f>$H$123*月別販売比率!BF5</f>
        <v>21.6</v>
      </c>
      <c r="BD123" s="243"/>
      <c r="BE123" s="81">
        <f>$H$123*月別販売比率!C21</f>
        <v>19.133347801276855</v>
      </c>
      <c r="BF123" s="21"/>
      <c r="BG123" s="81">
        <f>$H$123*月別販売比率!H21</f>
        <v>18.900000000000002</v>
      </c>
      <c r="BH123" s="21"/>
      <c r="BI123" s="245">
        <f>$H$123*月別販売比率!M21</f>
        <v>27.287196063386581</v>
      </c>
      <c r="BJ123" s="241">
        <v>75</v>
      </c>
      <c r="BK123" s="245">
        <f>$H$123*月別販売比率!R21</f>
        <v>21.6</v>
      </c>
      <c r="BL123" s="241"/>
      <c r="BM123" s="245">
        <f>$H$123*月別販売比率!W21</f>
        <v>20.565014488679079</v>
      </c>
      <c r="BN123" s="241">
        <v>80</v>
      </c>
      <c r="BO123" s="245">
        <f>$H$123*月別販売比率!AB21</f>
        <v>32.4</v>
      </c>
      <c r="BP123" s="241">
        <v>23</v>
      </c>
      <c r="BQ123" s="81">
        <f>$H$123*月別販売比率!AG21</f>
        <v>27</v>
      </c>
      <c r="BR123" s="21"/>
      <c r="BS123" s="81">
        <f>$H$123*月別販売比率!AL21</f>
        <v>24.3</v>
      </c>
      <c r="BT123" s="21"/>
      <c r="BU123" s="81">
        <f>$H$123*月別販売比率!AQ21</f>
        <v>27</v>
      </c>
      <c r="BV123" s="21"/>
      <c r="BW123" s="81">
        <f>$H$123*月別販売比率!AV21</f>
        <v>16.441481384869494</v>
      </c>
      <c r="BX123" s="21"/>
      <c r="BY123" s="245">
        <f>$H$123*月別販売比率!BA21</f>
        <v>15.018242590362766</v>
      </c>
      <c r="BZ123" s="241"/>
      <c r="CA123" s="81">
        <f>$H$123*月別販売比率!BF21</f>
        <v>21.6</v>
      </c>
      <c r="CB123" s="21"/>
      <c r="CC123" s="245">
        <f>H123*月別販売比率!$C$21</f>
        <v>19.133347801276855</v>
      </c>
      <c r="CD123" s="241">
        <v>65</v>
      </c>
      <c r="CE123" s="81">
        <f>H123*月別販売比率!$H$21</f>
        <v>18.900000000000002</v>
      </c>
      <c r="CF123" s="21"/>
      <c r="CG123" s="81">
        <f>H123*月別販売比率!$M$21</f>
        <v>27.287196063386581</v>
      </c>
      <c r="CH123" s="21"/>
      <c r="CI123" s="81">
        <f>H123*月別販売比率!$R$21</f>
        <v>21.6</v>
      </c>
      <c r="CJ123" s="21"/>
      <c r="CK123" s="81">
        <f>H123*月別販売比率!$W$21</f>
        <v>20.565014488679079</v>
      </c>
      <c r="CL123" s="21">
        <v>77</v>
      </c>
      <c r="CM123" s="81">
        <f>H123*月別販売比率!$AB$21</f>
        <v>32.4</v>
      </c>
      <c r="CN123" s="21"/>
      <c r="CO123" s="81">
        <f>H123*月別販売比率!$AG$21</f>
        <v>27</v>
      </c>
      <c r="CP123" s="21">
        <v>80</v>
      </c>
      <c r="CQ123" s="81">
        <f>H123*月別販売比率!$AL$21</f>
        <v>24.3</v>
      </c>
      <c r="CR123" s="21"/>
      <c r="CS123" s="41">
        <f>H123*月別販売比率!$AQ$21</f>
        <v>27</v>
      </c>
      <c r="CT123" s="21"/>
      <c r="CU123" s="81">
        <f>H123*月別販売比率!$AV$21</f>
        <v>16.441481384869494</v>
      </c>
      <c r="CV123" s="21"/>
      <c r="CW123" s="81">
        <f>H123*月別販売比率!$BA$21</f>
        <v>15.018242590362766</v>
      </c>
      <c r="CX123" s="21"/>
      <c r="CY123" s="81">
        <f>H123*月別販売比率!$BF$21</f>
        <v>21.6</v>
      </c>
      <c r="CZ123" s="21"/>
      <c r="DA123" s="28"/>
      <c r="DB123" s="294"/>
    </row>
    <row r="124" spans="2:106" ht="30.75" customHeight="1">
      <c r="C124" s="438"/>
      <c r="D124" s="441"/>
      <c r="E124" s="94" t="s">
        <v>47</v>
      </c>
      <c r="F124" s="57">
        <v>270</v>
      </c>
      <c r="G124" s="46">
        <f t="shared" si="209"/>
        <v>980100</v>
      </c>
      <c r="H124" s="57">
        <f t="shared" ref="H124:H130" si="218">F124*($H$122/$F$122)</f>
        <v>270</v>
      </c>
      <c r="I124" s="46">
        <f t="shared" si="210"/>
        <v>980100</v>
      </c>
      <c r="J124" s="9">
        <v>0</v>
      </c>
      <c r="K124" s="21">
        <f t="shared" ref="K124:K130" si="219">SUM(L124:N124)</f>
        <v>0</v>
      </c>
      <c r="L124" s="21">
        <v>0</v>
      </c>
      <c r="M124" s="21">
        <v>0</v>
      </c>
      <c r="N124" s="42"/>
      <c r="O124" s="289">
        <v>45593</v>
      </c>
      <c r="P124" s="19"/>
      <c r="Q124" s="124"/>
      <c r="R124" s="124"/>
      <c r="S124" s="124"/>
      <c r="T124" s="124"/>
      <c r="U124" s="124"/>
      <c r="V124" s="124"/>
      <c r="W124" s="124"/>
      <c r="X124" s="331">
        <v>45848</v>
      </c>
      <c r="Y124" s="129"/>
      <c r="Z124" s="129"/>
      <c r="AA124" s="345"/>
      <c r="AB124" s="129"/>
      <c r="AC124" s="129"/>
      <c r="AD124" s="129"/>
      <c r="AE124" s="129"/>
      <c r="AF124" s="328"/>
      <c r="AG124" s="124"/>
      <c r="AH124" s="124"/>
      <c r="AI124" s="129">
        <f t="shared" ref="AI124:AI130" si="220">SUM(J124:K124)-CI124+CJ124</f>
        <v>-21.6</v>
      </c>
      <c r="AJ124" s="129">
        <f>0-CK124+CL124</f>
        <v>76.434985511320917</v>
      </c>
      <c r="AK124" s="129">
        <f t="shared" si="211"/>
        <v>44.034985511320919</v>
      </c>
      <c r="AL124" s="399">
        <f t="shared" si="212"/>
        <v>97.034985511320912</v>
      </c>
      <c r="AM124" s="393">
        <f t="shared" si="213"/>
        <v>72.734985511320914</v>
      </c>
      <c r="AN124" s="393">
        <f t="shared" si="214"/>
        <v>45.734985511320914</v>
      </c>
      <c r="AO124" s="393">
        <f t="shared" si="215"/>
        <v>29.29350412645142</v>
      </c>
      <c r="AP124" s="96">
        <f t="shared" si="216"/>
        <v>14.275261536088655</v>
      </c>
      <c r="AQ124" s="91">
        <f t="shared" si="217"/>
        <v>-7.3247384639113466</v>
      </c>
      <c r="AR124" s="198"/>
      <c r="AS124" s="245">
        <f>$H$124*月別販売比率!AG5</f>
        <v>27</v>
      </c>
      <c r="AT124" s="241">
        <v>112</v>
      </c>
      <c r="AU124" s="81">
        <f>$H$124*月別販売比率!AL5</f>
        <v>24.3</v>
      </c>
      <c r="AV124" s="21"/>
      <c r="AW124" s="81">
        <f>$H$124*月別販売比率!AQ5</f>
        <v>27</v>
      </c>
      <c r="AX124" s="21"/>
      <c r="AY124" s="81">
        <f>$H$124*月別販売比率!AV5</f>
        <v>16.441481384869494</v>
      </c>
      <c r="AZ124" s="21">
        <v>28</v>
      </c>
      <c r="BA124" s="81">
        <f>$H$124*月別販売比率!BA5</f>
        <v>15.018242590362766</v>
      </c>
      <c r="BB124" s="21"/>
      <c r="BC124" s="245">
        <f>$H$124*月別販売比率!BF5</f>
        <v>21.6</v>
      </c>
      <c r="BD124" s="355"/>
      <c r="BE124" s="81">
        <f>$H$124*月別販売比率!C21</f>
        <v>19.133347801276855</v>
      </c>
      <c r="BF124" s="21"/>
      <c r="BG124" s="81">
        <f>$H$124*月別販売比率!H21</f>
        <v>18.900000000000002</v>
      </c>
      <c r="BH124" s="21"/>
      <c r="BI124" s="245">
        <f>$H$124*月別販売比率!M21</f>
        <v>27.287196063386581</v>
      </c>
      <c r="BJ124" s="241">
        <v>70</v>
      </c>
      <c r="BK124" s="245">
        <f>$H$124*月別販売比率!R21</f>
        <v>21.6</v>
      </c>
      <c r="BL124" s="241"/>
      <c r="BM124" s="245">
        <f>$H$124*月別販売比率!W21</f>
        <v>20.565014488679079</v>
      </c>
      <c r="BN124" s="241">
        <v>100</v>
      </c>
      <c r="BO124" s="245">
        <f>$H$124*月別販売比率!AB21</f>
        <v>32.4</v>
      </c>
      <c r="BP124" s="241">
        <v>27</v>
      </c>
      <c r="BQ124" s="81">
        <f>$H$124*月別販売比率!AG21</f>
        <v>27</v>
      </c>
      <c r="BR124" s="21"/>
      <c r="BS124" s="81">
        <f>$H$124*月別販売比率!AL21</f>
        <v>24.3</v>
      </c>
      <c r="BT124" s="21"/>
      <c r="BU124" s="81">
        <f>$H$124*月別販売比率!AQ21</f>
        <v>27</v>
      </c>
      <c r="BV124" s="21"/>
      <c r="BW124" s="81">
        <f>$H$124*月別販売比率!AV21</f>
        <v>16.441481384869494</v>
      </c>
      <c r="BX124" s="21"/>
      <c r="BY124" s="245">
        <f>$H$124*月別販売比率!BA21</f>
        <v>15.018242590362766</v>
      </c>
      <c r="BZ124" s="241"/>
      <c r="CA124" s="81">
        <f>$H$124*月別販売比率!BF21</f>
        <v>21.6</v>
      </c>
      <c r="CB124" s="21"/>
      <c r="CC124" s="245">
        <f>H124*月別販売比率!$C$21</f>
        <v>19.133347801276855</v>
      </c>
      <c r="CD124" s="241">
        <v>107</v>
      </c>
      <c r="CE124" s="81">
        <f>H124*月別販売比率!$H$21</f>
        <v>18.900000000000002</v>
      </c>
      <c r="CF124" s="21"/>
      <c r="CG124" s="81">
        <f>H124*月別販売比率!$M$21</f>
        <v>27.287196063386581</v>
      </c>
      <c r="CH124" s="21"/>
      <c r="CI124" s="81">
        <f>H124*月別販売比率!$R$21</f>
        <v>21.6</v>
      </c>
      <c r="CJ124" s="21"/>
      <c r="CK124" s="81">
        <f>H124*月別販売比率!$W$21</f>
        <v>20.565014488679079</v>
      </c>
      <c r="CL124" s="21">
        <v>97</v>
      </c>
      <c r="CM124" s="81">
        <f>H124*月別販売比率!$AB$21</f>
        <v>32.4</v>
      </c>
      <c r="CN124" s="21"/>
      <c r="CO124" s="81">
        <f>H124*月別販売比率!$AG$21</f>
        <v>27</v>
      </c>
      <c r="CP124" s="21">
        <v>80</v>
      </c>
      <c r="CQ124" s="81">
        <f>H124*月別販売比率!$AL$21</f>
        <v>24.3</v>
      </c>
      <c r="CR124" s="21"/>
      <c r="CS124" s="41">
        <f>H124*月別販売比率!$AQ$21</f>
        <v>27</v>
      </c>
      <c r="CT124" s="21"/>
      <c r="CU124" s="81">
        <f>H124*月別販売比率!$AV$21</f>
        <v>16.441481384869494</v>
      </c>
      <c r="CV124" s="21"/>
      <c r="CW124" s="81">
        <f>H124*月別販売比率!$BA$21</f>
        <v>15.018242590362766</v>
      </c>
      <c r="CX124" s="21"/>
      <c r="CY124" s="81">
        <f>H124*月別販売比率!$BF$21</f>
        <v>21.6</v>
      </c>
      <c r="CZ124" s="21"/>
      <c r="DA124" s="28"/>
      <c r="DB124" s="294"/>
    </row>
    <row r="125" spans="2:106" ht="30.75" customHeight="1">
      <c r="C125" s="438"/>
      <c r="D125" s="441"/>
      <c r="E125" s="94" t="s">
        <v>51</v>
      </c>
      <c r="F125" s="57">
        <v>219</v>
      </c>
      <c r="G125" s="46">
        <f t="shared" si="209"/>
        <v>794970</v>
      </c>
      <c r="H125" s="57">
        <f t="shared" si="218"/>
        <v>219</v>
      </c>
      <c r="I125" s="46">
        <f t="shared" si="210"/>
        <v>794970</v>
      </c>
      <c r="J125" s="9">
        <v>0</v>
      </c>
      <c r="K125" s="21">
        <f t="shared" si="219"/>
        <v>0</v>
      </c>
      <c r="L125" s="21">
        <v>0</v>
      </c>
      <c r="M125" s="21">
        <v>0</v>
      </c>
      <c r="N125" s="42"/>
      <c r="O125" s="19"/>
      <c r="P125" s="19"/>
      <c r="Q125" s="124"/>
      <c r="R125" s="124"/>
      <c r="S125" s="124"/>
      <c r="T125" s="124"/>
      <c r="U125" s="124"/>
      <c r="V125" s="328"/>
      <c r="W125" s="328"/>
      <c r="X125" s="328"/>
      <c r="Y125" s="331">
        <v>45889</v>
      </c>
      <c r="Z125" s="330"/>
      <c r="AA125" s="331"/>
      <c r="AB125" s="330"/>
      <c r="AC125" s="331"/>
      <c r="AD125" s="129"/>
      <c r="AE125" s="328"/>
      <c r="AF125" s="328"/>
      <c r="AG125" s="124"/>
      <c r="AH125" s="124"/>
      <c r="AI125" s="129">
        <f t="shared" si="220"/>
        <v>-17.52</v>
      </c>
      <c r="AJ125" s="129">
        <f>0-CK125+CL125</f>
        <v>40.319488248071416</v>
      </c>
      <c r="AK125" s="129">
        <f t="shared" si="211"/>
        <v>14.039488248071418</v>
      </c>
      <c r="AL125" s="399">
        <f t="shared" si="212"/>
        <v>72.139488248071416</v>
      </c>
      <c r="AM125" s="393">
        <f t="shared" si="213"/>
        <v>52.429488248071415</v>
      </c>
      <c r="AN125" s="393">
        <f t="shared" si="214"/>
        <v>30.529488248071413</v>
      </c>
      <c r="AO125" s="393">
        <f t="shared" si="215"/>
        <v>17.193620013677268</v>
      </c>
      <c r="AP125" s="96">
        <f t="shared" si="216"/>
        <v>5.0121565792719132</v>
      </c>
      <c r="AQ125" s="91">
        <f t="shared" si="217"/>
        <v>-12.507843420728086</v>
      </c>
      <c r="AR125" s="198"/>
      <c r="AS125" s="245">
        <f>$H$125*月別販売比率!AG5</f>
        <v>21.900000000000002</v>
      </c>
      <c r="AT125" s="241">
        <v>44</v>
      </c>
      <c r="AU125" s="81">
        <f>$H$125*月別販売比率!AL5</f>
        <v>19.71</v>
      </c>
      <c r="AV125" s="21"/>
      <c r="AW125" s="81">
        <f>$H$125*月別販売比率!AQ5</f>
        <v>21.900000000000002</v>
      </c>
      <c r="AX125" s="21"/>
      <c r="AY125" s="81">
        <f>$H$125*月別販売比率!AV5</f>
        <v>13.335868234394145</v>
      </c>
      <c r="AZ125" s="21">
        <v>50</v>
      </c>
      <c r="BA125" s="81">
        <f>$H$125*月別販売比率!BA5</f>
        <v>12.181463434405355</v>
      </c>
      <c r="BB125" s="21"/>
      <c r="BC125" s="245">
        <f>$H$125*月別販売比率!BF5</f>
        <v>17.52</v>
      </c>
      <c r="BD125" s="355"/>
      <c r="BE125" s="81">
        <f>$H$125*月別販売比率!C21</f>
        <v>15.519270994369004</v>
      </c>
      <c r="BF125" s="21"/>
      <c r="BG125" s="81">
        <f>$H$125*月別販売比率!H21</f>
        <v>15.330000000000002</v>
      </c>
      <c r="BH125" s="21"/>
      <c r="BI125" s="245">
        <f>$H$125*月別販売比率!M21</f>
        <v>22.132947918080227</v>
      </c>
      <c r="BJ125" s="241">
        <v>70</v>
      </c>
      <c r="BK125" s="245">
        <f>$H$125*月別販売比率!R21</f>
        <v>17.52</v>
      </c>
      <c r="BL125" s="241"/>
      <c r="BM125" s="245">
        <f>$H$125*月別販売比率!W21</f>
        <v>16.680511751928584</v>
      </c>
      <c r="BN125" s="241">
        <v>80</v>
      </c>
      <c r="BO125" s="245">
        <f>$H$125*月別販売比率!AB21</f>
        <v>26.279999999999998</v>
      </c>
      <c r="BP125" s="241">
        <v>22</v>
      </c>
      <c r="BQ125" s="81">
        <f>$H$125*月別販売比率!AG21</f>
        <v>21.900000000000002</v>
      </c>
      <c r="BR125" s="21"/>
      <c r="BS125" s="81">
        <f>$H$125*月別販売比率!AL21</f>
        <v>19.71</v>
      </c>
      <c r="BT125" s="21"/>
      <c r="BU125" s="81">
        <f>$H$125*月別販売比率!AQ21</f>
        <v>21.900000000000002</v>
      </c>
      <c r="BV125" s="21"/>
      <c r="BW125" s="81">
        <f>$H$125*月別販売比率!AV21</f>
        <v>13.335868234394145</v>
      </c>
      <c r="BX125" s="21"/>
      <c r="BY125" s="245">
        <f>$H$125*月別販売比率!BA21</f>
        <v>12.181463434405355</v>
      </c>
      <c r="BZ125" s="241"/>
      <c r="CA125" s="81">
        <f>$H$125*月別販売比率!BF21</f>
        <v>17.52</v>
      </c>
      <c r="CB125" s="21"/>
      <c r="CC125" s="245">
        <f>H125*月別販売比率!$C$21</f>
        <v>15.519270994369004</v>
      </c>
      <c r="CD125" s="241">
        <v>96</v>
      </c>
      <c r="CE125" s="81">
        <f>H125*月別販売比率!$H$21</f>
        <v>15.330000000000002</v>
      </c>
      <c r="CF125" s="21"/>
      <c r="CG125" s="81">
        <f>H125*月別販売比率!$M$21</f>
        <v>22.132947918080227</v>
      </c>
      <c r="CH125" s="21"/>
      <c r="CI125" s="81">
        <f>H125*月別販売比率!$R$21</f>
        <v>17.52</v>
      </c>
      <c r="CJ125" s="21"/>
      <c r="CK125" s="81">
        <f>H125*月別販売比率!$W$21</f>
        <v>16.680511751928584</v>
      </c>
      <c r="CL125" s="21">
        <v>57</v>
      </c>
      <c r="CM125" s="81">
        <f>H125*月別販売比率!$AB$21</f>
        <v>26.279999999999998</v>
      </c>
      <c r="CN125" s="21"/>
      <c r="CO125" s="81">
        <f>H125*月別販売比率!$AG$21</f>
        <v>21.900000000000002</v>
      </c>
      <c r="CP125" s="21">
        <v>80</v>
      </c>
      <c r="CQ125" s="81">
        <f>H125*月別販売比率!$AL$21</f>
        <v>19.71</v>
      </c>
      <c r="CR125" s="21"/>
      <c r="CS125" s="41">
        <f>H125*月別販売比率!$AQ$21</f>
        <v>21.900000000000002</v>
      </c>
      <c r="CT125" s="21"/>
      <c r="CU125" s="81">
        <f>H125*月別販売比率!$AV$21</f>
        <v>13.335868234394145</v>
      </c>
      <c r="CV125" s="21"/>
      <c r="CW125" s="81">
        <f>H125*月別販売比率!$BA$21</f>
        <v>12.181463434405355</v>
      </c>
      <c r="CX125" s="21"/>
      <c r="CY125" s="81">
        <f>H125*月別販売比率!$BF$21</f>
        <v>17.52</v>
      </c>
      <c r="CZ125" s="21"/>
      <c r="DA125" s="28"/>
      <c r="DB125" s="294"/>
    </row>
    <row r="126" spans="2:106" ht="30.75" customHeight="1">
      <c r="C126" s="438"/>
      <c r="D126" s="442"/>
      <c r="E126" s="94" t="s">
        <v>49</v>
      </c>
      <c r="F126" s="57">
        <v>77</v>
      </c>
      <c r="G126" s="46">
        <f t="shared" si="209"/>
        <v>279510</v>
      </c>
      <c r="H126" s="57">
        <f t="shared" si="218"/>
        <v>77</v>
      </c>
      <c r="I126" s="46">
        <f t="shared" si="210"/>
        <v>279510</v>
      </c>
      <c r="J126" s="9">
        <v>0</v>
      </c>
      <c r="K126" s="21">
        <f t="shared" si="219"/>
        <v>0</v>
      </c>
      <c r="L126" s="21">
        <v>0</v>
      </c>
      <c r="M126" s="21">
        <v>0</v>
      </c>
      <c r="N126" s="42"/>
      <c r="O126" s="19"/>
      <c r="P126" s="19"/>
      <c r="Q126" s="124"/>
      <c r="R126" s="124"/>
      <c r="S126" s="129"/>
      <c r="T126" s="129"/>
      <c r="U126" s="129"/>
      <c r="V126" s="129"/>
      <c r="W126" s="124"/>
      <c r="X126" s="331">
        <v>45848</v>
      </c>
      <c r="Y126" s="129"/>
      <c r="Z126" s="129"/>
      <c r="AA126" s="129"/>
      <c r="AB126" s="129"/>
      <c r="AC126" s="345"/>
      <c r="AD126" s="345"/>
      <c r="AE126" s="345"/>
      <c r="AF126" s="345"/>
      <c r="AG126" s="331"/>
      <c r="AH126" s="331"/>
      <c r="AI126" s="129">
        <f t="shared" si="220"/>
        <v>-6.16</v>
      </c>
      <c r="AJ126" s="129">
        <f t="shared" ref="AJ126:AJ130" si="221">AI126-CK126+CL126</f>
        <v>-5.0248374652899592</v>
      </c>
      <c r="AK126" s="129">
        <f t="shared" si="211"/>
        <v>-14.264837465289959</v>
      </c>
      <c r="AL126" s="399">
        <f>0-CO126+CP126</f>
        <v>52.3</v>
      </c>
      <c r="AM126" s="393">
        <f t="shared" si="213"/>
        <v>45.37</v>
      </c>
      <c r="AN126" s="393">
        <f t="shared" si="214"/>
        <v>37.669999999999995</v>
      </c>
      <c r="AO126" s="393">
        <f t="shared" si="215"/>
        <v>32.981133086537213</v>
      </c>
      <c r="AP126" s="96">
        <f t="shared" si="216"/>
        <v>28.698152792248571</v>
      </c>
      <c r="AQ126" s="91">
        <f t="shared" si="217"/>
        <v>22.538152792248571</v>
      </c>
      <c r="AR126" s="129"/>
      <c r="AS126" s="283">
        <f>$H$126*月別販売比率!AG5</f>
        <v>7.7</v>
      </c>
      <c r="AT126" s="241"/>
      <c r="AU126" s="41">
        <f>$H$126*月別販売比率!AL5</f>
        <v>6.93</v>
      </c>
      <c r="AV126" s="21"/>
      <c r="AW126" s="41">
        <f>$H$126*月別販売比率!AQ5</f>
        <v>7.7</v>
      </c>
      <c r="AX126" s="21"/>
      <c r="AY126" s="41">
        <f>$H$126*月別販売比率!AV5</f>
        <v>4.6888669134627818</v>
      </c>
      <c r="AZ126" s="21">
        <v>20</v>
      </c>
      <c r="BA126" s="41">
        <f>$H$126*月別販売比率!BA5</f>
        <v>4.2829802942886408</v>
      </c>
      <c r="BB126" s="21"/>
      <c r="BC126" s="283">
        <f>$H$126*月別販売比率!BF5</f>
        <v>6.16</v>
      </c>
      <c r="BD126" s="355"/>
      <c r="BE126" s="41">
        <f>$H$126*月別販売比率!C21</f>
        <v>5.4565473359196952</v>
      </c>
      <c r="BF126" s="39"/>
      <c r="BG126" s="41">
        <f>$H$126*月別販売比率!H21</f>
        <v>5.3900000000000006</v>
      </c>
      <c r="BH126" s="39"/>
      <c r="BI126" s="283">
        <f>$H$126*月別販売比率!H21</f>
        <v>5.3900000000000006</v>
      </c>
      <c r="BJ126" s="280"/>
      <c r="BK126" s="283">
        <f>$H$126*月別販売比率!R21</f>
        <v>6.16</v>
      </c>
      <c r="BL126" s="280"/>
      <c r="BM126" s="283">
        <f>$H$126*月別販売比率!W21</f>
        <v>5.8648374652899591</v>
      </c>
      <c r="BN126" s="280">
        <v>60</v>
      </c>
      <c r="BO126" s="283">
        <f>$H$126*月別販売比率!AB21</f>
        <v>9.24</v>
      </c>
      <c r="BP126" s="280">
        <v>19</v>
      </c>
      <c r="BQ126" s="41">
        <f>$H$126*月別販売比率!AG21</f>
        <v>7.7</v>
      </c>
      <c r="BR126" s="39"/>
      <c r="BS126" s="41">
        <f>$H$126*月別販売比率!AL21</f>
        <v>6.93</v>
      </c>
      <c r="BT126" s="39"/>
      <c r="BU126" s="41">
        <f>$H$126*月別販売比率!AQ21</f>
        <v>7.7</v>
      </c>
      <c r="BV126" s="39"/>
      <c r="BW126" s="41">
        <f>$H$126*月別販売比率!AV21</f>
        <v>4.6888669134627818</v>
      </c>
      <c r="BX126" s="39"/>
      <c r="BY126" s="283">
        <f>$H$126*月別販売比率!BA21</f>
        <v>4.2829802942886408</v>
      </c>
      <c r="BZ126" s="280"/>
      <c r="CA126" s="41">
        <f>$H$126*月別販売比率!BF21</f>
        <v>6.16</v>
      </c>
      <c r="CB126" s="42"/>
      <c r="CC126" s="283">
        <f>H126*月別販売比率!$C$21</f>
        <v>5.4565473359196952</v>
      </c>
      <c r="CD126" s="243"/>
      <c r="CE126" s="41">
        <f>H126*月別販売比率!$H$21</f>
        <v>5.3900000000000006</v>
      </c>
      <c r="CF126" s="42"/>
      <c r="CG126" s="41">
        <f>H126*月別販売比率!$M$21</f>
        <v>7.7819040625213578</v>
      </c>
      <c r="CH126" s="42"/>
      <c r="CI126" s="41">
        <f>H126*月別販売比率!$R$21</f>
        <v>6.16</v>
      </c>
      <c r="CJ126" s="42"/>
      <c r="CK126" s="41">
        <f>H126*月別販売比率!$W$21</f>
        <v>5.8648374652899591</v>
      </c>
      <c r="CL126" s="42">
        <v>7</v>
      </c>
      <c r="CM126" s="41">
        <f>H126*月別販売比率!$AB$21</f>
        <v>9.24</v>
      </c>
      <c r="CN126" s="42"/>
      <c r="CO126" s="41">
        <f>H126*月別販売比率!$AG$21</f>
        <v>7.7</v>
      </c>
      <c r="CP126" s="42">
        <v>60</v>
      </c>
      <c r="CQ126" s="41">
        <f>H126*月別販売比率!$AL$21</f>
        <v>6.93</v>
      </c>
      <c r="CR126" s="42"/>
      <c r="CS126" s="41">
        <f>H126*月別販売比率!$AQ$21</f>
        <v>7.7</v>
      </c>
      <c r="CT126" s="42"/>
      <c r="CU126" s="41">
        <f>H126*月別販売比率!$AV$21</f>
        <v>4.6888669134627818</v>
      </c>
      <c r="CV126" s="39"/>
      <c r="CW126" s="41">
        <f>H126*月別販売比率!$BA$21</f>
        <v>4.2829802942886408</v>
      </c>
      <c r="CX126" s="39"/>
      <c r="CY126" s="41">
        <f>H126*月別販売比率!$BF$21</f>
        <v>6.16</v>
      </c>
      <c r="CZ126" s="39"/>
      <c r="DA126" s="298"/>
      <c r="DB126" s="299"/>
    </row>
    <row r="127" spans="2:106" ht="30.75" customHeight="1">
      <c r="C127" s="438"/>
      <c r="D127" s="441">
        <v>3</v>
      </c>
      <c r="E127" s="94" t="s">
        <v>46</v>
      </c>
      <c r="F127" s="57">
        <v>158</v>
      </c>
      <c r="G127" s="46">
        <f t="shared" si="209"/>
        <v>573540</v>
      </c>
      <c r="H127" s="57">
        <f t="shared" si="218"/>
        <v>158</v>
      </c>
      <c r="I127" s="46">
        <f t="shared" si="210"/>
        <v>573540</v>
      </c>
      <c r="J127" s="9">
        <v>32</v>
      </c>
      <c r="K127" s="21">
        <f t="shared" si="219"/>
        <v>66</v>
      </c>
      <c r="L127" s="21">
        <v>59</v>
      </c>
      <c r="M127" s="118"/>
      <c r="N127" s="95">
        <v>7</v>
      </c>
      <c r="O127" s="19"/>
      <c r="P127" s="19"/>
      <c r="Q127" s="124"/>
      <c r="R127" s="124"/>
      <c r="S127" s="124"/>
      <c r="T127" s="124"/>
      <c r="U127" s="124"/>
      <c r="V127" s="124"/>
      <c r="W127" s="124"/>
      <c r="X127" s="124"/>
      <c r="Y127" s="124"/>
      <c r="Z127" s="124"/>
      <c r="AA127" s="124"/>
      <c r="AB127" s="124"/>
      <c r="AC127" s="124"/>
      <c r="AD127" s="124"/>
      <c r="AE127" s="124"/>
      <c r="AF127" s="124"/>
      <c r="AG127" s="124"/>
      <c r="AH127" s="124"/>
      <c r="AI127" s="124">
        <f t="shared" si="220"/>
        <v>85.36</v>
      </c>
      <c r="AJ127" s="124">
        <f t="shared" si="221"/>
        <v>73.325658188106317</v>
      </c>
      <c r="AK127" s="124">
        <f t="shared" si="211"/>
        <v>54.365658188106316</v>
      </c>
      <c r="AL127" s="400">
        <f t="shared" si="212"/>
        <v>38.565658188106312</v>
      </c>
      <c r="AM127" s="394">
        <f t="shared" si="213"/>
        <v>24.345658188106313</v>
      </c>
      <c r="AN127" s="394">
        <f t="shared" si="214"/>
        <v>8.5456581881063123</v>
      </c>
      <c r="AO127" s="394">
        <f t="shared" si="215"/>
        <v>-1.0756531408173178</v>
      </c>
      <c r="AP127" s="97">
        <f t="shared" si="216"/>
        <v>-9.8641062122147876</v>
      </c>
      <c r="AQ127" s="24">
        <f t="shared" si="217"/>
        <v>-22.504106212214786</v>
      </c>
      <c r="AR127" s="25"/>
      <c r="AS127" s="284">
        <f>$H$127*月別販売比率!AG5</f>
        <v>15.8</v>
      </c>
      <c r="AT127" s="241">
        <v>30</v>
      </c>
      <c r="AU127" s="261">
        <f>$H$127*月別販売比率!AL5</f>
        <v>14.219999999999999</v>
      </c>
      <c r="AV127" s="21"/>
      <c r="AW127" s="261">
        <f>$H$127*月別販売比率!AQ5</f>
        <v>15.8</v>
      </c>
      <c r="AX127" s="21"/>
      <c r="AY127" s="261">
        <f>$H$127*月別販売比率!AV5</f>
        <v>9.6213113289236301</v>
      </c>
      <c r="AZ127" s="21"/>
      <c r="BA127" s="261">
        <f>$H$127*月別販売比率!BA5</f>
        <v>8.7884530713974698</v>
      </c>
      <c r="BB127" s="21"/>
      <c r="BC127" s="284">
        <f>$H$127*月別販売比率!BF5</f>
        <v>12.64</v>
      </c>
      <c r="BD127" s="241">
        <v>65</v>
      </c>
      <c r="BE127" s="261">
        <f>$H$127*月別販売比率!C21</f>
        <v>11.196551676302752</v>
      </c>
      <c r="BF127" s="21"/>
      <c r="BG127" s="261">
        <f>$H$127*月別販売比率!H21</f>
        <v>11.06</v>
      </c>
      <c r="BH127" s="21"/>
      <c r="BI127" s="284">
        <f>$H$127*月別販売比率!H21</f>
        <v>11.06</v>
      </c>
      <c r="BJ127" s="241"/>
      <c r="BK127" s="284">
        <f>$H$127*月別販売比率!R21</f>
        <v>12.64</v>
      </c>
      <c r="BL127" s="241">
        <v>60</v>
      </c>
      <c r="BM127" s="284">
        <f>$H$127*月別販売比率!W21</f>
        <v>12.034341811893682</v>
      </c>
      <c r="BN127" s="241"/>
      <c r="BO127" s="284">
        <f>$H$127*月別販売比率!AB21</f>
        <v>18.96</v>
      </c>
      <c r="BP127" s="241"/>
      <c r="BQ127" s="261">
        <f>$H$127*月別販売比率!AG21</f>
        <v>15.8</v>
      </c>
      <c r="BR127" s="21"/>
      <c r="BS127" s="261">
        <f>$H$127*月別販売比率!AL21</f>
        <v>14.219999999999999</v>
      </c>
      <c r="BT127" s="21"/>
      <c r="BU127" s="261">
        <f>$H$127*月別販売比率!AQ21</f>
        <v>15.8</v>
      </c>
      <c r="BV127" s="21"/>
      <c r="BW127" s="261">
        <f>$H$127*月別販売比率!AV21</f>
        <v>9.6213113289236301</v>
      </c>
      <c r="BX127" s="21"/>
      <c r="BY127" s="284">
        <f>$H$127*月別販売比率!BA21</f>
        <v>8.7884530713974698</v>
      </c>
      <c r="BZ127" s="241"/>
      <c r="CA127" s="261">
        <f>$H$127*月別販売比率!BF21</f>
        <v>12.64</v>
      </c>
      <c r="CB127" s="21"/>
      <c r="CC127" s="284">
        <f>H127*月別販売比率!$C$21</f>
        <v>11.196551676302752</v>
      </c>
      <c r="CD127" s="241">
        <v>7</v>
      </c>
      <c r="CE127" s="261">
        <f>H127*月別販売比率!$H$21</f>
        <v>11.06</v>
      </c>
      <c r="CF127" s="21"/>
      <c r="CG127" s="261">
        <f>H127*月別販売比率!$M$21</f>
        <v>15.968062881537332</v>
      </c>
      <c r="CH127" s="21"/>
      <c r="CI127" s="261">
        <f>H127*月別販売比率!$R$21</f>
        <v>12.64</v>
      </c>
      <c r="CJ127" s="21"/>
      <c r="CK127" s="261">
        <f>H127*月別販売比率!$W$21</f>
        <v>12.034341811893682</v>
      </c>
      <c r="CL127" s="21"/>
      <c r="CM127" s="261">
        <f>H127*月別販売比率!$AB$21</f>
        <v>18.96</v>
      </c>
      <c r="CN127" s="21"/>
      <c r="CO127" s="261">
        <f>H127*月別販売比率!$AG$21</f>
        <v>15.8</v>
      </c>
      <c r="CP127" s="21"/>
      <c r="CQ127" s="261">
        <f>H127*月別販売比率!$AL$21</f>
        <v>14.219999999999999</v>
      </c>
      <c r="CR127" s="21"/>
      <c r="CS127" s="41">
        <f>H127*月別販売比率!$AQ$21</f>
        <v>15.8</v>
      </c>
      <c r="CT127" s="21"/>
      <c r="CU127" s="261">
        <f>H127*月別販売比率!$AV$21</f>
        <v>9.6213113289236301</v>
      </c>
      <c r="CV127" s="21"/>
      <c r="CW127" s="261">
        <f>H127*月別販売比率!$BA$21</f>
        <v>8.7884530713974698</v>
      </c>
      <c r="CX127" s="21"/>
      <c r="CY127" s="261">
        <f>H127*月別販売比率!$BF$21</f>
        <v>12.64</v>
      </c>
      <c r="CZ127" s="21"/>
      <c r="DA127" s="28"/>
      <c r="DB127" s="294"/>
    </row>
    <row r="128" spans="2:106" ht="30.75" customHeight="1">
      <c r="C128" s="438"/>
      <c r="D128" s="441"/>
      <c r="E128" s="94" t="s">
        <v>47</v>
      </c>
      <c r="F128" s="57">
        <v>154</v>
      </c>
      <c r="G128" s="46">
        <f t="shared" si="209"/>
        <v>559020</v>
      </c>
      <c r="H128" s="57">
        <f t="shared" si="218"/>
        <v>154</v>
      </c>
      <c r="I128" s="46">
        <f t="shared" si="210"/>
        <v>559020</v>
      </c>
      <c r="J128" s="9">
        <v>-10</v>
      </c>
      <c r="K128" s="21">
        <f t="shared" si="219"/>
        <v>120</v>
      </c>
      <c r="L128" s="21">
        <v>69</v>
      </c>
      <c r="M128" s="262"/>
      <c r="N128" s="42">
        <v>51</v>
      </c>
      <c r="O128" s="19"/>
      <c r="P128" s="19"/>
      <c r="Q128" s="124"/>
      <c r="R128" s="124"/>
      <c r="S128" s="124"/>
      <c r="T128" s="124"/>
      <c r="U128" s="124"/>
      <c r="V128" s="124"/>
      <c r="W128" s="124"/>
      <c r="X128" s="124"/>
      <c r="Y128" s="124"/>
      <c r="Z128" s="124"/>
      <c r="AA128" s="124"/>
      <c r="AB128" s="124"/>
      <c r="AC128" s="124"/>
      <c r="AD128" s="124"/>
      <c r="AE128" s="124"/>
      <c r="AF128" s="124"/>
      <c r="AG128" s="124"/>
      <c r="AH128" s="124"/>
      <c r="AI128" s="129">
        <f t="shared" si="220"/>
        <v>97.68</v>
      </c>
      <c r="AJ128" s="129">
        <f t="shared" si="221"/>
        <v>85.950325069420089</v>
      </c>
      <c r="AK128" s="129">
        <f t="shared" si="211"/>
        <v>67.470325069420085</v>
      </c>
      <c r="AL128" s="399">
        <f t="shared" si="212"/>
        <v>52.070325069420086</v>
      </c>
      <c r="AM128" s="393">
        <f t="shared" si="213"/>
        <v>38.210325069420087</v>
      </c>
      <c r="AN128" s="393">
        <f t="shared" si="214"/>
        <v>22.810325069420088</v>
      </c>
      <c r="AO128" s="393">
        <f t="shared" si="215"/>
        <v>13.432591242494524</v>
      </c>
      <c r="AP128" s="96">
        <f t="shared" si="216"/>
        <v>4.8666306539172428</v>
      </c>
      <c r="AQ128" s="91">
        <f t="shared" si="217"/>
        <v>-7.4533693460827575</v>
      </c>
      <c r="AR128" s="198"/>
      <c r="AS128" s="245">
        <f>$H$128*月別販売比率!AG5</f>
        <v>15.4</v>
      </c>
      <c r="AT128" s="241">
        <v>35</v>
      </c>
      <c r="AU128" s="81">
        <f>$H$128*月別販売比率!AL5</f>
        <v>13.86</v>
      </c>
      <c r="AV128" s="21"/>
      <c r="AW128" s="81">
        <f>$H$128*月別販売比率!AQ5</f>
        <v>15.4</v>
      </c>
      <c r="AX128" s="21"/>
      <c r="AY128" s="81">
        <f>$H$128*月別販売比率!AV5</f>
        <v>9.3777338269255637</v>
      </c>
      <c r="AZ128" s="21"/>
      <c r="BA128" s="81">
        <f>$H$128*月別販売比率!BA5</f>
        <v>8.5659605885772816</v>
      </c>
      <c r="BB128" s="21"/>
      <c r="BC128" s="245">
        <f>$H$128*月別販売比率!BF5</f>
        <v>12.32</v>
      </c>
      <c r="BD128" s="241">
        <v>65</v>
      </c>
      <c r="BE128" s="81">
        <f>$H$128*月別販売比率!C21</f>
        <v>10.91309467183939</v>
      </c>
      <c r="BF128" s="21"/>
      <c r="BG128" s="81">
        <f>$H$128*月別販売比率!H21</f>
        <v>10.780000000000001</v>
      </c>
      <c r="BH128" s="21"/>
      <c r="BI128" s="245">
        <f>$H$128*月別販売比率!H21</f>
        <v>10.780000000000001</v>
      </c>
      <c r="BJ128" s="241"/>
      <c r="BK128" s="245">
        <f>$H$128*月別販売比率!R21</f>
        <v>12.32</v>
      </c>
      <c r="BL128" s="241">
        <v>65</v>
      </c>
      <c r="BM128" s="245">
        <f>$H$128*月別販売比率!W21</f>
        <v>11.729674930579918</v>
      </c>
      <c r="BN128" s="241"/>
      <c r="BO128" s="245">
        <f>$H$128*月別販売比率!AB21</f>
        <v>18.48</v>
      </c>
      <c r="BP128" s="241"/>
      <c r="BQ128" s="81">
        <f>$H$128*月別販売比率!AG21</f>
        <v>15.4</v>
      </c>
      <c r="BR128" s="21"/>
      <c r="BS128" s="81">
        <f>$H$128*月別販売比率!AL21</f>
        <v>13.86</v>
      </c>
      <c r="BT128" s="21"/>
      <c r="BU128" s="81">
        <f>$H$128*月別販売比率!AQ21</f>
        <v>15.4</v>
      </c>
      <c r="BV128" s="21"/>
      <c r="BW128" s="81">
        <f>$H$128*月別販売比率!AV21</f>
        <v>9.3777338269255637</v>
      </c>
      <c r="BX128" s="21"/>
      <c r="BY128" s="245">
        <f>$H$128*月別販売比率!BA21</f>
        <v>8.5659605885772816</v>
      </c>
      <c r="BZ128" s="241">
        <v>47</v>
      </c>
      <c r="CA128" s="81">
        <f>$H$128*月別販売比率!BF21</f>
        <v>12.32</v>
      </c>
      <c r="CB128" s="21"/>
      <c r="CC128" s="245">
        <f>H128*月別販売比率!$C$21</f>
        <v>10.91309467183939</v>
      </c>
      <c r="CD128" s="241">
        <v>7</v>
      </c>
      <c r="CE128" s="81">
        <f>H128*月別販売比率!$H$21</f>
        <v>10.780000000000001</v>
      </c>
      <c r="CF128" s="21"/>
      <c r="CG128" s="81">
        <f>H128*月別販売比率!$M$21</f>
        <v>15.563808125042716</v>
      </c>
      <c r="CH128" s="21"/>
      <c r="CI128" s="81">
        <f>H128*月別販売比率!$R$21</f>
        <v>12.32</v>
      </c>
      <c r="CJ128" s="21"/>
      <c r="CK128" s="81">
        <f>H128*月別販売比率!$W$21</f>
        <v>11.729674930579918</v>
      </c>
      <c r="CL128" s="21"/>
      <c r="CM128" s="81">
        <f>H128*月別販売比率!$AB$21</f>
        <v>18.48</v>
      </c>
      <c r="CN128" s="21"/>
      <c r="CO128" s="81">
        <f>H128*月別販売比率!$AG$21</f>
        <v>15.4</v>
      </c>
      <c r="CP128" s="21"/>
      <c r="CQ128" s="81">
        <f>H128*月別販売比率!$AL$21</f>
        <v>13.86</v>
      </c>
      <c r="CR128" s="21"/>
      <c r="CS128" s="41">
        <f>H128*月別販売比率!$AQ$21</f>
        <v>15.4</v>
      </c>
      <c r="CT128" s="21"/>
      <c r="CU128" s="81">
        <f>H128*月別販売比率!$AV$21</f>
        <v>9.3777338269255637</v>
      </c>
      <c r="CV128" s="21"/>
      <c r="CW128" s="81">
        <f>H128*月別販売比率!$BA$21</f>
        <v>8.5659605885772816</v>
      </c>
      <c r="CX128" s="21"/>
      <c r="CY128" s="81">
        <f>H128*月別販売比率!$BF$21</f>
        <v>12.32</v>
      </c>
      <c r="CZ128" s="21"/>
      <c r="DA128" s="28"/>
      <c r="DB128" s="294"/>
    </row>
    <row r="129" spans="2:106" ht="30.75" customHeight="1">
      <c r="C129" s="438"/>
      <c r="D129" s="441"/>
      <c r="E129" s="94" t="s">
        <v>51</v>
      </c>
      <c r="F129" s="57">
        <v>103</v>
      </c>
      <c r="G129" s="46">
        <f t="shared" si="209"/>
        <v>373890</v>
      </c>
      <c r="H129" s="57">
        <f t="shared" si="218"/>
        <v>103</v>
      </c>
      <c r="I129" s="46">
        <f t="shared" si="210"/>
        <v>373890</v>
      </c>
      <c r="J129" s="9">
        <v>3</v>
      </c>
      <c r="K129" s="21">
        <f t="shared" si="219"/>
        <v>65</v>
      </c>
      <c r="L129" s="21">
        <v>55</v>
      </c>
      <c r="M129" s="262"/>
      <c r="N129" s="42">
        <v>10</v>
      </c>
      <c r="O129" s="19"/>
      <c r="P129" s="19"/>
      <c r="Q129" s="124"/>
      <c r="R129" s="124"/>
      <c r="S129" s="124"/>
      <c r="T129" s="124"/>
      <c r="U129" s="124"/>
      <c r="V129" s="124"/>
      <c r="W129" s="124"/>
      <c r="X129" s="124"/>
      <c r="Y129" s="124"/>
      <c r="Z129" s="124"/>
      <c r="AA129" s="124"/>
      <c r="AB129" s="124"/>
      <c r="AC129" s="124"/>
      <c r="AD129" s="124"/>
      <c r="AE129" s="124"/>
      <c r="AF129" s="124"/>
      <c r="AG129" s="124"/>
      <c r="AH129" s="124"/>
      <c r="AI129" s="129">
        <f t="shared" si="220"/>
        <v>59.76</v>
      </c>
      <c r="AJ129" s="129">
        <f t="shared" si="221"/>
        <v>51.914827806170571</v>
      </c>
      <c r="AK129" s="129">
        <f t="shared" si="211"/>
        <v>39.554827806170572</v>
      </c>
      <c r="AL129" s="399">
        <f t="shared" si="212"/>
        <v>29.254827806170571</v>
      </c>
      <c r="AM129" s="393">
        <f t="shared" si="213"/>
        <v>19.984827806170571</v>
      </c>
      <c r="AN129" s="393">
        <f t="shared" si="214"/>
        <v>9.6848278061705706</v>
      </c>
      <c r="AO129" s="393">
        <f t="shared" si="215"/>
        <v>3.4127071297203564</v>
      </c>
      <c r="AP129" s="96">
        <f t="shared" si="216"/>
        <v>-2.3164743028995138</v>
      </c>
      <c r="AQ129" s="91">
        <f t="shared" si="217"/>
        <v>-10.556474302899513</v>
      </c>
      <c r="AR129" s="198"/>
      <c r="AS129" s="245">
        <f>$H$129*月別販売比率!AG5</f>
        <v>10.3</v>
      </c>
      <c r="AT129" s="241">
        <v>35</v>
      </c>
      <c r="AU129" s="81">
        <f>$H$129*月別販売比率!AL5</f>
        <v>9.27</v>
      </c>
      <c r="AV129" s="21"/>
      <c r="AW129" s="81">
        <f>$H$129*月別販売比率!AQ5</f>
        <v>10.3</v>
      </c>
      <c r="AX129" s="39"/>
      <c r="AY129" s="81">
        <f>$H$129*月別販売比率!AV5</f>
        <v>6.2721206764502142</v>
      </c>
      <c r="AZ129" s="39"/>
      <c r="BA129" s="81">
        <f>$H$129*月別販売比率!BA5</f>
        <v>5.7291814326198702</v>
      </c>
      <c r="BB129" s="39"/>
      <c r="BC129" s="245">
        <f>$H$129*月別販売比率!BF5</f>
        <v>8.24</v>
      </c>
      <c r="BD129" s="280">
        <v>30</v>
      </c>
      <c r="BE129" s="81">
        <f>$H$129*月別販売比率!C21</f>
        <v>7.2990178649315407</v>
      </c>
      <c r="BF129" s="39"/>
      <c r="BG129" s="81">
        <f>$H$129*月別販売比率!H21</f>
        <v>7.2100000000000009</v>
      </c>
      <c r="BH129" s="39"/>
      <c r="BI129" s="245">
        <f>$H$129*月別販売比率!H21</f>
        <v>7.2100000000000009</v>
      </c>
      <c r="BJ129" s="280"/>
      <c r="BK129" s="245">
        <f>$H$129*月別販売比率!R21</f>
        <v>8.24</v>
      </c>
      <c r="BL129" s="280">
        <v>45</v>
      </c>
      <c r="BM129" s="245">
        <f>$H$129*月別販売比率!W21</f>
        <v>7.8451721938294261</v>
      </c>
      <c r="BN129" s="280"/>
      <c r="BO129" s="245">
        <f>$H$129*月別販売比率!AB21</f>
        <v>12.36</v>
      </c>
      <c r="BP129" s="280"/>
      <c r="BQ129" s="81">
        <f>$H$129*月別販売比率!AG21</f>
        <v>10.3</v>
      </c>
      <c r="BR129" s="39"/>
      <c r="BS129" s="81">
        <f>$H$129*月別販売比率!AL21</f>
        <v>9.27</v>
      </c>
      <c r="BT129" s="39"/>
      <c r="BU129" s="81">
        <f>$H$129*月別販売比率!AQ21</f>
        <v>10.3</v>
      </c>
      <c r="BV129" s="39"/>
      <c r="BW129" s="81">
        <f>$H$129*月別販売比率!AV21</f>
        <v>6.2721206764502142</v>
      </c>
      <c r="BX129" s="39"/>
      <c r="BY129" s="245">
        <f>$H$129*月別販売比率!BA21</f>
        <v>5.7291814326198702</v>
      </c>
      <c r="BZ129" s="280">
        <v>17</v>
      </c>
      <c r="CA129" s="81">
        <f>$H$129*月別販売比率!BF21</f>
        <v>8.24</v>
      </c>
      <c r="CB129" s="39"/>
      <c r="CC129" s="245">
        <f>H129*月別販売比率!$C$21</f>
        <v>7.2990178649315407</v>
      </c>
      <c r="CD129" s="280">
        <v>7</v>
      </c>
      <c r="CE129" s="81">
        <f>H129*月別販売比率!$H$21</f>
        <v>7.2100000000000009</v>
      </c>
      <c r="CF129" s="39"/>
      <c r="CG129" s="81">
        <f>H129*月別販売比率!$M$21</f>
        <v>10.409559979736363</v>
      </c>
      <c r="CH129" s="39"/>
      <c r="CI129" s="81">
        <f>H129*月別販売比率!$R$21</f>
        <v>8.24</v>
      </c>
      <c r="CJ129" s="39"/>
      <c r="CK129" s="81">
        <f>H129*月別販売比率!$W$21</f>
        <v>7.8451721938294261</v>
      </c>
      <c r="CL129" s="39"/>
      <c r="CM129" s="81">
        <f>H129*月別販売比率!$AB$21</f>
        <v>12.36</v>
      </c>
      <c r="CN129" s="39"/>
      <c r="CO129" s="81">
        <f>H129*月別販売比率!$AG$21</f>
        <v>10.3</v>
      </c>
      <c r="CP129" s="39"/>
      <c r="CQ129" s="81">
        <f>H129*月別販売比率!$AL$21</f>
        <v>9.27</v>
      </c>
      <c r="CR129" s="39"/>
      <c r="CS129" s="41">
        <f>H129*月別販売比率!$AQ$21</f>
        <v>10.3</v>
      </c>
      <c r="CT129" s="39"/>
      <c r="CU129" s="81">
        <f>H129*月別販売比率!$AV$21</f>
        <v>6.2721206764502142</v>
      </c>
      <c r="CV129" s="39"/>
      <c r="CW129" s="81">
        <f>H129*月別販売比率!$BA$21</f>
        <v>5.7291814326198702</v>
      </c>
      <c r="CX129" s="39"/>
      <c r="CY129" s="81">
        <f>H129*月別販売比率!$BF$21</f>
        <v>8.24</v>
      </c>
      <c r="CZ129" s="39"/>
      <c r="DA129" s="50"/>
      <c r="DB129" s="295"/>
    </row>
    <row r="130" spans="2:106" ht="30.75" customHeight="1">
      <c r="C130" s="438"/>
      <c r="D130" s="441"/>
      <c r="E130" s="119" t="s">
        <v>49</v>
      </c>
      <c r="F130" s="126">
        <v>37</v>
      </c>
      <c r="G130" s="53">
        <f t="shared" si="209"/>
        <v>134310</v>
      </c>
      <c r="H130" s="126">
        <f t="shared" si="218"/>
        <v>37</v>
      </c>
      <c r="I130" s="53">
        <f t="shared" si="210"/>
        <v>134310</v>
      </c>
      <c r="J130" s="127">
        <v>7</v>
      </c>
      <c r="K130" s="103">
        <f t="shared" si="219"/>
        <v>57</v>
      </c>
      <c r="L130" s="103">
        <v>51</v>
      </c>
      <c r="M130" s="114"/>
      <c r="N130" s="117">
        <v>6</v>
      </c>
      <c r="O130" s="123"/>
      <c r="P130" s="123"/>
      <c r="Q130" s="238"/>
      <c r="R130" s="238"/>
      <c r="S130" s="238"/>
      <c r="T130" s="238"/>
      <c r="U130" s="238"/>
      <c r="V130" s="238"/>
      <c r="W130" s="238"/>
      <c r="X130" s="238"/>
      <c r="Y130" s="238"/>
      <c r="Z130" s="238"/>
      <c r="AA130" s="238"/>
      <c r="AB130" s="238"/>
      <c r="AC130" s="238"/>
      <c r="AD130" s="238"/>
      <c r="AE130" s="238"/>
      <c r="AF130" s="238"/>
      <c r="AG130" s="238"/>
      <c r="AH130" s="238"/>
      <c r="AI130" s="238">
        <f t="shared" si="220"/>
        <v>61.04</v>
      </c>
      <c r="AJ130" s="238">
        <f t="shared" si="221"/>
        <v>58.221831347847683</v>
      </c>
      <c r="AK130" s="238">
        <f t="shared" si="211"/>
        <v>53.781831347847685</v>
      </c>
      <c r="AL130" s="401">
        <f t="shared" si="212"/>
        <v>50.081831347847682</v>
      </c>
      <c r="AM130" s="395">
        <f t="shared" si="213"/>
        <v>46.751831347847684</v>
      </c>
      <c r="AN130" s="395">
        <f t="shared" si="214"/>
        <v>43.051831347847681</v>
      </c>
      <c r="AO130" s="395">
        <f t="shared" si="215"/>
        <v>40.798739454365567</v>
      </c>
      <c r="AP130" s="403">
        <f t="shared" si="216"/>
        <v>38.740683988278818</v>
      </c>
      <c r="AQ130" s="90">
        <f t="shared" si="217"/>
        <v>35.780683988278817</v>
      </c>
      <c r="AR130" s="238"/>
      <c r="AS130" s="301">
        <f>$H$130*月別販売比率!AG5</f>
        <v>3.7</v>
      </c>
      <c r="AT130" s="302">
        <v>30</v>
      </c>
      <c r="AU130" s="282">
        <f>$H$130*月別販売比率!AL5</f>
        <v>3.33</v>
      </c>
      <c r="AV130" s="117"/>
      <c r="AW130" s="282">
        <f>$H$130*月別販売比率!AQ5</f>
        <v>3.7</v>
      </c>
      <c r="AX130" s="104"/>
      <c r="AY130" s="282">
        <f>$H$130*月別販売比率!AV5</f>
        <v>2.2530918934821158</v>
      </c>
      <c r="AZ130" s="104"/>
      <c r="BA130" s="282">
        <f>$H$130*月別販売比率!BA5</f>
        <v>2.0580554660867496</v>
      </c>
      <c r="BB130" s="104"/>
      <c r="BC130" s="301">
        <f>$H$130*月別販売比率!BF5</f>
        <v>2.96</v>
      </c>
      <c r="BD130" s="339"/>
      <c r="BE130" s="282">
        <f>$H$130*月別販売比率!C21</f>
        <v>2.6219772912860875</v>
      </c>
      <c r="BF130" s="104"/>
      <c r="BG130" s="282">
        <f>$H$130*月別販売比率!H21</f>
        <v>2.5900000000000003</v>
      </c>
      <c r="BH130" s="104"/>
      <c r="BI130" s="301">
        <f>$H$130*月別販売比率!H21</f>
        <v>2.5900000000000003</v>
      </c>
      <c r="BJ130" s="339"/>
      <c r="BK130" s="301">
        <f>$H$130*月別販売比率!R21</f>
        <v>2.96</v>
      </c>
      <c r="BL130" s="339"/>
      <c r="BM130" s="301">
        <f>$H$130*月別販売比率!W21</f>
        <v>2.8181686521523184</v>
      </c>
      <c r="BN130" s="339"/>
      <c r="BO130" s="301">
        <f>$H$130*月別販売比率!AB21</f>
        <v>4.4399999999999995</v>
      </c>
      <c r="BP130" s="339"/>
      <c r="BQ130" s="282">
        <f>$H$130*月別販売比率!AG21</f>
        <v>3.7</v>
      </c>
      <c r="BR130" s="104"/>
      <c r="BS130" s="282">
        <f>$H$130*月別販売比率!AL21</f>
        <v>3.33</v>
      </c>
      <c r="BT130" s="104"/>
      <c r="BU130" s="282">
        <f>$H$130*月別販売比率!AQ21</f>
        <v>3.7</v>
      </c>
      <c r="BV130" s="104"/>
      <c r="BW130" s="282">
        <f>$H$130*月別販売比率!AV21</f>
        <v>2.2530918934821158</v>
      </c>
      <c r="BX130" s="104"/>
      <c r="BY130" s="301">
        <f>$H$130*月別販売比率!BA21</f>
        <v>2.0580554660867496</v>
      </c>
      <c r="BZ130" s="339">
        <v>17</v>
      </c>
      <c r="CA130" s="282">
        <f>$H$130*月別販売比率!BF21</f>
        <v>2.96</v>
      </c>
      <c r="CB130" s="104"/>
      <c r="CC130" s="301">
        <f>H130*月別販売比率!$C$21</f>
        <v>2.6219772912860875</v>
      </c>
      <c r="CD130" s="339"/>
      <c r="CE130" s="282">
        <f>H130*月別販売比率!$H$21</f>
        <v>2.5900000000000003</v>
      </c>
      <c r="CF130" s="104"/>
      <c r="CG130" s="282">
        <f>H130*月別販売比率!$M$21</f>
        <v>3.7393564975751983</v>
      </c>
      <c r="CH130" s="104"/>
      <c r="CI130" s="282">
        <f>H130*月別販売比率!$R$21</f>
        <v>2.96</v>
      </c>
      <c r="CJ130" s="104"/>
      <c r="CK130" s="282">
        <f>H130*月別販売比率!$W$21</f>
        <v>2.8181686521523184</v>
      </c>
      <c r="CL130" s="104"/>
      <c r="CM130" s="282">
        <f>H130*月別販売比率!$AB$21</f>
        <v>4.4399999999999995</v>
      </c>
      <c r="CN130" s="104"/>
      <c r="CO130" s="282">
        <f>H130*月別販売比率!$AG$21</f>
        <v>3.7</v>
      </c>
      <c r="CP130" s="104"/>
      <c r="CQ130" s="282">
        <f>H130*月別販売比率!$AL$21</f>
        <v>3.33</v>
      </c>
      <c r="CR130" s="104"/>
      <c r="CS130" s="41">
        <f>H130*月別販売比率!$AQ$21</f>
        <v>3.7</v>
      </c>
      <c r="CT130" s="104"/>
      <c r="CU130" s="282">
        <f>H130*月別販売比率!$AV$21</f>
        <v>2.2530918934821158</v>
      </c>
      <c r="CV130" s="104"/>
      <c r="CW130" s="282">
        <f>H130*月別販売比率!$BA$21</f>
        <v>2.0580554660867496</v>
      </c>
      <c r="CX130" s="104"/>
      <c r="CY130" s="282">
        <f>H130*月別販売比率!$BF$21</f>
        <v>2.96</v>
      </c>
      <c r="CZ130" s="104"/>
      <c r="DA130" s="296"/>
      <c r="DB130" s="297"/>
    </row>
    <row r="131" spans="2:106" ht="30.75" hidden="1" customHeight="1">
      <c r="B131" s="2">
        <v>10</v>
      </c>
      <c r="C131" s="435" t="s">
        <v>3</v>
      </c>
      <c r="D131" s="436"/>
      <c r="E131" s="445"/>
      <c r="F131" s="130">
        <f>SUM(F132:F155)</f>
        <v>794</v>
      </c>
      <c r="G131" s="131">
        <f>SUM(G132:G155)</f>
        <v>2882220</v>
      </c>
      <c r="H131" s="130">
        <v>891</v>
      </c>
      <c r="I131" s="131">
        <f t="shared" ref="I131:N131" si="222">SUM(I132:I155)</f>
        <v>3234329.9999999991</v>
      </c>
      <c r="J131" s="147">
        <f t="shared" si="222"/>
        <v>0</v>
      </c>
      <c r="K131" s="148">
        <f t="shared" si="222"/>
        <v>0</v>
      </c>
      <c r="L131" s="148">
        <f t="shared" si="222"/>
        <v>0</v>
      </c>
      <c r="M131" s="148">
        <f t="shared" si="222"/>
        <v>0</v>
      </c>
      <c r="N131" s="149">
        <f t="shared" si="222"/>
        <v>0</v>
      </c>
      <c r="O131" s="152"/>
      <c r="P131" s="152"/>
      <c r="Q131" s="152"/>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6">
        <f t="shared" ref="AS131:CB131" si="223">SUM(AS132:AS155)</f>
        <v>89.1</v>
      </c>
      <c r="AT131" s="134">
        <f t="shared" si="223"/>
        <v>0</v>
      </c>
      <c r="AU131" s="136">
        <f t="shared" si="223"/>
        <v>80.190000000000012</v>
      </c>
      <c r="AV131" s="134">
        <f t="shared" si="223"/>
        <v>0</v>
      </c>
      <c r="AW131" s="136">
        <f t="shared" si="223"/>
        <v>89.1</v>
      </c>
      <c r="AX131" s="134">
        <f t="shared" si="223"/>
        <v>0</v>
      </c>
      <c r="AY131" s="136">
        <f t="shared" si="223"/>
        <v>54.256888570069322</v>
      </c>
      <c r="AZ131" s="134">
        <f t="shared" si="223"/>
        <v>0</v>
      </c>
      <c r="BA131" s="136">
        <f t="shared" si="223"/>
        <v>49.560200548197123</v>
      </c>
      <c r="BB131" s="134">
        <f t="shared" si="223"/>
        <v>0</v>
      </c>
      <c r="BC131" s="136">
        <f t="shared" si="223"/>
        <v>71.280000000000015</v>
      </c>
      <c r="BD131" s="134">
        <f t="shared" si="223"/>
        <v>0</v>
      </c>
      <c r="BE131" s="136">
        <f t="shared" si="223"/>
        <v>63.140047744213604</v>
      </c>
      <c r="BF131" s="134">
        <f t="shared" si="223"/>
        <v>0</v>
      </c>
      <c r="BG131" s="136">
        <f t="shared" si="223"/>
        <v>62.370000000000005</v>
      </c>
      <c r="BH131" s="134">
        <f t="shared" si="223"/>
        <v>0</v>
      </c>
      <c r="BI131" s="136">
        <f t="shared" si="223"/>
        <v>90.047747009175708</v>
      </c>
      <c r="BJ131" s="134">
        <f t="shared" si="223"/>
        <v>0</v>
      </c>
      <c r="BK131" s="136">
        <f t="shared" si="223"/>
        <v>71.280000000000015</v>
      </c>
      <c r="BL131" s="134">
        <f t="shared" si="223"/>
        <v>0</v>
      </c>
      <c r="BM131" s="136">
        <f t="shared" si="223"/>
        <v>66.364276996766378</v>
      </c>
      <c r="BN131" s="134">
        <f t="shared" si="223"/>
        <v>0</v>
      </c>
      <c r="BO131" s="136">
        <f t="shared" si="223"/>
        <v>106.91999999999996</v>
      </c>
      <c r="BP131" s="134">
        <f t="shared" si="223"/>
        <v>0</v>
      </c>
      <c r="BQ131" s="136">
        <f t="shared" si="223"/>
        <v>89.1</v>
      </c>
      <c r="BR131" s="134">
        <f t="shared" si="223"/>
        <v>0</v>
      </c>
      <c r="BS131" s="136">
        <f t="shared" si="223"/>
        <v>80.190000000000012</v>
      </c>
      <c r="BT131" s="134">
        <f t="shared" si="223"/>
        <v>0</v>
      </c>
      <c r="BU131" s="136">
        <f t="shared" si="223"/>
        <v>89.1</v>
      </c>
      <c r="BV131" s="134">
        <f t="shared" si="223"/>
        <v>0</v>
      </c>
      <c r="BW131" s="136">
        <f t="shared" si="223"/>
        <v>54.256888570069322</v>
      </c>
      <c r="BX131" s="134">
        <f t="shared" si="223"/>
        <v>0</v>
      </c>
      <c r="BY131" s="136">
        <f t="shared" si="223"/>
        <v>49.560200548197123</v>
      </c>
      <c r="BZ131" s="134">
        <f t="shared" si="223"/>
        <v>0</v>
      </c>
      <c r="CA131" s="136">
        <f t="shared" si="223"/>
        <v>71.280000000000015</v>
      </c>
      <c r="CB131" s="134">
        <f t="shared" si="223"/>
        <v>0</v>
      </c>
      <c r="CC131" s="136">
        <f>H131*月別販売比率!$C$21</f>
        <v>63.140047744213618</v>
      </c>
      <c r="CD131" s="134">
        <f t="shared" ref="CD131" si="224">SUM(CD132:CD155)</f>
        <v>0</v>
      </c>
      <c r="CE131" s="136">
        <f t="shared" ref="CE131:CF131" si="225">SUM(CE132:CE155)</f>
        <v>0</v>
      </c>
      <c r="CF131" s="134">
        <f t="shared" si="225"/>
        <v>0</v>
      </c>
      <c r="CG131" s="136">
        <f t="shared" ref="CG131:CJ131" si="226">SUM(CG132:CG155)</f>
        <v>0</v>
      </c>
      <c r="CH131" s="134">
        <f t="shared" si="226"/>
        <v>0</v>
      </c>
      <c r="CI131" s="136">
        <f>H131*月別販売比率!$R$21</f>
        <v>71.28</v>
      </c>
      <c r="CJ131" s="134">
        <f t="shared" si="226"/>
        <v>0</v>
      </c>
      <c r="CK131" s="136">
        <f t="shared" ref="CK131:CL131" si="227">SUM(CK132:CK155)</f>
        <v>0</v>
      </c>
      <c r="CL131" s="134">
        <f t="shared" si="227"/>
        <v>0</v>
      </c>
      <c r="CM131" s="136">
        <f>L131*月別販売比率!$R$21</f>
        <v>0</v>
      </c>
      <c r="CN131" s="134">
        <f t="shared" ref="CN131:CP131" si="228">SUM(CN132:CN155)</f>
        <v>0</v>
      </c>
      <c r="CO131" s="136">
        <f t="shared" si="228"/>
        <v>0</v>
      </c>
      <c r="CP131" s="134">
        <f t="shared" si="228"/>
        <v>0</v>
      </c>
      <c r="CQ131" s="136">
        <f>P131*月別販売比率!$R$21</f>
        <v>0</v>
      </c>
      <c r="CR131" s="134">
        <f t="shared" ref="CR131:CT131" si="229">SUM(CR132:CR155)</f>
        <v>0</v>
      </c>
      <c r="CS131" s="136">
        <f t="shared" si="229"/>
        <v>0</v>
      </c>
      <c r="CT131" s="134">
        <f t="shared" si="229"/>
        <v>0</v>
      </c>
      <c r="CU131" s="136">
        <v>54.256888570069322</v>
      </c>
      <c r="CV131" s="134">
        <f t="shared" ref="CV131:CX131" si="230">SUM(CV132:CV155)</f>
        <v>0</v>
      </c>
      <c r="CW131" s="136">
        <f t="shared" si="230"/>
        <v>0</v>
      </c>
      <c r="CX131" s="134">
        <f t="shared" si="230"/>
        <v>0</v>
      </c>
      <c r="CY131" s="136">
        <f t="shared" ref="CY131:CZ131" si="231">SUM(CY132:CY155)</f>
        <v>0</v>
      </c>
      <c r="CZ131" s="134">
        <f t="shared" si="231"/>
        <v>0</v>
      </c>
      <c r="DA131" s="141"/>
      <c r="DB131" s="293"/>
    </row>
    <row r="132" spans="2:106" ht="30.75" hidden="1" customHeight="1">
      <c r="C132" s="473" t="s">
        <v>330</v>
      </c>
      <c r="D132" s="443">
        <v>1</v>
      </c>
      <c r="E132" s="99" t="s">
        <v>47</v>
      </c>
      <c r="F132" s="56">
        <v>114</v>
      </c>
      <c r="G132" s="46">
        <f>F132*3630</f>
        <v>413820</v>
      </c>
      <c r="H132" s="45">
        <f>F132*($H$131/$F$131)</f>
        <v>127.92695214105792</v>
      </c>
      <c r="I132" s="46">
        <f>H132*3630</f>
        <v>464374.83627204027</v>
      </c>
      <c r="J132" s="49">
        <v>0</v>
      </c>
      <c r="K132" s="39">
        <f t="shared" ref="K132:K155" si="232">SUM(L132:N132)</f>
        <v>0</v>
      </c>
      <c r="L132" s="280"/>
      <c r="M132" s="39"/>
      <c r="N132" s="42"/>
      <c r="O132" s="19"/>
      <c r="P132" s="19"/>
      <c r="Q132" s="328"/>
      <c r="R132" s="328"/>
      <c r="S132" s="328"/>
      <c r="T132" s="124"/>
      <c r="U132" s="124"/>
      <c r="V132" s="124"/>
      <c r="W132" s="124"/>
      <c r="X132" s="124"/>
      <c r="Y132" s="124"/>
      <c r="Z132" s="124"/>
      <c r="AA132" s="124"/>
      <c r="AB132" s="124"/>
      <c r="AC132" s="124"/>
      <c r="AD132" s="124"/>
      <c r="AE132" s="124"/>
      <c r="AF132" s="124"/>
      <c r="AG132" s="124"/>
      <c r="AH132" s="124"/>
      <c r="AI132" s="129" t="e">
        <f>#REF!-CA132</f>
        <v>#REF!</v>
      </c>
      <c r="AJ132" s="129" t="e">
        <f t="shared" ref="AJ132:AJ155" si="233">AI132-CC132</f>
        <v>#REF!</v>
      </c>
      <c r="AK132" s="129" t="e">
        <f t="shared" ref="AK132:AK155" si="234">AJ132-CC132</f>
        <v>#REF!</v>
      </c>
      <c r="AL132" s="252" t="e">
        <f t="shared" ref="AL132:AL155" si="235">AK132-CD132</f>
        <v>#REF!</v>
      </c>
      <c r="AM132" s="129" t="e">
        <f t="shared" ref="AM132:AM155" si="236">AL132-CF132</f>
        <v>#REF!</v>
      </c>
      <c r="AN132" s="252" t="e">
        <f t="shared" ref="AN132:AN155" si="237">AM132-CF132</f>
        <v>#REF!</v>
      </c>
      <c r="AO132" s="252" t="e">
        <f t="shared" ref="AO132:AO155" si="238">AN132-CG132</f>
        <v>#REF!</v>
      </c>
      <c r="AP132" s="252" t="e">
        <f t="shared" ref="AP132:AP155" si="239">AO132-CH132</f>
        <v>#REF!</v>
      </c>
      <c r="AQ132" s="252" t="e">
        <f t="shared" ref="AQ132:AQ155" si="240">AP132-CI132</f>
        <v>#REF!</v>
      </c>
      <c r="AR132" s="198"/>
      <c r="AS132" s="81">
        <f>$H$132*月別販売比率!AG5</f>
        <v>12.792695214105793</v>
      </c>
      <c r="AT132" s="39"/>
      <c r="AU132" s="81">
        <f>$H$132*月別販売比率!AL5</f>
        <v>11.513425692695213</v>
      </c>
      <c r="AV132" s="39"/>
      <c r="AW132" s="81">
        <f>$H$132*月別販売比率!AQ5</f>
        <v>12.792695214105793</v>
      </c>
      <c r="AX132" s="39"/>
      <c r="AY132" s="81">
        <f>$H$132*月別販売比率!AV5</f>
        <v>7.7900318601862759</v>
      </c>
      <c r="AZ132" s="39"/>
      <c r="BA132" s="81">
        <f>$H$132*月別販売比率!BA5</f>
        <v>7.115696300370872</v>
      </c>
      <c r="BB132" s="39"/>
      <c r="BC132" s="81">
        <f>$H$132*月別販売比率!BF5</f>
        <v>10.234156171284635</v>
      </c>
      <c r="BD132" s="39"/>
      <c r="BE132" s="81">
        <f>$H$132*月別販売比率!C21</f>
        <v>9.0654476610079993</v>
      </c>
      <c r="BF132" s="39"/>
      <c r="BG132" s="81">
        <f>$H$132*月別販売比率!H21</f>
        <v>8.9548866498740551</v>
      </c>
      <c r="BH132" s="39"/>
      <c r="BI132" s="81">
        <f>$H$132*月別販売比率!M21</f>
        <v>12.928769721720442</v>
      </c>
      <c r="BJ132" s="39"/>
      <c r="BK132" s="81">
        <f>$H$132*月別販売比率!R21</f>
        <v>10.234156171284635</v>
      </c>
      <c r="BL132" s="39"/>
      <c r="BM132" s="81">
        <f>$H$132*月別販売比率!W21</f>
        <v>9.7437763861978191</v>
      </c>
      <c r="BN132" s="39"/>
      <c r="BO132" s="81">
        <f>$H$132*月別販売比率!AB21</f>
        <v>15.351234256926951</v>
      </c>
      <c r="BP132" s="39"/>
      <c r="BQ132" s="81">
        <f>$H$132*月別販売比率!AG21</f>
        <v>12.792695214105793</v>
      </c>
      <c r="BR132" s="39"/>
      <c r="BS132" s="81">
        <f>$H$132*月別販売比率!AL21</f>
        <v>11.513425692695213</v>
      </c>
      <c r="BT132" s="39"/>
      <c r="BU132" s="81">
        <f>$H$132*月別販売比率!AQ21</f>
        <v>12.792695214105793</v>
      </c>
      <c r="BV132" s="39"/>
      <c r="BW132" s="81">
        <f>$H$132*月別販売比率!AV21</f>
        <v>7.7900318601862759</v>
      </c>
      <c r="BX132" s="39"/>
      <c r="BY132" s="81">
        <f>$H$132*月別販売比率!BA21</f>
        <v>7.115696300370872</v>
      </c>
      <c r="BZ132" s="39"/>
      <c r="CA132" s="81">
        <f>$H$132*月別販売比率!BF21</f>
        <v>10.234156171284635</v>
      </c>
      <c r="CB132" s="39"/>
      <c r="CC132" s="81">
        <f>H132*月別販売比率!$C$21</f>
        <v>9.0654476610079993</v>
      </c>
      <c r="CD132" s="39"/>
      <c r="CE132" s="81">
        <f>$H$132*月別販売比率!BJ21</f>
        <v>0</v>
      </c>
      <c r="CF132" s="39"/>
      <c r="CG132" s="81">
        <f>$H$132*月別販売比率!BL21</f>
        <v>0</v>
      </c>
      <c r="CH132" s="39"/>
      <c r="CI132" s="81">
        <f>H132*月別販売比率!$R$21</f>
        <v>10.234156171284635</v>
      </c>
      <c r="CJ132" s="39"/>
      <c r="CK132" s="81">
        <f>$H$132*月別販売比率!BP21</f>
        <v>0</v>
      </c>
      <c r="CL132" s="39"/>
      <c r="CM132" s="81">
        <f>L132*月別販売比率!$R$21</f>
        <v>0</v>
      </c>
      <c r="CN132" s="39"/>
      <c r="CO132" s="81">
        <f>$H$132*月別販売比率!BT21</f>
        <v>0</v>
      </c>
      <c r="CP132" s="39"/>
      <c r="CQ132" s="81">
        <f>P132*月別販売比率!$R$21</f>
        <v>0</v>
      </c>
      <c r="CR132" s="39"/>
      <c r="CS132" s="81">
        <f>$H$132*月別販売比率!BX21</f>
        <v>0</v>
      </c>
      <c r="CT132" s="39"/>
      <c r="CU132" s="81">
        <v>7.7900318601862759</v>
      </c>
      <c r="CV132" s="39"/>
      <c r="CW132" s="81">
        <f>$H$132*月別販売比率!BY21</f>
        <v>0</v>
      </c>
      <c r="CX132" s="39"/>
      <c r="CY132" s="81">
        <f>$H$132*月別販売比率!CA21</f>
        <v>0</v>
      </c>
      <c r="CZ132" s="39"/>
      <c r="DA132" s="28"/>
      <c r="DB132" s="294"/>
    </row>
    <row r="133" spans="2:106" ht="30.75" hidden="1" customHeight="1">
      <c r="C133" s="474"/>
      <c r="D133" s="441"/>
      <c r="E133" s="94" t="s">
        <v>51</v>
      </c>
      <c r="F133" s="57">
        <v>108</v>
      </c>
      <c r="G133" s="5">
        <f t="shared" ref="G133:I155" si="241">F133*3630</f>
        <v>392040</v>
      </c>
      <c r="H133" s="45">
        <f t="shared" ref="H133:H155" si="242">F133*($H$131/$F$131)</f>
        <v>121.19395465994961</v>
      </c>
      <c r="I133" s="5">
        <f t="shared" si="241"/>
        <v>439934.05541561707</v>
      </c>
      <c r="J133" s="9">
        <v>0</v>
      </c>
      <c r="K133" s="21">
        <f t="shared" si="232"/>
        <v>0</v>
      </c>
      <c r="L133" s="241"/>
      <c r="M133" s="21"/>
      <c r="N133" s="42"/>
      <c r="O133" s="19"/>
      <c r="P133" s="19"/>
      <c r="Q133" s="124"/>
      <c r="R133" s="328"/>
      <c r="S133" s="124"/>
      <c r="T133" s="124"/>
      <c r="U133" s="124"/>
      <c r="V133" s="124"/>
      <c r="W133" s="124"/>
      <c r="X133" s="124"/>
      <c r="Y133" s="124"/>
      <c r="Z133" s="124"/>
      <c r="AA133" s="124"/>
      <c r="AB133" s="124"/>
      <c r="AC133" s="124"/>
      <c r="AD133" s="124"/>
      <c r="AE133" s="124"/>
      <c r="AF133" s="124"/>
      <c r="AG133" s="124"/>
      <c r="AH133" s="124"/>
      <c r="AI133" s="129" t="e">
        <f>#REF!-CA133</f>
        <v>#REF!</v>
      </c>
      <c r="AJ133" s="129" t="e">
        <f t="shared" si="233"/>
        <v>#REF!</v>
      </c>
      <c r="AK133" s="129" t="e">
        <f t="shared" si="234"/>
        <v>#REF!</v>
      </c>
      <c r="AL133" s="252" t="e">
        <f t="shared" si="235"/>
        <v>#REF!</v>
      </c>
      <c r="AM133" s="129" t="e">
        <f t="shared" si="236"/>
        <v>#REF!</v>
      </c>
      <c r="AN133" s="252" t="e">
        <f t="shared" si="237"/>
        <v>#REF!</v>
      </c>
      <c r="AO133" s="252" t="e">
        <f t="shared" si="238"/>
        <v>#REF!</v>
      </c>
      <c r="AP133" s="252" t="e">
        <f t="shared" si="239"/>
        <v>#REF!</v>
      </c>
      <c r="AQ133" s="252" t="e">
        <f t="shared" si="240"/>
        <v>#REF!</v>
      </c>
      <c r="AR133" s="198"/>
      <c r="AS133" s="81">
        <f>$H$133*月別販売比率!AG5</f>
        <v>12.119395465994963</v>
      </c>
      <c r="AT133" s="21"/>
      <c r="AU133" s="81">
        <f>$H$133*月別販売比率!AL5</f>
        <v>10.907455919395465</v>
      </c>
      <c r="AV133" s="21"/>
      <c r="AW133" s="81">
        <f>$H$133*月別販売比率!AQ5</f>
        <v>12.119395465994963</v>
      </c>
      <c r="AX133" s="21"/>
      <c r="AY133" s="81">
        <f>$H$133*月別販売比率!AV5</f>
        <v>7.3800301833343669</v>
      </c>
      <c r="AZ133" s="21"/>
      <c r="BA133" s="81">
        <f>$H$133*月別販売比率!BA5</f>
        <v>6.7411859687724052</v>
      </c>
      <c r="BB133" s="21"/>
      <c r="BC133" s="81">
        <f>$H$133*月別販売比率!BF5</f>
        <v>9.6955163727959697</v>
      </c>
      <c r="BD133" s="21"/>
      <c r="BE133" s="81">
        <f>$H$133*月別販売比率!C21</f>
        <v>8.5883188367444205</v>
      </c>
      <c r="BF133" s="21"/>
      <c r="BG133" s="81">
        <f>$H$133*月別販売比率!H21</f>
        <v>8.4835768261964741</v>
      </c>
      <c r="BH133" s="21"/>
      <c r="BI133" s="81">
        <f>$H$133*月別販売比率!M21</f>
        <v>12.248308157419366</v>
      </c>
      <c r="BJ133" s="21"/>
      <c r="BK133" s="81">
        <f>$H$133*月別販売比率!R21</f>
        <v>9.6955163727959697</v>
      </c>
      <c r="BL133" s="21"/>
      <c r="BM133" s="81">
        <f>$H$133*月別販売比率!W21</f>
        <v>9.2309460500821441</v>
      </c>
      <c r="BN133" s="21"/>
      <c r="BO133" s="81">
        <f>$H$133*月別販売比率!AB21</f>
        <v>14.543274559193954</v>
      </c>
      <c r="BP133" s="21"/>
      <c r="BQ133" s="81">
        <f>$H$133*月別販売比率!AG21</f>
        <v>12.119395465994963</v>
      </c>
      <c r="BR133" s="21"/>
      <c r="BS133" s="81">
        <f>$H$133*月別販売比率!AL21</f>
        <v>10.907455919395465</v>
      </c>
      <c r="BT133" s="21"/>
      <c r="BU133" s="81">
        <f>$H$133*月別販売比率!AQ21</f>
        <v>12.119395465994963</v>
      </c>
      <c r="BV133" s="21"/>
      <c r="BW133" s="81">
        <f>$H$133*月別販売比率!AV21</f>
        <v>7.3800301833343669</v>
      </c>
      <c r="BX133" s="21"/>
      <c r="BY133" s="81">
        <f>$H$133*月別販売比率!BA21</f>
        <v>6.7411859687724052</v>
      </c>
      <c r="BZ133" s="21"/>
      <c r="CA133" s="81">
        <f>$H$133*月別販売比率!BF21</f>
        <v>9.6955163727959697</v>
      </c>
      <c r="CB133" s="21"/>
      <c r="CC133" s="81">
        <f>H133*月別販売比率!$C$21</f>
        <v>8.5883188367444205</v>
      </c>
      <c r="CD133" s="21"/>
      <c r="CE133" s="81">
        <f>$H$133*月別販売比率!BJ21</f>
        <v>0</v>
      </c>
      <c r="CF133" s="21"/>
      <c r="CG133" s="81">
        <f>$H$133*月別販売比率!BL21</f>
        <v>0</v>
      </c>
      <c r="CH133" s="21"/>
      <c r="CI133" s="81">
        <f>H133*月別販売比率!$R$21</f>
        <v>9.6955163727959697</v>
      </c>
      <c r="CJ133" s="21"/>
      <c r="CK133" s="81">
        <f>$H$133*月別販売比率!BP21</f>
        <v>0</v>
      </c>
      <c r="CL133" s="21"/>
      <c r="CM133" s="81">
        <f>L133*月別販売比率!$R$21</f>
        <v>0</v>
      </c>
      <c r="CN133" s="21"/>
      <c r="CO133" s="81">
        <f>$H$133*月別販売比率!BT21</f>
        <v>0</v>
      </c>
      <c r="CP133" s="21"/>
      <c r="CQ133" s="81">
        <f>P133*月別販売比率!$R$21</f>
        <v>0</v>
      </c>
      <c r="CR133" s="21"/>
      <c r="CS133" s="81">
        <f>$H$133*月別販売比率!BX21</f>
        <v>0</v>
      </c>
      <c r="CT133" s="21"/>
      <c r="CU133" s="81">
        <v>7.3800301833343669</v>
      </c>
      <c r="CV133" s="21"/>
      <c r="CW133" s="81">
        <f>$H$133*月別販売比率!BY21</f>
        <v>0</v>
      </c>
      <c r="CX133" s="21"/>
      <c r="CY133" s="81">
        <f>$H$133*月別販売比率!CA21</f>
        <v>0</v>
      </c>
      <c r="CZ133" s="21"/>
      <c r="DA133" s="28"/>
      <c r="DB133" s="294"/>
    </row>
    <row r="134" spans="2:106" ht="30.75" hidden="1" customHeight="1">
      <c r="C134" s="474"/>
      <c r="D134" s="441"/>
      <c r="E134" s="94" t="s">
        <v>49</v>
      </c>
      <c r="F134" s="57">
        <v>24</v>
      </c>
      <c r="G134" s="5">
        <f t="shared" si="241"/>
        <v>87120</v>
      </c>
      <c r="H134" s="45">
        <f t="shared" si="242"/>
        <v>26.931989924433246</v>
      </c>
      <c r="I134" s="5">
        <f t="shared" si="241"/>
        <v>97763.123425692684</v>
      </c>
      <c r="J134" s="9">
        <v>0</v>
      </c>
      <c r="K134" s="21">
        <f t="shared" si="232"/>
        <v>0</v>
      </c>
      <c r="L134" s="241"/>
      <c r="M134" s="21"/>
      <c r="N134" s="42"/>
      <c r="O134" s="19"/>
      <c r="P134" s="19"/>
      <c r="Q134" s="124"/>
      <c r="R134" s="328"/>
      <c r="S134" s="328"/>
      <c r="T134" s="124"/>
      <c r="U134" s="124"/>
      <c r="V134" s="124"/>
      <c r="W134" s="124"/>
      <c r="X134" s="124"/>
      <c r="Y134" s="124"/>
      <c r="Z134" s="124"/>
      <c r="AA134" s="124"/>
      <c r="AB134" s="124"/>
      <c r="AC134" s="124"/>
      <c r="AD134" s="124"/>
      <c r="AE134" s="124"/>
      <c r="AF134" s="124"/>
      <c r="AG134" s="124"/>
      <c r="AH134" s="124"/>
      <c r="AI134" s="129" t="e">
        <f>#REF!-CA134</f>
        <v>#REF!</v>
      </c>
      <c r="AJ134" s="129" t="e">
        <f t="shared" si="233"/>
        <v>#REF!</v>
      </c>
      <c r="AK134" s="129" t="e">
        <f t="shared" si="234"/>
        <v>#REF!</v>
      </c>
      <c r="AL134" s="252" t="e">
        <f t="shared" si="235"/>
        <v>#REF!</v>
      </c>
      <c r="AM134" s="129" t="e">
        <f t="shared" si="236"/>
        <v>#REF!</v>
      </c>
      <c r="AN134" s="252" t="e">
        <f t="shared" si="237"/>
        <v>#REF!</v>
      </c>
      <c r="AO134" s="252" t="e">
        <f t="shared" si="238"/>
        <v>#REF!</v>
      </c>
      <c r="AP134" s="252" t="e">
        <f t="shared" si="239"/>
        <v>#REF!</v>
      </c>
      <c r="AQ134" s="252" t="e">
        <f t="shared" si="240"/>
        <v>#REF!</v>
      </c>
      <c r="AR134" s="198"/>
      <c r="AS134" s="81">
        <f>$H$134*月別販売比率!AG5</f>
        <v>2.6931989924433246</v>
      </c>
      <c r="AT134" s="21"/>
      <c r="AU134" s="81">
        <f>$H$134*月別販売比率!AL5</f>
        <v>2.423879093198992</v>
      </c>
      <c r="AV134" s="21"/>
      <c r="AW134" s="81">
        <f>$H$134*月別販売比率!AQ5</f>
        <v>2.6931989924433246</v>
      </c>
      <c r="AX134" s="21"/>
      <c r="AY134" s="81">
        <f>$H$134*月別販売比率!AV5</f>
        <v>1.640006707407637</v>
      </c>
      <c r="AZ134" s="21"/>
      <c r="BA134" s="81">
        <f>$H$134*月別販売比率!BA5</f>
        <v>1.4980413263938677</v>
      </c>
      <c r="BB134" s="21"/>
      <c r="BC134" s="81">
        <f>$H$134*月別販売比率!BF5</f>
        <v>2.1545591939546598</v>
      </c>
      <c r="BD134" s="21"/>
      <c r="BE134" s="81">
        <f>$H$134*月別販売比率!C21</f>
        <v>1.9085152970543158</v>
      </c>
      <c r="BF134" s="21"/>
      <c r="BG134" s="81">
        <f>$H$134*月別販売比率!H21</f>
        <v>1.8852392947103274</v>
      </c>
      <c r="BH134" s="21"/>
      <c r="BI134" s="81">
        <f>$H$134*月別販売比率!M21</f>
        <v>2.7218462572043034</v>
      </c>
      <c r="BJ134" s="21"/>
      <c r="BK134" s="81">
        <f>$H$134*月別販売比率!R21</f>
        <v>2.1545591939546598</v>
      </c>
      <c r="BL134" s="21"/>
      <c r="BM134" s="81">
        <f>$H$134*月別販売比率!W21</f>
        <v>2.051321344462699</v>
      </c>
      <c r="BN134" s="21"/>
      <c r="BO134" s="81">
        <f>$H$134*月別販売比率!AB21</f>
        <v>3.2318387909319894</v>
      </c>
      <c r="BP134" s="21"/>
      <c r="BQ134" s="81">
        <f>$H$134*月別販売比率!AG21</f>
        <v>2.6931989924433246</v>
      </c>
      <c r="BR134" s="21"/>
      <c r="BS134" s="81">
        <f>$H$134*月別販売比率!AL21</f>
        <v>2.423879093198992</v>
      </c>
      <c r="BT134" s="21"/>
      <c r="BU134" s="81">
        <f>$H$134*月別販売比率!AQ21</f>
        <v>2.6931989924433246</v>
      </c>
      <c r="BV134" s="21"/>
      <c r="BW134" s="81">
        <f>$H$134*月別販売比率!AV21</f>
        <v>1.640006707407637</v>
      </c>
      <c r="BX134" s="21"/>
      <c r="BY134" s="81">
        <f>$H$134*月別販売比率!BA21</f>
        <v>1.4980413263938677</v>
      </c>
      <c r="BZ134" s="21"/>
      <c r="CA134" s="81">
        <f>$H$134*月別販売比率!BF21</f>
        <v>2.1545591939546598</v>
      </c>
      <c r="CB134" s="21"/>
      <c r="CC134" s="81">
        <f>H134*月別販売比率!$C$21</f>
        <v>1.9085152970543158</v>
      </c>
      <c r="CD134" s="21"/>
      <c r="CE134" s="81">
        <f>$H$134*月別販売比率!BJ21</f>
        <v>0</v>
      </c>
      <c r="CF134" s="21"/>
      <c r="CG134" s="81">
        <f>$H$134*月別販売比率!BL21</f>
        <v>0</v>
      </c>
      <c r="CH134" s="21"/>
      <c r="CI134" s="81">
        <f>H134*月別販売比率!$R$21</f>
        <v>2.1545591939546598</v>
      </c>
      <c r="CJ134" s="21"/>
      <c r="CK134" s="81">
        <f>$H$134*月別販売比率!BP21</f>
        <v>0</v>
      </c>
      <c r="CL134" s="21"/>
      <c r="CM134" s="81">
        <f>L134*月別販売比率!$R$21</f>
        <v>0</v>
      </c>
      <c r="CN134" s="21"/>
      <c r="CO134" s="81">
        <f>$H$134*月別販売比率!BT21</f>
        <v>0</v>
      </c>
      <c r="CP134" s="21"/>
      <c r="CQ134" s="81">
        <f>P134*月別販売比率!$R$21</f>
        <v>0</v>
      </c>
      <c r="CR134" s="21"/>
      <c r="CS134" s="81">
        <f>$H$134*月別販売比率!BX21</f>
        <v>0</v>
      </c>
      <c r="CT134" s="21"/>
      <c r="CU134" s="81">
        <v>1.640006707407637</v>
      </c>
      <c r="CV134" s="21"/>
      <c r="CW134" s="81">
        <f>$H$134*月別販売比率!BY21</f>
        <v>0</v>
      </c>
      <c r="CX134" s="21"/>
      <c r="CY134" s="81">
        <f>$H$134*月別販売比率!CA21</f>
        <v>0</v>
      </c>
      <c r="CZ134" s="21"/>
      <c r="DA134" s="28"/>
      <c r="DB134" s="294"/>
    </row>
    <row r="135" spans="2:106" ht="30.75" hidden="1" customHeight="1">
      <c r="C135" s="474"/>
      <c r="D135" s="442"/>
      <c r="E135" s="94" t="s">
        <v>50</v>
      </c>
      <c r="F135" s="57">
        <v>11</v>
      </c>
      <c r="G135" s="5">
        <f t="shared" si="241"/>
        <v>39930</v>
      </c>
      <c r="H135" s="45">
        <f t="shared" si="242"/>
        <v>12.343828715365239</v>
      </c>
      <c r="I135" s="5">
        <f t="shared" si="241"/>
        <v>44808.098236775819</v>
      </c>
      <c r="J135" s="9">
        <v>0</v>
      </c>
      <c r="K135" s="21">
        <f t="shared" si="232"/>
        <v>0</v>
      </c>
      <c r="L135" s="241"/>
      <c r="M135" s="21"/>
      <c r="N135" s="42"/>
      <c r="O135" s="19"/>
      <c r="P135" s="19"/>
      <c r="Q135" s="124"/>
      <c r="R135" s="124"/>
      <c r="S135" s="124"/>
      <c r="T135" s="124"/>
      <c r="U135" s="124"/>
      <c r="V135" s="124"/>
      <c r="W135" s="124"/>
      <c r="X135" s="124"/>
      <c r="Y135" s="124"/>
      <c r="Z135" s="124"/>
      <c r="AA135" s="124"/>
      <c r="AB135" s="124"/>
      <c r="AC135" s="124"/>
      <c r="AD135" s="124"/>
      <c r="AE135" s="124"/>
      <c r="AF135" s="124"/>
      <c r="AG135" s="124"/>
      <c r="AH135" s="124"/>
      <c r="AI135" s="129" t="e">
        <f>#REF!-CA135</f>
        <v>#REF!</v>
      </c>
      <c r="AJ135" s="129" t="e">
        <f t="shared" si="233"/>
        <v>#REF!</v>
      </c>
      <c r="AK135" s="129" t="e">
        <f t="shared" si="234"/>
        <v>#REF!</v>
      </c>
      <c r="AL135" s="252" t="e">
        <f t="shared" si="235"/>
        <v>#REF!</v>
      </c>
      <c r="AM135" s="129" t="e">
        <f t="shared" si="236"/>
        <v>#REF!</v>
      </c>
      <c r="AN135" s="252" t="e">
        <f t="shared" si="237"/>
        <v>#REF!</v>
      </c>
      <c r="AO135" s="252" t="e">
        <f t="shared" si="238"/>
        <v>#REF!</v>
      </c>
      <c r="AP135" s="252" t="e">
        <f t="shared" si="239"/>
        <v>#REF!</v>
      </c>
      <c r="AQ135" s="252" t="e">
        <f t="shared" si="240"/>
        <v>#REF!</v>
      </c>
      <c r="AR135" s="198"/>
      <c r="AS135" s="81">
        <f>$H$135*月別販売比率!AG5</f>
        <v>1.2343828715365239</v>
      </c>
      <c r="AT135" s="21"/>
      <c r="AU135" s="81">
        <f>$H$135*月別販売比率!AL5</f>
        <v>1.1109445843828716</v>
      </c>
      <c r="AV135" s="21"/>
      <c r="AW135" s="81">
        <f>$H$135*月別販売比率!AQ5</f>
        <v>1.2343828715365239</v>
      </c>
      <c r="AX135" s="21"/>
      <c r="AY135" s="81">
        <f>$H$135*月別販売比率!AV5</f>
        <v>0.75166974089516703</v>
      </c>
      <c r="AZ135" s="21"/>
      <c r="BA135" s="81">
        <f>$H$135*月別販売比率!BA5</f>
        <v>0.68660227459718948</v>
      </c>
      <c r="BB135" s="21"/>
      <c r="BC135" s="81">
        <f>$H$135*月別販売比率!BF5</f>
        <v>0.98750629722921912</v>
      </c>
      <c r="BD135" s="21"/>
      <c r="BE135" s="81">
        <f>$H$135*月別販売比率!C21</f>
        <v>0.87473617781656143</v>
      </c>
      <c r="BF135" s="21"/>
      <c r="BG135" s="81">
        <f>$H$135*月別販売比率!H21</f>
        <v>0.86406801007556688</v>
      </c>
      <c r="BH135" s="21"/>
      <c r="BI135" s="81">
        <f>$H$135*月別販売比率!M21</f>
        <v>1.2475128678853058</v>
      </c>
      <c r="BJ135" s="21"/>
      <c r="BK135" s="81">
        <f>$H$135*月別販売比率!R21</f>
        <v>0.98750629722921912</v>
      </c>
      <c r="BL135" s="21"/>
      <c r="BM135" s="81">
        <f>$H$135*月別販売比率!W21</f>
        <v>0.94018894954540366</v>
      </c>
      <c r="BN135" s="21"/>
      <c r="BO135" s="81">
        <f>$H$135*月別販売比率!AB21</f>
        <v>1.4812594458438286</v>
      </c>
      <c r="BP135" s="21"/>
      <c r="BQ135" s="81">
        <f>$H$135*月別販売比率!AG21</f>
        <v>1.2343828715365239</v>
      </c>
      <c r="BR135" s="21"/>
      <c r="BS135" s="81">
        <f>$H$135*月別販売比率!AL21</f>
        <v>1.1109445843828716</v>
      </c>
      <c r="BT135" s="21"/>
      <c r="BU135" s="81">
        <f>$H$135*月別販売比率!AQ21</f>
        <v>1.2343828715365239</v>
      </c>
      <c r="BV135" s="21"/>
      <c r="BW135" s="81">
        <f>$H$135*月別販売比率!AV21</f>
        <v>0.75166974089516703</v>
      </c>
      <c r="BX135" s="21"/>
      <c r="BY135" s="81">
        <f>$H$135*月別販売比率!BA21</f>
        <v>0.68660227459718948</v>
      </c>
      <c r="BZ135" s="21"/>
      <c r="CA135" s="81">
        <f>$H$135*月別販売比率!BF21</f>
        <v>0.98750629722921912</v>
      </c>
      <c r="CB135" s="21"/>
      <c r="CC135" s="81">
        <f>H135*月別販売比率!$C$21</f>
        <v>0.87473617781656143</v>
      </c>
      <c r="CD135" s="21"/>
      <c r="CE135" s="81">
        <f>$H$135*月別販売比率!BJ21</f>
        <v>0</v>
      </c>
      <c r="CF135" s="21"/>
      <c r="CG135" s="81">
        <f>$H$135*月別販売比率!BL21</f>
        <v>0</v>
      </c>
      <c r="CH135" s="21"/>
      <c r="CI135" s="81">
        <f>H135*月別販売比率!$R$21</f>
        <v>0.98750629722921912</v>
      </c>
      <c r="CJ135" s="21"/>
      <c r="CK135" s="81">
        <f>$H$135*月別販売比率!BP21</f>
        <v>0</v>
      </c>
      <c r="CL135" s="21"/>
      <c r="CM135" s="81">
        <f>L135*月別販売比率!$R$21</f>
        <v>0</v>
      </c>
      <c r="CN135" s="21"/>
      <c r="CO135" s="81">
        <f>$H$135*月別販売比率!BT21</f>
        <v>0</v>
      </c>
      <c r="CP135" s="21"/>
      <c r="CQ135" s="81">
        <f>P135*月別販売比率!$R$21</f>
        <v>0</v>
      </c>
      <c r="CR135" s="21"/>
      <c r="CS135" s="81">
        <f>$H$135*月別販売比率!BX21</f>
        <v>0</v>
      </c>
      <c r="CT135" s="21"/>
      <c r="CU135" s="81">
        <v>0.75166974089516703</v>
      </c>
      <c r="CV135" s="21"/>
      <c r="CW135" s="81">
        <f>$H$135*月別販売比率!BY21</f>
        <v>0</v>
      </c>
      <c r="CX135" s="21"/>
      <c r="CY135" s="81">
        <f>$H$135*月別販売比率!CA21</f>
        <v>0</v>
      </c>
      <c r="CZ135" s="21"/>
      <c r="DA135" s="28"/>
      <c r="DB135" s="294"/>
    </row>
    <row r="136" spans="2:106" ht="30.75" hidden="1" customHeight="1">
      <c r="C136" s="474"/>
      <c r="D136" s="441">
        <v>2</v>
      </c>
      <c r="E136" s="94" t="s">
        <v>47</v>
      </c>
      <c r="F136" s="57">
        <v>48</v>
      </c>
      <c r="G136" s="5">
        <f t="shared" si="241"/>
        <v>174240</v>
      </c>
      <c r="H136" s="45">
        <f t="shared" si="242"/>
        <v>53.863979848866492</v>
      </c>
      <c r="I136" s="5">
        <f t="shared" si="241"/>
        <v>195526.24685138537</v>
      </c>
      <c r="J136" s="9">
        <v>0</v>
      </c>
      <c r="K136" s="21">
        <f t="shared" si="232"/>
        <v>0</v>
      </c>
      <c r="L136" s="241"/>
      <c r="M136" s="21"/>
      <c r="N136" s="42"/>
      <c r="O136" s="19"/>
      <c r="P136" s="19"/>
      <c r="Q136" s="328"/>
      <c r="R136" s="328"/>
      <c r="S136" s="328"/>
      <c r="T136" s="124"/>
      <c r="U136" s="124"/>
      <c r="V136" s="124"/>
      <c r="W136" s="124"/>
      <c r="X136" s="124"/>
      <c r="Y136" s="124"/>
      <c r="Z136" s="124"/>
      <c r="AA136" s="124"/>
      <c r="AB136" s="124"/>
      <c r="AC136" s="124"/>
      <c r="AD136" s="124"/>
      <c r="AE136" s="124"/>
      <c r="AF136" s="124"/>
      <c r="AG136" s="124"/>
      <c r="AH136" s="124"/>
      <c r="AI136" s="129" t="e">
        <f>#REF!-CA136</f>
        <v>#REF!</v>
      </c>
      <c r="AJ136" s="129" t="e">
        <f t="shared" si="233"/>
        <v>#REF!</v>
      </c>
      <c r="AK136" s="129" t="e">
        <f t="shared" si="234"/>
        <v>#REF!</v>
      </c>
      <c r="AL136" s="252" t="e">
        <f t="shared" si="235"/>
        <v>#REF!</v>
      </c>
      <c r="AM136" s="129" t="e">
        <f t="shared" si="236"/>
        <v>#REF!</v>
      </c>
      <c r="AN136" s="252" t="e">
        <f t="shared" si="237"/>
        <v>#REF!</v>
      </c>
      <c r="AO136" s="252" t="e">
        <f t="shared" si="238"/>
        <v>#REF!</v>
      </c>
      <c r="AP136" s="252" t="e">
        <f t="shared" si="239"/>
        <v>#REF!</v>
      </c>
      <c r="AQ136" s="252" t="e">
        <f t="shared" si="240"/>
        <v>#REF!</v>
      </c>
      <c r="AR136" s="198"/>
      <c r="AS136" s="81">
        <f>$H$136*月別販売比率!AG5</f>
        <v>5.3863979848866492</v>
      </c>
      <c r="AT136" s="21"/>
      <c r="AU136" s="81">
        <f>$H$136*月別販売比率!AL5</f>
        <v>4.8477581863979839</v>
      </c>
      <c r="AV136" s="21"/>
      <c r="AW136" s="81">
        <f>$H$136*月別販売比率!AQ5</f>
        <v>5.3863979848866492</v>
      </c>
      <c r="AX136" s="21"/>
      <c r="AY136" s="81">
        <f>$H$136*月別販売比率!AV5</f>
        <v>3.280013414815274</v>
      </c>
      <c r="AZ136" s="21"/>
      <c r="BA136" s="81">
        <f>$H$136*月別販売比率!BA5</f>
        <v>2.9960826527877353</v>
      </c>
      <c r="BB136" s="21"/>
      <c r="BC136" s="81">
        <f>$H$136*月別販売比率!BF5</f>
        <v>4.3091183879093196</v>
      </c>
      <c r="BD136" s="21"/>
      <c r="BE136" s="81">
        <f>$H$136*月別販売比率!C21</f>
        <v>3.8170305941086315</v>
      </c>
      <c r="BF136" s="21"/>
      <c r="BG136" s="81">
        <f>$H$136*月別販売比率!H21</f>
        <v>3.7704785894206547</v>
      </c>
      <c r="BH136" s="21"/>
      <c r="BI136" s="81">
        <f>$H$136*月別販売比率!M21</f>
        <v>5.4436925144086068</v>
      </c>
      <c r="BJ136" s="21"/>
      <c r="BK136" s="81">
        <f>$H$136*月別販売比率!R21</f>
        <v>4.3091183879093196</v>
      </c>
      <c r="BL136" s="21"/>
      <c r="BM136" s="81">
        <f>$H$136*月別販売比率!W21</f>
        <v>4.102642688925398</v>
      </c>
      <c r="BN136" s="21"/>
      <c r="BO136" s="81">
        <f>$H$136*月別販売比率!AB21</f>
        <v>6.4636775818639789</v>
      </c>
      <c r="BP136" s="21"/>
      <c r="BQ136" s="81">
        <f>$H$136*月別販売比率!AG21</f>
        <v>5.3863979848866492</v>
      </c>
      <c r="BR136" s="21"/>
      <c r="BS136" s="81">
        <f>$H$136*月別販売比率!AL21</f>
        <v>4.8477581863979839</v>
      </c>
      <c r="BT136" s="21"/>
      <c r="BU136" s="81">
        <f>$H$136*月別販売比率!AQ21</f>
        <v>5.3863979848866492</v>
      </c>
      <c r="BV136" s="21"/>
      <c r="BW136" s="81">
        <f>$H$136*月別販売比率!AV21</f>
        <v>3.280013414815274</v>
      </c>
      <c r="BX136" s="21"/>
      <c r="BY136" s="81">
        <f>$H$136*月別販売比率!BA21</f>
        <v>2.9960826527877353</v>
      </c>
      <c r="BZ136" s="21"/>
      <c r="CA136" s="81">
        <f>$H$136*月別販売比率!BF21</f>
        <v>4.3091183879093196</v>
      </c>
      <c r="CB136" s="21"/>
      <c r="CC136" s="81">
        <f>H136*月別販売比率!$C$21</f>
        <v>3.8170305941086315</v>
      </c>
      <c r="CD136" s="21"/>
      <c r="CE136" s="81">
        <f>$H$136*月別販売比率!BJ21</f>
        <v>0</v>
      </c>
      <c r="CF136" s="21"/>
      <c r="CG136" s="81">
        <f>$H$136*月別販売比率!BL21</f>
        <v>0</v>
      </c>
      <c r="CH136" s="21"/>
      <c r="CI136" s="81">
        <f>H136*月別販売比率!$R$21</f>
        <v>4.3091183879093196</v>
      </c>
      <c r="CJ136" s="21"/>
      <c r="CK136" s="81">
        <f>$H$136*月別販売比率!BP21</f>
        <v>0</v>
      </c>
      <c r="CL136" s="21"/>
      <c r="CM136" s="81">
        <f>L136*月別販売比率!$R$21</f>
        <v>0</v>
      </c>
      <c r="CN136" s="21"/>
      <c r="CO136" s="81">
        <f>$H$136*月別販売比率!BT21</f>
        <v>0</v>
      </c>
      <c r="CP136" s="21"/>
      <c r="CQ136" s="81">
        <f>P136*月別販売比率!$R$21</f>
        <v>0</v>
      </c>
      <c r="CR136" s="21"/>
      <c r="CS136" s="81">
        <f>$H$136*月別販売比率!BX21</f>
        <v>0</v>
      </c>
      <c r="CT136" s="21"/>
      <c r="CU136" s="81">
        <v>3.280013414815274</v>
      </c>
      <c r="CV136" s="21"/>
      <c r="CW136" s="81">
        <f>$H$136*月別販売比率!BY21</f>
        <v>0</v>
      </c>
      <c r="CX136" s="21"/>
      <c r="CY136" s="81">
        <f>$H$136*月別販売比率!CA21</f>
        <v>0</v>
      </c>
      <c r="CZ136" s="21"/>
      <c r="DA136" s="28"/>
      <c r="DB136" s="294"/>
    </row>
    <row r="137" spans="2:106" ht="30.75" hidden="1" customHeight="1">
      <c r="C137" s="474"/>
      <c r="D137" s="441"/>
      <c r="E137" s="94" t="s">
        <v>51</v>
      </c>
      <c r="F137" s="57">
        <v>48</v>
      </c>
      <c r="G137" s="5">
        <f t="shared" si="241"/>
        <v>174240</v>
      </c>
      <c r="H137" s="45">
        <f t="shared" si="242"/>
        <v>53.863979848866492</v>
      </c>
      <c r="I137" s="5">
        <f t="shared" si="241"/>
        <v>195526.24685138537</v>
      </c>
      <c r="J137" s="9">
        <v>0</v>
      </c>
      <c r="K137" s="21">
        <f t="shared" si="232"/>
        <v>0</v>
      </c>
      <c r="L137" s="241"/>
      <c r="M137" s="21"/>
      <c r="N137" s="42"/>
      <c r="O137" s="19"/>
      <c r="P137" s="19"/>
      <c r="Q137" s="328"/>
      <c r="R137" s="328"/>
      <c r="S137" s="328"/>
      <c r="T137" s="124"/>
      <c r="U137" s="124"/>
      <c r="V137" s="124"/>
      <c r="W137" s="124"/>
      <c r="X137" s="124"/>
      <c r="Y137" s="124"/>
      <c r="Z137" s="124"/>
      <c r="AA137" s="124"/>
      <c r="AB137" s="124"/>
      <c r="AC137" s="124"/>
      <c r="AD137" s="124"/>
      <c r="AE137" s="124"/>
      <c r="AF137" s="124"/>
      <c r="AG137" s="124"/>
      <c r="AH137" s="124"/>
      <c r="AI137" s="129" t="e">
        <f>#REF!-CA137</f>
        <v>#REF!</v>
      </c>
      <c r="AJ137" s="129" t="e">
        <f t="shared" si="233"/>
        <v>#REF!</v>
      </c>
      <c r="AK137" s="129" t="e">
        <f t="shared" si="234"/>
        <v>#REF!</v>
      </c>
      <c r="AL137" s="252" t="e">
        <f t="shared" si="235"/>
        <v>#REF!</v>
      </c>
      <c r="AM137" s="129" t="e">
        <f t="shared" si="236"/>
        <v>#REF!</v>
      </c>
      <c r="AN137" s="252" t="e">
        <f t="shared" si="237"/>
        <v>#REF!</v>
      </c>
      <c r="AO137" s="252" t="e">
        <f t="shared" si="238"/>
        <v>#REF!</v>
      </c>
      <c r="AP137" s="252" t="e">
        <f t="shared" si="239"/>
        <v>#REF!</v>
      </c>
      <c r="AQ137" s="252" t="e">
        <f t="shared" si="240"/>
        <v>#REF!</v>
      </c>
      <c r="AR137" s="198"/>
      <c r="AS137" s="81">
        <f>$H$137*月別販売比率!AG5</f>
        <v>5.3863979848866492</v>
      </c>
      <c r="AT137" s="21"/>
      <c r="AU137" s="81">
        <f>$H$137*月別販売比率!AL5</f>
        <v>4.8477581863979839</v>
      </c>
      <c r="AV137" s="21"/>
      <c r="AW137" s="81">
        <f>$H$137*月別販売比率!AQ5</f>
        <v>5.3863979848866492</v>
      </c>
      <c r="AX137" s="21"/>
      <c r="AY137" s="81">
        <f>$H$137*月別販売比率!AV5</f>
        <v>3.280013414815274</v>
      </c>
      <c r="AZ137" s="21"/>
      <c r="BA137" s="81">
        <f>$H$137*月別販売比率!BA5</f>
        <v>2.9960826527877353</v>
      </c>
      <c r="BB137" s="21"/>
      <c r="BC137" s="81">
        <f>$H$137*月別販売比率!BF5</f>
        <v>4.3091183879093196</v>
      </c>
      <c r="BD137" s="21"/>
      <c r="BE137" s="81">
        <f>$H$137*月別販売比率!C21</f>
        <v>3.8170305941086315</v>
      </c>
      <c r="BF137" s="21"/>
      <c r="BG137" s="81">
        <f>$H$137*月別販売比率!H21</f>
        <v>3.7704785894206547</v>
      </c>
      <c r="BH137" s="21"/>
      <c r="BI137" s="81">
        <f>$H$137*月別販売比率!M21</f>
        <v>5.4436925144086068</v>
      </c>
      <c r="BJ137" s="21"/>
      <c r="BK137" s="81">
        <f>$H$137*月別販売比率!R21</f>
        <v>4.3091183879093196</v>
      </c>
      <c r="BL137" s="21"/>
      <c r="BM137" s="81">
        <f>$H$137*月別販売比率!W21</f>
        <v>4.102642688925398</v>
      </c>
      <c r="BN137" s="21"/>
      <c r="BO137" s="81">
        <f>$H$137*月別販売比率!AB21</f>
        <v>6.4636775818639789</v>
      </c>
      <c r="BP137" s="21"/>
      <c r="BQ137" s="81">
        <f>$H$137*月別販売比率!AG21</f>
        <v>5.3863979848866492</v>
      </c>
      <c r="BR137" s="21"/>
      <c r="BS137" s="81">
        <f>$H$137*月別販売比率!AL21</f>
        <v>4.8477581863979839</v>
      </c>
      <c r="BT137" s="21"/>
      <c r="BU137" s="81">
        <f>$H$137*月別販売比率!AQ21</f>
        <v>5.3863979848866492</v>
      </c>
      <c r="BV137" s="21"/>
      <c r="BW137" s="81">
        <f>$H$137*月別販売比率!AV21</f>
        <v>3.280013414815274</v>
      </c>
      <c r="BX137" s="21"/>
      <c r="BY137" s="81">
        <f>$H$137*月別販売比率!BA21</f>
        <v>2.9960826527877353</v>
      </c>
      <c r="BZ137" s="21"/>
      <c r="CA137" s="81">
        <f>$H$137*月別販売比率!BF21</f>
        <v>4.3091183879093196</v>
      </c>
      <c r="CB137" s="21"/>
      <c r="CC137" s="81">
        <f>H137*月別販売比率!$C$21</f>
        <v>3.8170305941086315</v>
      </c>
      <c r="CD137" s="21"/>
      <c r="CE137" s="81">
        <f>$H$137*月別販売比率!BJ21</f>
        <v>0</v>
      </c>
      <c r="CF137" s="21"/>
      <c r="CG137" s="81">
        <f>$H$137*月別販売比率!BL21</f>
        <v>0</v>
      </c>
      <c r="CH137" s="21"/>
      <c r="CI137" s="81">
        <f>H137*月別販売比率!$R$21</f>
        <v>4.3091183879093196</v>
      </c>
      <c r="CJ137" s="21"/>
      <c r="CK137" s="81">
        <f>$H$137*月別販売比率!BP21</f>
        <v>0</v>
      </c>
      <c r="CL137" s="21"/>
      <c r="CM137" s="81">
        <f>L137*月別販売比率!$R$21</f>
        <v>0</v>
      </c>
      <c r="CN137" s="21"/>
      <c r="CO137" s="81">
        <f>$H$137*月別販売比率!BT21</f>
        <v>0</v>
      </c>
      <c r="CP137" s="21"/>
      <c r="CQ137" s="81">
        <f>P137*月別販売比率!$R$21</f>
        <v>0</v>
      </c>
      <c r="CR137" s="21"/>
      <c r="CS137" s="81">
        <f>$H$137*月別販売比率!BX21</f>
        <v>0</v>
      </c>
      <c r="CT137" s="21"/>
      <c r="CU137" s="81">
        <v>3.280013414815274</v>
      </c>
      <c r="CV137" s="21"/>
      <c r="CW137" s="81">
        <f>$H$137*月別販売比率!BY21</f>
        <v>0</v>
      </c>
      <c r="CX137" s="21"/>
      <c r="CY137" s="81">
        <f>$H$137*月別販売比率!CA21</f>
        <v>0</v>
      </c>
      <c r="CZ137" s="21"/>
      <c r="DA137" s="28"/>
      <c r="DB137" s="294"/>
    </row>
    <row r="138" spans="2:106" ht="30.75" hidden="1" customHeight="1">
      <c r="C138" s="474"/>
      <c r="D138" s="441"/>
      <c r="E138" s="94" t="s">
        <v>49</v>
      </c>
      <c r="F138" s="57">
        <v>56</v>
      </c>
      <c r="G138" s="5">
        <f t="shared" si="241"/>
        <v>203280</v>
      </c>
      <c r="H138" s="45">
        <f t="shared" si="242"/>
        <v>62.841309823677577</v>
      </c>
      <c r="I138" s="5">
        <f t="shared" si="241"/>
        <v>228113.95465994961</v>
      </c>
      <c r="J138" s="9">
        <v>0</v>
      </c>
      <c r="K138" s="21">
        <f t="shared" si="232"/>
        <v>0</v>
      </c>
      <c r="L138" s="241"/>
      <c r="M138" s="21"/>
      <c r="N138" s="42"/>
      <c r="O138" s="19"/>
      <c r="P138" s="19"/>
      <c r="Q138" s="328"/>
      <c r="R138" s="124"/>
      <c r="S138" s="124"/>
      <c r="T138" s="124"/>
      <c r="U138" s="124"/>
      <c r="V138" s="124"/>
      <c r="W138" s="124"/>
      <c r="X138" s="124"/>
      <c r="Y138" s="124"/>
      <c r="Z138" s="124"/>
      <c r="AA138" s="124"/>
      <c r="AB138" s="124"/>
      <c r="AC138" s="124"/>
      <c r="AD138" s="124"/>
      <c r="AE138" s="124"/>
      <c r="AF138" s="124"/>
      <c r="AG138" s="124"/>
      <c r="AH138" s="124"/>
      <c r="AI138" s="129" t="e">
        <f>#REF!-CA138</f>
        <v>#REF!</v>
      </c>
      <c r="AJ138" s="129" t="e">
        <f t="shared" si="233"/>
        <v>#REF!</v>
      </c>
      <c r="AK138" s="129" t="e">
        <f t="shared" si="234"/>
        <v>#REF!</v>
      </c>
      <c r="AL138" s="252" t="e">
        <f t="shared" si="235"/>
        <v>#REF!</v>
      </c>
      <c r="AM138" s="129" t="e">
        <f t="shared" si="236"/>
        <v>#REF!</v>
      </c>
      <c r="AN138" s="252" t="e">
        <f t="shared" si="237"/>
        <v>#REF!</v>
      </c>
      <c r="AO138" s="252" t="e">
        <f t="shared" si="238"/>
        <v>#REF!</v>
      </c>
      <c r="AP138" s="252" t="e">
        <f t="shared" si="239"/>
        <v>#REF!</v>
      </c>
      <c r="AQ138" s="252" t="e">
        <f t="shared" si="240"/>
        <v>#REF!</v>
      </c>
      <c r="AR138" s="198"/>
      <c r="AS138" s="81">
        <f>$H$138*月別販売比率!AG5</f>
        <v>6.284130982367758</v>
      </c>
      <c r="AT138" s="21"/>
      <c r="AU138" s="81">
        <f>$H$138*月別販売比率!AL5</f>
        <v>5.6557178841309819</v>
      </c>
      <c r="AV138" s="21"/>
      <c r="AW138" s="81">
        <f>$H$138*月別販売比率!AQ5</f>
        <v>6.284130982367758</v>
      </c>
      <c r="AX138" s="21"/>
      <c r="AY138" s="81">
        <f>$H$138*月別販売比率!AV5</f>
        <v>3.8266823172844866</v>
      </c>
      <c r="AZ138" s="21"/>
      <c r="BA138" s="81">
        <f>$H$138*月別販売比率!BA5</f>
        <v>3.4954297615856915</v>
      </c>
      <c r="BB138" s="21"/>
      <c r="BC138" s="81">
        <f>$H$138*月別販売比率!BF5</f>
        <v>5.0273047858942066</v>
      </c>
      <c r="BD138" s="21"/>
      <c r="BE138" s="81">
        <f>$H$138*月別販売比率!C21</f>
        <v>4.4532023597934032</v>
      </c>
      <c r="BF138" s="21"/>
      <c r="BG138" s="81">
        <f>$H$138*月別販売比率!H21</f>
        <v>4.3988916876574304</v>
      </c>
      <c r="BH138" s="21"/>
      <c r="BI138" s="81">
        <f>$H$138*月別販売比率!M21</f>
        <v>6.3509746001433749</v>
      </c>
      <c r="BJ138" s="21"/>
      <c r="BK138" s="81">
        <f>$H$138*月別販売比率!R21</f>
        <v>5.0273047858942066</v>
      </c>
      <c r="BL138" s="21"/>
      <c r="BM138" s="81">
        <f>$H$138*月別販売比率!W21</f>
        <v>4.7864164704129637</v>
      </c>
      <c r="BN138" s="21"/>
      <c r="BO138" s="81">
        <f>$H$138*月別販売比率!AB21</f>
        <v>7.5409571788413086</v>
      </c>
      <c r="BP138" s="21"/>
      <c r="BQ138" s="81">
        <f>$H$138*月別販売比率!AG21</f>
        <v>6.284130982367758</v>
      </c>
      <c r="BR138" s="21"/>
      <c r="BS138" s="81">
        <f>$H$138*月別販売比率!AL21</f>
        <v>5.6557178841309819</v>
      </c>
      <c r="BT138" s="21"/>
      <c r="BU138" s="81">
        <f>$H$138*月別販売比率!AQ21</f>
        <v>6.284130982367758</v>
      </c>
      <c r="BV138" s="21"/>
      <c r="BW138" s="81">
        <f>$H$138*月別販売比率!AV21</f>
        <v>3.8266823172844866</v>
      </c>
      <c r="BX138" s="21"/>
      <c r="BY138" s="81">
        <f>$H$138*月別販売比率!BA21</f>
        <v>3.4954297615856915</v>
      </c>
      <c r="BZ138" s="21"/>
      <c r="CA138" s="81">
        <f>$H$138*月別販売比率!BF21</f>
        <v>5.0273047858942066</v>
      </c>
      <c r="CB138" s="21"/>
      <c r="CC138" s="81">
        <f>H138*月別販売比率!$C$21</f>
        <v>4.4532023597934032</v>
      </c>
      <c r="CD138" s="21"/>
      <c r="CE138" s="81">
        <f>$H$138*月別販売比率!BJ21</f>
        <v>0</v>
      </c>
      <c r="CF138" s="21"/>
      <c r="CG138" s="81">
        <f>$H$138*月別販売比率!BL21</f>
        <v>0</v>
      </c>
      <c r="CH138" s="21"/>
      <c r="CI138" s="81">
        <f>H138*月別販売比率!$R$21</f>
        <v>5.0273047858942066</v>
      </c>
      <c r="CJ138" s="21"/>
      <c r="CK138" s="81">
        <f>$H$138*月別販売比率!BP21</f>
        <v>0</v>
      </c>
      <c r="CL138" s="21"/>
      <c r="CM138" s="81">
        <f>L138*月別販売比率!$R$21</f>
        <v>0</v>
      </c>
      <c r="CN138" s="21"/>
      <c r="CO138" s="81">
        <f>$H$138*月別販売比率!BT21</f>
        <v>0</v>
      </c>
      <c r="CP138" s="21"/>
      <c r="CQ138" s="81">
        <f>P138*月別販売比率!$R$21</f>
        <v>0</v>
      </c>
      <c r="CR138" s="21"/>
      <c r="CS138" s="81">
        <f>$H$138*月別販売比率!BX21</f>
        <v>0</v>
      </c>
      <c r="CT138" s="21"/>
      <c r="CU138" s="81">
        <v>3.8266823172844866</v>
      </c>
      <c r="CV138" s="21"/>
      <c r="CW138" s="81">
        <f>$H$138*月別販売比率!BY21</f>
        <v>0</v>
      </c>
      <c r="CX138" s="21"/>
      <c r="CY138" s="81">
        <f>$H$138*月別販売比率!CA21</f>
        <v>0</v>
      </c>
      <c r="CZ138" s="21"/>
      <c r="DA138" s="28"/>
      <c r="DB138" s="294"/>
    </row>
    <row r="139" spans="2:106" ht="30.75" hidden="1" customHeight="1">
      <c r="C139" s="474"/>
      <c r="D139" s="442"/>
      <c r="E139" s="94" t="s">
        <v>50</v>
      </c>
      <c r="F139" s="57">
        <v>25</v>
      </c>
      <c r="G139" s="5">
        <f t="shared" si="241"/>
        <v>90750</v>
      </c>
      <c r="H139" s="45">
        <f t="shared" si="242"/>
        <v>28.054156171284632</v>
      </c>
      <c r="I139" s="5">
        <f t="shared" si="241"/>
        <v>101836.58690176321</v>
      </c>
      <c r="J139" s="9">
        <v>0</v>
      </c>
      <c r="K139" s="21">
        <f t="shared" si="232"/>
        <v>0</v>
      </c>
      <c r="L139" s="241"/>
      <c r="M139" s="21"/>
      <c r="N139" s="42"/>
      <c r="O139" s="19"/>
      <c r="P139" s="19"/>
      <c r="Q139" s="328"/>
      <c r="R139" s="124"/>
      <c r="S139" s="124"/>
      <c r="T139" s="124"/>
      <c r="U139" s="124"/>
      <c r="V139" s="124"/>
      <c r="W139" s="124"/>
      <c r="X139" s="124"/>
      <c r="Y139" s="124"/>
      <c r="Z139" s="124"/>
      <c r="AA139" s="124"/>
      <c r="AB139" s="124"/>
      <c r="AC139" s="124"/>
      <c r="AD139" s="124"/>
      <c r="AE139" s="124"/>
      <c r="AF139" s="124"/>
      <c r="AG139" s="124"/>
      <c r="AH139" s="124"/>
      <c r="AI139" s="129" t="e">
        <f>#REF!-CA139</f>
        <v>#REF!</v>
      </c>
      <c r="AJ139" s="129" t="e">
        <f t="shared" si="233"/>
        <v>#REF!</v>
      </c>
      <c r="AK139" s="129" t="e">
        <f t="shared" si="234"/>
        <v>#REF!</v>
      </c>
      <c r="AL139" s="252" t="e">
        <f t="shared" si="235"/>
        <v>#REF!</v>
      </c>
      <c r="AM139" s="129" t="e">
        <f t="shared" si="236"/>
        <v>#REF!</v>
      </c>
      <c r="AN139" s="252" t="e">
        <f t="shared" si="237"/>
        <v>#REF!</v>
      </c>
      <c r="AO139" s="252" t="e">
        <f t="shared" si="238"/>
        <v>#REF!</v>
      </c>
      <c r="AP139" s="252" t="e">
        <f t="shared" si="239"/>
        <v>#REF!</v>
      </c>
      <c r="AQ139" s="252" t="e">
        <f t="shared" si="240"/>
        <v>#REF!</v>
      </c>
      <c r="AR139" s="198"/>
      <c r="AS139" s="81">
        <f>$H$139*月別販売比率!AG5</f>
        <v>2.8054156171284634</v>
      </c>
      <c r="AT139" s="21"/>
      <c r="AU139" s="81">
        <f>$H$139*月別販売比率!AL5</f>
        <v>2.5248740554156166</v>
      </c>
      <c r="AV139" s="21"/>
      <c r="AW139" s="81">
        <f>$H$139*月別販売比率!AQ5</f>
        <v>2.8054156171284634</v>
      </c>
      <c r="AX139" s="21"/>
      <c r="AY139" s="81">
        <f>$H$139*月別販売比率!AV5</f>
        <v>1.7083403202162886</v>
      </c>
      <c r="AZ139" s="21"/>
      <c r="BA139" s="81">
        <f>$H$139*月別販売比率!BA5</f>
        <v>1.5604597149936121</v>
      </c>
      <c r="BB139" s="21"/>
      <c r="BC139" s="81">
        <f>$H$139*月別販売比率!BF5</f>
        <v>2.2443324937027707</v>
      </c>
      <c r="BD139" s="21"/>
      <c r="BE139" s="81">
        <f>$H$139*月別販売比率!C21</f>
        <v>1.9880367677649122</v>
      </c>
      <c r="BF139" s="21"/>
      <c r="BG139" s="81">
        <f>$H$139*月別販売比率!H21</f>
        <v>1.9637909319899245</v>
      </c>
      <c r="BH139" s="21"/>
      <c r="BI139" s="81">
        <f>$H$139*月別販売比率!M21</f>
        <v>2.8352565179211493</v>
      </c>
      <c r="BJ139" s="21"/>
      <c r="BK139" s="81">
        <f>$H$139*月別販売比率!R21</f>
        <v>2.2443324937027707</v>
      </c>
      <c r="BL139" s="21"/>
      <c r="BM139" s="81">
        <f>$H$139*月別販売比率!W21</f>
        <v>2.1367930671486444</v>
      </c>
      <c r="BN139" s="21"/>
      <c r="BO139" s="81">
        <f>$H$139*月別販売比率!AB21</f>
        <v>3.3664987405541558</v>
      </c>
      <c r="BP139" s="21"/>
      <c r="BQ139" s="81">
        <f>$H$139*月別販売比率!AG21</f>
        <v>2.8054156171284634</v>
      </c>
      <c r="BR139" s="21"/>
      <c r="BS139" s="81">
        <f>$H$139*月別販売比率!AL21</f>
        <v>2.5248740554156166</v>
      </c>
      <c r="BT139" s="21"/>
      <c r="BU139" s="81">
        <f>$H$139*月別販売比率!AQ21</f>
        <v>2.8054156171284634</v>
      </c>
      <c r="BV139" s="21"/>
      <c r="BW139" s="81">
        <f>$H$139*月別販売比率!AV21</f>
        <v>1.7083403202162886</v>
      </c>
      <c r="BX139" s="21"/>
      <c r="BY139" s="81">
        <f>$H$139*月別販売比率!BA21</f>
        <v>1.5604597149936121</v>
      </c>
      <c r="BZ139" s="21"/>
      <c r="CA139" s="81">
        <f>$H$139*月別販売比率!BF21</f>
        <v>2.2443324937027707</v>
      </c>
      <c r="CB139" s="21"/>
      <c r="CC139" s="81">
        <f>H139*月別販売比率!$C$21</f>
        <v>1.9880367677649122</v>
      </c>
      <c r="CD139" s="21"/>
      <c r="CE139" s="81">
        <f>$H$139*月別販売比率!BJ21</f>
        <v>0</v>
      </c>
      <c r="CF139" s="21"/>
      <c r="CG139" s="81">
        <f>$H$139*月別販売比率!BL21</f>
        <v>0</v>
      </c>
      <c r="CH139" s="21"/>
      <c r="CI139" s="81">
        <f>H139*月別販売比率!$R$21</f>
        <v>2.2443324937027707</v>
      </c>
      <c r="CJ139" s="21"/>
      <c r="CK139" s="81">
        <f>$H$139*月別販売比率!BP21</f>
        <v>0</v>
      </c>
      <c r="CL139" s="21"/>
      <c r="CM139" s="81">
        <f>L139*月別販売比率!$R$21</f>
        <v>0</v>
      </c>
      <c r="CN139" s="21"/>
      <c r="CO139" s="81">
        <f>$H$139*月別販売比率!BT21</f>
        <v>0</v>
      </c>
      <c r="CP139" s="21"/>
      <c r="CQ139" s="81">
        <f>P139*月別販売比率!$R$21</f>
        <v>0</v>
      </c>
      <c r="CR139" s="21"/>
      <c r="CS139" s="81">
        <f>$H$139*月別販売比率!BX21</f>
        <v>0</v>
      </c>
      <c r="CT139" s="21"/>
      <c r="CU139" s="81">
        <v>1.7083403202162886</v>
      </c>
      <c r="CV139" s="21"/>
      <c r="CW139" s="81">
        <f>$H$139*月別販売比率!BY21</f>
        <v>0</v>
      </c>
      <c r="CX139" s="21"/>
      <c r="CY139" s="81">
        <f>$H$139*月別販売比率!CA21</f>
        <v>0</v>
      </c>
      <c r="CZ139" s="21"/>
      <c r="DA139" s="28"/>
      <c r="DB139" s="294"/>
    </row>
    <row r="140" spans="2:106" ht="30.75" hidden="1" customHeight="1">
      <c r="C140" s="474"/>
      <c r="D140" s="441">
        <v>3</v>
      </c>
      <c r="E140" s="94" t="s">
        <v>47</v>
      </c>
      <c r="F140" s="57">
        <v>60</v>
      </c>
      <c r="G140" s="5">
        <f t="shared" si="241"/>
        <v>217800</v>
      </c>
      <c r="H140" s="56">
        <f t="shared" si="242"/>
        <v>67.329974811083119</v>
      </c>
      <c r="I140" s="5">
        <f t="shared" si="241"/>
        <v>244407.80856423173</v>
      </c>
      <c r="J140" s="9">
        <v>0</v>
      </c>
      <c r="K140" s="21">
        <f t="shared" si="232"/>
        <v>0</v>
      </c>
      <c r="L140" s="241"/>
      <c r="M140" s="21"/>
      <c r="N140" s="42"/>
      <c r="O140" s="19"/>
      <c r="P140" s="19"/>
      <c r="Q140" s="124"/>
      <c r="R140" s="124"/>
      <c r="S140" s="124"/>
      <c r="T140" s="124"/>
      <c r="U140" s="124"/>
      <c r="V140" s="124"/>
      <c r="W140" s="124"/>
      <c r="X140" s="124"/>
      <c r="Y140" s="124"/>
      <c r="Z140" s="124"/>
      <c r="AA140" s="124"/>
      <c r="AB140" s="124"/>
      <c r="AC140" s="124"/>
      <c r="AD140" s="124"/>
      <c r="AE140" s="124"/>
      <c r="AF140" s="124"/>
      <c r="AG140" s="124"/>
      <c r="AH140" s="124"/>
      <c r="AI140" s="129" t="e">
        <f>#REF!-CA140</f>
        <v>#REF!</v>
      </c>
      <c r="AJ140" s="129" t="e">
        <f t="shared" si="233"/>
        <v>#REF!</v>
      </c>
      <c r="AK140" s="129" t="e">
        <f t="shared" si="234"/>
        <v>#REF!</v>
      </c>
      <c r="AL140" s="252" t="e">
        <f t="shared" si="235"/>
        <v>#REF!</v>
      </c>
      <c r="AM140" s="129" t="e">
        <f t="shared" si="236"/>
        <v>#REF!</v>
      </c>
      <c r="AN140" s="252" t="e">
        <f t="shared" si="237"/>
        <v>#REF!</v>
      </c>
      <c r="AO140" s="252" t="e">
        <f t="shared" si="238"/>
        <v>#REF!</v>
      </c>
      <c r="AP140" s="252" t="e">
        <f t="shared" si="239"/>
        <v>#REF!</v>
      </c>
      <c r="AQ140" s="252" t="e">
        <f t="shared" si="240"/>
        <v>#REF!</v>
      </c>
      <c r="AR140" s="198"/>
      <c r="AS140" s="81">
        <f>$H$140*月別販売比率!AG5</f>
        <v>6.7329974811083124</v>
      </c>
      <c r="AT140" s="21"/>
      <c r="AU140" s="81">
        <f>$H$140*月別販売比率!AL5</f>
        <v>6.0596977329974804</v>
      </c>
      <c r="AV140" s="21"/>
      <c r="AW140" s="81">
        <f>$H$140*月別販売比率!AQ5</f>
        <v>6.7329974811083124</v>
      </c>
      <c r="AX140" s="21"/>
      <c r="AY140" s="81">
        <f>$H$140*月別販売比率!AV5</f>
        <v>4.1000167685190929</v>
      </c>
      <c r="AZ140" s="21"/>
      <c r="BA140" s="81">
        <f>$H$140*月別販売比率!BA5</f>
        <v>3.7451033159846694</v>
      </c>
      <c r="BB140" s="21"/>
      <c r="BC140" s="81">
        <f>$H$140*月別販売比率!BF5</f>
        <v>5.3863979848866492</v>
      </c>
      <c r="BD140" s="21"/>
      <c r="BE140" s="81">
        <f>$H$140*月別販売比率!C21</f>
        <v>4.7712882426357899</v>
      </c>
      <c r="BF140" s="21"/>
      <c r="BG140" s="81">
        <f>$H$140*月別販売比率!H21</f>
        <v>4.713098236775819</v>
      </c>
      <c r="BH140" s="21"/>
      <c r="BI140" s="81">
        <f>$H$140*月別販売比率!M21</f>
        <v>6.8046156430107585</v>
      </c>
      <c r="BJ140" s="21"/>
      <c r="BK140" s="81">
        <f>$H$140*月別販売比率!R21</f>
        <v>5.3863979848866492</v>
      </c>
      <c r="BL140" s="21"/>
      <c r="BM140" s="81">
        <f>$H$140*月別販売比率!W21</f>
        <v>5.128303361156747</v>
      </c>
      <c r="BN140" s="21"/>
      <c r="BO140" s="81">
        <f>$H$140*月別販売比率!AB21</f>
        <v>8.0795969773299738</v>
      </c>
      <c r="BP140" s="21"/>
      <c r="BQ140" s="81">
        <f>$H$140*月別販売比率!AG21</f>
        <v>6.7329974811083124</v>
      </c>
      <c r="BR140" s="21"/>
      <c r="BS140" s="81">
        <f>$H$140*月別販売比率!AL21</f>
        <v>6.0596977329974804</v>
      </c>
      <c r="BT140" s="21"/>
      <c r="BU140" s="81">
        <f>$H$140*月別販売比率!AQ21</f>
        <v>6.7329974811083124</v>
      </c>
      <c r="BV140" s="21"/>
      <c r="BW140" s="81">
        <f>$H$140*月別販売比率!AV21</f>
        <v>4.1000167685190929</v>
      </c>
      <c r="BX140" s="21"/>
      <c r="BY140" s="81">
        <f>$H$140*月別販売比率!BA21</f>
        <v>3.7451033159846694</v>
      </c>
      <c r="BZ140" s="21"/>
      <c r="CA140" s="81">
        <f>$H$140*月別販売比率!BF21</f>
        <v>5.3863979848866492</v>
      </c>
      <c r="CB140" s="21"/>
      <c r="CC140" s="81">
        <f>H140*月別販売比率!$C$21</f>
        <v>4.7712882426357899</v>
      </c>
      <c r="CD140" s="21"/>
      <c r="CE140" s="81">
        <f>$H$140*月別販売比率!BJ21</f>
        <v>0</v>
      </c>
      <c r="CF140" s="21"/>
      <c r="CG140" s="81">
        <f>$H$140*月別販売比率!BL21</f>
        <v>0</v>
      </c>
      <c r="CH140" s="21"/>
      <c r="CI140" s="81">
        <f>H140*月別販売比率!$R$21</f>
        <v>5.3863979848866492</v>
      </c>
      <c r="CJ140" s="21"/>
      <c r="CK140" s="81">
        <f>$H$140*月別販売比率!BP21</f>
        <v>0</v>
      </c>
      <c r="CL140" s="21"/>
      <c r="CM140" s="81">
        <f>L140*月別販売比率!$R$21</f>
        <v>0</v>
      </c>
      <c r="CN140" s="21"/>
      <c r="CO140" s="81">
        <f>$H$140*月別販売比率!BT21</f>
        <v>0</v>
      </c>
      <c r="CP140" s="21"/>
      <c r="CQ140" s="81">
        <f>P140*月別販売比率!$R$21</f>
        <v>0</v>
      </c>
      <c r="CR140" s="21"/>
      <c r="CS140" s="81">
        <f>$H$140*月別販売比率!BX21</f>
        <v>0</v>
      </c>
      <c r="CT140" s="21"/>
      <c r="CU140" s="81">
        <v>4.1000167685190929</v>
      </c>
      <c r="CV140" s="21"/>
      <c r="CW140" s="81">
        <f>$H$140*月別販売比率!BY21</f>
        <v>0</v>
      </c>
      <c r="CX140" s="21"/>
      <c r="CY140" s="81">
        <f>$H$140*月別販売比率!CA21</f>
        <v>0</v>
      </c>
      <c r="CZ140" s="21"/>
      <c r="DA140" s="28"/>
      <c r="DB140" s="294"/>
    </row>
    <row r="141" spans="2:106" ht="30.75" hidden="1" customHeight="1">
      <c r="C141" s="474"/>
      <c r="D141" s="441"/>
      <c r="E141" s="94" t="s">
        <v>51</v>
      </c>
      <c r="F141" s="57">
        <v>65</v>
      </c>
      <c r="G141" s="5">
        <f t="shared" si="241"/>
        <v>235950</v>
      </c>
      <c r="H141" s="56">
        <f t="shared" si="242"/>
        <v>72.94080604534004</v>
      </c>
      <c r="I141" s="5">
        <f t="shared" si="241"/>
        <v>264775.12594458432</v>
      </c>
      <c r="J141" s="9">
        <v>0</v>
      </c>
      <c r="K141" s="21">
        <f t="shared" si="232"/>
        <v>0</v>
      </c>
      <c r="L141" s="241"/>
      <c r="M141" s="21"/>
      <c r="N141" s="42"/>
      <c r="O141" s="19"/>
      <c r="P141" s="19"/>
      <c r="Q141" s="124"/>
      <c r="R141" s="124"/>
      <c r="S141" s="124"/>
      <c r="T141" s="124"/>
      <c r="U141" s="124"/>
      <c r="V141" s="124"/>
      <c r="W141" s="124"/>
      <c r="X141" s="124"/>
      <c r="Y141" s="124"/>
      <c r="Z141" s="124"/>
      <c r="AA141" s="124"/>
      <c r="AB141" s="124"/>
      <c r="AC141" s="124"/>
      <c r="AD141" s="124"/>
      <c r="AE141" s="124"/>
      <c r="AF141" s="124"/>
      <c r="AG141" s="124"/>
      <c r="AH141" s="124"/>
      <c r="AI141" s="129" t="e">
        <f>#REF!-CA141</f>
        <v>#REF!</v>
      </c>
      <c r="AJ141" s="129" t="e">
        <f t="shared" si="233"/>
        <v>#REF!</v>
      </c>
      <c r="AK141" s="129" t="e">
        <f t="shared" si="234"/>
        <v>#REF!</v>
      </c>
      <c r="AL141" s="252" t="e">
        <f t="shared" si="235"/>
        <v>#REF!</v>
      </c>
      <c r="AM141" s="129" t="e">
        <f t="shared" si="236"/>
        <v>#REF!</v>
      </c>
      <c r="AN141" s="252" t="e">
        <f t="shared" si="237"/>
        <v>#REF!</v>
      </c>
      <c r="AO141" s="252" t="e">
        <f t="shared" si="238"/>
        <v>#REF!</v>
      </c>
      <c r="AP141" s="252" t="e">
        <f t="shared" si="239"/>
        <v>#REF!</v>
      </c>
      <c r="AQ141" s="252" t="e">
        <f t="shared" si="240"/>
        <v>#REF!</v>
      </c>
      <c r="AR141" s="198"/>
      <c r="AS141" s="81">
        <f>$H$141*月別販売比率!AG5</f>
        <v>7.2940806045340043</v>
      </c>
      <c r="AT141" s="21"/>
      <c r="AU141" s="81">
        <f>$H$141*月別販売比率!AL5</f>
        <v>6.5646725440806035</v>
      </c>
      <c r="AV141" s="21"/>
      <c r="AW141" s="81">
        <f>$H$141*月別販売比率!AQ5</f>
        <v>7.2940806045340043</v>
      </c>
      <c r="AX141" s="21"/>
      <c r="AY141" s="81">
        <f>$H$141*月別販売比率!AV5</f>
        <v>4.4416848325623501</v>
      </c>
      <c r="AZ141" s="21"/>
      <c r="BA141" s="81">
        <f>$H$141*月別販売比率!BA5</f>
        <v>4.0571952589833913</v>
      </c>
      <c r="BB141" s="21"/>
      <c r="BC141" s="81">
        <f>$H$141*月別販売比率!BF5</f>
        <v>5.8352644836272036</v>
      </c>
      <c r="BD141" s="21"/>
      <c r="BE141" s="81">
        <f>$H$141*月別販売比率!C21</f>
        <v>5.1688955961887713</v>
      </c>
      <c r="BF141" s="21"/>
      <c r="BG141" s="81">
        <f>$H$141*月別販売比率!H21</f>
        <v>5.1058564231738028</v>
      </c>
      <c r="BH141" s="21"/>
      <c r="BI141" s="81">
        <f>$H$141*月別販売比率!M21</f>
        <v>7.3716669465949884</v>
      </c>
      <c r="BJ141" s="21"/>
      <c r="BK141" s="81">
        <f>$H$141*月別販売比率!R21</f>
        <v>5.8352644836272036</v>
      </c>
      <c r="BL141" s="21"/>
      <c r="BM141" s="81">
        <f>$H$141*月別販売比率!W21</f>
        <v>5.5556619745864753</v>
      </c>
      <c r="BN141" s="21"/>
      <c r="BO141" s="81">
        <f>$H$141*月別販売比率!AB21</f>
        <v>8.7528967254408041</v>
      </c>
      <c r="BP141" s="21"/>
      <c r="BQ141" s="81">
        <f>$H$141*月別販売比率!AG21</f>
        <v>7.2940806045340043</v>
      </c>
      <c r="BR141" s="21"/>
      <c r="BS141" s="81">
        <f>$H$141*月別販売比率!AL21</f>
        <v>6.5646725440806035</v>
      </c>
      <c r="BT141" s="21"/>
      <c r="BU141" s="81">
        <f>$H$141*月別販売比率!AQ21</f>
        <v>7.2940806045340043</v>
      </c>
      <c r="BV141" s="21"/>
      <c r="BW141" s="81">
        <f>$H$141*月別販売比率!AV21</f>
        <v>4.4416848325623501</v>
      </c>
      <c r="BX141" s="21"/>
      <c r="BY141" s="81">
        <f>$H$141*月別販売比率!BA21</f>
        <v>4.0571952589833913</v>
      </c>
      <c r="BZ141" s="21"/>
      <c r="CA141" s="81">
        <f>$H$141*月別販売比率!BF21</f>
        <v>5.8352644836272036</v>
      </c>
      <c r="CB141" s="21"/>
      <c r="CC141" s="81">
        <f>H141*月別販売比率!$C$21</f>
        <v>5.1688955961887713</v>
      </c>
      <c r="CD141" s="21"/>
      <c r="CE141" s="81">
        <f>$H$141*月別販売比率!BJ21</f>
        <v>0</v>
      </c>
      <c r="CF141" s="21"/>
      <c r="CG141" s="81">
        <f>$H$141*月別販売比率!BL21</f>
        <v>0</v>
      </c>
      <c r="CH141" s="21"/>
      <c r="CI141" s="81">
        <f>H141*月別販売比率!$R$21</f>
        <v>5.8352644836272036</v>
      </c>
      <c r="CJ141" s="21"/>
      <c r="CK141" s="81">
        <f>$H$141*月別販売比率!BP21</f>
        <v>0</v>
      </c>
      <c r="CL141" s="21"/>
      <c r="CM141" s="81">
        <f>L141*月別販売比率!$R$21</f>
        <v>0</v>
      </c>
      <c r="CN141" s="21"/>
      <c r="CO141" s="81">
        <f>$H$141*月別販売比率!BT21</f>
        <v>0</v>
      </c>
      <c r="CP141" s="21"/>
      <c r="CQ141" s="81">
        <f>P141*月別販売比率!$R$21</f>
        <v>0</v>
      </c>
      <c r="CR141" s="21"/>
      <c r="CS141" s="81">
        <f>$H$141*月別販売比率!BX21</f>
        <v>0</v>
      </c>
      <c r="CT141" s="21"/>
      <c r="CU141" s="81">
        <v>4.4416848325623501</v>
      </c>
      <c r="CV141" s="21"/>
      <c r="CW141" s="81">
        <f>$H$141*月別販売比率!BY21</f>
        <v>0</v>
      </c>
      <c r="CX141" s="21"/>
      <c r="CY141" s="81">
        <f>$H$141*月別販売比率!CA21</f>
        <v>0</v>
      </c>
      <c r="CZ141" s="21"/>
      <c r="DA141" s="28"/>
      <c r="DB141" s="294"/>
    </row>
    <row r="142" spans="2:106" ht="30.75" hidden="1" customHeight="1">
      <c r="C142" s="474"/>
      <c r="D142" s="441"/>
      <c r="E142" s="94" t="s">
        <v>49</v>
      </c>
      <c r="F142" s="57">
        <v>56</v>
      </c>
      <c r="G142" s="5">
        <f t="shared" si="241"/>
        <v>203280</v>
      </c>
      <c r="H142" s="56">
        <f t="shared" si="242"/>
        <v>62.841309823677577</v>
      </c>
      <c r="I142" s="5">
        <f t="shared" si="241"/>
        <v>228113.95465994961</v>
      </c>
      <c r="J142" s="9">
        <v>0</v>
      </c>
      <c r="K142" s="21">
        <f t="shared" si="232"/>
        <v>0</v>
      </c>
      <c r="L142" s="241"/>
      <c r="M142" s="21"/>
      <c r="N142" s="42"/>
      <c r="O142" s="19"/>
      <c r="P142" s="19"/>
      <c r="Q142" s="124"/>
      <c r="R142" s="124"/>
      <c r="S142" s="124"/>
      <c r="T142" s="124"/>
      <c r="U142" s="124"/>
      <c r="V142" s="124"/>
      <c r="W142" s="124"/>
      <c r="X142" s="124"/>
      <c r="Y142" s="124"/>
      <c r="Z142" s="124"/>
      <c r="AA142" s="124"/>
      <c r="AB142" s="124"/>
      <c r="AC142" s="124"/>
      <c r="AD142" s="124"/>
      <c r="AE142" s="124"/>
      <c r="AF142" s="124"/>
      <c r="AG142" s="124"/>
      <c r="AH142" s="124"/>
      <c r="AI142" s="129" t="e">
        <f>#REF!-CA142</f>
        <v>#REF!</v>
      </c>
      <c r="AJ142" s="129" t="e">
        <f t="shared" si="233"/>
        <v>#REF!</v>
      </c>
      <c r="AK142" s="129" t="e">
        <f t="shared" si="234"/>
        <v>#REF!</v>
      </c>
      <c r="AL142" s="252" t="e">
        <f t="shared" si="235"/>
        <v>#REF!</v>
      </c>
      <c r="AM142" s="129" t="e">
        <f t="shared" si="236"/>
        <v>#REF!</v>
      </c>
      <c r="AN142" s="252" t="e">
        <f t="shared" si="237"/>
        <v>#REF!</v>
      </c>
      <c r="AO142" s="252" t="e">
        <f t="shared" si="238"/>
        <v>#REF!</v>
      </c>
      <c r="AP142" s="252" t="e">
        <f t="shared" si="239"/>
        <v>#REF!</v>
      </c>
      <c r="AQ142" s="252" t="e">
        <f t="shared" si="240"/>
        <v>#REF!</v>
      </c>
      <c r="AR142" s="198"/>
      <c r="AS142" s="81">
        <f>$H$142*月別販売比率!AG5</f>
        <v>6.284130982367758</v>
      </c>
      <c r="AT142" s="21"/>
      <c r="AU142" s="81">
        <f>$H$142*月別販売比率!AL5</f>
        <v>5.6557178841309819</v>
      </c>
      <c r="AV142" s="21"/>
      <c r="AW142" s="81">
        <f>$H$142*月別販売比率!AQ5</f>
        <v>6.284130982367758</v>
      </c>
      <c r="AX142" s="21"/>
      <c r="AY142" s="81">
        <f>$H$142*月別販売比率!AV5</f>
        <v>3.8266823172844866</v>
      </c>
      <c r="AZ142" s="21"/>
      <c r="BA142" s="81">
        <f>$H$142*月別販売比率!BA5</f>
        <v>3.4954297615856915</v>
      </c>
      <c r="BB142" s="21"/>
      <c r="BC142" s="81">
        <f>$H$142*月別販売比率!BF5</f>
        <v>5.0273047858942066</v>
      </c>
      <c r="BD142" s="21"/>
      <c r="BE142" s="81">
        <f>$H$142*月別販売比率!C21</f>
        <v>4.4532023597934032</v>
      </c>
      <c r="BF142" s="21"/>
      <c r="BG142" s="81">
        <f>$H$142*月別販売比率!H21</f>
        <v>4.3988916876574304</v>
      </c>
      <c r="BH142" s="21"/>
      <c r="BI142" s="81">
        <f>$H$142*月別販売比率!M21</f>
        <v>6.3509746001433749</v>
      </c>
      <c r="BJ142" s="21"/>
      <c r="BK142" s="81">
        <f>$H$142*月別販売比率!R21</f>
        <v>5.0273047858942066</v>
      </c>
      <c r="BL142" s="21"/>
      <c r="BM142" s="81">
        <f>$H$142*月別販売比率!W21</f>
        <v>4.7864164704129637</v>
      </c>
      <c r="BN142" s="21"/>
      <c r="BO142" s="81">
        <f>$H$142*月別販売比率!AB21</f>
        <v>7.5409571788413086</v>
      </c>
      <c r="BP142" s="21"/>
      <c r="BQ142" s="81">
        <f>$H$142*月別販売比率!AG21</f>
        <v>6.284130982367758</v>
      </c>
      <c r="BR142" s="21"/>
      <c r="BS142" s="81">
        <f>$H$142*月別販売比率!AL21</f>
        <v>5.6557178841309819</v>
      </c>
      <c r="BT142" s="21"/>
      <c r="BU142" s="81">
        <f>$H$142*月別販売比率!AQ21</f>
        <v>6.284130982367758</v>
      </c>
      <c r="BV142" s="21"/>
      <c r="BW142" s="81">
        <f>$H$142*月別販売比率!AV21</f>
        <v>3.8266823172844866</v>
      </c>
      <c r="BX142" s="21"/>
      <c r="BY142" s="81">
        <f>$H$142*月別販売比率!BA21</f>
        <v>3.4954297615856915</v>
      </c>
      <c r="BZ142" s="21"/>
      <c r="CA142" s="81">
        <f>$H$142*月別販売比率!BF21</f>
        <v>5.0273047858942066</v>
      </c>
      <c r="CB142" s="21"/>
      <c r="CC142" s="81">
        <f>H142*月別販売比率!$C$21</f>
        <v>4.4532023597934032</v>
      </c>
      <c r="CD142" s="21"/>
      <c r="CE142" s="81">
        <f>$H$142*月別販売比率!BJ21</f>
        <v>0</v>
      </c>
      <c r="CF142" s="21"/>
      <c r="CG142" s="81">
        <f>$H$142*月別販売比率!BL21</f>
        <v>0</v>
      </c>
      <c r="CH142" s="21"/>
      <c r="CI142" s="81">
        <f>H142*月別販売比率!$R$21</f>
        <v>5.0273047858942066</v>
      </c>
      <c r="CJ142" s="21"/>
      <c r="CK142" s="81">
        <f>$H$142*月別販売比率!BP21</f>
        <v>0</v>
      </c>
      <c r="CL142" s="21"/>
      <c r="CM142" s="81">
        <f>L142*月別販売比率!$R$21</f>
        <v>0</v>
      </c>
      <c r="CN142" s="21"/>
      <c r="CO142" s="81">
        <f>$H$142*月別販売比率!BT21</f>
        <v>0</v>
      </c>
      <c r="CP142" s="21"/>
      <c r="CQ142" s="81">
        <f>P142*月別販売比率!$R$21</f>
        <v>0</v>
      </c>
      <c r="CR142" s="21"/>
      <c r="CS142" s="81">
        <f>$H$142*月別販売比率!BX21</f>
        <v>0</v>
      </c>
      <c r="CT142" s="21"/>
      <c r="CU142" s="81">
        <v>3.8266823172844866</v>
      </c>
      <c r="CV142" s="21"/>
      <c r="CW142" s="81">
        <f>$H$142*月別販売比率!BY21</f>
        <v>0</v>
      </c>
      <c r="CX142" s="21"/>
      <c r="CY142" s="81">
        <f>$H$142*月別販売比率!CA21</f>
        <v>0</v>
      </c>
      <c r="CZ142" s="21"/>
      <c r="DA142" s="28"/>
      <c r="DB142" s="294"/>
    </row>
    <row r="143" spans="2:106" ht="30.75" hidden="1" customHeight="1">
      <c r="C143" s="474"/>
      <c r="D143" s="442"/>
      <c r="E143" s="94" t="s">
        <v>50</v>
      </c>
      <c r="F143" s="57">
        <v>23</v>
      </c>
      <c r="G143" s="5">
        <f t="shared" si="241"/>
        <v>83490</v>
      </c>
      <c r="H143" s="56">
        <f t="shared" si="242"/>
        <v>25.809823677581864</v>
      </c>
      <c r="I143" s="5">
        <f t="shared" si="241"/>
        <v>93689.659949622161</v>
      </c>
      <c r="J143" s="9">
        <v>0</v>
      </c>
      <c r="K143" s="21">
        <f t="shared" si="232"/>
        <v>0</v>
      </c>
      <c r="L143" s="241"/>
      <c r="M143" s="21"/>
      <c r="N143" s="42"/>
      <c r="O143" s="19"/>
      <c r="P143" s="19"/>
      <c r="Q143" s="124"/>
      <c r="R143" s="124"/>
      <c r="S143" s="124"/>
      <c r="T143" s="124"/>
      <c r="U143" s="124"/>
      <c r="V143" s="124"/>
      <c r="W143" s="124"/>
      <c r="X143" s="124"/>
      <c r="Y143" s="124"/>
      <c r="Z143" s="124"/>
      <c r="AA143" s="124"/>
      <c r="AB143" s="124"/>
      <c r="AC143" s="124"/>
      <c r="AD143" s="124"/>
      <c r="AE143" s="124"/>
      <c r="AF143" s="124"/>
      <c r="AG143" s="124"/>
      <c r="AH143" s="124"/>
      <c r="AI143" s="129" t="e">
        <f>#REF!-CA143</f>
        <v>#REF!</v>
      </c>
      <c r="AJ143" s="129" t="e">
        <f t="shared" si="233"/>
        <v>#REF!</v>
      </c>
      <c r="AK143" s="129" t="e">
        <f t="shared" si="234"/>
        <v>#REF!</v>
      </c>
      <c r="AL143" s="252" t="e">
        <f t="shared" si="235"/>
        <v>#REF!</v>
      </c>
      <c r="AM143" s="129" t="e">
        <f t="shared" si="236"/>
        <v>#REF!</v>
      </c>
      <c r="AN143" s="252" t="e">
        <f t="shared" si="237"/>
        <v>#REF!</v>
      </c>
      <c r="AO143" s="252" t="e">
        <f t="shared" si="238"/>
        <v>#REF!</v>
      </c>
      <c r="AP143" s="252" t="e">
        <f t="shared" si="239"/>
        <v>#REF!</v>
      </c>
      <c r="AQ143" s="252" t="e">
        <f t="shared" si="240"/>
        <v>#REF!</v>
      </c>
      <c r="AR143" s="198"/>
      <c r="AS143" s="81">
        <f>$H$143*月別販売比率!AG5</f>
        <v>2.5809823677581867</v>
      </c>
      <c r="AT143" s="21"/>
      <c r="AU143" s="81">
        <f>$H$143*月別販売比率!AL5</f>
        <v>2.3228841309823678</v>
      </c>
      <c r="AV143" s="21"/>
      <c r="AW143" s="81">
        <f>$H$143*月別販売比率!AQ5</f>
        <v>2.5809823677581867</v>
      </c>
      <c r="AX143" s="21"/>
      <c r="AY143" s="81">
        <f>$H$143*月別販売比率!AV5</f>
        <v>1.5716730945989856</v>
      </c>
      <c r="AZ143" s="21"/>
      <c r="BA143" s="81">
        <f>$H$143*月別販売比率!BA5</f>
        <v>1.4356229377941234</v>
      </c>
      <c r="BB143" s="21"/>
      <c r="BC143" s="81">
        <f>$H$143*月別販売比率!BF5</f>
        <v>2.0647858942065493</v>
      </c>
      <c r="BD143" s="21"/>
      <c r="BE143" s="81">
        <f>$H$143*月別販売比率!C21</f>
        <v>1.8289938263437195</v>
      </c>
      <c r="BF143" s="21"/>
      <c r="BG143" s="81">
        <f>$H$143*月別販売比率!H21</f>
        <v>1.8066876574307307</v>
      </c>
      <c r="BH143" s="21"/>
      <c r="BI143" s="81">
        <f>$H$143*月別販売比率!M21</f>
        <v>2.6084359964874579</v>
      </c>
      <c r="BJ143" s="21"/>
      <c r="BK143" s="81">
        <f>$H$143*月別販売比率!R21</f>
        <v>2.0647858942065493</v>
      </c>
      <c r="BL143" s="21"/>
      <c r="BM143" s="81">
        <f>$H$143*月別販売比率!W21</f>
        <v>1.9658496217767532</v>
      </c>
      <c r="BN143" s="21"/>
      <c r="BO143" s="81">
        <f>$H$143*月別販売比率!AB21</f>
        <v>3.0971788413098236</v>
      </c>
      <c r="BP143" s="21"/>
      <c r="BQ143" s="81">
        <f>$H$143*月別販売比率!AG21</f>
        <v>2.5809823677581867</v>
      </c>
      <c r="BR143" s="21"/>
      <c r="BS143" s="81">
        <f>$H$143*月別販売比率!AL21</f>
        <v>2.3228841309823678</v>
      </c>
      <c r="BT143" s="21"/>
      <c r="BU143" s="81">
        <f>$H$143*月別販売比率!AQ21</f>
        <v>2.5809823677581867</v>
      </c>
      <c r="BV143" s="21"/>
      <c r="BW143" s="81">
        <f>$H$143*月別販売比率!AV21</f>
        <v>1.5716730945989856</v>
      </c>
      <c r="BX143" s="21"/>
      <c r="BY143" s="81">
        <f>$H$143*月別販売比率!BA21</f>
        <v>1.4356229377941234</v>
      </c>
      <c r="BZ143" s="21"/>
      <c r="CA143" s="81">
        <f>$H$143*月別販売比率!BF21</f>
        <v>2.0647858942065493</v>
      </c>
      <c r="CB143" s="21"/>
      <c r="CC143" s="81">
        <f>H143*月別販売比率!$C$21</f>
        <v>1.8289938263437195</v>
      </c>
      <c r="CD143" s="21"/>
      <c r="CE143" s="81">
        <f>$H$143*月別販売比率!BJ21</f>
        <v>0</v>
      </c>
      <c r="CF143" s="21"/>
      <c r="CG143" s="81">
        <f>$H$143*月別販売比率!BL21</f>
        <v>0</v>
      </c>
      <c r="CH143" s="21"/>
      <c r="CI143" s="81">
        <f>H143*月別販売比率!$R$21</f>
        <v>2.0647858942065493</v>
      </c>
      <c r="CJ143" s="21"/>
      <c r="CK143" s="81">
        <f>$H$143*月別販売比率!BP21</f>
        <v>0</v>
      </c>
      <c r="CL143" s="21"/>
      <c r="CM143" s="81">
        <f>L143*月別販売比率!$R$21</f>
        <v>0</v>
      </c>
      <c r="CN143" s="21"/>
      <c r="CO143" s="81">
        <f>$H$143*月別販売比率!BT21</f>
        <v>0</v>
      </c>
      <c r="CP143" s="21"/>
      <c r="CQ143" s="81">
        <f>P143*月別販売比率!$R$21</f>
        <v>0</v>
      </c>
      <c r="CR143" s="21"/>
      <c r="CS143" s="81">
        <f>$H$143*月別販売比率!BX21</f>
        <v>0</v>
      </c>
      <c r="CT143" s="21"/>
      <c r="CU143" s="81">
        <v>1.5716730945989856</v>
      </c>
      <c r="CV143" s="21"/>
      <c r="CW143" s="81">
        <f>$H$143*月別販売比率!BY21</f>
        <v>0</v>
      </c>
      <c r="CX143" s="21"/>
      <c r="CY143" s="81">
        <f>$H$143*月別販売比率!CA21</f>
        <v>0</v>
      </c>
      <c r="CZ143" s="21"/>
      <c r="DA143" s="28"/>
      <c r="DB143" s="294"/>
    </row>
    <row r="144" spans="2:106" ht="30.75" hidden="1" customHeight="1">
      <c r="C144" s="474"/>
      <c r="D144" s="441">
        <v>4</v>
      </c>
      <c r="E144" s="94" t="s">
        <v>47</v>
      </c>
      <c r="F144" s="57">
        <v>42</v>
      </c>
      <c r="G144" s="5">
        <f t="shared" si="241"/>
        <v>152460</v>
      </c>
      <c r="H144" s="56">
        <f t="shared" si="242"/>
        <v>47.130982367758186</v>
      </c>
      <c r="I144" s="5">
        <f t="shared" si="241"/>
        <v>171085.46599496223</v>
      </c>
      <c r="J144" s="9">
        <v>0</v>
      </c>
      <c r="K144" s="21">
        <f t="shared" si="232"/>
        <v>0</v>
      </c>
      <c r="L144" s="241"/>
      <c r="M144" s="21"/>
      <c r="N144" s="42"/>
      <c r="O144" s="19"/>
      <c r="P144" s="19"/>
      <c r="Q144" s="124"/>
      <c r="R144" s="124"/>
      <c r="S144" s="124"/>
      <c r="T144" s="124"/>
      <c r="U144" s="124"/>
      <c r="V144" s="124"/>
      <c r="W144" s="124"/>
      <c r="X144" s="124"/>
      <c r="Y144" s="124"/>
      <c r="Z144" s="124"/>
      <c r="AA144" s="124"/>
      <c r="AB144" s="124"/>
      <c r="AC144" s="124"/>
      <c r="AD144" s="124"/>
      <c r="AE144" s="124"/>
      <c r="AF144" s="124"/>
      <c r="AG144" s="124"/>
      <c r="AH144" s="124"/>
      <c r="AI144" s="129" t="e">
        <f>#REF!-CA144</f>
        <v>#REF!</v>
      </c>
      <c r="AJ144" s="129" t="e">
        <f t="shared" si="233"/>
        <v>#REF!</v>
      </c>
      <c r="AK144" s="129" t="e">
        <f t="shared" si="234"/>
        <v>#REF!</v>
      </c>
      <c r="AL144" s="252" t="e">
        <f t="shared" si="235"/>
        <v>#REF!</v>
      </c>
      <c r="AM144" s="129" t="e">
        <f t="shared" si="236"/>
        <v>#REF!</v>
      </c>
      <c r="AN144" s="252" t="e">
        <f t="shared" si="237"/>
        <v>#REF!</v>
      </c>
      <c r="AO144" s="252" t="e">
        <f t="shared" si="238"/>
        <v>#REF!</v>
      </c>
      <c r="AP144" s="252" t="e">
        <f t="shared" si="239"/>
        <v>#REF!</v>
      </c>
      <c r="AQ144" s="252" t="e">
        <f t="shared" si="240"/>
        <v>#REF!</v>
      </c>
      <c r="AR144" s="198"/>
      <c r="AS144" s="81">
        <f>$H$144*月別販売比率!AG5</f>
        <v>4.713098236775819</v>
      </c>
      <c r="AT144" s="21"/>
      <c r="AU144" s="81">
        <f>$H$144*月別販売比率!AL5</f>
        <v>4.2417884130982362</v>
      </c>
      <c r="AV144" s="21"/>
      <c r="AW144" s="81">
        <f>$H$144*月別販売比率!AQ5</f>
        <v>4.713098236775819</v>
      </c>
      <c r="AX144" s="21"/>
      <c r="AY144" s="81">
        <f>$H$144*月別販売比率!AV5</f>
        <v>2.870011737963365</v>
      </c>
      <c r="AZ144" s="21"/>
      <c r="BA144" s="81">
        <f>$H$144*月別販売比率!BA5</f>
        <v>2.621572321189269</v>
      </c>
      <c r="BB144" s="21"/>
      <c r="BC144" s="81">
        <f>$H$144*月別販売比率!BF5</f>
        <v>3.7704785894206552</v>
      </c>
      <c r="BD144" s="21"/>
      <c r="BE144" s="81">
        <f>$H$144*月別販売比率!C21</f>
        <v>3.3399017698450528</v>
      </c>
      <c r="BF144" s="21"/>
      <c r="BG144" s="81">
        <f>$H$144*月別販売比率!H21</f>
        <v>3.2991687657430733</v>
      </c>
      <c r="BH144" s="21"/>
      <c r="BI144" s="81">
        <f>$H$144*月別販売比率!M21</f>
        <v>4.7632309501075314</v>
      </c>
      <c r="BJ144" s="21"/>
      <c r="BK144" s="81">
        <f>$H$144*月別販売比率!R21</f>
        <v>3.7704785894206552</v>
      </c>
      <c r="BL144" s="21"/>
      <c r="BM144" s="81">
        <f>$H$144*月別販売比率!W21</f>
        <v>3.5898123528097234</v>
      </c>
      <c r="BN144" s="21"/>
      <c r="BO144" s="81">
        <f>$H$144*月別販売比率!AB21</f>
        <v>5.6557178841309819</v>
      </c>
      <c r="BP144" s="21"/>
      <c r="BQ144" s="81">
        <f>$H$144*月別販売比率!AG21</f>
        <v>4.713098236775819</v>
      </c>
      <c r="BR144" s="21"/>
      <c r="BS144" s="81">
        <f>$H$144*月別販売比率!AL21</f>
        <v>4.2417884130982362</v>
      </c>
      <c r="BT144" s="21"/>
      <c r="BU144" s="81">
        <f>$H$144*月別販売比率!AQ21</f>
        <v>4.713098236775819</v>
      </c>
      <c r="BV144" s="21"/>
      <c r="BW144" s="81">
        <f>$H$144*月別販売比率!AV21</f>
        <v>2.870011737963365</v>
      </c>
      <c r="BX144" s="21"/>
      <c r="BY144" s="81">
        <f>$H$144*月別販売比率!BA21</f>
        <v>2.621572321189269</v>
      </c>
      <c r="BZ144" s="21"/>
      <c r="CA144" s="81">
        <f>$H$144*月別販売比率!BF21</f>
        <v>3.7704785894206552</v>
      </c>
      <c r="CB144" s="21"/>
      <c r="CC144" s="81">
        <f>H144*月別販売比率!$C$21</f>
        <v>3.3399017698450528</v>
      </c>
      <c r="CD144" s="21"/>
      <c r="CE144" s="81">
        <f>$H$144*月別販売比率!BJ21</f>
        <v>0</v>
      </c>
      <c r="CF144" s="21"/>
      <c r="CG144" s="81">
        <f>$H$144*月別販売比率!BL21</f>
        <v>0</v>
      </c>
      <c r="CH144" s="21"/>
      <c r="CI144" s="81">
        <f>H144*月別販売比率!$R$21</f>
        <v>3.7704785894206552</v>
      </c>
      <c r="CJ144" s="21"/>
      <c r="CK144" s="81">
        <f>$H$144*月別販売比率!BP21</f>
        <v>0</v>
      </c>
      <c r="CL144" s="21"/>
      <c r="CM144" s="81">
        <f>L144*月別販売比率!$R$21</f>
        <v>0</v>
      </c>
      <c r="CN144" s="21"/>
      <c r="CO144" s="81">
        <f>$H$144*月別販売比率!BT21</f>
        <v>0</v>
      </c>
      <c r="CP144" s="21"/>
      <c r="CQ144" s="81">
        <f>P144*月別販売比率!$R$21</f>
        <v>0</v>
      </c>
      <c r="CR144" s="21"/>
      <c r="CS144" s="81">
        <f>$H$144*月別販売比率!BX21</f>
        <v>0</v>
      </c>
      <c r="CT144" s="21"/>
      <c r="CU144" s="81">
        <v>2.870011737963365</v>
      </c>
      <c r="CV144" s="21"/>
      <c r="CW144" s="81">
        <f>$H$144*月別販売比率!BY21</f>
        <v>0</v>
      </c>
      <c r="CX144" s="21"/>
      <c r="CY144" s="81">
        <f>$H$144*月別販売比率!CA21</f>
        <v>0</v>
      </c>
      <c r="CZ144" s="21"/>
      <c r="DA144" s="28"/>
      <c r="DB144" s="294"/>
    </row>
    <row r="145" spans="2:106" ht="30.75" hidden="1" customHeight="1">
      <c r="C145" s="474"/>
      <c r="D145" s="441"/>
      <c r="E145" s="94" t="s">
        <v>51</v>
      </c>
      <c r="F145" s="57">
        <v>33</v>
      </c>
      <c r="G145" s="5">
        <f t="shared" si="241"/>
        <v>119790</v>
      </c>
      <c r="H145" s="56">
        <f t="shared" si="242"/>
        <v>37.031486146095716</v>
      </c>
      <c r="I145" s="5">
        <f t="shared" si="241"/>
        <v>134424.29471032746</v>
      </c>
      <c r="J145" s="9">
        <v>0</v>
      </c>
      <c r="K145" s="21">
        <f t="shared" si="232"/>
        <v>0</v>
      </c>
      <c r="L145" s="241"/>
      <c r="M145" s="21"/>
      <c r="N145" s="42"/>
      <c r="O145" s="19"/>
      <c r="P145" s="19"/>
      <c r="Q145" s="124"/>
      <c r="R145" s="124"/>
      <c r="S145" s="124"/>
      <c r="T145" s="124"/>
      <c r="U145" s="124"/>
      <c r="V145" s="124"/>
      <c r="W145" s="124"/>
      <c r="X145" s="124"/>
      <c r="Y145" s="124"/>
      <c r="Z145" s="124"/>
      <c r="AA145" s="124"/>
      <c r="AB145" s="124"/>
      <c r="AC145" s="124"/>
      <c r="AD145" s="124"/>
      <c r="AE145" s="124"/>
      <c r="AF145" s="124"/>
      <c r="AG145" s="124"/>
      <c r="AH145" s="124"/>
      <c r="AI145" s="129" t="e">
        <f>#REF!-CA145</f>
        <v>#REF!</v>
      </c>
      <c r="AJ145" s="129" t="e">
        <f t="shared" si="233"/>
        <v>#REF!</v>
      </c>
      <c r="AK145" s="129" t="e">
        <f t="shared" si="234"/>
        <v>#REF!</v>
      </c>
      <c r="AL145" s="252" t="e">
        <f t="shared" si="235"/>
        <v>#REF!</v>
      </c>
      <c r="AM145" s="129" t="e">
        <f t="shared" si="236"/>
        <v>#REF!</v>
      </c>
      <c r="AN145" s="252" t="e">
        <f t="shared" si="237"/>
        <v>#REF!</v>
      </c>
      <c r="AO145" s="252" t="e">
        <f t="shared" si="238"/>
        <v>#REF!</v>
      </c>
      <c r="AP145" s="252" t="e">
        <f t="shared" si="239"/>
        <v>#REF!</v>
      </c>
      <c r="AQ145" s="252" t="e">
        <f t="shared" si="240"/>
        <v>#REF!</v>
      </c>
      <c r="AR145" s="198"/>
      <c r="AS145" s="81">
        <f>$H$145*月別販売比率!AG5</f>
        <v>3.7031486146095718</v>
      </c>
      <c r="AT145" s="21"/>
      <c r="AU145" s="81">
        <f>$H$145*月別販売比率!AL5</f>
        <v>3.3328337531486145</v>
      </c>
      <c r="AV145" s="21"/>
      <c r="AW145" s="81">
        <f>$H$145*月別販売比率!AQ5</f>
        <v>3.7031486146095718</v>
      </c>
      <c r="AX145" s="21"/>
      <c r="AY145" s="81">
        <f>$H$145*月別販売比率!AV5</f>
        <v>2.255009222685501</v>
      </c>
      <c r="AZ145" s="21"/>
      <c r="BA145" s="81">
        <f>$H$145*月別販売比率!BA5</f>
        <v>2.0598068237915683</v>
      </c>
      <c r="BB145" s="21"/>
      <c r="BC145" s="81">
        <f>$H$145*月別販売比率!BF5</f>
        <v>2.9625188916876573</v>
      </c>
      <c r="BD145" s="21"/>
      <c r="BE145" s="81">
        <f>$H$145*月別販売比率!C21</f>
        <v>2.6242085334496843</v>
      </c>
      <c r="BF145" s="21"/>
      <c r="BG145" s="81">
        <f>$H$145*月別販売比率!H21</f>
        <v>2.5922040302267004</v>
      </c>
      <c r="BH145" s="21"/>
      <c r="BI145" s="81">
        <f>$H$145*月別販売比率!M21</f>
        <v>3.7425386036559174</v>
      </c>
      <c r="BJ145" s="21"/>
      <c r="BK145" s="81">
        <f>$H$145*月別販売比率!R21</f>
        <v>2.9625188916876573</v>
      </c>
      <c r="BL145" s="21"/>
      <c r="BM145" s="81">
        <f>$H$145*月別販売比率!W21</f>
        <v>2.820566848636211</v>
      </c>
      <c r="BN145" s="21"/>
      <c r="BO145" s="81">
        <f>$H$145*月別販売比率!AB21</f>
        <v>4.4437783375314854</v>
      </c>
      <c r="BP145" s="21"/>
      <c r="BQ145" s="81">
        <f>$H$145*月別販売比率!AG21</f>
        <v>3.7031486146095718</v>
      </c>
      <c r="BR145" s="21"/>
      <c r="BS145" s="81">
        <f>$H$145*月別販売比率!AL21</f>
        <v>3.3328337531486145</v>
      </c>
      <c r="BT145" s="21"/>
      <c r="BU145" s="81">
        <f>$H$145*月別販売比率!AQ21</f>
        <v>3.7031486146095718</v>
      </c>
      <c r="BV145" s="21"/>
      <c r="BW145" s="81">
        <f>$H$145*月別販売比率!AV21</f>
        <v>2.255009222685501</v>
      </c>
      <c r="BX145" s="21"/>
      <c r="BY145" s="81">
        <f>$H$145*月別販売比率!BA21</f>
        <v>2.0598068237915683</v>
      </c>
      <c r="BZ145" s="21"/>
      <c r="CA145" s="81">
        <f>$H$145*月別販売比率!BF21</f>
        <v>2.9625188916876573</v>
      </c>
      <c r="CB145" s="21"/>
      <c r="CC145" s="81">
        <f>H145*月別販売比率!$C$21</f>
        <v>2.6242085334496843</v>
      </c>
      <c r="CD145" s="21"/>
      <c r="CE145" s="81">
        <f>$H$145*月別販売比率!BJ21</f>
        <v>0</v>
      </c>
      <c r="CF145" s="21"/>
      <c r="CG145" s="81">
        <f>$H$145*月別販売比率!BL21</f>
        <v>0</v>
      </c>
      <c r="CH145" s="21"/>
      <c r="CI145" s="81">
        <f>H145*月別販売比率!$R$21</f>
        <v>2.9625188916876573</v>
      </c>
      <c r="CJ145" s="21"/>
      <c r="CK145" s="81">
        <f>$H$145*月別販売比率!BP21</f>
        <v>0</v>
      </c>
      <c r="CL145" s="21"/>
      <c r="CM145" s="81">
        <f>L145*月別販売比率!$R$21</f>
        <v>0</v>
      </c>
      <c r="CN145" s="21"/>
      <c r="CO145" s="81">
        <f>$H$145*月別販売比率!BT21</f>
        <v>0</v>
      </c>
      <c r="CP145" s="21"/>
      <c r="CQ145" s="81">
        <f>P145*月別販売比率!$R$21</f>
        <v>0</v>
      </c>
      <c r="CR145" s="21"/>
      <c r="CS145" s="81">
        <f>$H$145*月別販売比率!BX21</f>
        <v>0</v>
      </c>
      <c r="CT145" s="21"/>
      <c r="CU145" s="81">
        <v>2.255009222685501</v>
      </c>
      <c r="CV145" s="21"/>
      <c r="CW145" s="81">
        <f>$H$145*月別販売比率!BY21</f>
        <v>0</v>
      </c>
      <c r="CX145" s="21"/>
      <c r="CY145" s="81">
        <f>$H$145*月別販売比率!CA21</f>
        <v>0</v>
      </c>
      <c r="CZ145" s="21"/>
      <c r="DA145" s="28"/>
      <c r="DB145" s="294"/>
    </row>
    <row r="146" spans="2:106" ht="30.75" hidden="1" customHeight="1">
      <c r="C146" s="474"/>
      <c r="D146" s="441"/>
      <c r="E146" s="94" t="s">
        <v>49</v>
      </c>
      <c r="F146" s="57">
        <v>19</v>
      </c>
      <c r="G146" s="5">
        <f t="shared" si="241"/>
        <v>68970</v>
      </c>
      <c r="H146" s="56">
        <f t="shared" si="242"/>
        <v>21.321158690176322</v>
      </c>
      <c r="I146" s="5">
        <f t="shared" si="241"/>
        <v>77395.806045340054</v>
      </c>
      <c r="J146" s="9">
        <v>0</v>
      </c>
      <c r="K146" s="21">
        <f t="shared" si="232"/>
        <v>0</v>
      </c>
      <c r="L146" s="241"/>
      <c r="M146" s="21"/>
      <c r="N146" s="42"/>
      <c r="O146" s="19"/>
      <c r="P146" s="19"/>
      <c r="Q146" s="124"/>
      <c r="R146" s="124"/>
      <c r="S146" s="124"/>
      <c r="T146" s="124"/>
      <c r="U146" s="124"/>
      <c r="V146" s="124"/>
      <c r="W146" s="124"/>
      <c r="X146" s="124"/>
      <c r="Y146" s="124"/>
      <c r="Z146" s="124"/>
      <c r="AA146" s="124"/>
      <c r="AB146" s="124"/>
      <c r="AC146" s="124"/>
      <c r="AD146" s="124"/>
      <c r="AE146" s="124"/>
      <c r="AF146" s="124"/>
      <c r="AG146" s="124"/>
      <c r="AH146" s="124"/>
      <c r="AI146" s="129" t="e">
        <f>#REF!-CA146</f>
        <v>#REF!</v>
      </c>
      <c r="AJ146" s="129" t="e">
        <f t="shared" si="233"/>
        <v>#REF!</v>
      </c>
      <c r="AK146" s="129" t="e">
        <f t="shared" si="234"/>
        <v>#REF!</v>
      </c>
      <c r="AL146" s="252" t="e">
        <f t="shared" si="235"/>
        <v>#REF!</v>
      </c>
      <c r="AM146" s="129" t="e">
        <f t="shared" si="236"/>
        <v>#REF!</v>
      </c>
      <c r="AN146" s="252" t="e">
        <f t="shared" si="237"/>
        <v>#REF!</v>
      </c>
      <c r="AO146" s="252" t="e">
        <f t="shared" si="238"/>
        <v>#REF!</v>
      </c>
      <c r="AP146" s="252" t="e">
        <f t="shared" si="239"/>
        <v>#REF!</v>
      </c>
      <c r="AQ146" s="252" t="e">
        <f t="shared" si="240"/>
        <v>#REF!</v>
      </c>
      <c r="AR146" s="198"/>
      <c r="AS146" s="81">
        <f>$H$146*月別販売比率!AG5</f>
        <v>2.1321158690176323</v>
      </c>
      <c r="AT146" s="21"/>
      <c r="AU146" s="81">
        <f>$H$146*月別販売比率!AL5</f>
        <v>1.9189042821158688</v>
      </c>
      <c r="AV146" s="21"/>
      <c r="AW146" s="81">
        <f>$H$146*月別販売比率!AQ5</f>
        <v>2.1321158690176323</v>
      </c>
      <c r="AX146" s="21"/>
      <c r="AY146" s="81">
        <f>$H$146*月別販売比率!AV5</f>
        <v>1.2983386433643793</v>
      </c>
      <c r="AZ146" s="21"/>
      <c r="BA146" s="81">
        <f>$H$146*月別販売比率!BA5</f>
        <v>1.1859493833951453</v>
      </c>
      <c r="BB146" s="21"/>
      <c r="BC146" s="81">
        <f>$H$146*月別販売比率!BF5</f>
        <v>1.7056926952141058</v>
      </c>
      <c r="BD146" s="21"/>
      <c r="BE146" s="81">
        <f>$H$146*月別販売比率!C21</f>
        <v>1.5109079435013335</v>
      </c>
      <c r="BF146" s="21"/>
      <c r="BG146" s="81">
        <f>$H$146*月別販売比率!H21</f>
        <v>1.4924811083123426</v>
      </c>
      <c r="BH146" s="21"/>
      <c r="BI146" s="81">
        <f>$H$146*月別販売比率!M21</f>
        <v>2.1547949536200739</v>
      </c>
      <c r="BJ146" s="21"/>
      <c r="BK146" s="81">
        <f>$H$146*月別販売比率!R21</f>
        <v>1.7056926952141058</v>
      </c>
      <c r="BL146" s="21"/>
      <c r="BM146" s="81">
        <f>$H$146*月別販売比率!W21*月別販売比率!W21</f>
        <v>0.12369191515839954</v>
      </c>
      <c r="BN146" s="21"/>
      <c r="BO146" s="81">
        <f>$H$146*月別販売比率!AB21</f>
        <v>2.5585390428211587</v>
      </c>
      <c r="BP146" s="21"/>
      <c r="BQ146" s="81">
        <f>$H$146*月別販売比率!AG21</f>
        <v>2.1321158690176323</v>
      </c>
      <c r="BR146" s="21"/>
      <c r="BS146" s="81">
        <f>$H$146*月別販売比率!AL21</f>
        <v>1.9189042821158688</v>
      </c>
      <c r="BT146" s="21"/>
      <c r="BU146" s="81">
        <f>$H$146*月別販売比率!AQ21</f>
        <v>2.1321158690176323</v>
      </c>
      <c r="BV146" s="21"/>
      <c r="BW146" s="81">
        <f>$H$146*月別販売比率!AV21</f>
        <v>1.2983386433643793</v>
      </c>
      <c r="BX146" s="21"/>
      <c r="BY146" s="81">
        <f>$H$146*月別販売比率!BA21</f>
        <v>1.1859493833951453</v>
      </c>
      <c r="BZ146" s="21"/>
      <c r="CA146" s="81">
        <f>$H$146*月別販売比率!BF21</f>
        <v>1.7056926952141058</v>
      </c>
      <c r="CB146" s="21"/>
      <c r="CC146" s="81">
        <f>H146*月別販売比率!$C$21</f>
        <v>1.5109079435013335</v>
      </c>
      <c r="CD146" s="21"/>
      <c r="CE146" s="81">
        <f>$H$146*月別販売比率!BJ21</f>
        <v>0</v>
      </c>
      <c r="CF146" s="21"/>
      <c r="CG146" s="81">
        <f>$H$146*月別販売比率!BL21</f>
        <v>0</v>
      </c>
      <c r="CH146" s="21"/>
      <c r="CI146" s="81">
        <f>H146*月別販売比率!$R$21</f>
        <v>1.7056926952141058</v>
      </c>
      <c r="CJ146" s="21"/>
      <c r="CK146" s="81">
        <f>$H$146*月別販売比率!BP21</f>
        <v>0</v>
      </c>
      <c r="CL146" s="21"/>
      <c r="CM146" s="81">
        <f>L146*月別販売比率!$R$21</f>
        <v>0</v>
      </c>
      <c r="CN146" s="21"/>
      <c r="CO146" s="81">
        <f>$H$146*月別販売比率!BT21</f>
        <v>0</v>
      </c>
      <c r="CP146" s="21"/>
      <c r="CQ146" s="81">
        <f>P146*月別販売比率!$R$21</f>
        <v>0</v>
      </c>
      <c r="CR146" s="21"/>
      <c r="CS146" s="81">
        <f>$H$146*月別販売比率!BX21</f>
        <v>0</v>
      </c>
      <c r="CT146" s="21"/>
      <c r="CU146" s="81">
        <v>1.2983386433643793</v>
      </c>
      <c r="CV146" s="21"/>
      <c r="CW146" s="81">
        <f>$H$146*月別販売比率!BY21</f>
        <v>0</v>
      </c>
      <c r="CX146" s="21"/>
      <c r="CY146" s="81">
        <f>$H$146*月別販売比率!CA21</f>
        <v>0</v>
      </c>
      <c r="CZ146" s="21"/>
      <c r="DA146" s="28"/>
      <c r="DB146" s="294"/>
    </row>
    <row r="147" spans="2:106" ht="30.75" hidden="1" customHeight="1">
      <c r="C147" s="474"/>
      <c r="D147" s="441"/>
      <c r="E147" s="119" t="s">
        <v>50</v>
      </c>
      <c r="F147" s="56">
        <v>12</v>
      </c>
      <c r="G147" s="46">
        <f t="shared" si="241"/>
        <v>43560</v>
      </c>
      <c r="H147" s="56">
        <f t="shared" si="242"/>
        <v>13.465994962216623</v>
      </c>
      <c r="I147" s="46">
        <f t="shared" si="241"/>
        <v>48881.561712846342</v>
      </c>
      <c r="J147" s="49">
        <v>0</v>
      </c>
      <c r="K147" s="21">
        <f t="shared" si="232"/>
        <v>0</v>
      </c>
      <c r="L147" s="280"/>
      <c r="M147" s="39"/>
      <c r="N147" s="42"/>
      <c r="O147" s="19"/>
      <c r="P147" s="19"/>
      <c r="Q147" s="124"/>
      <c r="R147" s="124"/>
      <c r="S147" s="124"/>
      <c r="T147" s="124"/>
      <c r="U147" s="124"/>
      <c r="V147" s="124"/>
      <c r="W147" s="124"/>
      <c r="X147" s="124"/>
      <c r="Y147" s="124"/>
      <c r="Z147" s="124"/>
      <c r="AA147" s="124"/>
      <c r="AB147" s="124"/>
      <c r="AC147" s="124"/>
      <c r="AD147" s="124"/>
      <c r="AE147" s="124"/>
      <c r="AF147" s="124"/>
      <c r="AG147" s="124"/>
      <c r="AH147" s="124"/>
      <c r="AI147" s="129" t="e">
        <f>#REF!-CA147</f>
        <v>#REF!</v>
      </c>
      <c r="AJ147" s="129" t="e">
        <f t="shared" si="233"/>
        <v>#REF!</v>
      </c>
      <c r="AK147" s="129" t="e">
        <f t="shared" si="234"/>
        <v>#REF!</v>
      </c>
      <c r="AL147" s="252" t="e">
        <f t="shared" si="235"/>
        <v>#REF!</v>
      </c>
      <c r="AM147" s="129" t="e">
        <f t="shared" si="236"/>
        <v>#REF!</v>
      </c>
      <c r="AN147" s="252" t="e">
        <f t="shared" si="237"/>
        <v>#REF!</v>
      </c>
      <c r="AO147" s="252" t="e">
        <f t="shared" si="238"/>
        <v>#REF!</v>
      </c>
      <c r="AP147" s="252" t="e">
        <f t="shared" si="239"/>
        <v>#REF!</v>
      </c>
      <c r="AQ147" s="252" t="e">
        <f t="shared" si="240"/>
        <v>#REF!</v>
      </c>
      <c r="AR147" s="198"/>
      <c r="AS147" s="81">
        <f>$H$147*月別販売比率!AG5</f>
        <v>1.3465994962216623</v>
      </c>
      <c r="AT147" s="39"/>
      <c r="AU147" s="81">
        <f>$H$147*月別販売比率!AL5</f>
        <v>1.211939546599496</v>
      </c>
      <c r="AV147" s="107"/>
      <c r="AW147" s="81">
        <f>$H$147*月別販売比率!AQ5</f>
        <v>1.3465994962216623</v>
      </c>
      <c r="AX147" s="107"/>
      <c r="AY147" s="81">
        <f>$H$147*月別販売比率!AV5</f>
        <v>0.82000335370381849</v>
      </c>
      <c r="AZ147" s="107"/>
      <c r="BA147" s="81">
        <f>$H$147*月別販売比率!BA5</f>
        <v>0.74902066319693383</v>
      </c>
      <c r="BB147" s="107"/>
      <c r="BC147" s="81">
        <f>$H$147*月別販売比率!BF5</f>
        <v>1.0772795969773299</v>
      </c>
      <c r="BD147" s="107"/>
      <c r="BE147" s="81">
        <f>$H$147*月別販売比率!C21</f>
        <v>0.95425764852715789</v>
      </c>
      <c r="BF147" s="107"/>
      <c r="BG147" s="81">
        <f>$H$147*月別販売比率!H21</f>
        <v>0.94261964735516368</v>
      </c>
      <c r="BH147" s="107"/>
      <c r="BI147" s="81">
        <f>$H$147*月別販売比率!M21</f>
        <v>1.3609231286021517</v>
      </c>
      <c r="BJ147" s="107"/>
      <c r="BK147" s="81">
        <f>$H$147*月別販売比率!R21</f>
        <v>1.0772795969773299</v>
      </c>
      <c r="BL147" s="107"/>
      <c r="BM147" s="81">
        <f>$H$147*月別販売比率!W21</f>
        <v>1.0256606722313495</v>
      </c>
      <c r="BN147" s="107"/>
      <c r="BO147" s="81">
        <f>$H$147*月別販売比率!AB21</f>
        <v>1.6159193954659947</v>
      </c>
      <c r="BP147" s="107"/>
      <c r="BQ147" s="81">
        <f>$H$147*月別販売比率!AG21</f>
        <v>1.3465994962216623</v>
      </c>
      <c r="BR147" s="107"/>
      <c r="BS147" s="81">
        <f>$H$147*月別販売比率!AL21</f>
        <v>1.211939546599496</v>
      </c>
      <c r="BT147" s="107"/>
      <c r="BU147" s="81">
        <f>$H$147*月別販売比率!AQ21</f>
        <v>1.3465994962216623</v>
      </c>
      <c r="BV147" s="107"/>
      <c r="BW147" s="81">
        <f>$H$147*月別販売比率!AV21</f>
        <v>0.82000335370381849</v>
      </c>
      <c r="BX147" s="107"/>
      <c r="BY147" s="81">
        <f>$H$147*月別販売比率!BA21</f>
        <v>0.74902066319693383</v>
      </c>
      <c r="BZ147" s="107"/>
      <c r="CA147" s="81">
        <f>$H$147*月別販売比率!BF21</f>
        <v>1.0772795969773299</v>
      </c>
      <c r="CB147" s="107"/>
      <c r="CC147" s="81">
        <f>H147*月別販売比率!$C$21</f>
        <v>0.95425764852715789</v>
      </c>
      <c r="CD147" s="107"/>
      <c r="CE147" s="81">
        <f>$H$147*月別販売比率!BJ21</f>
        <v>0</v>
      </c>
      <c r="CF147" s="107"/>
      <c r="CG147" s="81">
        <f>$H$147*月別販売比率!BL21</f>
        <v>0</v>
      </c>
      <c r="CH147" s="107"/>
      <c r="CI147" s="81">
        <f>H147*月別販売比率!$R$21</f>
        <v>1.0772795969773299</v>
      </c>
      <c r="CJ147" s="107"/>
      <c r="CK147" s="81">
        <f>$H$147*月別販売比率!BP21</f>
        <v>0</v>
      </c>
      <c r="CL147" s="107"/>
      <c r="CM147" s="81">
        <f>L147*月別販売比率!$R$21</f>
        <v>0</v>
      </c>
      <c r="CN147" s="107"/>
      <c r="CO147" s="81">
        <f>$H$147*月別販売比率!BT21</f>
        <v>0</v>
      </c>
      <c r="CP147" s="107"/>
      <c r="CQ147" s="81">
        <f>P147*月別販売比率!$R$21</f>
        <v>0</v>
      </c>
      <c r="CR147" s="107"/>
      <c r="CS147" s="81">
        <f>$H$147*月別販売比率!BX21</f>
        <v>0</v>
      </c>
      <c r="CT147" s="107"/>
      <c r="CU147" s="81">
        <v>0.82000335370381849</v>
      </c>
      <c r="CV147" s="107"/>
      <c r="CW147" s="81">
        <f>$H$147*月別販売比率!BY21</f>
        <v>0</v>
      </c>
      <c r="CX147" s="107"/>
      <c r="CY147" s="81">
        <f>$H$147*月別販売比率!CA21</f>
        <v>0</v>
      </c>
      <c r="CZ147" s="107"/>
      <c r="DA147" s="28"/>
      <c r="DB147" s="294"/>
    </row>
    <row r="148" spans="2:106" ht="30.75" hidden="1" customHeight="1">
      <c r="C148" s="474"/>
      <c r="D148" s="496" t="s">
        <v>112</v>
      </c>
      <c r="E148" s="246" t="s">
        <v>47</v>
      </c>
      <c r="F148" s="247">
        <v>1</v>
      </c>
      <c r="G148" s="248">
        <f t="shared" si="241"/>
        <v>3630</v>
      </c>
      <c r="H148" s="240">
        <f t="shared" si="242"/>
        <v>1.1221662468513853</v>
      </c>
      <c r="I148" s="248">
        <f t="shared" si="241"/>
        <v>4073.4634760705289</v>
      </c>
      <c r="J148" s="249">
        <v>0</v>
      </c>
      <c r="K148" s="241">
        <f t="shared" si="232"/>
        <v>0</v>
      </c>
      <c r="L148" s="241"/>
      <c r="M148" s="242"/>
      <c r="N148" s="243"/>
      <c r="O148" s="287"/>
      <c r="P148" s="287"/>
      <c r="Q148" s="244"/>
      <c r="R148" s="244"/>
      <c r="S148" s="244"/>
      <c r="T148" s="244"/>
      <c r="U148" s="244"/>
      <c r="V148" s="244"/>
      <c r="W148" s="244"/>
      <c r="X148" s="244"/>
      <c r="Y148" s="244"/>
      <c r="Z148" s="244"/>
      <c r="AA148" s="244"/>
      <c r="AB148" s="244"/>
      <c r="AC148" s="244"/>
      <c r="AD148" s="244"/>
      <c r="AE148" s="244"/>
      <c r="AF148" s="244"/>
      <c r="AG148" s="244"/>
      <c r="AH148" s="244"/>
      <c r="AI148" s="129" t="e">
        <f>#REF!-CA148</f>
        <v>#REF!</v>
      </c>
      <c r="AJ148" s="129" t="e">
        <f t="shared" si="233"/>
        <v>#REF!</v>
      </c>
      <c r="AK148" s="129" t="e">
        <f t="shared" si="234"/>
        <v>#REF!</v>
      </c>
      <c r="AL148" s="252" t="e">
        <f t="shared" si="235"/>
        <v>#REF!</v>
      </c>
      <c r="AM148" s="129" t="e">
        <f t="shared" si="236"/>
        <v>#REF!</v>
      </c>
      <c r="AN148" s="252" t="e">
        <f t="shared" si="237"/>
        <v>#REF!</v>
      </c>
      <c r="AO148" s="252" t="e">
        <f t="shared" si="238"/>
        <v>#REF!</v>
      </c>
      <c r="AP148" s="252" t="e">
        <f t="shared" si="239"/>
        <v>#REF!</v>
      </c>
      <c r="AQ148" s="252" t="e">
        <f t="shared" si="240"/>
        <v>#REF!</v>
      </c>
      <c r="AR148" s="198"/>
      <c r="AS148" s="245">
        <f>$H$148*月別販売比率!AG5</f>
        <v>0.11221662468513854</v>
      </c>
      <c r="AT148" s="241"/>
      <c r="AU148" s="245">
        <f>$H$148*月別販売比率!AL5</f>
        <v>0.10099496221662467</v>
      </c>
      <c r="AV148" s="241"/>
      <c r="AW148" s="245">
        <f>$H$148*月別販売比率!AQ5</f>
        <v>0.11221662468513854</v>
      </c>
      <c r="AX148" s="241"/>
      <c r="AY148" s="245">
        <f>$H$148*月別販売比率!AV5</f>
        <v>6.833361280865155E-2</v>
      </c>
      <c r="AZ148" s="241"/>
      <c r="BA148" s="245">
        <f>$H$148*月別販売比率!BA5</f>
        <v>6.2418388599744488E-2</v>
      </c>
      <c r="BB148" s="241"/>
      <c r="BC148" s="245">
        <f>$H$148*月別販売比率!BF5</f>
        <v>8.9773299748110824E-2</v>
      </c>
      <c r="BD148" s="241"/>
      <c r="BE148" s="245">
        <f>$H$148*月別販売比率!C21</f>
        <v>7.9521470710596495E-2</v>
      </c>
      <c r="BF148" s="241"/>
      <c r="BG148" s="245">
        <f>$H$148*月別販売比率!H21</f>
        <v>7.8551637279596978E-2</v>
      </c>
      <c r="BH148" s="241"/>
      <c r="BI148" s="245">
        <f>$H$148*月別販売比率!M21</f>
        <v>0.11341026071684598</v>
      </c>
      <c r="BJ148" s="241"/>
      <c r="BK148" s="245">
        <f>$H$148*月別販売比率!R21</f>
        <v>8.9773299748110824E-2</v>
      </c>
      <c r="BL148" s="241"/>
      <c r="BM148" s="245">
        <f>$H$148*月別販売比率!W21</f>
        <v>8.5471722685945786E-2</v>
      </c>
      <c r="BN148" s="241"/>
      <c r="BO148" s="245">
        <f>$H$148*月別販売比率!AB21</f>
        <v>0.13465994962216624</v>
      </c>
      <c r="BP148" s="241"/>
      <c r="BQ148" s="245">
        <f>$H$148*月別販売比率!AG21</f>
        <v>0.11221662468513854</v>
      </c>
      <c r="BR148" s="241"/>
      <c r="BS148" s="245">
        <f>$H$148*月別販売比率!AL21</f>
        <v>0.10099496221662467</v>
      </c>
      <c r="BT148" s="241"/>
      <c r="BU148" s="245">
        <f>$H$148*月別販売比率!AQ21</f>
        <v>0.11221662468513854</v>
      </c>
      <c r="BV148" s="241"/>
      <c r="BW148" s="245">
        <f>$H$148*月別販売比率!AV21</f>
        <v>6.833361280865155E-2</v>
      </c>
      <c r="BX148" s="241"/>
      <c r="BY148" s="245">
        <f>$H$148*月別販売比率!BA21</f>
        <v>6.2418388599744488E-2</v>
      </c>
      <c r="BZ148" s="241"/>
      <c r="CA148" s="245">
        <f>$H$148*月別販売比率!BF21</f>
        <v>8.9773299748110824E-2</v>
      </c>
      <c r="CB148" s="241"/>
      <c r="CC148" s="245">
        <f>H148*月別販売比率!$C$21</f>
        <v>7.9521470710596495E-2</v>
      </c>
      <c r="CD148" s="241"/>
      <c r="CE148" s="245">
        <f>$H$148*月別販売比率!BJ21</f>
        <v>0</v>
      </c>
      <c r="CF148" s="241"/>
      <c r="CG148" s="245">
        <f>$H$148*月別販売比率!BL21</f>
        <v>0</v>
      </c>
      <c r="CH148" s="241"/>
      <c r="CI148" s="245">
        <f>H148*月別販売比率!$R$21</f>
        <v>8.9773299748110824E-2</v>
      </c>
      <c r="CJ148" s="241"/>
      <c r="CK148" s="245">
        <f>$H$148*月別販売比率!BP21</f>
        <v>0</v>
      </c>
      <c r="CL148" s="241"/>
      <c r="CM148" s="245">
        <f>L148*月別販売比率!$R$21</f>
        <v>0</v>
      </c>
      <c r="CN148" s="241"/>
      <c r="CO148" s="245">
        <f>$H$148*月別販売比率!BT21</f>
        <v>0</v>
      </c>
      <c r="CP148" s="241"/>
      <c r="CQ148" s="245">
        <f>P148*月別販売比率!$R$21</f>
        <v>0</v>
      </c>
      <c r="CR148" s="241"/>
      <c r="CS148" s="245">
        <f>$H$148*月別販売比率!BX21</f>
        <v>0</v>
      </c>
      <c r="CT148" s="241"/>
      <c r="CU148" s="245">
        <v>6.833361280865155E-2</v>
      </c>
      <c r="CV148" s="241"/>
      <c r="CW148" s="245">
        <f>$H$148*月別販売比率!BY21</f>
        <v>0</v>
      </c>
      <c r="CX148" s="241"/>
      <c r="CY148" s="245">
        <f>$H$148*月別販売比率!CA21</f>
        <v>0</v>
      </c>
      <c r="CZ148" s="241"/>
      <c r="DA148" s="28"/>
      <c r="DB148" s="294"/>
    </row>
    <row r="149" spans="2:106" ht="30.75" hidden="1" customHeight="1">
      <c r="C149" s="474"/>
      <c r="D149" s="460"/>
      <c r="E149" s="246" t="s">
        <v>51</v>
      </c>
      <c r="F149" s="247">
        <v>10</v>
      </c>
      <c r="G149" s="248">
        <f t="shared" si="241"/>
        <v>36300</v>
      </c>
      <c r="H149" s="240">
        <f t="shared" si="242"/>
        <v>11.221662468513854</v>
      </c>
      <c r="I149" s="248">
        <f t="shared" si="241"/>
        <v>40734.634760705288</v>
      </c>
      <c r="J149" s="249">
        <v>0</v>
      </c>
      <c r="K149" s="241">
        <f t="shared" si="232"/>
        <v>0</v>
      </c>
      <c r="L149" s="241"/>
      <c r="M149" s="242"/>
      <c r="N149" s="243"/>
      <c r="O149" s="287"/>
      <c r="P149" s="287"/>
      <c r="Q149" s="244"/>
      <c r="R149" s="244"/>
      <c r="S149" s="244"/>
      <c r="T149" s="244"/>
      <c r="U149" s="244"/>
      <c r="V149" s="244"/>
      <c r="W149" s="244"/>
      <c r="X149" s="244"/>
      <c r="Y149" s="244"/>
      <c r="Z149" s="244"/>
      <c r="AA149" s="244"/>
      <c r="AB149" s="244"/>
      <c r="AC149" s="244"/>
      <c r="AD149" s="244"/>
      <c r="AE149" s="244"/>
      <c r="AF149" s="244"/>
      <c r="AG149" s="244"/>
      <c r="AH149" s="244"/>
      <c r="AI149" s="129" t="e">
        <f>#REF!-CA149</f>
        <v>#REF!</v>
      </c>
      <c r="AJ149" s="129" t="e">
        <f t="shared" si="233"/>
        <v>#REF!</v>
      </c>
      <c r="AK149" s="129" t="e">
        <f t="shared" si="234"/>
        <v>#REF!</v>
      </c>
      <c r="AL149" s="252" t="e">
        <f t="shared" si="235"/>
        <v>#REF!</v>
      </c>
      <c r="AM149" s="129" t="e">
        <f t="shared" si="236"/>
        <v>#REF!</v>
      </c>
      <c r="AN149" s="252" t="e">
        <f t="shared" si="237"/>
        <v>#REF!</v>
      </c>
      <c r="AO149" s="252" t="e">
        <f t="shared" si="238"/>
        <v>#REF!</v>
      </c>
      <c r="AP149" s="252" t="e">
        <f t="shared" si="239"/>
        <v>#REF!</v>
      </c>
      <c r="AQ149" s="252" t="e">
        <f t="shared" si="240"/>
        <v>#REF!</v>
      </c>
      <c r="AR149" s="198"/>
      <c r="AS149" s="245">
        <f>$H$149*月別販売比率!AG5</f>
        <v>1.1221662468513853</v>
      </c>
      <c r="AT149" s="241"/>
      <c r="AU149" s="245">
        <f>$H$149*月別販売比率!AL5</f>
        <v>1.0099496221662467</v>
      </c>
      <c r="AV149" s="241"/>
      <c r="AW149" s="245">
        <f>$H$149*月別販売比率!AQ5</f>
        <v>1.1221662468513853</v>
      </c>
      <c r="AX149" s="241"/>
      <c r="AY149" s="245">
        <f>$H$149*月別販売比率!AV5</f>
        <v>0.68333612808651545</v>
      </c>
      <c r="AZ149" s="241"/>
      <c r="BA149" s="245">
        <f>$H$149*月別販売比率!BA5</f>
        <v>0.6241838859974449</v>
      </c>
      <c r="BB149" s="241"/>
      <c r="BC149" s="245">
        <f>$H$149*月別販売比率!BF5</f>
        <v>0.89773299748110835</v>
      </c>
      <c r="BD149" s="241"/>
      <c r="BE149" s="245">
        <f>$H$149*月別販売比率!C21</f>
        <v>0.79521470710596498</v>
      </c>
      <c r="BF149" s="241"/>
      <c r="BG149" s="245">
        <f>$H$149*月別販売比率!H21</f>
        <v>0.78551637279596986</v>
      </c>
      <c r="BH149" s="241"/>
      <c r="BI149" s="245">
        <f>$H$149*月別販売比率!M21</f>
        <v>1.1341026071684599</v>
      </c>
      <c r="BJ149" s="241"/>
      <c r="BK149" s="245">
        <f>$H$149*月別販売比率!R21</f>
        <v>0.89773299748110835</v>
      </c>
      <c r="BL149" s="241"/>
      <c r="BM149" s="245">
        <f>$H$149*月別販売比率!W21</f>
        <v>0.85471722685945795</v>
      </c>
      <c r="BN149" s="241"/>
      <c r="BO149" s="245">
        <f>$H$149*月別販売比率!AB21</f>
        <v>1.3465994962216623</v>
      </c>
      <c r="BP149" s="241"/>
      <c r="BQ149" s="245">
        <f>$H$149*月別販売比率!AG21</f>
        <v>1.1221662468513853</v>
      </c>
      <c r="BR149" s="241"/>
      <c r="BS149" s="245">
        <f>$H$149*月別販売比率!AL21</f>
        <v>1.0099496221662467</v>
      </c>
      <c r="BT149" s="241"/>
      <c r="BU149" s="245">
        <f>$H$149*月別販売比率!AQ21</f>
        <v>1.1221662468513853</v>
      </c>
      <c r="BV149" s="241"/>
      <c r="BW149" s="245">
        <f>$H$149*月別販売比率!AV21</f>
        <v>0.68333612808651545</v>
      </c>
      <c r="BX149" s="241"/>
      <c r="BY149" s="245">
        <f>$H$149*月別販売比率!BA21</f>
        <v>0.6241838859974449</v>
      </c>
      <c r="BZ149" s="241"/>
      <c r="CA149" s="245">
        <f>$H$149*月別販売比率!BF21</f>
        <v>0.89773299748110835</v>
      </c>
      <c r="CB149" s="241"/>
      <c r="CC149" s="245">
        <f>H149*月別販売比率!$C$21</f>
        <v>0.79521470710596498</v>
      </c>
      <c r="CD149" s="241"/>
      <c r="CE149" s="245">
        <f>$H$149*月別販売比率!BJ21</f>
        <v>0</v>
      </c>
      <c r="CF149" s="241"/>
      <c r="CG149" s="245">
        <f>$H$149*月別販売比率!BL21</f>
        <v>0</v>
      </c>
      <c r="CH149" s="241"/>
      <c r="CI149" s="245">
        <f>H149*月別販売比率!$R$21</f>
        <v>0.89773299748110835</v>
      </c>
      <c r="CJ149" s="241"/>
      <c r="CK149" s="245">
        <f>$H$149*月別販売比率!BP21</f>
        <v>0</v>
      </c>
      <c r="CL149" s="241"/>
      <c r="CM149" s="245">
        <f>L149*月別販売比率!$R$21</f>
        <v>0</v>
      </c>
      <c r="CN149" s="241"/>
      <c r="CO149" s="245">
        <f>$H$149*月別販売比率!BT21</f>
        <v>0</v>
      </c>
      <c r="CP149" s="241"/>
      <c r="CQ149" s="245">
        <f>P149*月別販売比率!$R$21</f>
        <v>0</v>
      </c>
      <c r="CR149" s="241"/>
      <c r="CS149" s="245">
        <f>$H$149*月別販売比率!BX21</f>
        <v>0</v>
      </c>
      <c r="CT149" s="241"/>
      <c r="CU149" s="245">
        <v>0.68333612808651545</v>
      </c>
      <c r="CV149" s="241"/>
      <c r="CW149" s="245">
        <f>$H$149*月別販売比率!BY21</f>
        <v>0</v>
      </c>
      <c r="CX149" s="241"/>
      <c r="CY149" s="245">
        <f>$H$149*月別販売比率!CA21</f>
        <v>0</v>
      </c>
      <c r="CZ149" s="241"/>
      <c r="DA149" s="28"/>
      <c r="DB149" s="294"/>
    </row>
    <row r="150" spans="2:106" ht="30.75" hidden="1" customHeight="1">
      <c r="C150" s="474"/>
      <c r="D150" s="460"/>
      <c r="E150" s="246" t="s">
        <v>49</v>
      </c>
      <c r="F150" s="247">
        <v>9</v>
      </c>
      <c r="G150" s="248">
        <f t="shared" si="241"/>
        <v>32670</v>
      </c>
      <c r="H150" s="240">
        <f t="shared" si="242"/>
        <v>10.099496221662468</v>
      </c>
      <c r="I150" s="248">
        <f t="shared" si="241"/>
        <v>36661.171284634758</v>
      </c>
      <c r="J150" s="249">
        <v>0</v>
      </c>
      <c r="K150" s="241">
        <f t="shared" si="232"/>
        <v>0</v>
      </c>
      <c r="L150" s="241"/>
      <c r="M150" s="242"/>
      <c r="N150" s="243"/>
      <c r="O150" s="287"/>
      <c r="P150" s="287"/>
      <c r="Q150" s="244"/>
      <c r="R150" s="244"/>
      <c r="S150" s="244"/>
      <c r="T150" s="244"/>
      <c r="U150" s="244"/>
      <c r="V150" s="244"/>
      <c r="W150" s="244"/>
      <c r="X150" s="244"/>
      <c r="Y150" s="244"/>
      <c r="Z150" s="244"/>
      <c r="AA150" s="244"/>
      <c r="AB150" s="244"/>
      <c r="AC150" s="244"/>
      <c r="AD150" s="244"/>
      <c r="AE150" s="244"/>
      <c r="AF150" s="244"/>
      <c r="AG150" s="244"/>
      <c r="AH150" s="244"/>
      <c r="AI150" s="129" t="e">
        <f>#REF!-CA150</f>
        <v>#REF!</v>
      </c>
      <c r="AJ150" s="129" t="e">
        <f t="shared" si="233"/>
        <v>#REF!</v>
      </c>
      <c r="AK150" s="129" t="e">
        <f t="shared" si="234"/>
        <v>#REF!</v>
      </c>
      <c r="AL150" s="252" t="e">
        <f t="shared" si="235"/>
        <v>#REF!</v>
      </c>
      <c r="AM150" s="129" t="e">
        <f t="shared" si="236"/>
        <v>#REF!</v>
      </c>
      <c r="AN150" s="252" t="e">
        <f t="shared" si="237"/>
        <v>#REF!</v>
      </c>
      <c r="AO150" s="252" t="e">
        <f t="shared" si="238"/>
        <v>#REF!</v>
      </c>
      <c r="AP150" s="252" t="e">
        <f t="shared" si="239"/>
        <v>#REF!</v>
      </c>
      <c r="AQ150" s="252" t="e">
        <f t="shared" si="240"/>
        <v>#REF!</v>
      </c>
      <c r="AR150" s="198"/>
      <c r="AS150" s="245">
        <f>$H$150*月別販売比率!AG5</f>
        <v>1.009949622166247</v>
      </c>
      <c r="AT150" s="241"/>
      <c r="AU150" s="245">
        <f>$H$150*月別販売比率!AL5</f>
        <v>0.9089546599496221</v>
      </c>
      <c r="AV150" s="241"/>
      <c r="AW150" s="245">
        <f>$H$150*月別販売比率!AQ5</f>
        <v>1.009949622166247</v>
      </c>
      <c r="AX150" s="241"/>
      <c r="AY150" s="245">
        <f>$H$150*月別販売比率!AV5</f>
        <v>0.61500251527786387</v>
      </c>
      <c r="AZ150" s="241"/>
      <c r="BA150" s="245">
        <f>$H$150*月別販売比率!BA5</f>
        <v>0.56176549739770043</v>
      </c>
      <c r="BB150" s="241"/>
      <c r="BC150" s="245">
        <f>$H$150*月別販売比率!BF5</f>
        <v>0.80795969773299747</v>
      </c>
      <c r="BD150" s="241"/>
      <c r="BE150" s="245">
        <f>$H$150*月別販売比率!C21</f>
        <v>0.71569323639536842</v>
      </c>
      <c r="BF150" s="241"/>
      <c r="BG150" s="245">
        <f>$H$150*月別販売比率!H21</f>
        <v>0.70696473551637284</v>
      </c>
      <c r="BH150" s="241"/>
      <c r="BI150" s="245">
        <f>$H$150*月別販売比率!M21</f>
        <v>1.0206923464516138</v>
      </c>
      <c r="BJ150" s="241"/>
      <c r="BK150" s="245">
        <f>$H$150*月別販売比率!R21</f>
        <v>0.80795969773299747</v>
      </c>
      <c r="BL150" s="241"/>
      <c r="BM150" s="245">
        <f>$H$150*月別販売比率!W21</f>
        <v>0.76924550417351212</v>
      </c>
      <c r="BN150" s="241"/>
      <c r="BO150" s="245">
        <f>$H$150*月別販売比率!AB21</f>
        <v>1.2119395465994962</v>
      </c>
      <c r="BP150" s="241"/>
      <c r="BQ150" s="245">
        <f>$H$150*月別販売比率!AG21</f>
        <v>1.009949622166247</v>
      </c>
      <c r="BR150" s="241"/>
      <c r="BS150" s="245">
        <f>$H$150*月別販売比率!AL21</f>
        <v>0.9089546599496221</v>
      </c>
      <c r="BT150" s="241"/>
      <c r="BU150" s="245">
        <f>$H$150*月別販売比率!AQ21</f>
        <v>1.009949622166247</v>
      </c>
      <c r="BV150" s="241"/>
      <c r="BW150" s="245">
        <f>$H$150*月別販売比率!AV21</f>
        <v>0.61500251527786387</v>
      </c>
      <c r="BX150" s="241"/>
      <c r="BY150" s="245">
        <f>$H$150*月別販売比率!BA21</f>
        <v>0.56176549739770043</v>
      </c>
      <c r="BZ150" s="241"/>
      <c r="CA150" s="245">
        <f>$H$150*月別販売比率!BF21</f>
        <v>0.80795969773299747</v>
      </c>
      <c r="CB150" s="241"/>
      <c r="CC150" s="245">
        <f>H150*月別販売比率!$C$21</f>
        <v>0.71569323639536842</v>
      </c>
      <c r="CD150" s="241"/>
      <c r="CE150" s="245">
        <f>$H$150*月別販売比率!BJ21</f>
        <v>0</v>
      </c>
      <c r="CF150" s="241"/>
      <c r="CG150" s="245">
        <f>$H$150*月別販売比率!BL21</f>
        <v>0</v>
      </c>
      <c r="CH150" s="241"/>
      <c r="CI150" s="245">
        <f>H150*月別販売比率!$R$21</f>
        <v>0.80795969773299747</v>
      </c>
      <c r="CJ150" s="241"/>
      <c r="CK150" s="245">
        <f>$H$150*月別販売比率!BP21</f>
        <v>0</v>
      </c>
      <c r="CL150" s="241"/>
      <c r="CM150" s="245">
        <f>L150*月別販売比率!$R$21</f>
        <v>0</v>
      </c>
      <c r="CN150" s="241"/>
      <c r="CO150" s="245">
        <f>$H$150*月別販売比率!BT21</f>
        <v>0</v>
      </c>
      <c r="CP150" s="241"/>
      <c r="CQ150" s="245">
        <f>P150*月別販売比率!$R$21</f>
        <v>0</v>
      </c>
      <c r="CR150" s="241"/>
      <c r="CS150" s="245">
        <f>$H$150*月別販売比率!BX21</f>
        <v>0</v>
      </c>
      <c r="CT150" s="241"/>
      <c r="CU150" s="245">
        <v>0.61500251527786387</v>
      </c>
      <c r="CV150" s="241"/>
      <c r="CW150" s="245">
        <f>$H$150*月別販売比率!BY21</f>
        <v>0</v>
      </c>
      <c r="CX150" s="241"/>
      <c r="CY150" s="245">
        <f>$H$150*月別販売比率!CA21</f>
        <v>0</v>
      </c>
      <c r="CZ150" s="241"/>
      <c r="DA150" s="28"/>
      <c r="DB150" s="294"/>
    </row>
    <row r="151" spans="2:106" ht="30.75" hidden="1" customHeight="1">
      <c r="C151" s="474"/>
      <c r="D151" s="461"/>
      <c r="E151" s="246" t="s">
        <v>50</v>
      </c>
      <c r="F151" s="247">
        <v>15</v>
      </c>
      <c r="G151" s="248">
        <f t="shared" si="241"/>
        <v>54450</v>
      </c>
      <c r="H151" s="240">
        <f t="shared" si="242"/>
        <v>16.83249370277078</v>
      </c>
      <c r="I151" s="248">
        <f t="shared" si="241"/>
        <v>61101.952141057933</v>
      </c>
      <c r="J151" s="249">
        <v>0</v>
      </c>
      <c r="K151" s="241">
        <f t="shared" si="232"/>
        <v>0</v>
      </c>
      <c r="L151" s="241"/>
      <c r="M151" s="242"/>
      <c r="N151" s="243"/>
      <c r="O151" s="287"/>
      <c r="P151" s="287"/>
      <c r="Q151" s="244"/>
      <c r="R151" s="244"/>
      <c r="S151" s="244"/>
      <c r="T151" s="244"/>
      <c r="U151" s="124"/>
      <c r="V151" s="124"/>
      <c r="W151" s="124"/>
      <c r="X151" s="124"/>
      <c r="Y151" s="124"/>
      <c r="Z151" s="124"/>
      <c r="AA151" s="124"/>
      <c r="AB151" s="124"/>
      <c r="AC151" s="124"/>
      <c r="AD151" s="124"/>
      <c r="AE151" s="124"/>
      <c r="AF151" s="124"/>
      <c r="AG151" s="124"/>
      <c r="AH151" s="124"/>
      <c r="AI151" s="129" t="e">
        <f>#REF!-CA151</f>
        <v>#REF!</v>
      </c>
      <c r="AJ151" s="129" t="e">
        <f t="shared" si="233"/>
        <v>#REF!</v>
      </c>
      <c r="AK151" s="129" t="e">
        <f t="shared" si="234"/>
        <v>#REF!</v>
      </c>
      <c r="AL151" s="252" t="e">
        <f t="shared" si="235"/>
        <v>#REF!</v>
      </c>
      <c r="AM151" s="129" t="e">
        <f t="shared" si="236"/>
        <v>#REF!</v>
      </c>
      <c r="AN151" s="252" t="e">
        <f t="shared" si="237"/>
        <v>#REF!</v>
      </c>
      <c r="AO151" s="252" t="e">
        <f t="shared" si="238"/>
        <v>#REF!</v>
      </c>
      <c r="AP151" s="252" t="e">
        <f t="shared" si="239"/>
        <v>#REF!</v>
      </c>
      <c r="AQ151" s="252" t="e">
        <f t="shared" si="240"/>
        <v>#REF!</v>
      </c>
      <c r="AR151" s="198"/>
      <c r="AS151" s="81">
        <f>$H$151*月別販売比率!AG5</f>
        <v>1.6832493702770781</v>
      </c>
      <c r="AT151" s="21"/>
      <c r="AU151" s="81">
        <f>$H$151*月別販売比率!AL5</f>
        <v>1.5149244332493701</v>
      </c>
      <c r="AV151" s="21"/>
      <c r="AW151" s="81">
        <f>$H$151*月別販売比率!AQ5</f>
        <v>1.6832493702770781</v>
      </c>
      <c r="AX151" s="21"/>
      <c r="AY151" s="81">
        <f>$H$151*月別販売比率!AV5</f>
        <v>1.0250041921297732</v>
      </c>
      <c r="AZ151" s="21"/>
      <c r="BA151" s="81">
        <f>$H$151*月別販売比率!BA5</f>
        <v>0.93627582899616735</v>
      </c>
      <c r="BB151" s="21"/>
      <c r="BC151" s="81">
        <f>$H$151*月別販売比率!BF5</f>
        <v>1.3465994962216623</v>
      </c>
      <c r="BD151" s="21"/>
      <c r="BE151" s="81">
        <f>$H$151*月別販売比率!C21</f>
        <v>1.1928220606589475</v>
      </c>
      <c r="BF151" s="21"/>
      <c r="BG151" s="81">
        <f>$H$151*月別販売比率!H21</f>
        <v>1.1782745591939547</v>
      </c>
      <c r="BH151" s="21"/>
      <c r="BI151" s="81">
        <f>$H$151*月別販売比率!M21</f>
        <v>1.7011539107526896</v>
      </c>
      <c r="BJ151" s="21"/>
      <c r="BK151" s="81">
        <f>$H$151*月別販売比率!R21</f>
        <v>1.3465994962216623</v>
      </c>
      <c r="BL151" s="21"/>
      <c r="BM151" s="81">
        <f>$H$151*月別販売比率!W21</f>
        <v>1.2820758402891868</v>
      </c>
      <c r="BN151" s="21"/>
      <c r="BO151" s="81">
        <f>$H$151*月別販売比率!AB21</f>
        <v>2.0198992443324935</v>
      </c>
      <c r="BP151" s="21"/>
      <c r="BQ151" s="81">
        <f>$H$151*月別販売比率!AG21</f>
        <v>1.6832493702770781</v>
      </c>
      <c r="BR151" s="21"/>
      <c r="BS151" s="81">
        <f>$H$151*月別販売比率!AL21</f>
        <v>1.5149244332493701</v>
      </c>
      <c r="BT151" s="21"/>
      <c r="BU151" s="81">
        <f>$H$151*月別販売比率!AQ21</f>
        <v>1.6832493702770781</v>
      </c>
      <c r="BV151" s="21"/>
      <c r="BW151" s="81">
        <f>$H$151*月別販売比率!AV21</f>
        <v>1.0250041921297732</v>
      </c>
      <c r="BX151" s="21"/>
      <c r="BY151" s="81">
        <f>$H$151*月別販売比率!BA21</f>
        <v>0.93627582899616735</v>
      </c>
      <c r="BZ151" s="21"/>
      <c r="CA151" s="81">
        <f>$H$151*月別販売比率!BF21</f>
        <v>1.3465994962216623</v>
      </c>
      <c r="CB151" s="21"/>
      <c r="CC151" s="81">
        <f>H151*月別販売比率!$C$21</f>
        <v>1.1928220606589475</v>
      </c>
      <c r="CD151" s="21"/>
      <c r="CE151" s="81">
        <f>$H$151*月別販売比率!BJ21</f>
        <v>0</v>
      </c>
      <c r="CF151" s="21"/>
      <c r="CG151" s="81">
        <f>$H$151*月別販売比率!BL21</f>
        <v>0</v>
      </c>
      <c r="CH151" s="21"/>
      <c r="CI151" s="81">
        <f>H151*月別販売比率!$R$21</f>
        <v>1.3465994962216623</v>
      </c>
      <c r="CJ151" s="21"/>
      <c r="CK151" s="81">
        <f>$H$151*月別販売比率!BP21</f>
        <v>0</v>
      </c>
      <c r="CL151" s="21"/>
      <c r="CM151" s="81">
        <f>L151*月別販売比率!$R$21</f>
        <v>0</v>
      </c>
      <c r="CN151" s="21"/>
      <c r="CO151" s="81">
        <f>$H$151*月別販売比率!BT21</f>
        <v>0</v>
      </c>
      <c r="CP151" s="21"/>
      <c r="CQ151" s="81">
        <f>P151*月別販売比率!$R$21</f>
        <v>0</v>
      </c>
      <c r="CR151" s="21"/>
      <c r="CS151" s="81">
        <f>$H$151*月別販売比率!BX21</f>
        <v>0</v>
      </c>
      <c r="CT151" s="21"/>
      <c r="CU151" s="81">
        <v>1.0250041921297732</v>
      </c>
      <c r="CV151" s="21"/>
      <c r="CW151" s="81">
        <f>$H$151*月別販売比率!BY21</f>
        <v>0</v>
      </c>
      <c r="CX151" s="21"/>
      <c r="CY151" s="81">
        <f>$H$151*月別販売比率!CA21</f>
        <v>0</v>
      </c>
      <c r="CZ151" s="21"/>
      <c r="DA151" s="28"/>
      <c r="DB151" s="294"/>
    </row>
    <row r="152" spans="2:106" ht="30.75" hidden="1" customHeight="1">
      <c r="C152" s="474"/>
      <c r="D152" s="496" t="s">
        <v>113</v>
      </c>
      <c r="E152" s="246" t="s">
        <v>47</v>
      </c>
      <c r="F152" s="247">
        <v>0</v>
      </c>
      <c r="G152" s="248">
        <f t="shared" si="241"/>
        <v>0</v>
      </c>
      <c r="H152" s="240">
        <f t="shared" si="242"/>
        <v>0</v>
      </c>
      <c r="I152" s="248">
        <f t="shared" si="241"/>
        <v>0</v>
      </c>
      <c r="J152" s="249">
        <v>0</v>
      </c>
      <c r="K152" s="241">
        <f t="shared" si="232"/>
        <v>0</v>
      </c>
      <c r="L152" s="241"/>
      <c r="M152" s="242"/>
      <c r="N152" s="243"/>
      <c r="O152" s="287"/>
      <c r="P152" s="287"/>
      <c r="Q152" s="244"/>
      <c r="R152" s="244"/>
      <c r="S152" s="244"/>
      <c r="T152" s="244"/>
      <c r="U152" s="244"/>
      <c r="V152" s="244"/>
      <c r="W152" s="244"/>
      <c r="X152" s="244"/>
      <c r="Y152" s="244"/>
      <c r="Z152" s="244"/>
      <c r="AA152" s="244"/>
      <c r="AB152" s="244"/>
      <c r="AC152" s="244"/>
      <c r="AD152" s="244"/>
      <c r="AE152" s="244"/>
      <c r="AF152" s="244"/>
      <c r="AG152" s="244"/>
      <c r="AH152" s="244"/>
      <c r="AI152" s="129" t="e">
        <f>#REF!-CA152</f>
        <v>#REF!</v>
      </c>
      <c r="AJ152" s="129" t="e">
        <f t="shared" si="233"/>
        <v>#REF!</v>
      </c>
      <c r="AK152" s="129" t="e">
        <f t="shared" si="234"/>
        <v>#REF!</v>
      </c>
      <c r="AL152" s="252" t="e">
        <f t="shared" si="235"/>
        <v>#REF!</v>
      </c>
      <c r="AM152" s="129" t="e">
        <f t="shared" si="236"/>
        <v>#REF!</v>
      </c>
      <c r="AN152" s="252" t="e">
        <f t="shared" si="237"/>
        <v>#REF!</v>
      </c>
      <c r="AO152" s="252" t="e">
        <f t="shared" si="238"/>
        <v>#REF!</v>
      </c>
      <c r="AP152" s="252" t="e">
        <f t="shared" si="239"/>
        <v>#REF!</v>
      </c>
      <c r="AQ152" s="252" t="e">
        <f t="shared" si="240"/>
        <v>#REF!</v>
      </c>
      <c r="AR152" s="198"/>
      <c r="AS152" s="245">
        <f>$H$152*月別販売比率!AG5</f>
        <v>0</v>
      </c>
      <c r="AT152" s="241"/>
      <c r="AU152" s="245">
        <f>$H$152*月別販売比率!AL5</f>
        <v>0</v>
      </c>
      <c r="AV152" s="241"/>
      <c r="AW152" s="245">
        <f>$H$152*月別販売比率!AQ5</f>
        <v>0</v>
      </c>
      <c r="AX152" s="241"/>
      <c r="AY152" s="245">
        <f>$H$152*月別販売比率!AV5</f>
        <v>0</v>
      </c>
      <c r="AZ152" s="241"/>
      <c r="BA152" s="245">
        <f>$H$152*月別販売比率!BA5</f>
        <v>0</v>
      </c>
      <c r="BB152" s="241"/>
      <c r="BC152" s="245">
        <f>$H$152*月別販売比率!BF5</f>
        <v>0</v>
      </c>
      <c r="BD152" s="241"/>
      <c r="BE152" s="245">
        <f>$H$152*月別販売比率!C21</f>
        <v>0</v>
      </c>
      <c r="BF152" s="241"/>
      <c r="BG152" s="245">
        <f>$H$152*月別販売比率!H21</f>
        <v>0</v>
      </c>
      <c r="BH152" s="241"/>
      <c r="BI152" s="245">
        <f>$H$152*月別販売比率!M21</f>
        <v>0</v>
      </c>
      <c r="BJ152" s="241"/>
      <c r="BK152" s="245">
        <f>$H$152*月別販売比率!R21</f>
        <v>0</v>
      </c>
      <c r="BL152" s="241"/>
      <c r="BM152" s="245">
        <f>$H$152*月別販売比率!W21</f>
        <v>0</v>
      </c>
      <c r="BN152" s="241"/>
      <c r="BO152" s="245">
        <f>$H$152*月別販売比率!AB21</f>
        <v>0</v>
      </c>
      <c r="BP152" s="241"/>
      <c r="BQ152" s="245">
        <f>$H$152*月別販売比率!AG21</f>
        <v>0</v>
      </c>
      <c r="BR152" s="241"/>
      <c r="BS152" s="245">
        <f>$H$152*月別販売比率!AL21</f>
        <v>0</v>
      </c>
      <c r="BT152" s="241"/>
      <c r="BU152" s="245">
        <f>$H$152*月別販売比率!AQ21</f>
        <v>0</v>
      </c>
      <c r="BV152" s="241"/>
      <c r="BW152" s="245">
        <f>$H$152*月別販売比率!AV21</f>
        <v>0</v>
      </c>
      <c r="BX152" s="241"/>
      <c r="BY152" s="245">
        <f>$H$152*月別販売比率!BA21</f>
        <v>0</v>
      </c>
      <c r="BZ152" s="241"/>
      <c r="CA152" s="245">
        <f>$H$152*月別販売比率!BF21</f>
        <v>0</v>
      </c>
      <c r="CB152" s="241"/>
      <c r="CC152" s="245">
        <f>H152*月別販売比率!$C$21</f>
        <v>0</v>
      </c>
      <c r="CD152" s="241"/>
      <c r="CE152" s="245">
        <f>$H$152*月別販売比率!BJ21</f>
        <v>0</v>
      </c>
      <c r="CF152" s="241"/>
      <c r="CG152" s="245">
        <f>$H$152*月別販売比率!BL21</f>
        <v>0</v>
      </c>
      <c r="CH152" s="241"/>
      <c r="CI152" s="245">
        <f>H152*月別販売比率!$R$21</f>
        <v>0</v>
      </c>
      <c r="CJ152" s="241"/>
      <c r="CK152" s="245">
        <f>$H$152*月別販売比率!BP21</f>
        <v>0</v>
      </c>
      <c r="CL152" s="241"/>
      <c r="CM152" s="245">
        <f>L152*月別販売比率!$R$21</f>
        <v>0</v>
      </c>
      <c r="CN152" s="241"/>
      <c r="CO152" s="245">
        <f>$H$152*月別販売比率!BT21</f>
        <v>0</v>
      </c>
      <c r="CP152" s="241"/>
      <c r="CQ152" s="245">
        <f>P152*月別販売比率!$R$21</f>
        <v>0</v>
      </c>
      <c r="CR152" s="241"/>
      <c r="CS152" s="245">
        <f>$H$152*月別販売比率!BX21</f>
        <v>0</v>
      </c>
      <c r="CT152" s="241"/>
      <c r="CU152" s="245">
        <v>0</v>
      </c>
      <c r="CV152" s="241"/>
      <c r="CW152" s="245">
        <f>$H$152*月別販売比率!BY21</f>
        <v>0</v>
      </c>
      <c r="CX152" s="241"/>
      <c r="CY152" s="245">
        <f>$H$152*月別販売比率!CA21</f>
        <v>0</v>
      </c>
      <c r="CZ152" s="241"/>
      <c r="DA152" s="28"/>
      <c r="DB152" s="294"/>
    </row>
    <row r="153" spans="2:106" ht="30.75" hidden="1" customHeight="1">
      <c r="C153" s="474"/>
      <c r="D153" s="460"/>
      <c r="E153" s="246" t="s">
        <v>51</v>
      </c>
      <c r="F153" s="247">
        <v>0</v>
      </c>
      <c r="G153" s="248">
        <f t="shared" si="241"/>
        <v>0</v>
      </c>
      <c r="H153" s="240">
        <f t="shared" si="242"/>
        <v>0</v>
      </c>
      <c r="I153" s="248">
        <f t="shared" si="241"/>
        <v>0</v>
      </c>
      <c r="J153" s="249">
        <v>0</v>
      </c>
      <c r="K153" s="241">
        <f>SUM(L153:N153)</f>
        <v>0</v>
      </c>
      <c r="L153" s="241"/>
      <c r="M153" s="242"/>
      <c r="N153" s="243"/>
      <c r="O153" s="287"/>
      <c r="P153" s="287"/>
      <c r="Q153" s="244"/>
      <c r="R153" s="244"/>
      <c r="S153" s="244"/>
      <c r="T153" s="244"/>
      <c r="U153" s="244"/>
      <c r="V153" s="244"/>
      <c r="W153" s="244"/>
      <c r="X153" s="244"/>
      <c r="Y153" s="244"/>
      <c r="Z153" s="244"/>
      <c r="AA153" s="244"/>
      <c r="AB153" s="244"/>
      <c r="AC153" s="244"/>
      <c r="AD153" s="244"/>
      <c r="AE153" s="244"/>
      <c r="AF153" s="244"/>
      <c r="AG153" s="244"/>
      <c r="AH153" s="244"/>
      <c r="AI153" s="129" t="e">
        <f>#REF!-CA153</f>
        <v>#REF!</v>
      </c>
      <c r="AJ153" s="129" t="e">
        <f t="shared" si="233"/>
        <v>#REF!</v>
      </c>
      <c r="AK153" s="129" t="e">
        <f t="shared" si="234"/>
        <v>#REF!</v>
      </c>
      <c r="AL153" s="252" t="e">
        <f t="shared" si="235"/>
        <v>#REF!</v>
      </c>
      <c r="AM153" s="129" t="e">
        <f t="shared" si="236"/>
        <v>#REF!</v>
      </c>
      <c r="AN153" s="252" t="e">
        <f t="shared" si="237"/>
        <v>#REF!</v>
      </c>
      <c r="AO153" s="252" t="e">
        <f t="shared" si="238"/>
        <v>#REF!</v>
      </c>
      <c r="AP153" s="252" t="e">
        <f t="shared" si="239"/>
        <v>#REF!</v>
      </c>
      <c r="AQ153" s="252" t="e">
        <f t="shared" si="240"/>
        <v>#REF!</v>
      </c>
      <c r="AR153" s="198"/>
      <c r="AS153" s="245">
        <f>$H$153*月別販売比率!AG5</f>
        <v>0</v>
      </c>
      <c r="AT153" s="241"/>
      <c r="AU153" s="245">
        <f>$H$153*月別販売比率!AL5</f>
        <v>0</v>
      </c>
      <c r="AV153" s="241"/>
      <c r="AW153" s="245">
        <f>$H$153*月別販売比率!AQ5</f>
        <v>0</v>
      </c>
      <c r="AX153" s="241"/>
      <c r="AY153" s="245">
        <f>$H$153*月別販売比率!AV5</f>
        <v>0</v>
      </c>
      <c r="AZ153" s="241"/>
      <c r="BA153" s="245">
        <f>$H$153*月別販売比率!BA5</f>
        <v>0</v>
      </c>
      <c r="BB153" s="241"/>
      <c r="BC153" s="245">
        <f>$H$153*月別販売比率!BF5</f>
        <v>0</v>
      </c>
      <c r="BD153" s="241"/>
      <c r="BE153" s="245">
        <f>$H$153*月別販売比率!C21</f>
        <v>0</v>
      </c>
      <c r="BF153" s="241"/>
      <c r="BG153" s="245">
        <f>$H$153*月別販売比率!H21</f>
        <v>0</v>
      </c>
      <c r="BH153" s="241"/>
      <c r="BI153" s="245">
        <f>$H$153*月別販売比率!M21</f>
        <v>0</v>
      </c>
      <c r="BJ153" s="241"/>
      <c r="BK153" s="245">
        <f>$H$153*月別販売比率!R21</f>
        <v>0</v>
      </c>
      <c r="BL153" s="241"/>
      <c r="BM153" s="245">
        <f>$H$153*月別販売比率!W21</f>
        <v>0</v>
      </c>
      <c r="BN153" s="241"/>
      <c r="BO153" s="245">
        <f>$H$153*月別販売比率!AB21</f>
        <v>0</v>
      </c>
      <c r="BP153" s="241"/>
      <c r="BQ153" s="245">
        <f>$H$153*月別販売比率!AG21</f>
        <v>0</v>
      </c>
      <c r="BR153" s="241"/>
      <c r="BS153" s="245">
        <f>$H$153*月別販売比率!AL21</f>
        <v>0</v>
      </c>
      <c r="BT153" s="241"/>
      <c r="BU153" s="245">
        <f>$H$153*月別販売比率!AQ21</f>
        <v>0</v>
      </c>
      <c r="BV153" s="241"/>
      <c r="BW153" s="245">
        <f>$H$153*月別販売比率!AV21</f>
        <v>0</v>
      </c>
      <c r="BX153" s="241"/>
      <c r="BY153" s="245">
        <f>$H$153*月別販売比率!BA21</f>
        <v>0</v>
      </c>
      <c r="BZ153" s="241"/>
      <c r="CA153" s="245">
        <f>$H$153*月別販売比率!BF21</f>
        <v>0</v>
      </c>
      <c r="CB153" s="241"/>
      <c r="CC153" s="245">
        <f>H153*月別販売比率!$C$21</f>
        <v>0</v>
      </c>
      <c r="CD153" s="241"/>
      <c r="CE153" s="245">
        <f>$H$153*月別販売比率!BJ21</f>
        <v>0</v>
      </c>
      <c r="CF153" s="241"/>
      <c r="CG153" s="245">
        <f>$H$153*月別販売比率!BL21</f>
        <v>0</v>
      </c>
      <c r="CH153" s="241"/>
      <c r="CI153" s="245">
        <f>H153*月別販売比率!$R$21</f>
        <v>0</v>
      </c>
      <c r="CJ153" s="241"/>
      <c r="CK153" s="245">
        <f>$H$153*月別販売比率!BP21</f>
        <v>0</v>
      </c>
      <c r="CL153" s="241"/>
      <c r="CM153" s="245">
        <f>L153*月別販売比率!$R$21</f>
        <v>0</v>
      </c>
      <c r="CN153" s="241"/>
      <c r="CO153" s="245">
        <f>$H$153*月別販売比率!BT21</f>
        <v>0</v>
      </c>
      <c r="CP153" s="241"/>
      <c r="CQ153" s="245">
        <f>P153*月別販売比率!$R$21</f>
        <v>0</v>
      </c>
      <c r="CR153" s="241"/>
      <c r="CS153" s="245">
        <f>$H$153*月別販売比率!BX21</f>
        <v>0</v>
      </c>
      <c r="CT153" s="241"/>
      <c r="CU153" s="245">
        <v>0</v>
      </c>
      <c r="CV153" s="241"/>
      <c r="CW153" s="245">
        <f>$H$153*月別販売比率!BY21</f>
        <v>0</v>
      </c>
      <c r="CX153" s="241"/>
      <c r="CY153" s="245">
        <f>$H$153*月別販売比率!CA21</f>
        <v>0</v>
      </c>
      <c r="CZ153" s="241"/>
      <c r="DA153" s="28"/>
      <c r="DB153" s="294"/>
    </row>
    <row r="154" spans="2:106" ht="30.75" hidden="1" customHeight="1">
      <c r="C154" s="474"/>
      <c r="D154" s="460"/>
      <c r="E154" s="246" t="s">
        <v>49</v>
      </c>
      <c r="F154" s="247">
        <v>0</v>
      </c>
      <c r="G154" s="248">
        <f t="shared" si="241"/>
        <v>0</v>
      </c>
      <c r="H154" s="240">
        <f t="shared" si="242"/>
        <v>0</v>
      </c>
      <c r="I154" s="248">
        <f t="shared" si="241"/>
        <v>0</v>
      </c>
      <c r="J154" s="249">
        <v>0</v>
      </c>
      <c r="K154" s="241">
        <f t="shared" si="232"/>
        <v>0</v>
      </c>
      <c r="L154" s="241"/>
      <c r="M154" s="242"/>
      <c r="N154" s="243"/>
      <c r="O154" s="287"/>
      <c r="P154" s="287"/>
      <c r="Q154" s="244"/>
      <c r="R154" s="244"/>
      <c r="S154" s="244"/>
      <c r="T154" s="244"/>
      <c r="U154" s="244"/>
      <c r="V154" s="244"/>
      <c r="W154" s="244"/>
      <c r="X154" s="244"/>
      <c r="Y154" s="244"/>
      <c r="Z154" s="244"/>
      <c r="AA154" s="244"/>
      <c r="AB154" s="244"/>
      <c r="AC154" s="244"/>
      <c r="AD154" s="244"/>
      <c r="AE154" s="244"/>
      <c r="AF154" s="244"/>
      <c r="AG154" s="244"/>
      <c r="AH154" s="244"/>
      <c r="AI154" s="129" t="e">
        <f>#REF!-CA154</f>
        <v>#REF!</v>
      </c>
      <c r="AJ154" s="129" t="e">
        <f t="shared" si="233"/>
        <v>#REF!</v>
      </c>
      <c r="AK154" s="129" t="e">
        <f t="shared" si="234"/>
        <v>#REF!</v>
      </c>
      <c r="AL154" s="252" t="e">
        <f t="shared" si="235"/>
        <v>#REF!</v>
      </c>
      <c r="AM154" s="129" t="e">
        <f t="shared" si="236"/>
        <v>#REF!</v>
      </c>
      <c r="AN154" s="252" t="e">
        <f t="shared" si="237"/>
        <v>#REF!</v>
      </c>
      <c r="AO154" s="252" t="e">
        <f t="shared" si="238"/>
        <v>#REF!</v>
      </c>
      <c r="AP154" s="252" t="e">
        <f t="shared" si="239"/>
        <v>#REF!</v>
      </c>
      <c r="AQ154" s="252" t="e">
        <f t="shared" si="240"/>
        <v>#REF!</v>
      </c>
      <c r="AR154" s="198"/>
      <c r="AS154" s="245">
        <f>$H$154*月別販売比率!AG5</f>
        <v>0</v>
      </c>
      <c r="AT154" s="280"/>
      <c r="AU154" s="245">
        <f>$H$154*月別販売比率!AL5</f>
        <v>0</v>
      </c>
      <c r="AV154" s="280"/>
      <c r="AW154" s="245">
        <f>$H$154*月別販売比率!AQ5</f>
        <v>0</v>
      </c>
      <c r="AX154" s="280"/>
      <c r="AY154" s="245">
        <f>$H$154*月別販売比率!AV5</f>
        <v>0</v>
      </c>
      <c r="AZ154" s="280"/>
      <c r="BA154" s="245">
        <f>$H$154*月別販売比率!BA5</f>
        <v>0</v>
      </c>
      <c r="BB154" s="280"/>
      <c r="BC154" s="245">
        <f>$H$154*月別販売比率!BF5</f>
        <v>0</v>
      </c>
      <c r="BD154" s="280"/>
      <c r="BE154" s="245">
        <f>$H$154*月別販売比率!C21</f>
        <v>0</v>
      </c>
      <c r="BF154" s="280"/>
      <c r="BG154" s="245">
        <f>$H$154*月別販売比率!H21</f>
        <v>0</v>
      </c>
      <c r="BH154" s="280"/>
      <c r="BI154" s="245">
        <f>$H$154*月別販売比率!M21</f>
        <v>0</v>
      </c>
      <c r="BJ154" s="280"/>
      <c r="BK154" s="245">
        <f>$H$154*月別販売比率!R21</f>
        <v>0</v>
      </c>
      <c r="BL154" s="280"/>
      <c r="BM154" s="245">
        <f>$H$154*月別販売比率!W21</f>
        <v>0</v>
      </c>
      <c r="BN154" s="280"/>
      <c r="BO154" s="245">
        <f>$H$154*月別販売比率!AB21</f>
        <v>0</v>
      </c>
      <c r="BP154" s="280"/>
      <c r="BQ154" s="245">
        <f>$H$154*月別販売比率!AG21</f>
        <v>0</v>
      </c>
      <c r="BR154" s="280"/>
      <c r="BS154" s="245">
        <f>$H$154*月別販売比率!AL21</f>
        <v>0</v>
      </c>
      <c r="BT154" s="280"/>
      <c r="BU154" s="245">
        <f>$H$154*月別販売比率!AQ21</f>
        <v>0</v>
      </c>
      <c r="BV154" s="280"/>
      <c r="BW154" s="245">
        <f>$H$154*月別販売比率!AV21</f>
        <v>0</v>
      </c>
      <c r="BX154" s="280"/>
      <c r="BY154" s="245">
        <f>$H$154*月別販売比率!BA21</f>
        <v>0</v>
      </c>
      <c r="BZ154" s="280"/>
      <c r="CA154" s="245">
        <f>$H$154*月別販売比率!BF21</f>
        <v>0</v>
      </c>
      <c r="CB154" s="280"/>
      <c r="CC154" s="245">
        <f>H154*月別販売比率!$C$21</f>
        <v>0</v>
      </c>
      <c r="CD154" s="280"/>
      <c r="CE154" s="245">
        <f>$H$154*月別販売比率!BJ21</f>
        <v>0</v>
      </c>
      <c r="CF154" s="280"/>
      <c r="CG154" s="245">
        <f>$H$154*月別販売比率!BL21</f>
        <v>0</v>
      </c>
      <c r="CH154" s="280"/>
      <c r="CI154" s="245">
        <f>H154*月別販売比率!$R$21</f>
        <v>0</v>
      </c>
      <c r="CJ154" s="280"/>
      <c r="CK154" s="245">
        <f>$H$154*月別販売比率!BP21</f>
        <v>0</v>
      </c>
      <c r="CL154" s="280"/>
      <c r="CM154" s="245">
        <f>L154*月別販売比率!$R$21</f>
        <v>0</v>
      </c>
      <c r="CN154" s="280"/>
      <c r="CO154" s="245">
        <f>$H$154*月別販売比率!BT21</f>
        <v>0</v>
      </c>
      <c r="CP154" s="280"/>
      <c r="CQ154" s="245">
        <f>P154*月別販売比率!$R$21</f>
        <v>0</v>
      </c>
      <c r="CR154" s="280"/>
      <c r="CS154" s="245">
        <f>$H$154*月別販売比率!BX21</f>
        <v>0</v>
      </c>
      <c r="CT154" s="280"/>
      <c r="CU154" s="245">
        <v>0</v>
      </c>
      <c r="CV154" s="280"/>
      <c r="CW154" s="245">
        <f>$H$154*月別販売比率!BY21</f>
        <v>0</v>
      </c>
      <c r="CX154" s="280"/>
      <c r="CY154" s="245">
        <f>$H$154*月別販売比率!CA21</f>
        <v>0</v>
      </c>
      <c r="CZ154" s="280"/>
      <c r="DA154" s="50"/>
      <c r="DB154" s="295"/>
    </row>
    <row r="155" spans="2:106" ht="30.75" hidden="1" customHeight="1">
      <c r="C155" s="475"/>
      <c r="D155" s="497"/>
      <c r="E155" s="346" t="s">
        <v>50</v>
      </c>
      <c r="F155" s="347">
        <v>15</v>
      </c>
      <c r="G155" s="348">
        <f t="shared" si="241"/>
        <v>54450</v>
      </c>
      <c r="H155" s="349">
        <f t="shared" si="242"/>
        <v>16.83249370277078</v>
      </c>
      <c r="I155" s="348">
        <f t="shared" si="241"/>
        <v>61101.952141057933</v>
      </c>
      <c r="J155" s="350">
        <v>0</v>
      </c>
      <c r="K155" s="302">
        <f t="shared" si="232"/>
        <v>0</v>
      </c>
      <c r="L155" s="339"/>
      <c r="M155" s="351"/>
      <c r="N155" s="352"/>
      <c r="O155" s="353"/>
      <c r="P155" s="353"/>
      <c r="Q155" s="354"/>
      <c r="R155" s="354"/>
      <c r="S155" s="354"/>
      <c r="T155" s="354"/>
      <c r="U155" s="238"/>
      <c r="V155" s="238"/>
      <c r="W155" s="238"/>
      <c r="X155" s="238"/>
      <c r="Y155" s="238"/>
      <c r="Z155" s="238"/>
      <c r="AA155" s="238"/>
      <c r="AB155" s="238"/>
      <c r="AC155" s="238"/>
      <c r="AD155" s="238"/>
      <c r="AE155" s="238"/>
      <c r="AF155" s="238"/>
      <c r="AG155" s="238"/>
      <c r="AH155" s="238"/>
      <c r="AI155" s="238" t="e">
        <f>#REF!-CA155</f>
        <v>#REF!</v>
      </c>
      <c r="AJ155" s="238" t="e">
        <f t="shared" si="233"/>
        <v>#REF!</v>
      </c>
      <c r="AK155" s="238" t="e">
        <f t="shared" si="234"/>
        <v>#REF!</v>
      </c>
      <c r="AL155" s="251" t="e">
        <f t="shared" si="235"/>
        <v>#REF!</v>
      </c>
      <c r="AM155" s="238" t="e">
        <f t="shared" si="236"/>
        <v>#REF!</v>
      </c>
      <c r="AN155" s="251" t="e">
        <f t="shared" si="237"/>
        <v>#REF!</v>
      </c>
      <c r="AO155" s="251" t="e">
        <f t="shared" si="238"/>
        <v>#REF!</v>
      </c>
      <c r="AP155" s="251" t="e">
        <f t="shared" si="239"/>
        <v>#REF!</v>
      </c>
      <c r="AQ155" s="251" t="e">
        <f t="shared" si="240"/>
        <v>#REF!</v>
      </c>
      <c r="AR155" s="238"/>
      <c r="AS155" s="282">
        <f>$H$155*月別販売比率!AG5</f>
        <v>1.6832493702770781</v>
      </c>
      <c r="AT155" s="104"/>
      <c r="AU155" s="282">
        <f>$H$155*月別販売比率!AL5</f>
        <v>1.5149244332493701</v>
      </c>
      <c r="AV155" s="104"/>
      <c r="AW155" s="282">
        <f>$H$155*月別販売比率!AQ5</f>
        <v>1.6832493702770781</v>
      </c>
      <c r="AX155" s="104"/>
      <c r="AY155" s="282">
        <f>$H$155*月別販売比率!AV5</f>
        <v>1.0250041921297732</v>
      </c>
      <c r="AZ155" s="104"/>
      <c r="BA155" s="282">
        <f>$H$155*月別販売比率!BA5</f>
        <v>0.93627582899616735</v>
      </c>
      <c r="BB155" s="104"/>
      <c r="BC155" s="282">
        <f>$H$155*月別販売比率!BF5</f>
        <v>1.3465994962216623</v>
      </c>
      <c r="BD155" s="104"/>
      <c r="BE155" s="282">
        <f>$H$155*月別販売比率!C21</f>
        <v>1.1928220606589475</v>
      </c>
      <c r="BF155" s="104"/>
      <c r="BG155" s="282">
        <f>$H$155*月別販売比率!H21</f>
        <v>1.1782745591939547</v>
      </c>
      <c r="BH155" s="104"/>
      <c r="BI155" s="282">
        <f>$H$155*月別販売比率!M21</f>
        <v>1.7011539107526896</v>
      </c>
      <c r="BJ155" s="104"/>
      <c r="BK155" s="282">
        <f>$H$155*月別販売比率!R21</f>
        <v>1.3465994962216623</v>
      </c>
      <c r="BL155" s="104"/>
      <c r="BM155" s="282">
        <f>$H$155*月別販売比率!W21</f>
        <v>1.2820758402891868</v>
      </c>
      <c r="BN155" s="104"/>
      <c r="BO155" s="282">
        <f>$H$155*月別販売比率!AB21</f>
        <v>2.0198992443324935</v>
      </c>
      <c r="BP155" s="104"/>
      <c r="BQ155" s="282">
        <f>$H$155*月別販売比率!AG21</f>
        <v>1.6832493702770781</v>
      </c>
      <c r="BR155" s="104"/>
      <c r="BS155" s="282">
        <f>$H$155*月別販売比率!AL21</f>
        <v>1.5149244332493701</v>
      </c>
      <c r="BT155" s="104"/>
      <c r="BU155" s="282">
        <f>$H$155*月別販売比率!AQ21</f>
        <v>1.6832493702770781</v>
      </c>
      <c r="BV155" s="104"/>
      <c r="BW155" s="282">
        <f>$H$155*月別販売比率!AV21</f>
        <v>1.0250041921297732</v>
      </c>
      <c r="BX155" s="104"/>
      <c r="BY155" s="282">
        <f>$H$155*月別販売比率!BA21</f>
        <v>0.93627582899616735</v>
      </c>
      <c r="BZ155" s="104"/>
      <c r="CA155" s="282">
        <f>$H$155*月別販売比率!BF21</f>
        <v>1.3465994962216623</v>
      </c>
      <c r="CB155" s="104"/>
      <c r="CC155" s="282">
        <f>H155*月別販売比率!$C$21</f>
        <v>1.1928220606589475</v>
      </c>
      <c r="CD155" s="104"/>
      <c r="CE155" s="282">
        <f>$H$155*月別販売比率!BJ21</f>
        <v>0</v>
      </c>
      <c r="CF155" s="104"/>
      <c r="CG155" s="282">
        <f>$H$155*月別販売比率!BL21</f>
        <v>0</v>
      </c>
      <c r="CH155" s="104"/>
      <c r="CI155" s="282">
        <f>H155*月別販売比率!$R$21</f>
        <v>1.3465994962216623</v>
      </c>
      <c r="CJ155" s="104"/>
      <c r="CK155" s="282">
        <f>$H$155*月別販売比率!BP21</f>
        <v>0</v>
      </c>
      <c r="CL155" s="104"/>
      <c r="CM155" s="282">
        <f>L155*月別販売比率!$R$21</f>
        <v>0</v>
      </c>
      <c r="CN155" s="104"/>
      <c r="CO155" s="282">
        <f>$H$155*月別販売比率!BT21</f>
        <v>0</v>
      </c>
      <c r="CP155" s="104"/>
      <c r="CQ155" s="282">
        <f>P155*月別販売比率!$R$21</f>
        <v>0</v>
      </c>
      <c r="CR155" s="104"/>
      <c r="CS155" s="282">
        <f>$H$155*月別販売比率!BX21</f>
        <v>0</v>
      </c>
      <c r="CT155" s="104"/>
      <c r="CU155" s="282">
        <v>1.0250041921297732</v>
      </c>
      <c r="CV155" s="104"/>
      <c r="CW155" s="282">
        <f>$H$155*月別販売比率!BY21</f>
        <v>0</v>
      </c>
      <c r="CX155" s="104"/>
      <c r="CY155" s="282">
        <f>$H$155*月別販売比率!CA21</f>
        <v>0</v>
      </c>
      <c r="CZ155" s="104"/>
      <c r="DA155" s="296"/>
      <c r="DB155" s="297"/>
    </row>
    <row r="156" spans="2:106" ht="30.75" customHeight="1">
      <c r="B156" s="2" t="s">
        <v>282</v>
      </c>
      <c r="C156" s="435" t="s">
        <v>487</v>
      </c>
      <c r="D156" s="436"/>
      <c r="E156" s="445"/>
      <c r="F156" s="130">
        <f>SUM(F157:F168)</f>
        <v>1200.0000000000002</v>
      </c>
      <c r="G156" s="131">
        <f>SUM(G157:G168)</f>
        <v>5279999.9999999991</v>
      </c>
      <c r="H156" s="130">
        <v>1200</v>
      </c>
      <c r="I156" s="131">
        <f t="shared" ref="I156:N156" si="243">SUM(I157:I168)</f>
        <v>5279999.9999999981</v>
      </c>
      <c r="J156" s="133">
        <f>SUM(J157:J168)</f>
        <v>442</v>
      </c>
      <c r="K156" s="134">
        <f t="shared" si="243"/>
        <v>312</v>
      </c>
      <c r="L156" s="134">
        <f t="shared" si="243"/>
        <v>95</v>
      </c>
      <c r="M156" s="134">
        <f t="shared" si="243"/>
        <v>217</v>
      </c>
      <c r="N156" s="135">
        <f t="shared" si="243"/>
        <v>0</v>
      </c>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6">
        <f t="shared" ref="AS156:CB156" si="244">SUM(AS157:AS168)</f>
        <v>119.99999999999997</v>
      </c>
      <c r="AT156" s="134">
        <f t="shared" si="244"/>
        <v>0</v>
      </c>
      <c r="AU156" s="136">
        <f t="shared" si="244"/>
        <v>107.99999999999996</v>
      </c>
      <c r="AV156" s="134">
        <f t="shared" si="244"/>
        <v>0</v>
      </c>
      <c r="AW156" s="136">
        <f t="shared" si="244"/>
        <v>119.99999999999997</v>
      </c>
      <c r="AX156" s="134">
        <f t="shared" si="244"/>
        <v>600</v>
      </c>
      <c r="AY156" s="136">
        <f t="shared" si="244"/>
        <v>73.07325059941995</v>
      </c>
      <c r="AZ156" s="134">
        <f t="shared" si="244"/>
        <v>0</v>
      </c>
      <c r="BA156" s="136">
        <f t="shared" si="244"/>
        <v>66.747744846056719</v>
      </c>
      <c r="BB156" s="134">
        <f t="shared" si="244"/>
        <v>0</v>
      </c>
      <c r="BC156" s="136">
        <f t="shared" si="244"/>
        <v>95.999999999999986</v>
      </c>
      <c r="BD156" s="134">
        <f t="shared" si="244"/>
        <v>0</v>
      </c>
      <c r="BE156" s="136">
        <f t="shared" si="244"/>
        <v>85.037101339008217</v>
      </c>
      <c r="BF156" s="134">
        <f t="shared" si="244"/>
        <v>0</v>
      </c>
      <c r="BG156" s="136">
        <f t="shared" si="244"/>
        <v>83.999999999999986</v>
      </c>
      <c r="BH156" s="134">
        <f t="shared" si="244"/>
        <v>0</v>
      </c>
      <c r="BI156" s="136">
        <f t="shared" si="244"/>
        <v>121.2764269483848</v>
      </c>
      <c r="BJ156" s="134">
        <f t="shared" si="244"/>
        <v>0</v>
      </c>
      <c r="BK156" s="136">
        <f t="shared" si="244"/>
        <v>95.999999999999986</v>
      </c>
      <c r="BL156" s="134">
        <f t="shared" si="244"/>
        <v>600</v>
      </c>
      <c r="BM156" s="136">
        <f t="shared" si="244"/>
        <v>91.400064394129217</v>
      </c>
      <c r="BN156" s="134">
        <f t="shared" si="244"/>
        <v>0</v>
      </c>
      <c r="BO156" s="136">
        <f t="shared" si="244"/>
        <v>143.99999999999997</v>
      </c>
      <c r="BP156" s="134">
        <f t="shared" si="244"/>
        <v>0</v>
      </c>
      <c r="BQ156" s="136">
        <f t="shared" si="244"/>
        <v>119.99999999999997</v>
      </c>
      <c r="BR156" s="134">
        <f t="shared" si="244"/>
        <v>600</v>
      </c>
      <c r="BS156" s="136">
        <f t="shared" si="244"/>
        <v>107.99999999999996</v>
      </c>
      <c r="BT156" s="134">
        <f t="shared" si="244"/>
        <v>0</v>
      </c>
      <c r="BU156" s="136">
        <f t="shared" si="244"/>
        <v>119.99999999999997</v>
      </c>
      <c r="BV156" s="134">
        <f t="shared" si="244"/>
        <v>0</v>
      </c>
      <c r="BW156" s="136">
        <f t="shared" si="244"/>
        <v>73.07325059941995</v>
      </c>
      <c r="BX156" s="134">
        <f t="shared" si="244"/>
        <v>0</v>
      </c>
      <c r="BY156" s="136">
        <f t="shared" si="244"/>
        <v>66.747744846056719</v>
      </c>
      <c r="BZ156" s="134">
        <f t="shared" si="244"/>
        <v>0</v>
      </c>
      <c r="CA156" s="136">
        <f t="shared" si="244"/>
        <v>95.999999999999986</v>
      </c>
      <c r="CB156" s="134">
        <f t="shared" si="244"/>
        <v>0</v>
      </c>
      <c r="CC156" s="136">
        <f t="shared" ref="CC156:CD156" si="245">SUM(CC157:CC168)</f>
        <v>85.037101339008217</v>
      </c>
      <c r="CD156" s="134">
        <f t="shared" si="245"/>
        <v>0</v>
      </c>
      <c r="CE156" s="136">
        <f t="shared" ref="CE156:CF156" si="246">SUM(CE157:CE168)</f>
        <v>83.999999999999986</v>
      </c>
      <c r="CF156" s="134">
        <f t="shared" si="246"/>
        <v>600</v>
      </c>
      <c r="CG156" s="136">
        <f t="shared" ref="CG156:CJ156" si="247">SUM(CG157:CG168)</f>
        <v>121.2764269483848</v>
      </c>
      <c r="CH156" s="134">
        <f t="shared" si="247"/>
        <v>300</v>
      </c>
      <c r="CI156" s="136">
        <f>H156*月別販売比率!$R$21</f>
        <v>96</v>
      </c>
      <c r="CJ156" s="134">
        <f t="shared" si="247"/>
        <v>0</v>
      </c>
      <c r="CK156" s="136">
        <f t="shared" ref="CK156:CL156" si="248">SUM(CK157:CK168)</f>
        <v>91.400064394129217</v>
      </c>
      <c r="CL156" s="134">
        <f t="shared" si="248"/>
        <v>0</v>
      </c>
      <c r="CM156" s="136">
        <f>L156*月別販売比率!$R$21</f>
        <v>7.6000000000000005</v>
      </c>
      <c r="CN156" s="134">
        <f t="shared" ref="CN156:CP156" si="249">SUM(CN157:CN168)</f>
        <v>0</v>
      </c>
      <c r="CO156" s="136">
        <f t="shared" si="249"/>
        <v>119.99999999999997</v>
      </c>
      <c r="CP156" s="134">
        <f t="shared" si="249"/>
        <v>300</v>
      </c>
      <c r="CQ156" s="136">
        <f>P156*月別販売比率!$R$21</f>
        <v>0</v>
      </c>
      <c r="CR156" s="134">
        <f t="shared" ref="CR156:CT156" si="250">SUM(CR157:CR168)</f>
        <v>0</v>
      </c>
      <c r="CS156" s="136">
        <f t="shared" si="250"/>
        <v>119.99999999999997</v>
      </c>
      <c r="CT156" s="134">
        <f t="shared" si="250"/>
        <v>0</v>
      </c>
      <c r="CU156" s="136">
        <v>73.07325059941995</v>
      </c>
      <c r="CV156" s="134">
        <f t="shared" ref="CV156:CX156" si="251">SUM(CV157:CV168)</f>
        <v>0</v>
      </c>
      <c r="CW156" s="136">
        <f t="shared" si="251"/>
        <v>66.747744846056719</v>
      </c>
      <c r="CX156" s="134">
        <f t="shared" si="251"/>
        <v>0</v>
      </c>
      <c r="CY156" s="136">
        <f t="shared" ref="CY156:CZ156" si="252">SUM(CY157:CY168)</f>
        <v>95.999999999999986</v>
      </c>
      <c r="CZ156" s="134">
        <f t="shared" si="252"/>
        <v>0</v>
      </c>
      <c r="DA156" s="141"/>
      <c r="DB156" s="293"/>
    </row>
    <row r="157" spans="2:106" ht="30.75" customHeight="1">
      <c r="C157" s="446" t="s">
        <v>479</v>
      </c>
      <c r="D157" s="443">
        <v>1</v>
      </c>
      <c r="E157" s="99" t="s">
        <v>47</v>
      </c>
      <c r="F157" s="56">
        <v>214.42006269592474</v>
      </c>
      <c r="G157" s="46">
        <f>F157*4400</f>
        <v>943448.27586206887</v>
      </c>
      <c r="H157" s="45">
        <f>F157*($H$156/$F$156)</f>
        <v>214.42006269592468</v>
      </c>
      <c r="I157" s="46">
        <f>H157*4400</f>
        <v>943448.27586206864</v>
      </c>
      <c r="J157" s="49">
        <v>133</v>
      </c>
      <c r="K157" s="40">
        <f t="shared" ref="K157:K168" si="253">SUM(L157:N157)</f>
        <v>23</v>
      </c>
      <c r="L157" s="39">
        <v>9</v>
      </c>
      <c r="M157" s="39">
        <v>14</v>
      </c>
      <c r="N157" s="42"/>
      <c r="O157" s="288"/>
      <c r="P157" s="288"/>
      <c r="Q157" s="331">
        <v>45654</v>
      </c>
      <c r="R157" s="124"/>
      <c r="S157" s="124"/>
      <c r="T157" s="124"/>
      <c r="U157" s="124"/>
      <c r="V157" s="124"/>
      <c r="W157" s="124"/>
      <c r="X157" s="331">
        <v>45860</v>
      </c>
      <c r="Y157" s="124"/>
      <c r="Z157" s="124"/>
      <c r="AA157" s="124"/>
      <c r="AB157" s="124"/>
      <c r="AC157" s="124"/>
      <c r="AD157" s="328"/>
      <c r="AE157" s="328"/>
      <c r="AF157" s="328"/>
      <c r="AG157" s="331"/>
      <c r="AH157" s="331"/>
      <c r="AI157" s="129">
        <f t="shared" ref="AI157:AI168" si="254">SUM(J157:K157)-CI157+CJ157</f>
        <v>138.84639498432603</v>
      </c>
      <c r="AJ157" s="129">
        <f t="shared" ref="AJ157:AJ168" si="255">AI157-CK157+CL157</f>
        <v>122.51472203615873</v>
      </c>
      <c r="AK157" s="129">
        <f t="shared" ref="AK157:AK168" si="256">AJ157-CM157+CN157</f>
        <v>96.784314512647768</v>
      </c>
      <c r="AL157" s="399">
        <f t="shared" ref="AL157:AL168" si="257">AK157-CO157+CP157</f>
        <v>145.3423082430553</v>
      </c>
      <c r="AM157" s="393">
        <f t="shared" ref="AM157:AM168" si="258">AL157-CQ157+CR157</f>
        <v>126.04450260042208</v>
      </c>
      <c r="AN157" s="393">
        <f t="shared" ref="AN157:AN168" si="259">AM157-CS157+CT157</f>
        <v>104.60249633082961</v>
      </c>
      <c r="AO157" s="393">
        <f t="shared" ref="AO157:AO168" si="260">AN157-CU157+CV157</f>
        <v>91.545520518394071</v>
      </c>
      <c r="AP157" s="96">
        <f t="shared" ref="AP157:AP168" si="261">AO157-CW157+CX157</f>
        <v>79.618807489474847</v>
      </c>
      <c r="AQ157" s="91">
        <f t="shared" ref="AQ157:AQ168" si="262">AP157-CY157+CZ157</f>
        <v>62.465202473800872</v>
      </c>
      <c r="AR157" s="198"/>
      <c r="AS157" s="81">
        <f>$H$157*月別販売比率!AG5</f>
        <v>21.442006269592468</v>
      </c>
      <c r="AT157" s="39"/>
      <c r="AU157" s="81">
        <f>$H$157*月別販売比率!AL5</f>
        <v>19.297805642633222</v>
      </c>
      <c r="AV157" s="39"/>
      <c r="AW157" s="245">
        <f>$H$157*月別販売比率!AQ5</f>
        <v>21.442006269592468</v>
      </c>
      <c r="AX157" s="280">
        <v>100</v>
      </c>
      <c r="AY157" s="81">
        <f>$H$157*月別販売比率!AV5</f>
        <v>13.056975812435539</v>
      </c>
      <c r="AZ157" s="39"/>
      <c r="BA157" s="81">
        <f>$H$157*月別販売比率!BA5</f>
        <v>11.926713028919226</v>
      </c>
      <c r="BB157" s="39"/>
      <c r="BC157" s="81">
        <f>$H$157*月別販売比率!BF5</f>
        <v>17.153605015673975</v>
      </c>
      <c r="BD157" s="39"/>
      <c r="BE157" s="81">
        <f>$H$157*月別販売比率!C5</f>
        <v>15.194717167158206</v>
      </c>
      <c r="BF157" s="39"/>
      <c r="BG157" s="81">
        <f>$H$157*月別販売比率!H5</f>
        <v>15.00940438871473</v>
      </c>
      <c r="BH157" s="39"/>
      <c r="BI157" s="81">
        <f>$H$157*月別販売比率!M5</f>
        <v>21.670082558175334</v>
      </c>
      <c r="BJ157" s="39"/>
      <c r="BK157" s="245">
        <f>$H$157*月別販売比率!R5</f>
        <v>17.153605015673975</v>
      </c>
      <c r="BL157" s="280">
        <v>115</v>
      </c>
      <c r="BM157" s="81">
        <f>$H$157*月別販売比率!W5</f>
        <v>16.331672948167288</v>
      </c>
      <c r="BN157" s="39"/>
      <c r="BO157" s="81">
        <f>$H$157*月別販売比率!AB5</f>
        <v>25.730407523510962</v>
      </c>
      <c r="BP157" s="39"/>
      <c r="BQ157" s="245">
        <f>$H$157*月別販売比率!AG5</f>
        <v>21.442006269592468</v>
      </c>
      <c r="BR157" s="280">
        <v>75</v>
      </c>
      <c r="BS157" s="81">
        <f>$H$157*月別販売比率!AL5</f>
        <v>19.297805642633222</v>
      </c>
      <c r="BT157" s="39"/>
      <c r="BU157" s="81">
        <f>$H$157*月別販売比率!AQ5</f>
        <v>21.442006269592468</v>
      </c>
      <c r="BV157" s="39"/>
      <c r="BW157" s="81">
        <f>$H$157*月別販売比率!AV5</f>
        <v>13.056975812435539</v>
      </c>
      <c r="BX157" s="39"/>
      <c r="BY157" s="81">
        <f>$H$157*月別販売比率!BA5</f>
        <v>11.926713028919226</v>
      </c>
      <c r="BZ157" s="39"/>
      <c r="CA157" s="81">
        <f>$H$157*月別販売比率!BF5</f>
        <v>17.153605015673975</v>
      </c>
      <c r="CB157" s="39"/>
      <c r="CC157" s="81">
        <f>H157*月別販売比率!$C$21</f>
        <v>15.194717167158206</v>
      </c>
      <c r="CD157" s="39"/>
      <c r="CE157" s="81">
        <f>H157*月別販売比率!$H$21</f>
        <v>15.00940438871473</v>
      </c>
      <c r="CF157" s="280">
        <v>120</v>
      </c>
      <c r="CG157" s="81">
        <f>H157*月別販売比率!$M$21</f>
        <v>21.670082558175334</v>
      </c>
      <c r="CH157" s="280">
        <v>70</v>
      </c>
      <c r="CI157" s="81">
        <f>H157*月別販売比率!$R$21</f>
        <v>17.153605015673975</v>
      </c>
      <c r="CJ157" s="39"/>
      <c r="CK157" s="81">
        <f>H157*月別販売比率!$W$21</f>
        <v>16.331672948167288</v>
      </c>
      <c r="CL157" s="39"/>
      <c r="CM157" s="81">
        <f>H157*月別販売比率!$AB$21</f>
        <v>25.730407523510962</v>
      </c>
      <c r="CN157" s="39"/>
      <c r="CO157" s="81">
        <f>H157*月別販売比率!$AG$21</f>
        <v>21.442006269592468</v>
      </c>
      <c r="CP157" s="39">
        <v>70</v>
      </c>
      <c r="CQ157" s="81">
        <f>H157*月別販売比率!$AL$21</f>
        <v>19.297805642633222</v>
      </c>
      <c r="CR157" s="39"/>
      <c r="CS157" s="81">
        <f>H157*月別販売比率!$AQ$21</f>
        <v>21.442006269592468</v>
      </c>
      <c r="CT157" s="39"/>
      <c r="CU157" s="81">
        <f>H157*月別販売比率!$AV$21</f>
        <v>13.056975812435539</v>
      </c>
      <c r="CV157" s="39"/>
      <c r="CW157" s="81">
        <f>H157*月別販売比率!$BA$21</f>
        <v>11.926713028919226</v>
      </c>
      <c r="CX157" s="39"/>
      <c r="CY157" s="81">
        <f>H157*月別販売比率!$BF$21</f>
        <v>17.153605015673975</v>
      </c>
      <c r="CZ157" s="39"/>
      <c r="DA157" s="28"/>
      <c r="DB157" s="294"/>
    </row>
    <row r="158" spans="2:106" ht="30.75" customHeight="1">
      <c r="C158" s="498"/>
      <c r="D158" s="441"/>
      <c r="E158" s="94" t="s">
        <v>51</v>
      </c>
      <c r="F158" s="57">
        <v>203.13479623824452</v>
      </c>
      <c r="G158" s="46">
        <f t="shared" ref="G158:G168" si="263">F158*4400</f>
        <v>893793.10344827583</v>
      </c>
      <c r="H158" s="45">
        <f t="shared" ref="H158:H168" si="264">F158*($H$156/$F$156)</f>
        <v>203.13479623824446</v>
      </c>
      <c r="I158" s="46">
        <f t="shared" ref="I158:I168" si="265">H158*4400</f>
        <v>893793.10344827559</v>
      </c>
      <c r="J158" s="9">
        <v>126</v>
      </c>
      <c r="K158" s="10">
        <f t="shared" si="253"/>
        <v>36</v>
      </c>
      <c r="L158" s="21">
        <v>10</v>
      </c>
      <c r="M158" s="21">
        <v>26</v>
      </c>
      <c r="N158" s="42"/>
      <c r="O158" s="288"/>
      <c r="P158" s="288"/>
      <c r="Q158" s="331">
        <v>45654</v>
      </c>
      <c r="R158" s="124"/>
      <c r="S158" s="124"/>
      <c r="T158" s="124"/>
      <c r="U158" s="124"/>
      <c r="V158" s="124"/>
      <c r="W158" s="124"/>
      <c r="X158" s="124"/>
      <c r="Y158" s="124"/>
      <c r="Z158" s="124"/>
      <c r="AA158" s="124"/>
      <c r="AB158" s="124"/>
      <c r="AC158" s="124"/>
      <c r="AD158" s="124"/>
      <c r="AE158" s="328"/>
      <c r="AF158" s="328"/>
      <c r="AG158" s="331"/>
      <c r="AH158" s="331"/>
      <c r="AI158" s="129">
        <f t="shared" si="254"/>
        <v>145.74921630094045</v>
      </c>
      <c r="AJ158" s="129">
        <f t="shared" si="255"/>
        <v>130.27710508688722</v>
      </c>
      <c r="AK158" s="129">
        <f t="shared" si="256"/>
        <v>105.90092953829789</v>
      </c>
      <c r="AL158" s="399">
        <f t="shared" si="257"/>
        <v>145.58744991447344</v>
      </c>
      <c r="AM158" s="393">
        <f t="shared" si="258"/>
        <v>127.30531825303143</v>
      </c>
      <c r="AN158" s="393">
        <f t="shared" si="259"/>
        <v>106.99183862920698</v>
      </c>
      <c r="AO158" s="393">
        <f t="shared" si="260"/>
        <v>94.622072070057527</v>
      </c>
      <c r="AP158" s="96">
        <f t="shared" si="261"/>
        <v>83.323080779502476</v>
      </c>
      <c r="AQ158" s="91">
        <f t="shared" si="262"/>
        <v>67.072297080442922</v>
      </c>
      <c r="AR158" s="198"/>
      <c r="AS158" s="81">
        <f>$H$158*月別販売比率!AG5</f>
        <v>20.313479623824449</v>
      </c>
      <c r="AT158" s="21"/>
      <c r="AU158" s="81">
        <f>$H$158*月別販売比率!AL5</f>
        <v>18.282131661442001</v>
      </c>
      <c r="AV158" s="21"/>
      <c r="AW158" s="245">
        <f>$H$158*月別販売比率!AQ5</f>
        <v>20.313479623824449</v>
      </c>
      <c r="AX158" s="241">
        <v>100</v>
      </c>
      <c r="AY158" s="81">
        <f>$H$158*月別販売比率!AV5</f>
        <v>12.369766559149459</v>
      </c>
      <c r="AZ158" s="21"/>
      <c r="BA158" s="81">
        <f>$H$158*月別販売比率!BA5</f>
        <v>11.298991290555056</v>
      </c>
      <c r="BB158" s="21"/>
      <c r="BC158" s="81">
        <f>$H$158*月別販売比率!BF5</f>
        <v>16.250783699059557</v>
      </c>
      <c r="BD158" s="21"/>
      <c r="BE158" s="81">
        <f>$H$158*月別販売比率!C5</f>
        <v>14.394995210991986</v>
      </c>
      <c r="BF158" s="21"/>
      <c r="BG158" s="81">
        <f>$H$158*月別販売比率!H5</f>
        <v>14.219435736677113</v>
      </c>
      <c r="BH158" s="21"/>
      <c r="BI158" s="81">
        <f>$H$158*月別販売比率!M5</f>
        <v>20.529551897218738</v>
      </c>
      <c r="BJ158" s="21"/>
      <c r="BK158" s="245">
        <f>$H$158*月別販売比率!R5</f>
        <v>16.250783699059557</v>
      </c>
      <c r="BL158" s="241">
        <v>85</v>
      </c>
      <c r="BM158" s="81">
        <f>$H$158*月別販売比率!W5</f>
        <v>15.472111214053221</v>
      </c>
      <c r="BN158" s="21"/>
      <c r="BO158" s="81">
        <f>$H$158*月別販売比率!AB5</f>
        <v>24.376175548589334</v>
      </c>
      <c r="BP158" s="21"/>
      <c r="BQ158" s="245">
        <f>$H$158*月別販売比率!AG5</f>
        <v>20.313479623824449</v>
      </c>
      <c r="BR158" s="241">
        <v>85</v>
      </c>
      <c r="BS158" s="81">
        <f>$H$158*月別販売比率!AL5</f>
        <v>18.282131661442001</v>
      </c>
      <c r="BT158" s="21"/>
      <c r="BU158" s="81">
        <f>$H$158*月別販売比率!AQ5</f>
        <v>20.313479623824449</v>
      </c>
      <c r="BV158" s="21"/>
      <c r="BW158" s="81">
        <f>$H$158*月別販売比率!AV5</f>
        <v>12.369766559149459</v>
      </c>
      <c r="BX158" s="21"/>
      <c r="BY158" s="81">
        <f>$H$158*月別販売比率!BA5</f>
        <v>11.298991290555056</v>
      </c>
      <c r="BZ158" s="21"/>
      <c r="CA158" s="81">
        <f>$H$158*月別販売比率!BF5</f>
        <v>16.250783699059557</v>
      </c>
      <c r="CB158" s="21"/>
      <c r="CC158" s="81">
        <f>H158*月別販売比率!$C$21</f>
        <v>14.394995210991986</v>
      </c>
      <c r="CD158" s="21"/>
      <c r="CE158" s="81">
        <f>H158*月別販売比率!$H$21</f>
        <v>14.219435736677113</v>
      </c>
      <c r="CF158" s="241">
        <v>115</v>
      </c>
      <c r="CG158" s="81">
        <f>H158*月別販売比率!$M$21</f>
        <v>20.529551897218738</v>
      </c>
      <c r="CH158" s="241">
        <v>70</v>
      </c>
      <c r="CI158" s="81">
        <f>H158*月別販売比率!$R$21</f>
        <v>16.250783699059557</v>
      </c>
      <c r="CJ158" s="21"/>
      <c r="CK158" s="81">
        <f>H158*月別販売比率!$W$21</f>
        <v>15.472111214053221</v>
      </c>
      <c r="CL158" s="21"/>
      <c r="CM158" s="81">
        <f>H158*月別販売比率!$AB$21</f>
        <v>24.376175548589334</v>
      </c>
      <c r="CN158" s="21"/>
      <c r="CO158" s="81">
        <f>H158*月別販売比率!$AG$21</f>
        <v>20.313479623824449</v>
      </c>
      <c r="CP158" s="21">
        <v>60</v>
      </c>
      <c r="CQ158" s="81">
        <f>H158*月別販売比率!$AL$21</f>
        <v>18.282131661442001</v>
      </c>
      <c r="CR158" s="21"/>
      <c r="CS158" s="81">
        <f>H158*月別販売比率!$AQ$21</f>
        <v>20.313479623824449</v>
      </c>
      <c r="CT158" s="21"/>
      <c r="CU158" s="81">
        <f>H158*月別販売比率!$AV$21</f>
        <v>12.369766559149459</v>
      </c>
      <c r="CV158" s="21"/>
      <c r="CW158" s="81">
        <f>H158*月別販売比率!$BA$21</f>
        <v>11.298991290555056</v>
      </c>
      <c r="CX158" s="21"/>
      <c r="CY158" s="81">
        <f>H158*月別販売比率!$BF$21</f>
        <v>16.250783699059557</v>
      </c>
      <c r="CZ158" s="21"/>
      <c r="DA158" s="28"/>
      <c r="DB158" s="294"/>
    </row>
    <row r="159" spans="2:106" ht="30.75" customHeight="1">
      <c r="C159" s="498"/>
      <c r="D159" s="441"/>
      <c r="E159" s="94" t="s">
        <v>49</v>
      </c>
      <c r="F159" s="57">
        <v>45.141065830721004</v>
      </c>
      <c r="G159" s="46">
        <f t="shared" si="263"/>
        <v>198620.68965517241</v>
      </c>
      <c r="H159" s="45">
        <f t="shared" si="264"/>
        <v>45.141065830720997</v>
      </c>
      <c r="I159" s="46">
        <f t="shared" si="265"/>
        <v>198620.68965517238</v>
      </c>
      <c r="J159" s="9">
        <v>10</v>
      </c>
      <c r="K159" s="10">
        <f t="shared" si="253"/>
        <v>24</v>
      </c>
      <c r="L159" s="21">
        <v>9</v>
      </c>
      <c r="M159" s="21">
        <v>15</v>
      </c>
      <c r="N159" s="42"/>
      <c r="O159" s="288"/>
      <c r="P159" s="288"/>
      <c r="Q159" s="331">
        <v>45654</v>
      </c>
      <c r="R159" s="124"/>
      <c r="S159" s="124"/>
      <c r="T159" s="124"/>
      <c r="U159" s="124"/>
      <c r="V159" s="124"/>
      <c r="W159" s="124"/>
      <c r="X159" s="124"/>
      <c r="Y159" s="328"/>
      <c r="Z159" s="124"/>
      <c r="AA159" s="331">
        <v>45940</v>
      </c>
      <c r="AB159" s="124"/>
      <c r="AC159" s="124"/>
      <c r="AD159" s="328"/>
      <c r="AE159" s="328"/>
      <c r="AF159" s="328"/>
      <c r="AG159" s="331"/>
      <c r="AH159" s="331"/>
      <c r="AI159" s="129">
        <f t="shared" si="254"/>
        <v>30.388714733542319</v>
      </c>
      <c r="AJ159" s="129">
        <f t="shared" si="255"/>
        <v>26.950467797086048</v>
      </c>
      <c r="AK159" s="129">
        <f t="shared" si="256"/>
        <v>21.533539897399528</v>
      </c>
      <c r="AL159" s="399">
        <f t="shared" si="257"/>
        <v>32.019433314327429</v>
      </c>
      <c r="AM159" s="393">
        <f t="shared" si="258"/>
        <v>27.956737389562541</v>
      </c>
      <c r="AN159" s="393">
        <f t="shared" si="259"/>
        <v>23.442630806490442</v>
      </c>
      <c r="AO159" s="393">
        <f t="shared" si="260"/>
        <v>20.693793793346117</v>
      </c>
      <c r="AP159" s="96">
        <f t="shared" si="261"/>
        <v>18.182906839889437</v>
      </c>
      <c r="AQ159" s="91">
        <f t="shared" si="262"/>
        <v>14.571621573431758</v>
      </c>
      <c r="AR159" s="198"/>
      <c r="AS159" s="81">
        <f>$H$159*月別販売比率!AG5</f>
        <v>4.5141065830720999</v>
      </c>
      <c r="AT159" s="21"/>
      <c r="AU159" s="81">
        <f>$H$159*月別販売比率!AL5</f>
        <v>4.0626959247648893</v>
      </c>
      <c r="AV159" s="21"/>
      <c r="AW159" s="245">
        <f>$H$159*月別販売比率!AQ5</f>
        <v>4.5141065830720999</v>
      </c>
      <c r="AX159" s="241">
        <v>50</v>
      </c>
      <c r="AY159" s="81">
        <f>$H$159*月別販売比率!AV5</f>
        <v>2.7488370131443247</v>
      </c>
      <c r="AZ159" s="21"/>
      <c r="BA159" s="81">
        <f>$H$159*月別販売比率!BA5</f>
        <v>2.5108869534566796</v>
      </c>
      <c r="BB159" s="21"/>
      <c r="BC159" s="81">
        <f>$H$159*月別販売比率!BF5</f>
        <v>3.61128526645768</v>
      </c>
      <c r="BD159" s="21"/>
      <c r="BE159" s="81">
        <f>$H$159*月別販売比率!C5</f>
        <v>3.1988878246648866</v>
      </c>
      <c r="BF159" s="21"/>
      <c r="BG159" s="81">
        <f>$H$159*月別販売比率!H5</f>
        <v>3.1598746081504703</v>
      </c>
      <c r="BH159" s="21"/>
      <c r="BI159" s="81">
        <f>$H$159*月別販売比率!M5</f>
        <v>4.5621226438263873</v>
      </c>
      <c r="BJ159" s="21"/>
      <c r="BK159" s="245">
        <f>$H$159*月別販売比率!R5</f>
        <v>3.61128526645768</v>
      </c>
      <c r="BL159" s="241"/>
      <c r="BM159" s="81">
        <f>$H$159*月別販売比率!W5</f>
        <v>3.438246936456272</v>
      </c>
      <c r="BN159" s="21"/>
      <c r="BO159" s="81">
        <f>$H$159*月別販売比率!AB5</f>
        <v>5.4169278996865193</v>
      </c>
      <c r="BP159" s="21"/>
      <c r="BQ159" s="245">
        <f>$H$159*月別販売比率!AG5</f>
        <v>4.5141065830720999</v>
      </c>
      <c r="BR159" s="241">
        <v>40</v>
      </c>
      <c r="BS159" s="81">
        <f>$H$159*月別販売比率!AL5</f>
        <v>4.0626959247648893</v>
      </c>
      <c r="BT159" s="21"/>
      <c r="BU159" s="81">
        <f>$H$159*月別販売比率!AQ5</f>
        <v>4.5141065830720999</v>
      </c>
      <c r="BV159" s="21"/>
      <c r="BW159" s="81">
        <f>$H$159*月別販売比率!AV5</f>
        <v>2.7488370131443247</v>
      </c>
      <c r="BX159" s="21"/>
      <c r="BY159" s="81">
        <f>$H$159*月別販売比率!BA5</f>
        <v>2.5108869534566796</v>
      </c>
      <c r="BZ159" s="21"/>
      <c r="CA159" s="81">
        <f>$H$159*月別販売比率!BF5</f>
        <v>3.61128526645768</v>
      </c>
      <c r="CB159" s="21"/>
      <c r="CC159" s="81">
        <f>H159*月別販売比率!$C$21</f>
        <v>3.1988878246648866</v>
      </c>
      <c r="CD159" s="21"/>
      <c r="CE159" s="81">
        <f>H159*月別販売比率!$H$21</f>
        <v>3.1598746081504703</v>
      </c>
      <c r="CF159" s="241">
        <v>20</v>
      </c>
      <c r="CG159" s="81">
        <f>H159*月別販売比率!$M$21</f>
        <v>4.5621226438263873</v>
      </c>
      <c r="CH159" s="241">
        <v>20</v>
      </c>
      <c r="CI159" s="81">
        <f>H159*月別販売比率!$R$21</f>
        <v>3.61128526645768</v>
      </c>
      <c r="CJ159" s="21"/>
      <c r="CK159" s="81">
        <f>H159*月別販売比率!$W$21</f>
        <v>3.438246936456272</v>
      </c>
      <c r="CL159" s="21"/>
      <c r="CM159" s="81">
        <f>H159*月別販売比率!$AB$21</f>
        <v>5.4169278996865193</v>
      </c>
      <c r="CN159" s="21"/>
      <c r="CO159" s="81">
        <f>H159*月別販売比率!$AG$21</f>
        <v>4.5141065830720999</v>
      </c>
      <c r="CP159" s="21">
        <v>15</v>
      </c>
      <c r="CQ159" s="81">
        <f>H159*月別販売比率!$AL$21</f>
        <v>4.0626959247648893</v>
      </c>
      <c r="CR159" s="21"/>
      <c r="CS159" s="81">
        <f>H159*月別販売比率!$AQ$21</f>
        <v>4.5141065830720999</v>
      </c>
      <c r="CT159" s="21"/>
      <c r="CU159" s="81">
        <f>H159*月別販売比率!$AV$21</f>
        <v>2.7488370131443247</v>
      </c>
      <c r="CV159" s="21"/>
      <c r="CW159" s="81">
        <f>H159*月別販売比率!$BA$21</f>
        <v>2.5108869534566796</v>
      </c>
      <c r="CX159" s="21"/>
      <c r="CY159" s="81">
        <f>H159*月別販売比率!$BF$21</f>
        <v>3.61128526645768</v>
      </c>
      <c r="CZ159" s="21"/>
      <c r="DA159" s="28"/>
      <c r="DB159" s="294"/>
    </row>
    <row r="160" spans="2:106" ht="30.75" customHeight="1">
      <c r="C160" s="498"/>
      <c r="D160" s="442"/>
      <c r="E160" s="94" t="s">
        <v>50</v>
      </c>
      <c r="F160" s="57">
        <v>20.689655172413794</v>
      </c>
      <c r="G160" s="46">
        <f t="shared" si="263"/>
        <v>91034.482758620696</v>
      </c>
      <c r="H160" s="45">
        <f t="shared" si="264"/>
        <v>20.68965517241379</v>
      </c>
      <c r="I160" s="46">
        <f t="shared" si="265"/>
        <v>91034.482758620681</v>
      </c>
      <c r="J160" s="9">
        <v>0</v>
      </c>
      <c r="K160" s="10">
        <f t="shared" si="253"/>
        <v>25</v>
      </c>
      <c r="L160" s="21">
        <v>10</v>
      </c>
      <c r="M160" s="21">
        <v>15</v>
      </c>
      <c r="N160" s="42"/>
      <c r="O160" s="19"/>
      <c r="P160" s="19"/>
      <c r="Q160" s="330"/>
      <c r="R160" s="124"/>
      <c r="S160" s="124"/>
      <c r="T160" s="124"/>
      <c r="U160" s="124"/>
      <c r="V160" s="124"/>
      <c r="W160" s="124"/>
      <c r="X160" s="124"/>
      <c r="Y160" s="124"/>
      <c r="Z160" s="124"/>
      <c r="AA160" s="124"/>
      <c r="AB160" s="124"/>
      <c r="AC160" s="328"/>
      <c r="AD160" s="328"/>
      <c r="AE160" s="328"/>
      <c r="AF160" s="328"/>
      <c r="AG160" s="331"/>
      <c r="AH160" s="331"/>
      <c r="AI160" s="129">
        <f t="shared" si="254"/>
        <v>23.344827586206897</v>
      </c>
      <c r="AJ160" s="129">
        <f t="shared" si="255"/>
        <v>21.768964406997771</v>
      </c>
      <c r="AK160" s="129">
        <f t="shared" si="256"/>
        <v>19.286205786308116</v>
      </c>
      <c r="AL160" s="399">
        <f t="shared" si="257"/>
        <v>17.217240269066735</v>
      </c>
      <c r="AM160" s="393">
        <f t="shared" si="258"/>
        <v>15.355171303549493</v>
      </c>
      <c r="AN160" s="393">
        <f t="shared" si="259"/>
        <v>13.286205786308114</v>
      </c>
      <c r="AO160" s="393">
        <f t="shared" si="260"/>
        <v>12.026322155283632</v>
      </c>
      <c r="AP160" s="96">
        <f t="shared" si="261"/>
        <v>10.875498968282653</v>
      </c>
      <c r="AQ160" s="91">
        <f t="shared" si="262"/>
        <v>9.2203265544895494</v>
      </c>
      <c r="AR160" s="198"/>
      <c r="AS160" s="81">
        <f>$H$160*月別販売比率!AG5</f>
        <v>2.068965517241379</v>
      </c>
      <c r="AT160" s="21"/>
      <c r="AU160" s="81">
        <f>$H$160*月別販売比率!AL5</f>
        <v>1.8620689655172411</v>
      </c>
      <c r="AV160" s="21"/>
      <c r="AW160" s="245">
        <f>$H$160*月別販売比率!AQ5</f>
        <v>2.068965517241379</v>
      </c>
      <c r="AX160" s="241">
        <v>50</v>
      </c>
      <c r="AY160" s="81">
        <f>$H$160*月別販売比率!AV5</f>
        <v>1.2598836310244821</v>
      </c>
      <c r="AZ160" s="21"/>
      <c r="BA160" s="81">
        <f>$H$160*月別販売比率!BA5</f>
        <v>1.1508231870009782</v>
      </c>
      <c r="BB160" s="21"/>
      <c r="BC160" s="81">
        <f>$H$160*月別販売比率!BF5</f>
        <v>1.6551724137931032</v>
      </c>
      <c r="BD160" s="21"/>
      <c r="BE160" s="81">
        <f>$H$160*月別販売比率!C5</f>
        <v>1.4661569196380728</v>
      </c>
      <c r="BF160" s="21"/>
      <c r="BG160" s="81">
        <f>$H$160*月別販売比率!H5</f>
        <v>1.4482758620689655</v>
      </c>
      <c r="BH160" s="21"/>
      <c r="BI160" s="81">
        <f>$H$160*月別販売比率!M5</f>
        <v>2.0909728784204273</v>
      </c>
      <c r="BJ160" s="21"/>
      <c r="BK160" s="245">
        <f>$H$160*月別販売比率!R5</f>
        <v>1.6551724137931032</v>
      </c>
      <c r="BL160" s="241"/>
      <c r="BM160" s="81">
        <f>$H$160*月別販売比率!W5</f>
        <v>1.5758631792091247</v>
      </c>
      <c r="BN160" s="21"/>
      <c r="BO160" s="81">
        <f>$H$160*月別販売比率!AB5</f>
        <v>2.4827586206896548</v>
      </c>
      <c r="BP160" s="21"/>
      <c r="BQ160" s="245">
        <f>$H$160*月別販売比率!AG5</f>
        <v>2.068965517241379</v>
      </c>
      <c r="BR160" s="241"/>
      <c r="BS160" s="81">
        <f>$H$160*月別販売比率!AL5</f>
        <v>1.8620689655172411</v>
      </c>
      <c r="BT160" s="21"/>
      <c r="BU160" s="81">
        <f>$H$160*月別販売比率!AQ5</f>
        <v>2.068965517241379</v>
      </c>
      <c r="BV160" s="21"/>
      <c r="BW160" s="81">
        <f>$H$160*月別販売比率!AV5</f>
        <v>1.2598836310244821</v>
      </c>
      <c r="BX160" s="21"/>
      <c r="BY160" s="81">
        <f>$H$160*月別販売比率!BA5</f>
        <v>1.1508231870009782</v>
      </c>
      <c r="BZ160" s="21"/>
      <c r="CA160" s="81">
        <f>$H$160*月別販売比率!BF5</f>
        <v>1.6551724137931032</v>
      </c>
      <c r="CB160" s="21"/>
      <c r="CC160" s="81">
        <f>H160*月別販売比率!$C$21</f>
        <v>1.4661569196380728</v>
      </c>
      <c r="CD160" s="21"/>
      <c r="CE160" s="81">
        <f>H160*月別販売比率!$H$21</f>
        <v>1.4482758620689655</v>
      </c>
      <c r="CF160" s="241">
        <v>20</v>
      </c>
      <c r="CG160" s="81">
        <f>H160*月別販売比率!$M$21</f>
        <v>2.0909728784204273</v>
      </c>
      <c r="CH160" s="241">
        <v>10</v>
      </c>
      <c r="CI160" s="81">
        <f>H160*月別販売比率!$R$21</f>
        <v>1.6551724137931032</v>
      </c>
      <c r="CJ160" s="21"/>
      <c r="CK160" s="81">
        <f>H160*月別販売比率!$W$21</f>
        <v>1.5758631792091247</v>
      </c>
      <c r="CL160" s="21"/>
      <c r="CM160" s="81">
        <f>H160*月別販売比率!$AB$21</f>
        <v>2.4827586206896548</v>
      </c>
      <c r="CN160" s="21"/>
      <c r="CO160" s="81">
        <f>H160*月別販売比率!$AG$21</f>
        <v>2.068965517241379</v>
      </c>
      <c r="CP160" s="21"/>
      <c r="CQ160" s="81">
        <f>H160*月別販売比率!$AL$21</f>
        <v>1.8620689655172411</v>
      </c>
      <c r="CR160" s="21"/>
      <c r="CS160" s="81">
        <f>H160*月別販売比率!$AQ$21</f>
        <v>2.068965517241379</v>
      </c>
      <c r="CT160" s="21"/>
      <c r="CU160" s="81">
        <f>H160*月別販売比率!$AV$21</f>
        <v>1.2598836310244821</v>
      </c>
      <c r="CV160" s="21"/>
      <c r="CW160" s="81">
        <f>H160*月別販売比率!$BA$21</f>
        <v>1.1508231870009782</v>
      </c>
      <c r="CX160" s="21"/>
      <c r="CY160" s="81">
        <f>H160*月別販売比率!$BF$21</f>
        <v>1.6551724137931032</v>
      </c>
      <c r="CZ160" s="21"/>
      <c r="DA160" s="28"/>
      <c r="DB160" s="294"/>
    </row>
    <row r="161" spans="2:106" ht="30.75" customHeight="1">
      <c r="C161" s="498"/>
      <c r="D161" s="441">
        <v>2</v>
      </c>
      <c r="E161" s="94" t="s">
        <v>47</v>
      </c>
      <c r="F161" s="57">
        <v>90.282131661442008</v>
      </c>
      <c r="G161" s="46">
        <f t="shared" si="263"/>
        <v>397241.37931034481</v>
      </c>
      <c r="H161" s="45">
        <f t="shared" si="264"/>
        <v>90.282131661441994</v>
      </c>
      <c r="I161" s="46">
        <f t="shared" si="265"/>
        <v>397241.37931034475</v>
      </c>
      <c r="J161" s="9">
        <v>55</v>
      </c>
      <c r="K161" s="10">
        <f t="shared" si="253"/>
        <v>20</v>
      </c>
      <c r="L161" s="21">
        <v>10</v>
      </c>
      <c r="M161" s="21">
        <v>10</v>
      </c>
      <c r="N161" s="42"/>
      <c r="O161" s="288"/>
      <c r="P161" s="288"/>
      <c r="Q161" s="331">
        <v>45654</v>
      </c>
      <c r="R161" s="124"/>
      <c r="S161" s="124"/>
      <c r="T161" s="124"/>
      <c r="U161" s="124"/>
      <c r="V161" s="328"/>
      <c r="W161" s="328"/>
      <c r="X161" s="331">
        <v>45860</v>
      </c>
      <c r="Y161" s="124"/>
      <c r="Z161" s="124"/>
      <c r="AA161" s="331">
        <v>45940</v>
      </c>
      <c r="AB161" s="124"/>
      <c r="AC161" s="328"/>
      <c r="AD161" s="328"/>
      <c r="AE161" s="328"/>
      <c r="AF161" s="328"/>
      <c r="AG161" s="331"/>
      <c r="AH161" s="331"/>
      <c r="AI161" s="129">
        <f t="shared" si="254"/>
        <v>67.777429467084644</v>
      </c>
      <c r="AJ161" s="129">
        <f t="shared" si="255"/>
        <v>60.900935594172097</v>
      </c>
      <c r="AK161" s="129">
        <f t="shared" si="256"/>
        <v>50.067079794799056</v>
      </c>
      <c r="AL161" s="399">
        <f t="shared" si="257"/>
        <v>61.038866628654858</v>
      </c>
      <c r="AM161" s="393">
        <f t="shared" si="258"/>
        <v>52.913474779125082</v>
      </c>
      <c r="AN161" s="393">
        <f t="shared" si="259"/>
        <v>43.885261612980884</v>
      </c>
      <c r="AO161" s="393">
        <f t="shared" si="260"/>
        <v>38.387587586692234</v>
      </c>
      <c r="AP161" s="96">
        <f t="shared" si="261"/>
        <v>33.365813679778874</v>
      </c>
      <c r="AQ161" s="91">
        <f t="shared" si="262"/>
        <v>26.143243146863515</v>
      </c>
      <c r="AR161" s="198"/>
      <c r="AS161" s="81">
        <f>$H$161*月別販売比率!AG5</f>
        <v>9.0282131661441998</v>
      </c>
      <c r="AT161" s="21"/>
      <c r="AU161" s="81">
        <f>$H$161*月別販売比率!AL5</f>
        <v>8.1253918495297786</v>
      </c>
      <c r="AV161" s="21"/>
      <c r="AW161" s="245">
        <f>$H$161*月別販売比率!AQ5</f>
        <v>9.0282131661441998</v>
      </c>
      <c r="AX161" s="241">
        <v>100</v>
      </c>
      <c r="AY161" s="81">
        <f>$H$161*月別販売比率!AV5</f>
        <v>5.4976740262886494</v>
      </c>
      <c r="AZ161" s="21"/>
      <c r="BA161" s="81">
        <f>$H$161*月別販売比率!BA5</f>
        <v>5.0217739069133591</v>
      </c>
      <c r="BB161" s="21"/>
      <c r="BC161" s="81">
        <f>$H$161*月別販売比率!BF5</f>
        <v>7.22257053291536</v>
      </c>
      <c r="BD161" s="21"/>
      <c r="BE161" s="81">
        <f>$H$161*月別販売比率!C5</f>
        <v>6.3977756493297733</v>
      </c>
      <c r="BF161" s="21"/>
      <c r="BG161" s="81">
        <f>$H$161*月別販売比率!H5</f>
        <v>6.3197492163009406</v>
      </c>
      <c r="BH161" s="21"/>
      <c r="BI161" s="81">
        <f>$H$161*月別販売比率!M5</f>
        <v>9.1242452876527746</v>
      </c>
      <c r="BJ161" s="21"/>
      <c r="BK161" s="245">
        <f>$H$161*月別販売比率!R5</f>
        <v>7.22257053291536</v>
      </c>
      <c r="BL161" s="241">
        <v>70</v>
      </c>
      <c r="BM161" s="81">
        <f>$H$161*月別販売比率!W5</f>
        <v>6.876493872912544</v>
      </c>
      <c r="BN161" s="21"/>
      <c r="BO161" s="81">
        <f>$H$161*月別販売比率!AB5</f>
        <v>10.833855799373039</v>
      </c>
      <c r="BP161" s="21"/>
      <c r="BQ161" s="245">
        <f>$H$161*月別販売比率!AG5</f>
        <v>9.0282131661441998</v>
      </c>
      <c r="BR161" s="241">
        <v>60</v>
      </c>
      <c r="BS161" s="81">
        <f>$H$161*月別販売比率!AL5</f>
        <v>8.1253918495297786</v>
      </c>
      <c r="BT161" s="21"/>
      <c r="BU161" s="81">
        <f>$H$161*月別販売比率!AQ5</f>
        <v>9.0282131661441998</v>
      </c>
      <c r="BV161" s="21"/>
      <c r="BW161" s="81">
        <f>$H$161*月別販売比率!AV5</f>
        <v>5.4976740262886494</v>
      </c>
      <c r="BX161" s="21"/>
      <c r="BY161" s="81">
        <f>$H$161*月別販売比率!BA5</f>
        <v>5.0217739069133591</v>
      </c>
      <c r="BZ161" s="21"/>
      <c r="CA161" s="81">
        <f>$H$161*月別販売比率!BF5</f>
        <v>7.22257053291536</v>
      </c>
      <c r="CB161" s="21"/>
      <c r="CC161" s="81">
        <f>H161*月別販売比率!$C$21</f>
        <v>6.3977756493297733</v>
      </c>
      <c r="CD161" s="21"/>
      <c r="CE161" s="81">
        <f>H161*月別販売比率!$H$21</f>
        <v>6.3197492163009406</v>
      </c>
      <c r="CF161" s="241">
        <v>55</v>
      </c>
      <c r="CG161" s="81">
        <f>H161*月別販売比率!$M$21</f>
        <v>9.1242452876527746</v>
      </c>
      <c r="CH161" s="241">
        <v>40</v>
      </c>
      <c r="CI161" s="81">
        <f>H161*月別販売比率!$R$21</f>
        <v>7.22257053291536</v>
      </c>
      <c r="CJ161" s="21"/>
      <c r="CK161" s="81">
        <f>H161*月別販売比率!$W$21</f>
        <v>6.876493872912544</v>
      </c>
      <c r="CL161" s="21"/>
      <c r="CM161" s="81">
        <f>H161*月別販売比率!$AB$21</f>
        <v>10.833855799373039</v>
      </c>
      <c r="CN161" s="21"/>
      <c r="CO161" s="81">
        <f>H161*月別販売比率!$AG$21</f>
        <v>9.0282131661441998</v>
      </c>
      <c r="CP161" s="21">
        <v>20</v>
      </c>
      <c r="CQ161" s="81">
        <f>H161*月別販売比率!$AL$21</f>
        <v>8.1253918495297786</v>
      </c>
      <c r="CR161" s="21"/>
      <c r="CS161" s="81">
        <f>H161*月別販売比率!$AQ$21</f>
        <v>9.0282131661441998</v>
      </c>
      <c r="CT161" s="21"/>
      <c r="CU161" s="81">
        <f>H161*月別販売比率!$AV$21</f>
        <v>5.4976740262886494</v>
      </c>
      <c r="CV161" s="21"/>
      <c r="CW161" s="81">
        <f>H161*月別販売比率!$BA$21</f>
        <v>5.0217739069133591</v>
      </c>
      <c r="CX161" s="21"/>
      <c r="CY161" s="81">
        <f>H161*月別販売比率!$BF$21</f>
        <v>7.22257053291536</v>
      </c>
      <c r="CZ161" s="21"/>
      <c r="DA161" s="28"/>
      <c r="DB161" s="294"/>
    </row>
    <row r="162" spans="2:106" ht="30.75" customHeight="1">
      <c r="C162" s="498"/>
      <c r="D162" s="441"/>
      <c r="E162" s="94" t="s">
        <v>51</v>
      </c>
      <c r="F162" s="57">
        <v>90.282131661442008</v>
      </c>
      <c r="G162" s="46">
        <f t="shared" si="263"/>
        <v>397241.37931034481</v>
      </c>
      <c r="H162" s="45">
        <f t="shared" si="264"/>
        <v>90.282131661441994</v>
      </c>
      <c r="I162" s="46">
        <f t="shared" si="265"/>
        <v>397241.37931034475</v>
      </c>
      <c r="J162" s="9">
        <v>47</v>
      </c>
      <c r="K162" s="10">
        <f t="shared" si="253"/>
        <v>27</v>
      </c>
      <c r="L162" s="21">
        <v>10</v>
      </c>
      <c r="M162" s="21">
        <v>17</v>
      </c>
      <c r="N162" s="42"/>
      <c r="O162" s="288"/>
      <c r="P162" s="288"/>
      <c r="Q162" s="331">
        <v>45654</v>
      </c>
      <c r="R162" s="124"/>
      <c r="S162" s="124"/>
      <c r="T162" s="124"/>
      <c r="U162" s="124"/>
      <c r="V162" s="124"/>
      <c r="W162" s="124"/>
      <c r="X162" s="331">
        <v>45860</v>
      </c>
      <c r="Y162" s="124"/>
      <c r="Z162" s="124"/>
      <c r="AA162" s="331">
        <v>45940</v>
      </c>
      <c r="AB162" s="124"/>
      <c r="AC162" s="328"/>
      <c r="AD162" s="328"/>
      <c r="AE162" s="328"/>
      <c r="AF162" s="328"/>
      <c r="AG162" s="331"/>
      <c r="AH162" s="331"/>
      <c r="AI162" s="129">
        <f t="shared" si="254"/>
        <v>66.777429467084644</v>
      </c>
      <c r="AJ162" s="129">
        <f t="shared" si="255"/>
        <v>59.900935594172097</v>
      </c>
      <c r="AK162" s="129">
        <f t="shared" si="256"/>
        <v>49.067079794799056</v>
      </c>
      <c r="AL162" s="399">
        <f t="shared" si="257"/>
        <v>60.038866628654858</v>
      </c>
      <c r="AM162" s="393">
        <f t="shared" si="258"/>
        <v>51.913474779125082</v>
      </c>
      <c r="AN162" s="393">
        <f t="shared" si="259"/>
        <v>42.885261612980884</v>
      </c>
      <c r="AO162" s="393">
        <f t="shared" si="260"/>
        <v>37.387587586692234</v>
      </c>
      <c r="AP162" s="96">
        <f t="shared" si="261"/>
        <v>32.365813679778874</v>
      </c>
      <c r="AQ162" s="91">
        <f t="shared" si="262"/>
        <v>25.143243146863515</v>
      </c>
      <c r="AR162" s="198"/>
      <c r="AS162" s="81">
        <f>$H$162*月別販売比率!AG5</f>
        <v>9.0282131661441998</v>
      </c>
      <c r="AT162" s="21"/>
      <c r="AU162" s="81">
        <f>$H$162*月別販売比率!AL5</f>
        <v>8.1253918495297786</v>
      </c>
      <c r="AV162" s="21"/>
      <c r="AW162" s="245">
        <f>$H$162*月別販売比率!AQ5</f>
        <v>9.0282131661441998</v>
      </c>
      <c r="AX162" s="241">
        <v>100</v>
      </c>
      <c r="AY162" s="81">
        <f>$H$162*月別販売比率!AV5</f>
        <v>5.4976740262886494</v>
      </c>
      <c r="AZ162" s="21"/>
      <c r="BA162" s="81">
        <f>$H$162*月別販売比率!BA5</f>
        <v>5.0217739069133591</v>
      </c>
      <c r="BB162" s="21"/>
      <c r="BC162" s="81">
        <f>$H$162*月別販売比率!BF5</f>
        <v>7.22257053291536</v>
      </c>
      <c r="BD162" s="21"/>
      <c r="BE162" s="81">
        <f>$H$162*月別販売比率!C5</f>
        <v>6.3977756493297733</v>
      </c>
      <c r="BF162" s="21"/>
      <c r="BG162" s="81">
        <f>$H$162*月別販売比率!H5</f>
        <v>6.3197492163009406</v>
      </c>
      <c r="BH162" s="21"/>
      <c r="BI162" s="81">
        <f>$H$162*月別販売比率!M5</f>
        <v>9.1242452876527746</v>
      </c>
      <c r="BJ162" s="21"/>
      <c r="BK162" s="245">
        <f>$H$162*月別販売比率!R5</f>
        <v>7.22257053291536</v>
      </c>
      <c r="BL162" s="241">
        <v>55</v>
      </c>
      <c r="BM162" s="81">
        <f>$H$162*月別販売比率!W5</f>
        <v>6.876493872912544</v>
      </c>
      <c r="BN162" s="21"/>
      <c r="BO162" s="81">
        <f>$H$162*月別販売比率!AB5</f>
        <v>10.833855799373039</v>
      </c>
      <c r="BP162" s="21"/>
      <c r="BQ162" s="245">
        <f>$H$162*月別販売比率!AG5</f>
        <v>9.0282131661441998</v>
      </c>
      <c r="BR162" s="241">
        <v>50</v>
      </c>
      <c r="BS162" s="81">
        <f>$H$162*月別販売比率!AL5</f>
        <v>8.1253918495297786</v>
      </c>
      <c r="BT162" s="21"/>
      <c r="BU162" s="81">
        <f>$H$162*月別販売比率!AQ5</f>
        <v>9.0282131661441998</v>
      </c>
      <c r="BV162" s="21"/>
      <c r="BW162" s="81">
        <f>$H$162*月別販売比率!AV5</f>
        <v>5.4976740262886494</v>
      </c>
      <c r="BX162" s="21"/>
      <c r="BY162" s="81">
        <f>$H$162*月別販売比率!BA5</f>
        <v>5.0217739069133591</v>
      </c>
      <c r="BZ162" s="21"/>
      <c r="CA162" s="81">
        <f>$H$162*月別販売比率!BF5</f>
        <v>7.22257053291536</v>
      </c>
      <c r="CB162" s="21"/>
      <c r="CC162" s="81">
        <f>H162*月別販売比率!$C$21</f>
        <v>6.3977756493297733</v>
      </c>
      <c r="CD162" s="21"/>
      <c r="CE162" s="81">
        <f>H162*月別販売比率!$H$21</f>
        <v>6.3197492163009406</v>
      </c>
      <c r="CF162" s="241">
        <v>55</v>
      </c>
      <c r="CG162" s="81">
        <f>H162*月別販売比率!$M$21</f>
        <v>9.1242452876527746</v>
      </c>
      <c r="CH162" s="241">
        <v>40</v>
      </c>
      <c r="CI162" s="81">
        <f>H162*月別販売比率!$R$21</f>
        <v>7.22257053291536</v>
      </c>
      <c r="CJ162" s="21"/>
      <c r="CK162" s="81">
        <f>H162*月別販売比率!$W$21</f>
        <v>6.876493872912544</v>
      </c>
      <c r="CL162" s="21"/>
      <c r="CM162" s="81">
        <f>H162*月別販売比率!$AB$21</f>
        <v>10.833855799373039</v>
      </c>
      <c r="CN162" s="21"/>
      <c r="CO162" s="81">
        <f>H162*月別販売比率!$AG$21</f>
        <v>9.0282131661441998</v>
      </c>
      <c r="CP162" s="21">
        <v>20</v>
      </c>
      <c r="CQ162" s="81">
        <f>H162*月別販売比率!$AL$21</f>
        <v>8.1253918495297786</v>
      </c>
      <c r="CR162" s="21"/>
      <c r="CS162" s="81">
        <f>H162*月別販売比率!$AQ$21</f>
        <v>9.0282131661441998</v>
      </c>
      <c r="CT162" s="21"/>
      <c r="CU162" s="81">
        <f>H162*月別販売比率!$AV$21</f>
        <v>5.4976740262886494</v>
      </c>
      <c r="CV162" s="21"/>
      <c r="CW162" s="81">
        <f>H162*月別販売比率!$BA$21</f>
        <v>5.0217739069133591</v>
      </c>
      <c r="CX162" s="21"/>
      <c r="CY162" s="81">
        <f>H162*月別販売比率!$BF$21</f>
        <v>7.22257053291536</v>
      </c>
      <c r="CZ162" s="21"/>
      <c r="DA162" s="28"/>
      <c r="DB162" s="294"/>
    </row>
    <row r="163" spans="2:106" ht="30.75" customHeight="1">
      <c r="C163" s="498"/>
      <c r="D163" s="441"/>
      <c r="E163" s="94" t="s">
        <v>49</v>
      </c>
      <c r="F163" s="57">
        <v>105.32915360501568</v>
      </c>
      <c r="G163" s="46">
        <f t="shared" si="263"/>
        <v>463448.27586206899</v>
      </c>
      <c r="H163" s="45">
        <f t="shared" si="264"/>
        <v>105.32915360501565</v>
      </c>
      <c r="I163" s="46">
        <f t="shared" si="265"/>
        <v>463448.27586206887</v>
      </c>
      <c r="J163" s="9">
        <v>0</v>
      </c>
      <c r="K163" s="10">
        <f t="shared" si="253"/>
        <v>16</v>
      </c>
      <c r="L163" s="21">
        <v>0</v>
      </c>
      <c r="M163" s="21">
        <v>16</v>
      </c>
      <c r="N163" s="42"/>
      <c r="O163" s="19"/>
      <c r="P163" s="19"/>
      <c r="Q163" s="330"/>
      <c r="R163" s="124"/>
      <c r="S163" s="124"/>
      <c r="T163" s="124"/>
      <c r="U163" s="124"/>
      <c r="V163" s="124"/>
      <c r="W163" s="124"/>
      <c r="X163" s="124"/>
      <c r="Y163" s="124"/>
      <c r="Z163" s="124"/>
      <c r="AA163" s="124"/>
      <c r="AB163" s="124"/>
      <c r="AC163" s="124"/>
      <c r="AD163" s="124"/>
      <c r="AE163" s="124"/>
      <c r="AF163" s="124"/>
      <c r="AG163" s="124"/>
      <c r="AH163" s="331"/>
      <c r="AI163" s="129">
        <f t="shared" si="254"/>
        <v>7.5736677115987483</v>
      </c>
      <c r="AJ163" s="129">
        <f t="shared" si="255"/>
        <v>-0.44890847346588458</v>
      </c>
      <c r="AK163" s="129">
        <f t="shared" si="256"/>
        <v>-13.088406906067762</v>
      </c>
      <c r="AL163" s="399">
        <f t="shared" si="257"/>
        <v>-3.6213222665693294</v>
      </c>
      <c r="AM163" s="393">
        <f t="shared" si="258"/>
        <v>-13.100946091020738</v>
      </c>
      <c r="AN163" s="393">
        <f t="shared" si="259"/>
        <v>-23.633861451522304</v>
      </c>
      <c r="AO163" s="393">
        <f t="shared" si="260"/>
        <v>-30.047814482192393</v>
      </c>
      <c r="AP163" s="96">
        <f t="shared" si="261"/>
        <v>-35.906550706924648</v>
      </c>
      <c r="AQ163" s="91">
        <f t="shared" si="262"/>
        <v>-44.332882995325903</v>
      </c>
      <c r="AR163" s="198"/>
      <c r="AS163" s="81">
        <f>$H$163*月別販売比率!AG5</f>
        <v>10.532915360501566</v>
      </c>
      <c r="AT163" s="21"/>
      <c r="AU163" s="81">
        <f>$H$163*月別販売比率!AL5</f>
        <v>9.4796238244514086</v>
      </c>
      <c r="AV163" s="21"/>
      <c r="AW163" s="245">
        <f>$H$163*月別販売比率!AQ5</f>
        <v>10.532915360501566</v>
      </c>
      <c r="AX163" s="241">
        <v>50</v>
      </c>
      <c r="AY163" s="81">
        <f>$H$163*月別販売比率!AV5</f>
        <v>6.4139530306700898</v>
      </c>
      <c r="AZ163" s="21"/>
      <c r="BA163" s="81">
        <f>$H$163*月別販売比率!BA5</f>
        <v>5.8587362247322519</v>
      </c>
      <c r="BB163" s="21"/>
      <c r="BC163" s="81">
        <f>$H$163*月別販売比率!BF5</f>
        <v>8.4263322884012517</v>
      </c>
      <c r="BD163" s="21"/>
      <c r="BE163" s="81">
        <f>$H$163*月別販売比率!C5</f>
        <v>7.4640715908847337</v>
      </c>
      <c r="BF163" s="21"/>
      <c r="BG163" s="81">
        <f>$H$163*月別販売比率!H5</f>
        <v>7.3730407523510957</v>
      </c>
      <c r="BH163" s="21"/>
      <c r="BI163" s="81">
        <f>$H$163*月別販売比率!M5</f>
        <v>10.644952835594902</v>
      </c>
      <c r="BJ163" s="21"/>
      <c r="BK163" s="245">
        <f>$H$163*月別販売比率!R5</f>
        <v>8.4263322884012517</v>
      </c>
      <c r="BL163" s="241">
        <v>55</v>
      </c>
      <c r="BM163" s="81">
        <f>$H$163*月別販売比率!W5</f>
        <v>8.0225761850646329</v>
      </c>
      <c r="BN163" s="21"/>
      <c r="BO163" s="81">
        <f>$H$163*月別販売比率!AB5</f>
        <v>12.639498432601878</v>
      </c>
      <c r="BP163" s="21"/>
      <c r="BQ163" s="245">
        <f>$H$163*月別販売比率!AG5</f>
        <v>10.532915360501566</v>
      </c>
      <c r="BR163" s="241">
        <v>60</v>
      </c>
      <c r="BS163" s="81">
        <f>$H$163*月別販売比率!AL5</f>
        <v>9.4796238244514086</v>
      </c>
      <c r="BT163" s="21"/>
      <c r="BU163" s="81">
        <f>$H$163*月別販売比率!AQ5</f>
        <v>10.532915360501566</v>
      </c>
      <c r="BV163" s="21"/>
      <c r="BW163" s="81">
        <f>$H$163*月別販売比率!AV5</f>
        <v>6.4139530306700898</v>
      </c>
      <c r="BX163" s="21"/>
      <c r="BY163" s="81">
        <f>$H$163*月別販売比率!BA5</f>
        <v>5.8587362247322519</v>
      </c>
      <c r="BZ163" s="21"/>
      <c r="CA163" s="81">
        <f>$H$163*月別販売比率!BF5</f>
        <v>8.4263322884012517</v>
      </c>
      <c r="CB163" s="21"/>
      <c r="CC163" s="81">
        <f>H163*月別販売比率!$C$21</f>
        <v>7.4640715908847337</v>
      </c>
      <c r="CD163" s="21"/>
      <c r="CE163" s="81">
        <f>H163*月別販売比率!$H$21</f>
        <v>7.3730407523510957</v>
      </c>
      <c r="CF163" s="241">
        <v>20</v>
      </c>
      <c r="CG163" s="81">
        <f>H163*月別販売比率!$M$21</f>
        <v>10.644952835594902</v>
      </c>
      <c r="CH163" s="241"/>
      <c r="CI163" s="81">
        <f>H163*月別販売比率!$R$21</f>
        <v>8.4263322884012517</v>
      </c>
      <c r="CJ163" s="21"/>
      <c r="CK163" s="81">
        <f>H163*月別販売比率!$W$21</f>
        <v>8.0225761850646329</v>
      </c>
      <c r="CL163" s="21"/>
      <c r="CM163" s="81">
        <f>H163*月別販売比率!$AB$21</f>
        <v>12.639498432601878</v>
      </c>
      <c r="CN163" s="21"/>
      <c r="CO163" s="81">
        <f>H163*月別販売比率!$AG$21</f>
        <v>10.532915360501566</v>
      </c>
      <c r="CP163" s="21">
        <v>20</v>
      </c>
      <c r="CQ163" s="81">
        <f>H163*月別販売比率!$AL$21</f>
        <v>9.4796238244514086</v>
      </c>
      <c r="CR163" s="21"/>
      <c r="CS163" s="81">
        <f>H163*月別販売比率!$AQ$21</f>
        <v>10.532915360501566</v>
      </c>
      <c r="CT163" s="21"/>
      <c r="CU163" s="81">
        <f>H163*月別販売比率!$AV$21</f>
        <v>6.4139530306700898</v>
      </c>
      <c r="CV163" s="21"/>
      <c r="CW163" s="81">
        <f>H163*月別販売比率!$BA$21</f>
        <v>5.8587362247322519</v>
      </c>
      <c r="CX163" s="21"/>
      <c r="CY163" s="81">
        <f>H163*月別販売比率!$BF$21</f>
        <v>8.4263322884012517</v>
      </c>
      <c r="CZ163" s="21"/>
      <c r="DA163" s="28"/>
      <c r="DB163" s="294"/>
    </row>
    <row r="164" spans="2:106" ht="30.75" customHeight="1">
      <c r="C164" s="498"/>
      <c r="D164" s="442"/>
      <c r="E164" s="94" t="s">
        <v>50</v>
      </c>
      <c r="F164" s="57">
        <v>47.021943573667706</v>
      </c>
      <c r="G164" s="46">
        <f t="shared" si="263"/>
        <v>206896.55172413791</v>
      </c>
      <c r="H164" s="45">
        <f t="shared" si="264"/>
        <v>47.021943573667699</v>
      </c>
      <c r="I164" s="46">
        <f t="shared" si="265"/>
        <v>206896.55172413788</v>
      </c>
      <c r="J164" s="9">
        <v>0</v>
      </c>
      <c r="K164" s="10">
        <f t="shared" si="253"/>
        <v>12</v>
      </c>
      <c r="L164" s="21">
        <v>5</v>
      </c>
      <c r="M164" s="21">
        <v>7</v>
      </c>
      <c r="N164" s="42"/>
      <c r="O164" s="19"/>
      <c r="P164" s="19"/>
      <c r="Q164" s="330"/>
      <c r="R164" s="124"/>
      <c r="S164" s="124"/>
      <c r="T164" s="124"/>
      <c r="U164" s="124"/>
      <c r="V164" s="124"/>
      <c r="W164" s="124"/>
      <c r="X164" s="124"/>
      <c r="Y164" s="124"/>
      <c r="Z164" s="124"/>
      <c r="AA164" s="124"/>
      <c r="AB164" s="124"/>
      <c r="AC164" s="124"/>
      <c r="AD164" s="124"/>
      <c r="AE164" s="124"/>
      <c r="AF164" s="124"/>
      <c r="AG164" s="124"/>
      <c r="AH164" s="331"/>
      <c r="AI164" s="129">
        <f t="shared" si="254"/>
        <v>8.238244514106583</v>
      </c>
      <c r="AJ164" s="129">
        <f t="shared" si="255"/>
        <v>4.6567372886312999</v>
      </c>
      <c r="AK164" s="129">
        <f t="shared" si="256"/>
        <v>-0.98589594020882387</v>
      </c>
      <c r="AL164" s="399">
        <f t="shared" si="257"/>
        <v>-5.6880902975755943</v>
      </c>
      <c r="AM164" s="393">
        <f t="shared" si="258"/>
        <v>-9.9200652192056857</v>
      </c>
      <c r="AN164" s="393">
        <f t="shared" si="259"/>
        <v>-14.622259576572457</v>
      </c>
      <c r="AO164" s="393">
        <f t="shared" si="260"/>
        <v>-17.485631465264461</v>
      </c>
      <c r="AP164" s="96">
        <f t="shared" si="261"/>
        <v>-20.101138708448502</v>
      </c>
      <c r="AQ164" s="91">
        <f t="shared" si="262"/>
        <v>-23.862894194341919</v>
      </c>
      <c r="AR164" s="198"/>
      <c r="AS164" s="81">
        <f>$H$164*月別販売比率!AG5</f>
        <v>4.7021943573667704</v>
      </c>
      <c r="AT164" s="21"/>
      <c r="AU164" s="81">
        <f>$H$164*月別販売比率!AL5</f>
        <v>4.2319749216300924</v>
      </c>
      <c r="AV164" s="21"/>
      <c r="AW164" s="245">
        <f>$H$164*月別販売比率!AQ5</f>
        <v>4.7021943573667704</v>
      </c>
      <c r="AX164" s="241">
        <v>50</v>
      </c>
      <c r="AY164" s="81">
        <f>$H$164*月別販売比率!AV5</f>
        <v>2.8633718886920043</v>
      </c>
      <c r="AZ164" s="21"/>
      <c r="BA164" s="81">
        <f>$H$164*月別販売比率!BA5</f>
        <v>2.6155072431840409</v>
      </c>
      <c r="BB164" s="21"/>
      <c r="BC164" s="81">
        <f>$H$164*月別販売比率!BF5</f>
        <v>3.7617554858934161</v>
      </c>
      <c r="BD164" s="21"/>
      <c r="BE164" s="81">
        <f>$H$164*月別販売比率!C5</f>
        <v>3.332174817359256</v>
      </c>
      <c r="BF164" s="21"/>
      <c r="BG164" s="81">
        <f>$H$164*月別販売比率!H5</f>
        <v>3.291536050156739</v>
      </c>
      <c r="BH164" s="21"/>
      <c r="BI164" s="81">
        <f>$H$164*月別販売比率!M5</f>
        <v>4.7522110873191528</v>
      </c>
      <c r="BJ164" s="21"/>
      <c r="BK164" s="245">
        <f>$H$164*月別販売比率!R5</f>
        <v>3.7617554858934161</v>
      </c>
      <c r="BL164" s="241">
        <v>20</v>
      </c>
      <c r="BM164" s="81">
        <f>$H$164*月別販売比率!W5</f>
        <v>3.5815072254752827</v>
      </c>
      <c r="BN164" s="21"/>
      <c r="BO164" s="81">
        <f>$H$164*月別販売比率!AB5</f>
        <v>5.6426332288401237</v>
      </c>
      <c r="BP164" s="21"/>
      <c r="BQ164" s="245">
        <f>$H$164*月別販売比率!AG5</f>
        <v>4.7021943573667704</v>
      </c>
      <c r="BR164" s="241">
        <v>30</v>
      </c>
      <c r="BS164" s="81">
        <f>$H$164*月別販売比率!AL5</f>
        <v>4.2319749216300924</v>
      </c>
      <c r="BT164" s="21"/>
      <c r="BU164" s="81">
        <f>$H$164*月別販売比率!AQ5</f>
        <v>4.7021943573667704</v>
      </c>
      <c r="BV164" s="21"/>
      <c r="BW164" s="81">
        <f>$H$164*月別販売比率!AV5</f>
        <v>2.8633718886920043</v>
      </c>
      <c r="BX164" s="21"/>
      <c r="BY164" s="81">
        <f>$H$164*月別販売比率!BA5</f>
        <v>2.6155072431840409</v>
      </c>
      <c r="BZ164" s="21"/>
      <c r="CA164" s="81">
        <f>$H$164*月別販売比率!BF5</f>
        <v>3.7617554858934161</v>
      </c>
      <c r="CB164" s="21"/>
      <c r="CC164" s="81">
        <f>H164*月別販売比率!$C$21</f>
        <v>3.332174817359256</v>
      </c>
      <c r="CD164" s="21"/>
      <c r="CE164" s="81">
        <f>H164*月別販売比率!$H$21</f>
        <v>3.291536050156739</v>
      </c>
      <c r="CF164" s="241">
        <v>15</v>
      </c>
      <c r="CG164" s="81">
        <f>H164*月別販売比率!$M$21</f>
        <v>4.7522110873191528</v>
      </c>
      <c r="CH164" s="241"/>
      <c r="CI164" s="81">
        <f>H164*月別販売比率!$R$21</f>
        <v>3.7617554858934161</v>
      </c>
      <c r="CJ164" s="21"/>
      <c r="CK164" s="81">
        <f>H164*月別販売比率!$W$21</f>
        <v>3.5815072254752827</v>
      </c>
      <c r="CL164" s="21"/>
      <c r="CM164" s="81">
        <f>H164*月別販売比率!$AB$21</f>
        <v>5.6426332288401237</v>
      </c>
      <c r="CN164" s="21"/>
      <c r="CO164" s="81">
        <f>H164*月別販売比率!$AG$21</f>
        <v>4.7021943573667704</v>
      </c>
      <c r="CP164" s="21"/>
      <c r="CQ164" s="81">
        <f>H164*月別販売比率!$AL$21</f>
        <v>4.2319749216300924</v>
      </c>
      <c r="CR164" s="21"/>
      <c r="CS164" s="81">
        <f>H164*月別販売比率!$AQ$21</f>
        <v>4.7021943573667704</v>
      </c>
      <c r="CT164" s="21"/>
      <c r="CU164" s="81">
        <f>H164*月別販売比率!$AV$21</f>
        <v>2.8633718886920043</v>
      </c>
      <c r="CV164" s="21"/>
      <c r="CW164" s="81">
        <f>H164*月別販売比率!$BA$21</f>
        <v>2.6155072431840409</v>
      </c>
      <c r="CX164" s="21"/>
      <c r="CY164" s="81">
        <f>H164*月別販売比率!$BF$21</f>
        <v>3.7617554858934161</v>
      </c>
      <c r="CZ164" s="21"/>
      <c r="DA164" s="28"/>
      <c r="DB164" s="294"/>
    </row>
    <row r="165" spans="2:106" ht="30.75" customHeight="1">
      <c r="C165" s="498"/>
      <c r="D165" s="441">
        <v>3</v>
      </c>
      <c r="E165" s="94" t="s">
        <v>47</v>
      </c>
      <c r="F165" s="57">
        <v>112.85266457680251</v>
      </c>
      <c r="G165" s="46">
        <f t="shared" si="263"/>
        <v>496551.72413793107</v>
      </c>
      <c r="H165" s="45">
        <f t="shared" si="264"/>
        <v>112.85266457680248</v>
      </c>
      <c r="I165" s="46">
        <f t="shared" si="265"/>
        <v>496551.7241379309</v>
      </c>
      <c r="J165" s="9">
        <v>63</v>
      </c>
      <c r="K165" s="10">
        <f t="shared" si="253"/>
        <v>34</v>
      </c>
      <c r="L165" s="21">
        <v>10</v>
      </c>
      <c r="M165" s="21">
        <v>24</v>
      </c>
      <c r="N165" s="42"/>
      <c r="O165" s="288"/>
      <c r="P165" s="288"/>
      <c r="Q165" s="331"/>
      <c r="R165" s="328"/>
      <c r="S165" s="328"/>
      <c r="T165" s="328"/>
      <c r="U165" s="328"/>
      <c r="V165" s="328"/>
      <c r="W165" s="328"/>
      <c r="X165" s="331">
        <v>45860</v>
      </c>
      <c r="Y165" s="124"/>
      <c r="Z165" s="124"/>
      <c r="AA165" s="331">
        <v>45940</v>
      </c>
      <c r="AB165" s="124"/>
      <c r="AC165" s="124"/>
      <c r="AD165" s="328"/>
      <c r="AE165" s="328"/>
      <c r="AF165" s="328"/>
      <c r="AG165" s="331"/>
      <c r="AH165" s="331"/>
      <c r="AI165" s="129">
        <f t="shared" si="254"/>
        <v>87.971786833855802</v>
      </c>
      <c r="AJ165" s="129">
        <f t="shared" si="255"/>
        <v>79.376169492715121</v>
      </c>
      <c r="AK165" s="129">
        <f t="shared" si="256"/>
        <v>65.833849743498831</v>
      </c>
      <c r="AL165" s="399">
        <f t="shared" si="257"/>
        <v>89.54858328581858</v>
      </c>
      <c r="AM165" s="393">
        <f t="shared" si="258"/>
        <v>79.391843473906363</v>
      </c>
      <c r="AN165" s="393">
        <f t="shared" si="259"/>
        <v>68.106577016226112</v>
      </c>
      <c r="AO165" s="393">
        <f t="shared" si="260"/>
        <v>61.2344844833653</v>
      </c>
      <c r="AP165" s="96">
        <f t="shared" si="261"/>
        <v>54.957267099723602</v>
      </c>
      <c r="AQ165" s="91">
        <f t="shared" si="262"/>
        <v>45.929053933579404</v>
      </c>
      <c r="AR165" s="198"/>
      <c r="AS165" s="81">
        <f>$H$165*月別販売比率!AG5</f>
        <v>11.285266457680249</v>
      </c>
      <c r="AT165" s="21"/>
      <c r="AU165" s="81">
        <f>$H$165*月別販売比率!AL5</f>
        <v>10.156739811912223</v>
      </c>
      <c r="AV165" s="21"/>
      <c r="AW165" s="245">
        <f>$H$165*月別販売比率!AQ5</f>
        <v>11.285266457680249</v>
      </c>
      <c r="AX165" s="241"/>
      <c r="AY165" s="81">
        <f>$H$165*月別販売比率!AV5</f>
        <v>6.8720925328608109</v>
      </c>
      <c r="AZ165" s="21"/>
      <c r="BA165" s="81">
        <f>$H$165*月別販売比率!BA5</f>
        <v>6.2772173836416982</v>
      </c>
      <c r="BB165" s="21"/>
      <c r="BC165" s="81">
        <f>$H$165*月別販売比率!BF5</f>
        <v>9.028213166144198</v>
      </c>
      <c r="BD165" s="21"/>
      <c r="BE165" s="81">
        <f>$H$165*月別販売比率!C5</f>
        <v>7.9972195616622157</v>
      </c>
      <c r="BF165" s="21"/>
      <c r="BG165" s="81">
        <f>$H$165*月別販売比率!H5</f>
        <v>7.8996865203761741</v>
      </c>
      <c r="BH165" s="21"/>
      <c r="BI165" s="81">
        <f>$H$165*月別販売比率!M5</f>
        <v>11.405306609565967</v>
      </c>
      <c r="BJ165" s="21"/>
      <c r="BK165" s="245">
        <f>$H$165*月別販売比率!R5</f>
        <v>9.028213166144198</v>
      </c>
      <c r="BL165" s="241">
        <v>60</v>
      </c>
      <c r="BM165" s="81">
        <f>$H$165*月別販売比率!W5</f>
        <v>8.5956173411406791</v>
      </c>
      <c r="BN165" s="21"/>
      <c r="BO165" s="81">
        <f>$H$165*月別販売比率!AB5</f>
        <v>13.542319749216297</v>
      </c>
      <c r="BP165" s="21"/>
      <c r="BQ165" s="245">
        <f>$H$165*月別販売比率!AG5</f>
        <v>11.285266457680249</v>
      </c>
      <c r="BR165" s="241">
        <v>55</v>
      </c>
      <c r="BS165" s="81">
        <f>$H$165*月別販売比率!AL5</f>
        <v>10.156739811912223</v>
      </c>
      <c r="BT165" s="21"/>
      <c r="BU165" s="81">
        <f>$H$165*月別販売比率!AQ5</f>
        <v>11.285266457680249</v>
      </c>
      <c r="BV165" s="21"/>
      <c r="BW165" s="81">
        <f>$H$165*月別販売比率!AV5</f>
        <v>6.8720925328608109</v>
      </c>
      <c r="BX165" s="21"/>
      <c r="BY165" s="81">
        <f>$H$165*月別販売比率!BA5</f>
        <v>6.2772173836416982</v>
      </c>
      <c r="BZ165" s="21"/>
      <c r="CA165" s="81">
        <f>$H$165*月別販売比率!BF5</f>
        <v>9.028213166144198</v>
      </c>
      <c r="CB165" s="21"/>
      <c r="CC165" s="81">
        <f>H165*月別販売比率!$C$21</f>
        <v>7.9972195616622157</v>
      </c>
      <c r="CD165" s="21"/>
      <c r="CE165" s="81">
        <f>H165*月別販売比率!$H$21</f>
        <v>7.8996865203761741</v>
      </c>
      <c r="CF165" s="241">
        <v>70</v>
      </c>
      <c r="CG165" s="81">
        <f>H165*月別販売比率!$M$21</f>
        <v>11.405306609565967</v>
      </c>
      <c r="CH165" s="241">
        <v>40</v>
      </c>
      <c r="CI165" s="81">
        <f>H165*月別販売比率!$R$21</f>
        <v>9.028213166144198</v>
      </c>
      <c r="CJ165" s="21"/>
      <c r="CK165" s="81">
        <f>H165*月別販売比率!$W$21</f>
        <v>8.5956173411406791</v>
      </c>
      <c r="CL165" s="21"/>
      <c r="CM165" s="81">
        <f>H165*月別販売比率!$AB$21</f>
        <v>13.542319749216297</v>
      </c>
      <c r="CN165" s="21"/>
      <c r="CO165" s="81">
        <f>H165*月別販売比率!$AG$21</f>
        <v>11.285266457680249</v>
      </c>
      <c r="CP165" s="21">
        <v>35</v>
      </c>
      <c r="CQ165" s="81">
        <f>H165*月別販売比率!$AL$21</f>
        <v>10.156739811912223</v>
      </c>
      <c r="CR165" s="21"/>
      <c r="CS165" s="81">
        <f>H165*月別販売比率!$AQ$21</f>
        <v>11.285266457680249</v>
      </c>
      <c r="CT165" s="21"/>
      <c r="CU165" s="81">
        <f>H165*月別販売比率!$AV$21</f>
        <v>6.8720925328608109</v>
      </c>
      <c r="CV165" s="21"/>
      <c r="CW165" s="81">
        <f>H165*月別販売比率!$BA$21</f>
        <v>6.2772173836416982</v>
      </c>
      <c r="CX165" s="21"/>
      <c r="CY165" s="81">
        <f>H165*月別販売比率!$BF$21</f>
        <v>9.028213166144198</v>
      </c>
      <c r="CZ165" s="21"/>
      <c r="DA165" s="28"/>
      <c r="DB165" s="294"/>
    </row>
    <row r="166" spans="2:106" ht="30.75" customHeight="1">
      <c r="C166" s="498"/>
      <c r="D166" s="441"/>
      <c r="E166" s="94" t="s">
        <v>51</v>
      </c>
      <c r="F166" s="57">
        <v>122.25705329153604</v>
      </c>
      <c r="G166" s="46">
        <f t="shared" si="263"/>
        <v>537931.03448275861</v>
      </c>
      <c r="H166" s="45">
        <f t="shared" si="264"/>
        <v>122.25705329153601</v>
      </c>
      <c r="I166" s="46">
        <f t="shared" si="265"/>
        <v>537931.03448275849</v>
      </c>
      <c r="J166" s="9">
        <v>8</v>
      </c>
      <c r="K166" s="10">
        <f t="shared" si="253"/>
        <v>33</v>
      </c>
      <c r="L166" s="21">
        <v>9</v>
      </c>
      <c r="M166" s="21">
        <v>24</v>
      </c>
      <c r="N166" s="42"/>
      <c r="O166" s="288"/>
      <c r="P166" s="288"/>
      <c r="Q166" s="331"/>
      <c r="R166" s="328"/>
      <c r="S166" s="328"/>
      <c r="T166" s="328"/>
      <c r="U166" s="328"/>
      <c r="V166" s="328"/>
      <c r="W166" s="328"/>
      <c r="X166" s="331">
        <v>45860</v>
      </c>
      <c r="Y166" s="124"/>
      <c r="Z166" s="124"/>
      <c r="AA166" s="124"/>
      <c r="AB166" s="124"/>
      <c r="AC166" s="124"/>
      <c r="AD166" s="124"/>
      <c r="AE166" s="124"/>
      <c r="AF166" s="328"/>
      <c r="AG166" s="331"/>
      <c r="AH166" s="331"/>
      <c r="AI166" s="129">
        <f t="shared" si="254"/>
        <v>31.21943573667712</v>
      </c>
      <c r="AJ166" s="129">
        <f t="shared" si="255"/>
        <v>21.907516950441384</v>
      </c>
      <c r="AK166" s="129">
        <f t="shared" si="256"/>
        <v>7.2366705554570636</v>
      </c>
      <c r="AL166" s="399">
        <f t="shared" si="257"/>
        <v>35.010965226303462</v>
      </c>
      <c r="AM166" s="393">
        <f t="shared" si="258"/>
        <v>24.007830430065219</v>
      </c>
      <c r="AN166" s="393">
        <f t="shared" si="259"/>
        <v>11.782125100911617</v>
      </c>
      <c r="AO166" s="393">
        <f t="shared" si="260"/>
        <v>4.3373581903124068</v>
      </c>
      <c r="AP166" s="96">
        <f t="shared" si="261"/>
        <v>-2.4629606419660988</v>
      </c>
      <c r="AQ166" s="91">
        <f t="shared" si="262"/>
        <v>-12.243524905288981</v>
      </c>
      <c r="AR166" s="198"/>
      <c r="AS166" s="81">
        <f>$H$166*月別販売比率!AG5</f>
        <v>12.225705329153602</v>
      </c>
      <c r="AT166" s="21"/>
      <c r="AU166" s="81">
        <f>$H$166*月別販売比率!AL5</f>
        <v>11.003134796238241</v>
      </c>
      <c r="AV166" s="21"/>
      <c r="AW166" s="245">
        <f>$H$166*月別販売比率!AQ5</f>
        <v>12.225705329153602</v>
      </c>
      <c r="AX166" s="241"/>
      <c r="AY166" s="81">
        <f>$H$166*月別販売比率!AV5</f>
        <v>7.4447669105992107</v>
      </c>
      <c r="AZ166" s="21"/>
      <c r="BA166" s="81">
        <f>$H$166*月別販売比率!BA5</f>
        <v>6.8003188322785055</v>
      </c>
      <c r="BB166" s="21"/>
      <c r="BC166" s="81">
        <f>$H$166*月別販売比率!BF5</f>
        <v>9.7805642633228818</v>
      </c>
      <c r="BD166" s="21"/>
      <c r="BE166" s="81">
        <f>$H$166*月別販売比率!C5</f>
        <v>8.6636545251340653</v>
      </c>
      <c r="BF166" s="21"/>
      <c r="BG166" s="81">
        <f>$H$166*月別販売比率!H5</f>
        <v>8.5579937304075209</v>
      </c>
      <c r="BH166" s="21"/>
      <c r="BI166" s="81">
        <f>$H$166*月別販売比率!M5</f>
        <v>12.355748827029796</v>
      </c>
      <c r="BJ166" s="21"/>
      <c r="BK166" s="245">
        <f>$H$166*月別販売比率!R5</f>
        <v>9.7805642633228818</v>
      </c>
      <c r="BL166" s="241">
        <v>60</v>
      </c>
      <c r="BM166" s="81">
        <f>$H$166*月別販売比率!W5</f>
        <v>9.3119187862357347</v>
      </c>
      <c r="BN166" s="21"/>
      <c r="BO166" s="81">
        <f>$H$166*月別販売比率!AB5</f>
        <v>14.67084639498432</v>
      </c>
      <c r="BP166" s="21"/>
      <c r="BQ166" s="245">
        <f>$H$166*月別販売比率!AG5</f>
        <v>12.225705329153602</v>
      </c>
      <c r="BR166" s="241">
        <v>80</v>
      </c>
      <c r="BS166" s="81">
        <f>$H$166*月別販売比率!AL5</f>
        <v>11.003134796238241</v>
      </c>
      <c r="BT166" s="21"/>
      <c r="BU166" s="81">
        <f>$H$166*月別販売比率!AQ5</f>
        <v>12.225705329153602</v>
      </c>
      <c r="BV166" s="21"/>
      <c r="BW166" s="81">
        <f>$H$166*月別販売比率!AV5</f>
        <v>7.4447669105992107</v>
      </c>
      <c r="BX166" s="21"/>
      <c r="BY166" s="81">
        <f>$H$166*月別販売比率!BA5</f>
        <v>6.8003188322785055</v>
      </c>
      <c r="BZ166" s="21"/>
      <c r="CA166" s="81">
        <f>$H$166*月別販売比率!BF5</f>
        <v>9.7805642633228818</v>
      </c>
      <c r="CB166" s="21"/>
      <c r="CC166" s="81">
        <f>H166*月別販売比率!$C$21</f>
        <v>8.6636545251340653</v>
      </c>
      <c r="CD166" s="21"/>
      <c r="CE166" s="81">
        <f>H166*月別販売比率!$H$21</f>
        <v>8.5579937304075209</v>
      </c>
      <c r="CF166" s="241">
        <v>40</v>
      </c>
      <c r="CG166" s="81">
        <f>H166*月別販売比率!$M$21</f>
        <v>12.355748827029796</v>
      </c>
      <c r="CH166" s="241">
        <v>10</v>
      </c>
      <c r="CI166" s="81">
        <f>H166*月別販売比率!$R$21</f>
        <v>9.7805642633228818</v>
      </c>
      <c r="CJ166" s="21"/>
      <c r="CK166" s="81">
        <f>H166*月別販売比率!$W$21</f>
        <v>9.3119187862357347</v>
      </c>
      <c r="CL166" s="21"/>
      <c r="CM166" s="81">
        <f>H166*月別販売比率!$AB$21</f>
        <v>14.67084639498432</v>
      </c>
      <c r="CN166" s="21"/>
      <c r="CO166" s="81">
        <f>H166*月別販売比率!$AG$21</f>
        <v>12.225705329153602</v>
      </c>
      <c r="CP166" s="21">
        <v>40</v>
      </c>
      <c r="CQ166" s="81">
        <f>H166*月別販売比率!$AL$21</f>
        <v>11.003134796238241</v>
      </c>
      <c r="CR166" s="21"/>
      <c r="CS166" s="81">
        <f>H166*月別販売比率!$AQ$21</f>
        <v>12.225705329153602</v>
      </c>
      <c r="CT166" s="21"/>
      <c r="CU166" s="81">
        <f>H166*月別販売比率!$AV$21</f>
        <v>7.4447669105992107</v>
      </c>
      <c r="CV166" s="21"/>
      <c r="CW166" s="81">
        <f>H166*月別販売比率!$BA$21</f>
        <v>6.8003188322785055</v>
      </c>
      <c r="CX166" s="21"/>
      <c r="CY166" s="81">
        <f>H166*月別販売比率!$BF$21</f>
        <v>9.7805642633228818</v>
      </c>
      <c r="CZ166" s="21"/>
      <c r="DA166" s="28"/>
      <c r="DB166" s="294"/>
    </row>
    <row r="167" spans="2:106" ht="30.75" customHeight="1">
      <c r="C167" s="498"/>
      <c r="D167" s="441"/>
      <c r="E167" s="94" t="s">
        <v>49</v>
      </c>
      <c r="F167" s="56">
        <v>105.32915360501568</v>
      </c>
      <c r="G167" s="46">
        <f t="shared" si="263"/>
        <v>463448.27586206899</v>
      </c>
      <c r="H167" s="45">
        <f t="shared" si="264"/>
        <v>105.32915360501565</v>
      </c>
      <c r="I167" s="46">
        <f t="shared" si="265"/>
        <v>463448.27586206887</v>
      </c>
      <c r="J167" s="49">
        <v>0</v>
      </c>
      <c r="K167" s="40">
        <f t="shared" si="253"/>
        <v>36</v>
      </c>
      <c r="L167" s="39">
        <v>9</v>
      </c>
      <c r="M167" s="39">
        <v>27</v>
      </c>
      <c r="N167" s="42"/>
      <c r="O167" s="43"/>
      <c r="P167" s="43"/>
      <c r="Q167" s="335"/>
      <c r="R167" s="129"/>
      <c r="S167" s="129"/>
      <c r="T167" s="345"/>
      <c r="U167" s="345"/>
      <c r="V167" s="328"/>
      <c r="W167" s="328"/>
      <c r="X167" s="331">
        <v>45860</v>
      </c>
      <c r="Y167" s="124"/>
      <c r="Z167" s="124"/>
      <c r="AA167" s="124"/>
      <c r="AB167" s="124"/>
      <c r="AC167" s="124"/>
      <c r="AD167" s="124"/>
      <c r="AE167" s="124"/>
      <c r="AF167" s="328"/>
      <c r="AG167" s="124"/>
      <c r="AH167" s="331"/>
      <c r="AI167" s="129">
        <f t="shared" si="254"/>
        <v>27.573667711598748</v>
      </c>
      <c r="AJ167" s="129">
        <f t="shared" si="255"/>
        <v>19.551091526534115</v>
      </c>
      <c r="AK167" s="129">
        <f t="shared" si="256"/>
        <v>6.9115930939322379</v>
      </c>
      <c r="AL167" s="399">
        <f t="shared" si="257"/>
        <v>16.378677733430671</v>
      </c>
      <c r="AM167" s="393">
        <f t="shared" si="258"/>
        <v>6.899053908979262</v>
      </c>
      <c r="AN167" s="393">
        <f t="shared" si="259"/>
        <v>-3.6338614515223036</v>
      </c>
      <c r="AO167" s="393">
        <f t="shared" si="260"/>
        <v>-10.047814482192393</v>
      </c>
      <c r="AP167" s="96">
        <f t="shared" si="261"/>
        <v>-15.906550706924644</v>
      </c>
      <c r="AQ167" s="91">
        <f t="shared" si="262"/>
        <v>-24.332882995325896</v>
      </c>
      <c r="AR167" s="198"/>
      <c r="AS167" s="81">
        <f>$H$167*月別販売比率!AG5</f>
        <v>10.532915360501566</v>
      </c>
      <c r="AT167" s="21"/>
      <c r="AU167" s="81">
        <f>$H$167*月別販売比率!AL5</f>
        <v>9.4796238244514086</v>
      </c>
      <c r="AV167" s="21"/>
      <c r="AW167" s="245">
        <f>$H$167*月別販売比率!AQ5</f>
        <v>10.532915360501566</v>
      </c>
      <c r="AX167" s="241"/>
      <c r="AY167" s="81">
        <f>$H$167*月別販売比率!AV5</f>
        <v>6.4139530306700898</v>
      </c>
      <c r="AZ167" s="21"/>
      <c r="BA167" s="81">
        <f>$H$167*月別販売比率!BA5</f>
        <v>5.8587362247322519</v>
      </c>
      <c r="BB167" s="21"/>
      <c r="BC167" s="81">
        <f>$H$167*月別販売比率!BF5</f>
        <v>8.4263322884012517</v>
      </c>
      <c r="BD167" s="21"/>
      <c r="BE167" s="81">
        <f>$H$167*月別販売比率!C5</f>
        <v>7.4640715908847337</v>
      </c>
      <c r="BF167" s="21"/>
      <c r="BG167" s="81">
        <f>$H$167*月別販売比率!H5</f>
        <v>7.3730407523510957</v>
      </c>
      <c r="BH167" s="21"/>
      <c r="BI167" s="81">
        <f>$H$167*月別販売比率!M5</f>
        <v>10.644952835594902</v>
      </c>
      <c r="BJ167" s="21"/>
      <c r="BK167" s="245">
        <f>$H$167*月別販売比率!R5</f>
        <v>8.4263322884012517</v>
      </c>
      <c r="BL167" s="241">
        <v>55</v>
      </c>
      <c r="BM167" s="81">
        <f>$H$167*月別販売比率!W5</f>
        <v>8.0225761850646329</v>
      </c>
      <c r="BN167" s="21"/>
      <c r="BO167" s="81">
        <f>$H$167*月別販売比率!AB5</f>
        <v>12.639498432601878</v>
      </c>
      <c r="BP167" s="21"/>
      <c r="BQ167" s="245">
        <f>$H$167*月別販売比率!AG5</f>
        <v>10.532915360501566</v>
      </c>
      <c r="BR167" s="241">
        <v>50</v>
      </c>
      <c r="BS167" s="81">
        <f>$H$167*月別販売比率!AL5</f>
        <v>9.4796238244514086</v>
      </c>
      <c r="BT167" s="21"/>
      <c r="BU167" s="81">
        <f>$H$167*月別販売比率!AQ5</f>
        <v>10.532915360501566</v>
      </c>
      <c r="BV167" s="21"/>
      <c r="BW167" s="81">
        <f>$H$167*月別販売比率!AV5</f>
        <v>6.4139530306700898</v>
      </c>
      <c r="BX167" s="21"/>
      <c r="BY167" s="81">
        <f>$H$167*月別販売比率!BA5</f>
        <v>5.8587362247322519</v>
      </c>
      <c r="BZ167" s="21"/>
      <c r="CA167" s="81">
        <f>$H$167*月別販売比率!BF5</f>
        <v>8.4263322884012517</v>
      </c>
      <c r="CB167" s="21"/>
      <c r="CC167" s="81">
        <f>H167*月別販売比率!$C$21</f>
        <v>7.4640715908847337</v>
      </c>
      <c r="CD167" s="21"/>
      <c r="CE167" s="81">
        <f>H167*月別販売比率!$H$21</f>
        <v>7.3730407523510957</v>
      </c>
      <c r="CF167" s="241">
        <v>40</v>
      </c>
      <c r="CG167" s="81">
        <f>H167*月別販売比率!$M$21</f>
        <v>10.644952835594902</v>
      </c>
      <c r="CH167" s="241"/>
      <c r="CI167" s="81">
        <f>H167*月別販売比率!$R$21</f>
        <v>8.4263322884012517</v>
      </c>
      <c r="CJ167" s="21"/>
      <c r="CK167" s="81">
        <f>H167*月別販売比率!$W$21</f>
        <v>8.0225761850646329</v>
      </c>
      <c r="CL167" s="21"/>
      <c r="CM167" s="81">
        <f>H167*月別販売比率!$AB$21</f>
        <v>12.639498432601878</v>
      </c>
      <c r="CN167" s="21"/>
      <c r="CO167" s="81">
        <f>H167*月別販売比率!$AG$21</f>
        <v>10.532915360501566</v>
      </c>
      <c r="CP167" s="21">
        <v>20</v>
      </c>
      <c r="CQ167" s="81">
        <f>H167*月別販売比率!$AL$21</f>
        <v>9.4796238244514086</v>
      </c>
      <c r="CR167" s="21"/>
      <c r="CS167" s="81">
        <f>H167*月別販売比率!$AQ$21</f>
        <v>10.532915360501566</v>
      </c>
      <c r="CT167" s="21"/>
      <c r="CU167" s="81">
        <f>H167*月別販売比率!$AV$21</f>
        <v>6.4139530306700898</v>
      </c>
      <c r="CV167" s="21"/>
      <c r="CW167" s="81">
        <f>H167*月別販売比率!$BA$21</f>
        <v>5.8587362247322519</v>
      </c>
      <c r="CX167" s="21"/>
      <c r="CY167" s="81">
        <f>H167*月別販売比率!$BF$21</f>
        <v>8.4263322884012517</v>
      </c>
      <c r="CZ167" s="21"/>
      <c r="DA167" s="28"/>
      <c r="DB167" s="294"/>
    </row>
    <row r="168" spans="2:106" ht="30.75" customHeight="1">
      <c r="C168" s="498"/>
      <c r="D168" s="441"/>
      <c r="E168" s="119" t="s">
        <v>50</v>
      </c>
      <c r="F168" s="58">
        <v>43.260188087774296</v>
      </c>
      <c r="G168" s="53">
        <f t="shared" si="263"/>
        <v>190344.8275862069</v>
      </c>
      <c r="H168" s="52">
        <f t="shared" si="264"/>
        <v>43.260188087774289</v>
      </c>
      <c r="I168" s="53">
        <f t="shared" si="265"/>
        <v>190344.82758620687</v>
      </c>
      <c r="J168" s="113">
        <v>0</v>
      </c>
      <c r="K168" s="110">
        <f t="shared" si="253"/>
        <v>26</v>
      </c>
      <c r="L168" s="104">
        <v>4</v>
      </c>
      <c r="M168" s="104">
        <v>22</v>
      </c>
      <c r="N168" s="117"/>
      <c r="O168" s="115"/>
      <c r="P168" s="115"/>
      <c r="Q168" s="336"/>
      <c r="R168" s="305"/>
      <c r="S168" s="305"/>
      <c r="T168" s="356"/>
      <c r="U168" s="356"/>
      <c r="V168" s="238"/>
      <c r="W168" s="238"/>
      <c r="X168" s="334">
        <v>45860</v>
      </c>
      <c r="Y168" s="238"/>
      <c r="Z168" s="238"/>
      <c r="AA168" s="238"/>
      <c r="AB168" s="238"/>
      <c r="AC168" s="238"/>
      <c r="AD168" s="238"/>
      <c r="AE168" s="238"/>
      <c r="AF168" s="328"/>
      <c r="AG168" s="331"/>
      <c r="AH168" s="331"/>
      <c r="AI168" s="238">
        <f t="shared" si="254"/>
        <v>22.539184952978058</v>
      </c>
      <c r="AJ168" s="238">
        <f t="shared" si="255"/>
        <v>19.244198305540799</v>
      </c>
      <c r="AK168" s="238">
        <f t="shared" si="256"/>
        <v>14.052975735007884</v>
      </c>
      <c r="AL168" s="401">
        <f t="shared" si="257"/>
        <v>9.7269569262304536</v>
      </c>
      <c r="AM168" s="395">
        <f t="shared" si="258"/>
        <v>5.8335399983307674</v>
      </c>
      <c r="AN168" s="395">
        <f t="shared" si="259"/>
        <v>1.507521189553338</v>
      </c>
      <c r="AO168" s="395">
        <f t="shared" si="260"/>
        <v>-1.1267809480433062</v>
      </c>
      <c r="AP168" s="403">
        <f t="shared" si="261"/>
        <v>-3.5330476117726239</v>
      </c>
      <c r="AQ168" s="90">
        <f t="shared" si="262"/>
        <v>-6.9938626587945674</v>
      </c>
      <c r="AR168" s="238"/>
      <c r="AS168" s="282">
        <f>$H$168*月別販売比率!AG5</f>
        <v>4.3260188087774294</v>
      </c>
      <c r="AT168" s="103"/>
      <c r="AU168" s="282">
        <f>$H$168*月別販売比率!AL5</f>
        <v>3.8934169278996857</v>
      </c>
      <c r="AV168" s="103"/>
      <c r="AW168" s="301">
        <f>$H$168*月別販売比率!AQ5</f>
        <v>4.3260188087774294</v>
      </c>
      <c r="AX168" s="302"/>
      <c r="AY168" s="282">
        <f>$H$168*月別販売比率!AV5</f>
        <v>2.6343021375966442</v>
      </c>
      <c r="AZ168" s="103"/>
      <c r="BA168" s="282">
        <f>$H$168*月別販売比率!BA5</f>
        <v>2.4062666637293177</v>
      </c>
      <c r="BB168" s="103"/>
      <c r="BC168" s="282">
        <f>$H$168*月別販売比率!BF5</f>
        <v>3.460815047021943</v>
      </c>
      <c r="BD168" s="103"/>
      <c r="BE168" s="282">
        <f>$H$168*月別販売比率!C5</f>
        <v>3.0656008319705159</v>
      </c>
      <c r="BF168" s="103"/>
      <c r="BG168" s="282">
        <f>$H$168*月別販売比率!H5</f>
        <v>3.0282131661442007</v>
      </c>
      <c r="BH168" s="103"/>
      <c r="BI168" s="282">
        <f>$H$168*月別販売比率!M5</f>
        <v>4.372034200333621</v>
      </c>
      <c r="BJ168" s="103"/>
      <c r="BK168" s="301">
        <f>$H$168*月別販売比率!R5</f>
        <v>3.460815047021943</v>
      </c>
      <c r="BL168" s="302">
        <v>25</v>
      </c>
      <c r="BM168" s="282">
        <f>$H$168*月別販売比率!W5</f>
        <v>3.2949866474372604</v>
      </c>
      <c r="BN168" s="103"/>
      <c r="BO168" s="282">
        <f>$H$168*月別販売比率!AB5</f>
        <v>5.191222570532914</v>
      </c>
      <c r="BP168" s="103"/>
      <c r="BQ168" s="301">
        <f>$H$168*月別販売比率!AG5</f>
        <v>4.3260188087774294</v>
      </c>
      <c r="BR168" s="302">
        <v>15</v>
      </c>
      <c r="BS168" s="282">
        <f>$H$168*月別販売比率!AL5</f>
        <v>3.8934169278996857</v>
      </c>
      <c r="BT168" s="103"/>
      <c r="BU168" s="282">
        <f>$H$168*月別販売比率!AQ5</f>
        <v>4.3260188087774294</v>
      </c>
      <c r="BV168" s="103"/>
      <c r="BW168" s="282">
        <f>$H$168*月別販売比率!AV5</f>
        <v>2.6343021375966442</v>
      </c>
      <c r="BX168" s="103"/>
      <c r="BY168" s="282">
        <f>$H$168*月別販売比率!BA5</f>
        <v>2.4062666637293177</v>
      </c>
      <c r="BZ168" s="103"/>
      <c r="CA168" s="282">
        <f>$H$168*月別販売比率!BF5</f>
        <v>3.460815047021943</v>
      </c>
      <c r="CB168" s="103"/>
      <c r="CC168" s="282">
        <f>H168*月別販売比率!$C$21</f>
        <v>3.0656008319705159</v>
      </c>
      <c r="CD168" s="103"/>
      <c r="CE168" s="282">
        <f>H168*月別販売比率!$H$21</f>
        <v>3.0282131661442007</v>
      </c>
      <c r="CF168" s="302">
        <v>30</v>
      </c>
      <c r="CG168" s="282">
        <f>H168*月別販売比率!$M$21</f>
        <v>4.372034200333621</v>
      </c>
      <c r="CH168" s="302"/>
      <c r="CI168" s="282">
        <f>H168*月別販売比率!$R$21</f>
        <v>3.460815047021943</v>
      </c>
      <c r="CJ168" s="103"/>
      <c r="CK168" s="282">
        <f>H168*月別販売比率!$W$21</f>
        <v>3.2949866474372604</v>
      </c>
      <c r="CL168" s="103"/>
      <c r="CM168" s="282">
        <f>H168*月別販売比率!$AB$21</f>
        <v>5.191222570532914</v>
      </c>
      <c r="CN168" s="103"/>
      <c r="CO168" s="282">
        <f>H168*月別販売比率!$AG$21</f>
        <v>4.3260188087774294</v>
      </c>
      <c r="CP168" s="103"/>
      <c r="CQ168" s="282">
        <f>H168*月別販売比率!$AL$21</f>
        <v>3.8934169278996857</v>
      </c>
      <c r="CR168" s="103"/>
      <c r="CS168" s="282">
        <f>H168*月別販売比率!$AQ$21</f>
        <v>4.3260188087774294</v>
      </c>
      <c r="CT168" s="103"/>
      <c r="CU168" s="282">
        <f>H168*月別販売比率!$AV$21</f>
        <v>2.6343021375966442</v>
      </c>
      <c r="CV168" s="103"/>
      <c r="CW168" s="282">
        <f>H168*月別販売比率!$BA$21</f>
        <v>2.4062666637293177</v>
      </c>
      <c r="CX168" s="103"/>
      <c r="CY168" s="282">
        <f>H168*月別販売比率!$BF$21</f>
        <v>3.460815047021943</v>
      </c>
      <c r="CZ168" s="103"/>
      <c r="DA168" s="303"/>
      <c r="DB168" s="300"/>
    </row>
    <row r="169" spans="2:106" ht="30.6" customHeight="1">
      <c r="B169" s="2">
        <v>11</v>
      </c>
      <c r="C169" s="435" t="s">
        <v>283</v>
      </c>
      <c r="D169" s="436"/>
      <c r="E169" s="445"/>
      <c r="F169" s="130">
        <f>SUM(F170:F184)</f>
        <v>1702</v>
      </c>
      <c r="G169" s="131">
        <f>SUM(G170:G183)</f>
        <v>5097400</v>
      </c>
      <c r="H169" s="130">
        <v>1700</v>
      </c>
      <c r="I169" s="131">
        <f t="shared" ref="I169:N169" si="266">SUM(I170:I183)</f>
        <v>8281164.512338425</v>
      </c>
      <c r="J169" s="133">
        <f t="shared" si="266"/>
        <v>-2</v>
      </c>
      <c r="K169" s="134">
        <f t="shared" si="266"/>
        <v>449</v>
      </c>
      <c r="L169" s="134">
        <f t="shared" si="266"/>
        <v>121</v>
      </c>
      <c r="M169" s="134">
        <f t="shared" si="266"/>
        <v>198</v>
      </c>
      <c r="N169" s="135">
        <f t="shared" si="266"/>
        <v>130</v>
      </c>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6">
        <f t="shared" ref="AS169:CB169" si="267">SUM(AS170:AS183)</f>
        <v>268.8689776733255</v>
      </c>
      <c r="AT169" s="134">
        <f t="shared" si="267"/>
        <v>0</v>
      </c>
      <c r="AU169" s="136">
        <f t="shared" si="267"/>
        <v>268.8689776733255</v>
      </c>
      <c r="AV169" s="134">
        <f t="shared" si="267"/>
        <v>341</v>
      </c>
      <c r="AW169" s="136">
        <f t="shared" si="267"/>
        <v>268.8689776733255</v>
      </c>
      <c r="AX169" s="134">
        <f t="shared" si="267"/>
        <v>0</v>
      </c>
      <c r="AY169" s="136">
        <f t="shared" si="267"/>
        <v>163.72608486610639</v>
      </c>
      <c r="AZ169" s="134">
        <f>SUM(AZ170:AZ184)</f>
        <v>415</v>
      </c>
      <c r="BA169" s="136">
        <f t="shared" si="267"/>
        <v>149.55331598966052</v>
      </c>
      <c r="BB169" s="134">
        <f t="shared" si="267"/>
        <v>0</v>
      </c>
      <c r="BC169" s="136">
        <f t="shared" si="267"/>
        <v>215.09518213866039</v>
      </c>
      <c r="BD169" s="134">
        <f t="shared" si="267"/>
        <v>0</v>
      </c>
      <c r="BE169" s="136">
        <f t="shared" si="267"/>
        <v>190.53198751101769</v>
      </c>
      <c r="BF169" s="134">
        <f t="shared" si="267"/>
        <v>260</v>
      </c>
      <c r="BG169" s="136">
        <f t="shared" si="267"/>
        <v>188.20828437132786</v>
      </c>
      <c r="BH169" s="134">
        <f t="shared" si="267"/>
        <v>325</v>
      </c>
      <c r="BI169" s="136">
        <f t="shared" si="267"/>
        <v>271.72890774571636</v>
      </c>
      <c r="BJ169" s="134">
        <f t="shared" si="267"/>
        <v>0</v>
      </c>
      <c r="BK169" s="136">
        <f t="shared" si="267"/>
        <v>215.09518213866039</v>
      </c>
      <c r="BL169" s="134">
        <f>SUM(BL170:BL184)</f>
        <v>340</v>
      </c>
      <c r="BM169" s="136">
        <f t="shared" si="267"/>
        <v>204.78868227438036</v>
      </c>
      <c r="BN169" s="134">
        <f>SUM(BN170:BN184)</f>
        <v>295</v>
      </c>
      <c r="BO169" s="136">
        <f t="shared" si="267"/>
        <v>322.64277320799061</v>
      </c>
      <c r="BP169" s="134">
        <f>SUM(BP170:BP184)</f>
        <v>0</v>
      </c>
      <c r="BQ169" s="136">
        <f t="shared" si="267"/>
        <v>268.8689776733255</v>
      </c>
      <c r="BR169" s="134">
        <f t="shared" si="267"/>
        <v>430</v>
      </c>
      <c r="BS169" s="136">
        <f t="shared" si="267"/>
        <v>241.98207990599292</v>
      </c>
      <c r="BT169" s="134">
        <f>SUM(BT170:BT184)</f>
        <v>350</v>
      </c>
      <c r="BU169" s="136">
        <f t="shared" si="267"/>
        <v>268.8689776733255</v>
      </c>
      <c r="BV169" s="134">
        <f>SUM(BV170:BV184)</f>
        <v>240</v>
      </c>
      <c r="BW169" s="136">
        <f t="shared" si="267"/>
        <v>163.72608486610639</v>
      </c>
      <c r="BX169" s="134">
        <f t="shared" si="267"/>
        <v>0</v>
      </c>
      <c r="BY169" s="136">
        <f t="shared" si="267"/>
        <v>149.55331598966052</v>
      </c>
      <c r="BZ169" s="134">
        <f t="shared" si="267"/>
        <v>0</v>
      </c>
      <c r="CA169" s="136">
        <f t="shared" si="267"/>
        <v>215.09518213866039</v>
      </c>
      <c r="CB169" s="134">
        <f t="shared" si="267"/>
        <v>0</v>
      </c>
      <c r="CC169" s="136">
        <f t="shared" ref="CC169:CD169" si="268">SUM(CC170:CC183)</f>
        <v>190.53198751101769</v>
      </c>
      <c r="CD169" s="134">
        <f t="shared" si="268"/>
        <v>0</v>
      </c>
      <c r="CE169" s="136">
        <f t="shared" ref="CE169" si="269">SUM(CE170:CE183)</f>
        <v>188.20828437132786</v>
      </c>
      <c r="CF169" s="134">
        <f>SUM(CF170:CF184)</f>
        <v>597</v>
      </c>
      <c r="CG169" s="136">
        <f t="shared" ref="CG169:CI169" si="270">SUM(CG170:CG183)</f>
        <v>271.72890774571636</v>
      </c>
      <c r="CH169" s="134">
        <f t="shared" si="270"/>
        <v>0</v>
      </c>
      <c r="CI169" s="136">
        <f t="shared" si="270"/>
        <v>215.09518213866039</v>
      </c>
      <c r="CJ169" s="134">
        <f>SUM(CJ170:CJ184)</f>
        <v>233</v>
      </c>
      <c r="CK169" s="136">
        <f t="shared" ref="CK169:CN169" si="271">SUM(CK170:CK183)</f>
        <v>204.78868227438036</v>
      </c>
      <c r="CL169" s="134">
        <f>SUM(CL170:CL184)</f>
        <v>315</v>
      </c>
      <c r="CM169" s="136">
        <f t="shared" si="271"/>
        <v>322.64277320799061</v>
      </c>
      <c r="CN169" s="134">
        <f t="shared" si="271"/>
        <v>0</v>
      </c>
      <c r="CO169" s="136">
        <f t="shared" ref="CO169:CR169" si="272">SUM(CO170:CO183)</f>
        <v>268.8689776733255</v>
      </c>
      <c r="CP169" s="134">
        <f t="shared" si="272"/>
        <v>355</v>
      </c>
      <c r="CQ169" s="136">
        <f t="shared" si="272"/>
        <v>241.98207990599292</v>
      </c>
      <c r="CR169" s="134">
        <f t="shared" si="272"/>
        <v>495</v>
      </c>
      <c r="CS169" s="136">
        <f t="shared" ref="CS169:CX169" si="273">SUM(CS170:CS183)</f>
        <v>268.8689776733255</v>
      </c>
      <c r="CT169" s="134">
        <f t="shared" si="273"/>
        <v>0</v>
      </c>
      <c r="CU169" s="136">
        <v>163.11714111111121</v>
      </c>
      <c r="CV169" s="134">
        <f t="shared" si="273"/>
        <v>510</v>
      </c>
      <c r="CW169" s="136">
        <f t="shared" si="273"/>
        <v>149.55331598966052</v>
      </c>
      <c r="CX169" s="134">
        <f t="shared" si="273"/>
        <v>0</v>
      </c>
      <c r="CY169" s="136">
        <f t="shared" ref="CY169:CZ169" si="274">SUM(CY170:CY183)</f>
        <v>215.09518213866039</v>
      </c>
      <c r="CZ169" s="134">
        <f t="shared" si="274"/>
        <v>0</v>
      </c>
      <c r="DA169" s="141"/>
      <c r="DB169" s="293"/>
    </row>
    <row r="170" spans="2:106" ht="30.75" customHeight="1">
      <c r="B170" s="25"/>
      <c r="C170" s="446" t="s">
        <v>480</v>
      </c>
      <c r="D170" s="443">
        <v>1</v>
      </c>
      <c r="E170" s="99" t="s">
        <v>275</v>
      </c>
      <c r="F170" s="1">
        <v>196</v>
      </c>
      <c r="G170" s="46">
        <f>F170*3080</f>
        <v>603680</v>
      </c>
      <c r="H170" s="164">
        <v>230</v>
      </c>
      <c r="I170" s="46">
        <f>H170*3080</f>
        <v>708400</v>
      </c>
      <c r="J170" s="9">
        <v>2</v>
      </c>
      <c r="K170" s="39">
        <f t="shared" ref="K170:K172" si="275">SUM(L170:N170)</f>
        <v>47</v>
      </c>
      <c r="L170" s="39">
        <v>12</v>
      </c>
      <c r="M170" s="40">
        <v>15</v>
      </c>
      <c r="N170" s="42">
        <v>20</v>
      </c>
      <c r="O170" s="288"/>
      <c r="P170" s="288"/>
      <c r="Q170" s="331">
        <v>45643</v>
      </c>
      <c r="R170" s="124"/>
      <c r="S170" s="129"/>
      <c r="T170" s="129"/>
      <c r="U170" s="129"/>
      <c r="V170" s="124"/>
      <c r="W170" s="124"/>
      <c r="X170" s="124"/>
      <c r="Y170" s="124"/>
      <c r="Z170" s="124"/>
      <c r="AA170" s="124"/>
      <c r="AB170" s="124"/>
      <c r="AC170" s="124"/>
      <c r="AD170" s="124"/>
      <c r="AE170" s="124"/>
      <c r="AF170" s="124"/>
      <c r="AG170" s="124"/>
      <c r="AH170" s="124"/>
      <c r="AI170" s="129">
        <f t="shared" ref="AI170:AI184" si="276">SUM(J170:K170)-CI170+CJ170</f>
        <v>45.599999999999994</v>
      </c>
      <c r="AJ170" s="129">
        <f t="shared" ref="AJ170:AJ184" si="277">AI170-CK170+CL170</f>
        <v>48.081654324458555</v>
      </c>
      <c r="AK170" s="129">
        <f t="shared" ref="AK170:AK184" si="278">AJ170-CM170+CN170</f>
        <v>20.481654324458557</v>
      </c>
      <c r="AL170" s="399">
        <f t="shared" ref="AL170:AL184" si="279">AK170-CO170+CP170</f>
        <v>17.481654324458557</v>
      </c>
      <c r="AM170" s="393">
        <f t="shared" ref="AM170:AM184" si="280">AL170-CQ170+CR170</f>
        <v>46.781654324458557</v>
      </c>
      <c r="AN170" s="393">
        <f t="shared" ref="AN170:AN184" si="281">AM170-CS170+CT170</f>
        <v>23.781654324458557</v>
      </c>
      <c r="AO170" s="393">
        <f t="shared" ref="AO170:AO184" si="282">AN170-CU170+CV170</f>
        <v>59.775947959569727</v>
      </c>
      <c r="AP170" s="96">
        <f t="shared" ref="AP170:AP184" si="283">AO170-CW170+CX170</f>
        <v>46.982630197408852</v>
      </c>
      <c r="AQ170" s="91">
        <f t="shared" ref="AQ170:AQ184" si="284">AP170-CY170+CZ170</f>
        <v>28.58263019740885</v>
      </c>
      <c r="AR170" s="198"/>
      <c r="AS170" s="81">
        <f>$H$170*月別販売比率!AG5</f>
        <v>23</v>
      </c>
      <c r="AT170" s="39"/>
      <c r="AU170" s="245">
        <f>$H$170*月別販売比率!AG5</f>
        <v>23</v>
      </c>
      <c r="AV170" s="280">
        <v>37</v>
      </c>
      <c r="AW170" s="81">
        <f>$H$170*月別販売比率!AQ5</f>
        <v>23</v>
      </c>
      <c r="AX170" s="39"/>
      <c r="AY170" s="245">
        <f>$H$170*月別販売比率!AV5</f>
        <v>14.005706364888828</v>
      </c>
      <c r="AZ170" s="280">
        <v>30</v>
      </c>
      <c r="BA170" s="81">
        <f>$H$170*月別販売比率!BA5</f>
        <v>12.793317762160875</v>
      </c>
      <c r="BB170" s="39"/>
      <c r="BC170" s="81">
        <f>$H$170*月別販売比率!BF5</f>
        <v>18.400000000000002</v>
      </c>
      <c r="BD170" s="39"/>
      <c r="BE170" s="245">
        <f>$H$170*月別販売比率!C5</f>
        <v>16.298777756643247</v>
      </c>
      <c r="BF170" s="280">
        <v>60</v>
      </c>
      <c r="BG170" s="245">
        <f>$H$170*月別販売比率!H5</f>
        <v>16.100000000000001</v>
      </c>
      <c r="BH170" s="280">
        <v>28</v>
      </c>
      <c r="BI170" s="81">
        <f>$H$170*月別販売比率!M5</f>
        <v>23.244648498440419</v>
      </c>
      <c r="BJ170" s="39"/>
      <c r="BK170" s="245">
        <f>$H$170*月別販売比率!R5</f>
        <v>18.400000000000002</v>
      </c>
      <c r="BL170" s="280">
        <v>20</v>
      </c>
      <c r="BM170" s="245">
        <f>$H$170*月別販売比率!W5</f>
        <v>17.518345675541436</v>
      </c>
      <c r="BN170" s="280">
        <v>30</v>
      </c>
      <c r="BO170" s="81">
        <f>$H$170*月別販売比率!AB5</f>
        <v>27.599999999999998</v>
      </c>
      <c r="BP170" s="39"/>
      <c r="BQ170" s="245">
        <f>$H$170*月別販売比率!AG5</f>
        <v>23</v>
      </c>
      <c r="BR170" s="280">
        <v>40</v>
      </c>
      <c r="BS170" s="245">
        <f>$H$170*月別販売比率!AL5</f>
        <v>20.7</v>
      </c>
      <c r="BT170" s="280">
        <v>20</v>
      </c>
      <c r="BU170" s="245">
        <f>$H$170*月別販売比率!AQ5</f>
        <v>23</v>
      </c>
      <c r="BV170" s="280">
        <v>15</v>
      </c>
      <c r="BW170" s="81">
        <f>$H$170*月別販売比率!AV5</f>
        <v>14.005706364888828</v>
      </c>
      <c r="BX170" s="39"/>
      <c r="BY170" s="81">
        <f>$H$170*月別販売比率!BA5</f>
        <v>12.793317762160875</v>
      </c>
      <c r="BZ170" s="39"/>
      <c r="CA170" s="81">
        <f>$H$170*月別販売比率!BF5</f>
        <v>18.400000000000002</v>
      </c>
      <c r="CB170" s="39"/>
      <c r="CC170" s="81">
        <f>H170*月別販売比率!$C$21</f>
        <v>16.298777756643247</v>
      </c>
      <c r="CD170" s="39"/>
      <c r="CE170" s="81">
        <f>H170*月別販売比率!$H$21</f>
        <v>16.100000000000001</v>
      </c>
      <c r="CF170" s="280">
        <v>40</v>
      </c>
      <c r="CG170" s="81">
        <f>H170*月別販売比率!$M$21</f>
        <v>23.244648498440419</v>
      </c>
      <c r="CH170" s="39"/>
      <c r="CI170" s="81">
        <f>H170*月別販売比率!$R$21</f>
        <v>18.400000000000002</v>
      </c>
      <c r="CJ170" s="39">
        <v>15</v>
      </c>
      <c r="CK170" s="81">
        <f>H170*月別販売比率!$W$21</f>
        <v>17.518345675541436</v>
      </c>
      <c r="CL170" s="39">
        <v>20</v>
      </c>
      <c r="CM170" s="81">
        <f>H170*月別販売比率!$AB$21</f>
        <v>27.599999999999998</v>
      </c>
      <c r="CN170" s="39"/>
      <c r="CO170" s="81">
        <f>H170*月別販売比率!$AG$21</f>
        <v>23</v>
      </c>
      <c r="CP170" s="39">
        <v>20</v>
      </c>
      <c r="CQ170" s="81">
        <f>H170*月別販売比率!$AL$21</f>
        <v>20.7</v>
      </c>
      <c r="CR170" s="39">
        <v>50</v>
      </c>
      <c r="CS170" s="81">
        <f>H170*月別販売比率!$AQ$21</f>
        <v>23</v>
      </c>
      <c r="CT170" s="39"/>
      <c r="CU170" s="81">
        <f>H170*月別販売比率!$AV$21</f>
        <v>14.005706364888828</v>
      </c>
      <c r="CV170" s="39">
        <v>50</v>
      </c>
      <c r="CW170" s="81">
        <f>H170*月別販売比率!$BA$21</f>
        <v>12.793317762160875</v>
      </c>
      <c r="CX170" s="39"/>
      <c r="CY170" s="81">
        <f>H170*月別販売比率!$BF$21</f>
        <v>18.400000000000002</v>
      </c>
      <c r="CZ170" s="39"/>
      <c r="DA170" s="28"/>
      <c r="DB170" s="294"/>
    </row>
    <row r="171" spans="2:106" ht="30.75" customHeight="1">
      <c r="B171" s="25"/>
      <c r="C171" s="438"/>
      <c r="D171" s="441"/>
      <c r="E171" s="94" t="s">
        <v>287</v>
      </c>
      <c r="F171" s="1">
        <v>52</v>
      </c>
      <c r="G171" s="46">
        <f t="shared" ref="G171:G184" si="285">F171*3080</f>
        <v>160160</v>
      </c>
      <c r="H171" s="164">
        <v>220</v>
      </c>
      <c r="I171" s="46">
        <f t="shared" ref="I171:I184" si="286">H171*3080</f>
        <v>677600</v>
      </c>
      <c r="J171" s="9">
        <v>0</v>
      </c>
      <c r="K171" s="21">
        <f t="shared" si="275"/>
        <v>52</v>
      </c>
      <c r="L171" s="39">
        <v>14</v>
      </c>
      <c r="M171" s="40">
        <v>16</v>
      </c>
      <c r="N171" s="42">
        <v>22</v>
      </c>
      <c r="O171" s="288"/>
      <c r="P171" s="288"/>
      <c r="Q171" s="331"/>
      <c r="R171" s="328"/>
      <c r="S171" s="129"/>
      <c r="T171" s="345"/>
      <c r="U171" s="331">
        <v>45757</v>
      </c>
      <c r="V171" s="124"/>
      <c r="W171" s="124"/>
      <c r="X171" s="331">
        <v>45848</v>
      </c>
      <c r="Y171" s="331"/>
      <c r="Z171" s="330"/>
      <c r="AA171" s="331">
        <v>45940</v>
      </c>
      <c r="AB171" s="124"/>
      <c r="AC171" s="124"/>
      <c r="AD171" s="124"/>
      <c r="AE171" s="328"/>
      <c r="AF171" s="328"/>
      <c r="AG171" s="331"/>
      <c r="AH171" s="331">
        <v>46157</v>
      </c>
      <c r="AI171" s="129">
        <f t="shared" si="276"/>
        <v>39.4</v>
      </c>
      <c r="AJ171" s="129">
        <f t="shared" si="277"/>
        <v>52.64332152774297</v>
      </c>
      <c r="AK171" s="129">
        <f t="shared" si="278"/>
        <v>26.243321527742971</v>
      </c>
      <c r="AL171" s="399">
        <f t="shared" si="279"/>
        <v>29.243321527742971</v>
      </c>
      <c r="AM171" s="393">
        <f t="shared" si="280"/>
        <v>49.443321527742967</v>
      </c>
      <c r="AN171" s="393">
        <f t="shared" si="281"/>
        <v>27.443321527742967</v>
      </c>
      <c r="AO171" s="393">
        <f t="shared" si="282"/>
        <v>54.046558917849303</v>
      </c>
      <c r="AP171" s="96">
        <f t="shared" si="283"/>
        <v>41.809472362738902</v>
      </c>
      <c r="AQ171" s="91">
        <f t="shared" si="284"/>
        <v>24.2094723627389</v>
      </c>
      <c r="AR171" s="198"/>
      <c r="AS171" s="81">
        <f>$H$171*月別販売比率!AG5</f>
        <v>22</v>
      </c>
      <c r="AT171" s="21"/>
      <c r="AU171" s="245">
        <f>$H$171*月別販売比率!AG5</f>
        <v>22</v>
      </c>
      <c r="AV171" s="241"/>
      <c r="AW171" s="81">
        <f>$H$171*月別販売比率!AQ5</f>
        <v>22</v>
      </c>
      <c r="AX171" s="21"/>
      <c r="AY171" s="245">
        <f>$H$171*月別販売比率!AV5</f>
        <v>13.396762609893662</v>
      </c>
      <c r="AZ171" s="241">
        <v>35</v>
      </c>
      <c r="BA171" s="81">
        <f>$H$171*月別販売比率!BA5</f>
        <v>12.237086555110402</v>
      </c>
      <c r="BB171" s="21"/>
      <c r="BC171" s="81">
        <f>$H$171*月別販売比率!BF5</f>
        <v>17.600000000000001</v>
      </c>
      <c r="BD171" s="21"/>
      <c r="BE171" s="245">
        <f>$H$171*月別販売比率!C5</f>
        <v>15.590135245484845</v>
      </c>
      <c r="BF171" s="241">
        <v>10</v>
      </c>
      <c r="BG171" s="245">
        <f>$H$171*月別販売比率!H5</f>
        <v>15.400000000000002</v>
      </c>
      <c r="BH171" s="241">
        <v>6</v>
      </c>
      <c r="BI171" s="81">
        <f>$H$171*月別販売比率!M5</f>
        <v>22.234011607203879</v>
      </c>
      <c r="BJ171" s="21"/>
      <c r="BK171" s="245">
        <f>$H$171*月別販売比率!R5</f>
        <v>17.600000000000001</v>
      </c>
      <c r="BL171" s="241">
        <v>10</v>
      </c>
      <c r="BM171" s="245">
        <f>$H$171*月別販売比率!W5</f>
        <v>16.756678472257025</v>
      </c>
      <c r="BN171" s="241">
        <v>15</v>
      </c>
      <c r="BO171" s="81">
        <f>$H$171*月別販売比率!AB5</f>
        <v>26.4</v>
      </c>
      <c r="BP171" s="21"/>
      <c r="BQ171" s="245">
        <f>$H$171*月別販売比率!AG5</f>
        <v>22</v>
      </c>
      <c r="BR171" s="241">
        <v>20</v>
      </c>
      <c r="BS171" s="245">
        <f>$H$171*月別販売比率!AL5</f>
        <v>19.8</v>
      </c>
      <c r="BT171" s="241">
        <v>10</v>
      </c>
      <c r="BU171" s="245">
        <f>$H$171*月別販売比率!AQ5</f>
        <v>22</v>
      </c>
      <c r="BV171" s="241">
        <v>10</v>
      </c>
      <c r="BW171" s="81">
        <f>$H$171*月別販売比率!AV5</f>
        <v>13.396762609893662</v>
      </c>
      <c r="BX171" s="21"/>
      <c r="BY171" s="81">
        <f>$H$171*月別販売比率!BA5</f>
        <v>12.237086555110402</v>
      </c>
      <c r="BZ171" s="21"/>
      <c r="CA171" s="81">
        <f>$H$171*月別販売比率!BF5</f>
        <v>17.600000000000001</v>
      </c>
      <c r="CB171" s="21"/>
      <c r="CC171" s="81">
        <f>H171*月別販売比率!$C$21</f>
        <v>15.590135245484845</v>
      </c>
      <c r="CD171" s="21"/>
      <c r="CE171" s="81">
        <f>H171*月別販売比率!$H$21</f>
        <v>15.400000000000002</v>
      </c>
      <c r="CF171" s="241">
        <v>60</v>
      </c>
      <c r="CG171" s="81">
        <f>H171*月別販売比率!$M$21</f>
        <v>22.234011607203879</v>
      </c>
      <c r="CH171" s="21"/>
      <c r="CI171" s="81">
        <f>H171*月別販売比率!$R$21</f>
        <v>17.600000000000001</v>
      </c>
      <c r="CJ171" s="21">
        <v>5</v>
      </c>
      <c r="CK171" s="81">
        <f>H171*月別販売比率!$W$21</f>
        <v>16.756678472257025</v>
      </c>
      <c r="CL171" s="21">
        <v>30</v>
      </c>
      <c r="CM171" s="81">
        <f>H171*月別販売比率!$AB$21</f>
        <v>26.4</v>
      </c>
      <c r="CN171" s="21"/>
      <c r="CO171" s="81">
        <f>H171*月別販売比率!$AG$21</f>
        <v>22</v>
      </c>
      <c r="CP171" s="21">
        <v>25</v>
      </c>
      <c r="CQ171" s="81">
        <f>H171*月別販売比率!$AL$21</f>
        <v>19.8</v>
      </c>
      <c r="CR171" s="21">
        <v>40</v>
      </c>
      <c r="CS171" s="81">
        <f>H171*月別販売比率!$AQ$21</f>
        <v>22</v>
      </c>
      <c r="CT171" s="21"/>
      <c r="CU171" s="81">
        <f>H171*月別販売比率!$AV$21</f>
        <v>13.396762609893662</v>
      </c>
      <c r="CV171" s="21">
        <v>40</v>
      </c>
      <c r="CW171" s="81">
        <f>H171*月別販売比率!$BA$21</f>
        <v>12.237086555110402</v>
      </c>
      <c r="CX171" s="21"/>
      <c r="CY171" s="81">
        <f>H171*月別販売比率!$BF$21</f>
        <v>17.600000000000001</v>
      </c>
      <c r="CZ171" s="21"/>
      <c r="DA171" s="28"/>
      <c r="DB171" s="294"/>
    </row>
    <row r="172" spans="2:106" ht="30.75" customHeight="1">
      <c r="B172" s="25"/>
      <c r="C172" s="438"/>
      <c r="D172" s="441"/>
      <c r="E172" s="94" t="s">
        <v>286</v>
      </c>
      <c r="F172" s="1">
        <v>52</v>
      </c>
      <c r="G172" s="46">
        <f t="shared" si="285"/>
        <v>160160</v>
      </c>
      <c r="H172" s="164">
        <v>220</v>
      </c>
      <c r="I172" s="46">
        <f t="shared" si="286"/>
        <v>677600</v>
      </c>
      <c r="J172" s="9">
        <v>0</v>
      </c>
      <c r="K172" s="21">
        <f t="shared" si="275"/>
        <v>43</v>
      </c>
      <c r="L172" s="39">
        <v>10</v>
      </c>
      <c r="M172" s="40">
        <v>15</v>
      </c>
      <c r="N172" s="42">
        <v>18</v>
      </c>
      <c r="O172" s="288"/>
      <c r="P172" s="288"/>
      <c r="Q172" s="331"/>
      <c r="R172" s="328"/>
      <c r="S172" s="129"/>
      <c r="T172" s="129"/>
      <c r="U172" s="345"/>
      <c r="V172" s="328"/>
      <c r="W172" s="328"/>
      <c r="X172" s="328"/>
      <c r="Y172" s="328"/>
      <c r="Z172" s="124"/>
      <c r="AA172" s="331">
        <v>45940</v>
      </c>
      <c r="AB172" s="124"/>
      <c r="AC172" s="124"/>
      <c r="AD172" s="124"/>
      <c r="AE172" s="124"/>
      <c r="AF172" s="124"/>
      <c r="AG172" s="124"/>
      <c r="AH172" s="331"/>
      <c r="AI172" s="129">
        <f t="shared" si="276"/>
        <v>40.4</v>
      </c>
      <c r="AJ172" s="129">
        <f t="shared" si="277"/>
        <v>58.64332152774297</v>
      </c>
      <c r="AK172" s="129">
        <f t="shared" si="278"/>
        <v>32.243321527742971</v>
      </c>
      <c r="AL172" s="399">
        <f t="shared" si="279"/>
        <v>40.243321527742971</v>
      </c>
      <c r="AM172" s="393">
        <f t="shared" si="280"/>
        <v>60.443321527742967</v>
      </c>
      <c r="AN172" s="393">
        <f t="shared" si="281"/>
        <v>38.443321527742967</v>
      </c>
      <c r="AO172" s="393">
        <f t="shared" si="282"/>
        <v>65.046558917849296</v>
      </c>
      <c r="AP172" s="96">
        <f t="shared" si="283"/>
        <v>52.809472362738894</v>
      </c>
      <c r="AQ172" s="91">
        <f t="shared" si="284"/>
        <v>35.209472362738893</v>
      </c>
      <c r="AR172" s="198"/>
      <c r="AS172" s="81">
        <f>$H$172*月別販売比率!AG5</f>
        <v>22</v>
      </c>
      <c r="AT172" s="21"/>
      <c r="AU172" s="245">
        <f>$H$172*月別販売比率!AG5</f>
        <v>22</v>
      </c>
      <c r="AV172" s="241"/>
      <c r="AW172" s="81">
        <f>$H$172*月別販売比率!AQ5</f>
        <v>22</v>
      </c>
      <c r="AX172" s="21"/>
      <c r="AY172" s="245">
        <f>$H$172*月別販売比率!AV5</f>
        <v>13.396762609893662</v>
      </c>
      <c r="AZ172" s="241">
        <v>30</v>
      </c>
      <c r="BA172" s="81">
        <f>$H$172*月別販売比率!BA5</f>
        <v>12.237086555110402</v>
      </c>
      <c r="BB172" s="21"/>
      <c r="BC172" s="81">
        <f>$H$172*月別販売比率!BF5</f>
        <v>17.600000000000001</v>
      </c>
      <c r="BD172" s="21"/>
      <c r="BE172" s="245">
        <f>$H$172*月別販売比率!C5</f>
        <v>15.590135245484845</v>
      </c>
      <c r="BF172" s="241">
        <v>10</v>
      </c>
      <c r="BG172" s="245">
        <f>$H$172*月別販売比率!H5</f>
        <v>15.400000000000002</v>
      </c>
      <c r="BH172" s="241"/>
      <c r="BI172" s="81">
        <f>$H$172*月別販売比率!M5</f>
        <v>22.234011607203879</v>
      </c>
      <c r="BJ172" s="21"/>
      <c r="BK172" s="245">
        <f>$H$172*月別販売比率!R5</f>
        <v>17.600000000000001</v>
      </c>
      <c r="BL172" s="241"/>
      <c r="BM172" s="245">
        <f>$H$172*月別販売比率!W5</f>
        <v>16.756678472257025</v>
      </c>
      <c r="BN172" s="241">
        <v>10</v>
      </c>
      <c r="BO172" s="81">
        <f>$H$172*月別販売比率!AB5</f>
        <v>26.4</v>
      </c>
      <c r="BP172" s="21"/>
      <c r="BQ172" s="245">
        <f>$H$172*月別販売比率!AG5</f>
        <v>22</v>
      </c>
      <c r="BR172" s="241">
        <v>40</v>
      </c>
      <c r="BS172" s="245">
        <f>$H$172*月別販売比率!AL5</f>
        <v>19.8</v>
      </c>
      <c r="BT172" s="241">
        <v>25</v>
      </c>
      <c r="BU172" s="245">
        <f>$H$172*月別販売比率!AQ5</f>
        <v>22</v>
      </c>
      <c r="BV172" s="241">
        <v>15</v>
      </c>
      <c r="BW172" s="81">
        <f>$H$172*月別販売比率!AV5</f>
        <v>13.396762609893662</v>
      </c>
      <c r="BX172" s="21"/>
      <c r="BY172" s="81">
        <f>$H$172*月別販売比率!BA5</f>
        <v>12.237086555110402</v>
      </c>
      <c r="BZ172" s="21"/>
      <c r="CA172" s="81">
        <f>$H$172*月別販売比率!BF5</f>
        <v>17.600000000000001</v>
      </c>
      <c r="CB172" s="21"/>
      <c r="CC172" s="81">
        <f>H172*月別販売比率!$C$21</f>
        <v>15.590135245484845</v>
      </c>
      <c r="CD172" s="21"/>
      <c r="CE172" s="81">
        <f>H172*月別販売比率!$H$21</f>
        <v>15.400000000000002</v>
      </c>
      <c r="CF172" s="241">
        <v>50</v>
      </c>
      <c r="CG172" s="81">
        <f>H172*月別販売比率!$M$21</f>
        <v>22.234011607203879</v>
      </c>
      <c r="CH172" s="21"/>
      <c r="CI172" s="81">
        <f>H172*月別販売比率!$R$21</f>
        <v>17.600000000000001</v>
      </c>
      <c r="CJ172" s="21">
        <v>15</v>
      </c>
      <c r="CK172" s="81">
        <f>H172*月別販売比率!$W$21</f>
        <v>16.756678472257025</v>
      </c>
      <c r="CL172" s="21">
        <v>35</v>
      </c>
      <c r="CM172" s="81">
        <f>H172*月別販売比率!$AB$21</f>
        <v>26.4</v>
      </c>
      <c r="CN172" s="21"/>
      <c r="CO172" s="81">
        <f>H172*月別販売比率!$AG$21</f>
        <v>22</v>
      </c>
      <c r="CP172" s="21">
        <v>30</v>
      </c>
      <c r="CQ172" s="81">
        <f>H172*月別販売比率!$AL$21</f>
        <v>19.8</v>
      </c>
      <c r="CR172" s="21">
        <v>40</v>
      </c>
      <c r="CS172" s="81">
        <f>H172*月別販売比率!$AQ$21</f>
        <v>22</v>
      </c>
      <c r="CT172" s="21"/>
      <c r="CU172" s="81">
        <f>H172*月別販売比率!$AV$21</f>
        <v>13.396762609893662</v>
      </c>
      <c r="CV172" s="21">
        <v>40</v>
      </c>
      <c r="CW172" s="81">
        <f>H172*月別販売比率!$BA$21</f>
        <v>12.237086555110402</v>
      </c>
      <c r="CX172" s="21"/>
      <c r="CY172" s="81">
        <f>H172*月別販売比率!$BF$21</f>
        <v>17.600000000000001</v>
      </c>
      <c r="CZ172" s="21"/>
      <c r="DA172" s="28"/>
      <c r="DB172" s="294"/>
    </row>
    <row r="173" spans="2:106" ht="30.75" customHeight="1">
      <c r="B173" s="25"/>
      <c r="C173" s="438"/>
      <c r="D173" s="441"/>
      <c r="E173" s="94" t="s">
        <v>285</v>
      </c>
      <c r="F173" s="1">
        <v>52</v>
      </c>
      <c r="G173" s="46">
        <f t="shared" si="285"/>
        <v>160160</v>
      </c>
      <c r="H173" s="164">
        <v>85</v>
      </c>
      <c r="I173" s="46">
        <f t="shared" si="286"/>
        <v>261800</v>
      </c>
      <c r="J173" s="9">
        <v>0</v>
      </c>
      <c r="K173" s="21">
        <f>SUM(L173:N173)</f>
        <v>14</v>
      </c>
      <c r="L173" s="39">
        <v>5</v>
      </c>
      <c r="M173" s="40">
        <v>9</v>
      </c>
      <c r="N173" s="42"/>
      <c r="O173" s="288"/>
      <c r="P173" s="288"/>
      <c r="Q173" s="331"/>
      <c r="R173" s="328"/>
      <c r="S173" s="129"/>
      <c r="T173" s="345"/>
      <c r="U173" s="345"/>
      <c r="V173" s="328"/>
      <c r="W173" s="328"/>
      <c r="X173" s="331">
        <v>45848</v>
      </c>
      <c r="Y173" s="124"/>
      <c r="Z173" s="124"/>
      <c r="AA173" s="124"/>
      <c r="AB173" s="124"/>
      <c r="AC173" s="124"/>
      <c r="AD173" s="124"/>
      <c r="AE173" s="124"/>
      <c r="AF173" s="124"/>
      <c r="AG173" s="124"/>
      <c r="AH173" s="124"/>
      <c r="AI173" s="129">
        <f t="shared" si="276"/>
        <v>15.2</v>
      </c>
      <c r="AJ173" s="129">
        <f t="shared" si="277"/>
        <v>23.725828772082512</v>
      </c>
      <c r="AK173" s="129">
        <f t="shared" si="278"/>
        <v>13.525828772082512</v>
      </c>
      <c r="AL173" s="399">
        <f t="shared" si="279"/>
        <v>15.025828772082512</v>
      </c>
      <c r="AM173" s="393">
        <f t="shared" si="280"/>
        <v>27.375828772082514</v>
      </c>
      <c r="AN173" s="393">
        <f t="shared" si="281"/>
        <v>18.875828772082514</v>
      </c>
      <c r="AO173" s="393">
        <f t="shared" si="282"/>
        <v>33.699806854623603</v>
      </c>
      <c r="AP173" s="96">
        <f t="shared" si="283"/>
        <v>28.971841594694585</v>
      </c>
      <c r="AQ173" s="91">
        <f t="shared" si="284"/>
        <v>22.171841594694584</v>
      </c>
      <c r="AR173" s="198"/>
      <c r="AS173" s="81">
        <f>$H$173*月別販売比率!AG5</f>
        <v>8.5</v>
      </c>
      <c r="AT173" s="21"/>
      <c r="AU173" s="245">
        <f>$H$173*月別販売比率!AG5</f>
        <v>8.5</v>
      </c>
      <c r="AV173" s="241"/>
      <c r="AW173" s="81">
        <f>$H$173*月別販売比率!AQ5</f>
        <v>8.5</v>
      </c>
      <c r="AX173" s="21"/>
      <c r="AY173" s="245">
        <f>$H$173*月別販売比率!AV5</f>
        <v>5.1760219174589146</v>
      </c>
      <c r="AZ173" s="241">
        <v>25</v>
      </c>
      <c r="BA173" s="81">
        <f>$H$173*月別販売比率!BA5</f>
        <v>4.7279652599290189</v>
      </c>
      <c r="BB173" s="21"/>
      <c r="BC173" s="81">
        <f>$H$173*月別販売比率!BF5</f>
        <v>6.8</v>
      </c>
      <c r="BD173" s="21"/>
      <c r="BE173" s="245">
        <f>$H$173*月別販売比率!C5</f>
        <v>6.0234613448464174</v>
      </c>
      <c r="BF173" s="241">
        <v>10</v>
      </c>
      <c r="BG173" s="245">
        <f>$H$173*月別販売比率!H5</f>
        <v>5.95</v>
      </c>
      <c r="BH173" s="241">
        <v>5</v>
      </c>
      <c r="BI173" s="81">
        <f>$H$173*月別販売比率!M5</f>
        <v>8.5904135755105901</v>
      </c>
      <c r="BJ173" s="21"/>
      <c r="BK173" s="245">
        <f>$H$173*月別販売比率!R5</f>
        <v>6.8</v>
      </c>
      <c r="BL173" s="241">
        <v>20</v>
      </c>
      <c r="BM173" s="245">
        <f>$H$173*月別販売比率!W5</f>
        <v>6.4741712279174877</v>
      </c>
      <c r="BN173" s="241">
        <v>10</v>
      </c>
      <c r="BO173" s="81">
        <f>$H$173*月別販売比率!AB5</f>
        <v>10.199999999999999</v>
      </c>
      <c r="BP173" s="21"/>
      <c r="BQ173" s="245">
        <f>$H$173*月別販売比率!AG5</f>
        <v>8.5</v>
      </c>
      <c r="BR173" s="241">
        <v>20</v>
      </c>
      <c r="BS173" s="245">
        <f>$H$173*月別販売比率!AL5</f>
        <v>7.6499999999999995</v>
      </c>
      <c r="BT173" s="241">
        <v>10</v>
      </c>
      <c r="BU173" s="245">
        <f>$H$173*月別販売比率!AQ5</f>
        <v>8.5</v>
      </c>
      <c r="BV173" s="241">
        <v>10</v>
      </c>
      <c r="BW173" s="81">
        <f>$H$173*月別販売比率!AV5</f>
        <v>5.1760219174589146</v>
      </c>
      <c r="BX173" s="21"/>
      <c r="BY173" s="81">
        <f>$H$173*月別販売比率!BA5</f>
        <v>4.7279652599290189</v>
      </c>
      <c r="BZ173" s="21"/>
      <c r="CA173" s="81">
        <f>$H$173*月別販売比率!BF5</f>
        <v>6.8</v>
      </c>
      <c r="CB173" s="21"/>
      <c r="CC173" s="81">
        <f>H173*月別販売比率!$C$21</f>
        <v>6.0234613448464174</v>
      </c>
      <c r="CD173" s="21"/>
      <c r="CE173" s="81">
        <f>H173*月別販売比率!$H$21</f>
        <v>5.95</v>
      </c>
      <c r="CF173" s="241"/>
      <c r="CG173" s="81">
        <f>H173*月別販売比率!$M$21</f>
        <v>8.5904135755105901</v>
      </c>
      <c r="CH173" s="21"/>
      <c r="CI173" s="81">
        <f>H173*月別販売比率!$R$21</f>
        <v>6.8</v>
      </c>
      <c r="CJ173" s="21">
        <v>8</v>
      </c>
      <c r="CK173" s="81">
        <f>H173*月別販売比率!$W$21</f>
        <v>6.4741712279174877</v>
      </c>
      <c r="CL173" s="21">
        <v>15</v>
      </c>
      <c r="CM173" s="81">
        <f>H173*月別販売比率!$AB$21</f>
        <v>10.199999999999999</v>
      </c>
      <c r="CN173" s="21"/>
      <c r="CO173" s="81">
        <f>H173*月別販売比率!$AG$21</f>
        <v>8.5</v>
      </c>
      <c r="CP173" s="21">
        <v>10</v>
      </c>
      <c r="CQ173" s="81">
        <f>H173*月別販売比率!$AL$21</f>
        <v>7.6499999999999995</v>
      </c>
      <c r="CR173" s="21">
        <v>20</v>
      </c>
      <c r="CS173" s="81">
        <f>H173*月別販売比率!$AQ$21</f>
        <v>8.5</v>
      </c>
      <c r="CT173" s="21"/>
      <c r="CU173" s="81">
        <f>H173*月別販売比率!$AV$21</f>
        <v>5.1760219174589146</v>
      </c>
      <c r="CV173" s="21">
        <v>20</v>
      </c>
      <c r="CW173" s="81">
        <f>H173*月別販売比率!$BA$21</f>
        <v>4.7279652599290189</v>
      </c>
      <c r="CX173" s="21"/>
      <c r="CY173" s="81">
        <f>H173*月別販売比率!$BF$21</f>
        <v>6.8</v>
      </c>
      <c r="CZ173" s="21"/>
      <c r="DA173" s="28"/>
      <c r="DB173" s="294"/>
    </row>
    <row r="174" spans="2:106" ht="30.75" customHeight="1">
      <c r="B174" s="25"/>
      <c r="C174" s="438"/>
      <c r="D174" s="442"/>
      <c r="E174" s="94" t="s">
        <v>284</v>
      </c>
      <c r="F174" s="1">
        <v>10</v>
      </c>
      <c r="G174" s="46">
        <f t="shared" si="285"/>
        <v>30800</v>
      </c>
      <c r="H174" s="164">
        <v>60</v>
      </c>
      <c r="I174" s="46">
        <f t="shared" si="286"/>
        <v>184800</v>
      </c>
      <c r="J174" s="9">
        <v>0</v>
      </c>
      <c r="K174" s="21">
        <f>SUM(L174:N174)</f>
        <v>48</v>
      </c>
      <c r="L174" s="39">
        <v>30</v>
      </c>
      <c r="M174" s="40">
        <v>18</v>
      </c>
      <c r="N174" s="42"/>
      <c r="O174" s="288"/>
      <c r="P174" s="288"/>
      <c r="Q174" s="331"/>
      <c r="R174" s="328"/>
      <c r="S174" s="129"/>
      <c r="T174" s="129"/>
      <c r="U174" s="129"/>
      <c r="V174" s="328"/>
      <c r="W174" s="328"/>
      <c r="X174" s="328"/>
      <c r="Y174" s="328"/>
      <c r="Z174" s="124"/>
      <c r="AA174" s="124"/>
      <c r="AB174" s="124"/>
      <c r="AC174" s="124"/>
      <c r="AD174" s="124"/>
      <c r="AE174" s="124"/>
      <c r="AF174" s="124"/>
      <c r="AG174" s="124"/>
      <c r="AH174" s="124"/>
      <c r="AI174" s="129">
        <f t="shared" si="276"/>
        <v>48.2</v>
      </c>
      <c r="AJ174" s="129">
        <f t="shared" si="277"/>
        <v>43.629996780293538</v>
      </c>
      <c r="AK174" s="129">
        <f t="shared" si="278"/>
        <v>36.429996780293536</v>
      </c>
      <c r="AL174" s="399">
        <f t="shared" si="279"/>
        <v>30.429996780293536</v>
      </c>
      <c r="AM174" s="393">
        <f t="shared" si="280"/>
        <v>35.029996780293537</v>
      </c>
      <c r="AN174" s="393">
        <f t="shared" si="281"/>
        <v>29.029996780293537</v>
      </c>
      <c r="AO174" s="393">
        <f t="shared" si="282"/>
        <v>35.376334250322543</v>
      </c>
      <c r="AP174" s="96">
        <f t="shared" si="283"/>
        <v>32.038947008019704</v>
      </c>
      <c r="AQ174" s="91">
        <f t="shared" si="284"/>
        <v>27.238947008019704</v>
      </c>
      <c r="AR174" s="198"/>
      <c r="AS174" s="81">
        <f>$H$174*月別販売比率!AG5</f>
        <v>6</v>
      </c>
      <c r="AT174" s="21"/>
      <c r="AU174" s="245">
        <f>$H$174*月別販売比率!AG5</f>
        <v>6</v>
      </c>
      <c r="AV174" s="241"/>
      <c r="AW174" s="81">
        <f>$H$174*月別販売比率!AQ5</f>
        <v>6</v>
      </c>
      <c r="AX174" s="21"/>
      <c r="AY174" s="245">
        <f>$H$174*月別販売比率!AV5</f>
        <v>3.6536625299709988</v>
      </c>
      <c r="AZ174" s="241">
        <v>25</v>
      </c>
      <c r="BA174" s="81">
        <f>$H$174*月別販売比率!BA5</f>
        <v>3.337387242302837</v>
      </c>
      <c r="BB174" s="21"/>
      <c r="BC174" s="81">
        <f>$H$174*月別販売比率!BF5</f>
        <v>4.8</v>
      </c>
      <c r="BD174" s="21"/>
      <c r="BE174" s="245">
        <f>$H$174*月別販売比率!C5</f>
        <v>4.2518550669504123</v>
      </c>
      <c r="BF174" s="241"/>
      <c r="BG174" s="245">
        <f>$H$174*月別販売比率!H5</f>
        <v>4.2</v>
      </c>
      <c r="BH174" s="241"/>
      <c r="BI174" s="81">
        <f>$H$174*月別販売比率!M5</f>
        <v>6.0638213474192399</v>
      </c>
      <c r="BJ174" s="21"/>
      <c r="BK174" s="245">
        <f>$H$174*月別販売比率!R5</f>
        <v>4.8</v>
      </c>
      <c r="BL174" s="241"/>
      <c r="BM174" s="245">
        <f>$H$174*月別販売比率!W5</f>
        <v>4.5700032197064617</v>
      </c>
      <c r="BN174" s="241"/>
      <c r="BO174" s="81">
        <f>$H$174*月別販売比率!AB5</f>
        <v>7.1999999999999993</v>
      </c>
      <c r="BP174" s="21"/>
      <c r="BQ174" s="245">
        <f>$H$174*月別販売比率!AG5</f>
        <v>6</v>
      </c>
      <c r="BR174" s="241">
        <v>10</v>
      </c>
      <c r="BS174" s="245">
        <f>$H$174*月別販売比率!AL5</f>
        <v>5.3999999999999995</v>
      </c>
      <c r="BT174" s="241">
        <v>10</v>
      </c>
      <c r="BU174" s="245">
        <f>$H$174*月別販売比率!AQ5</f>
        <v>6</v>
      </c>
      <c r="BV174" s="241"/>
      <c r="BW174" s="81">
        <f>$H$174*月別販売比率!AV5</f>
        <v>3.6536625299709988</v>
      </c>
      <c r="BX174" s="21"/>
      <c r="BY174" s="81">
        <f>$H$174*月別販売比率!BA5</f>
        <v>3.337387242302837</v>
      </c>
      <c r="BZ174" s="21"/>
      <c r="CA174" s="81">
        <f>$H$174*月別販売比率!BF5</f>
        <v>4.8</v>
      </c>
      <c r="CB174" s="21"/>
      <c r="CC174" s="81">
        <f>H174*月別販売比率!$C$21</f>
        <v>4.2518550669504123</v>
      </c>
      <c r="CD174" s="21"/>
      <c r="CE174" s="81">
        <f>H174*月別販売比率!$H$21</f>
        <v>4.2</v>
      </c>
      <c r="CF174" s="241"/>
      <c r="CG174" s="81">
        <f>H174*月別販売比率!$M$21</f>
        <v>6.0638213474192399</v>
      </c>
      <c r="CH174" s="21"/>
      <c r="CI174" s="81">
        <f>H174*月別販売比率!$R$21</f>
        <v>4.8</v>
      </c>
      <c r="CJ174" s="21">
        <v>5</v>
      </c>
      <c r="CK174" s="81">
        <f>H174*月別販売比率!$W$21</f>
        <v>4.5700032197064617</v>
      </c>
      <c r="CL174" s="21"/>
      <c r="CM174" s="81">
        <f>H174*月別販売比率!$AB$21</f>
        <v>7.1999999999999993</v>
      </c>
      <c r="CN174" s="21"/>
      <c r="CO174" s="81">
        <f>H174*月別販売比率!$AG$21</f>
        <v>6</v>
      </c>
      <c r="CP174" s="21"/>
      <c r="CQ174" s="81">
        <f>H174*月別販売比率!$AL$21</f>
        <v>5.3999999999999995</v>
      </c>
      <c r="CR174" s="21">
        <v>10</v>
      </c>
      <c r="CS174" s="81">
        <f>H174*月別販売比率!$AQ$21</f>
        <v>6</v>
      </c>
      <c r="CT174" s="21"/>
      <c r="CU174" s="81">
        <f>H174*月別販売比率!$AV$21</f>
        <v>3.6536625299709988</v>
      </c>
      <c r="CV174" s="21">
        <v>10</v>
      </c>
      <c r="CW174" s="81">
        <f>H174*月別販売比率!$BA$21</f>
        <v>3.337387242302837</v>
      </c>
      <c r="CX174" s="21"/>
      <c r="CY174" s="81">
        <f>H174*月別販売比率!$BF$21</f>
        <v>4.8</v>
      </c>
      <c r="CZ174" s="21"/>
      <c r="DA174" s="28"/>
      <c r="DB174" s="294"/>
    </row>
    <row r="175" spans="2:106" ht="30.75" customHeight="1">
      <c r="B175" s="25"/>
      <c r="C175" s="438"/>
      <c r="D175" s="443">
        <v>2</v>
      </c>
      <c r="E175" s="99" t="s">
        <v>275</v>
      </c>
      <c r="F175" s="1">
        <v>233</v>
      </c>
      <c r="G175" s="46">
        <f t="shared" si="285"/>
        <v>717640</v>
      </c>
      <c r="H175" s="164">
        <v>280</v>
      </c>
      <c r="I175" s="46">
        <f t="shared" si="286"/>
        <v>862400</v>
      </c>
      <c r="J175" s="9">
        <v>0</v>
      </c>
      <c r="K175" s="21">
        <f>SUM(L175:N175)</f>
        <v>40</v>
      </c>
      <c r="L175" s="39">
        <v>10</v>
      </c>
      <c r="M175" s="40">
        <v>14</v>
      </c>
      <c r="N175" s="42">
        <v>16</v>
      </c>
      <c r="O175" s="288"/>
      <c r="P175" s="288"/>
      <c r="Q175" s="331">
        <v>45643</v>
      </c>
      <c r="R175" s="124"/>
      <c r="S175" s="129"/>
      <c r="T175" s="345"/>
      <c r="U175" s="331">
        <v>45757</v>
      </c>
      <c r="V175" s="328"/>
      <c r="W175" s="328"/>
      <c r="X175" s="328"/>
      <c r="Y175" s="328"/>
      <c r="Z175" s="124"/>
      <c r="AA175" s="331">
        <v>45940</v>
      </c>
      <c r="AB175" s="124"/>
      <c r="AC175" s="124"/>
      <c r="AD175" s="124"/>
      <c r="AE175" s="124"/>
      <c r="AF175" s="124"/>
      <c r="AG175" s="331"/>
      <c r="AH175" s="331"/>
      <c r="AI175" s="129">
        <f t="shared" si="276"/>
        <v>47.599999999999994</v>
      </c>
      <c r="AJ175" s="129">
        <f t="shared" si="277"/>
        <v>61.273318308036508</v>
      </c>
      <c r="AK175" s="129">
        <f t="shared" si="278"/>
        <v>27.673318308036507</v>
      </c>
      <c r="AL175" s="399">
        <f t="shared" si="279"/>
        <v>29.673318308036507</v>
      </c>
      <c r="AM175" s="393">
        <f t="shared" si="280"/>
        <v>64.473318308036511</v>
      </c>
      <c r="AN175" s="393">
        <f t="shared" si="281"/>
        <v>36.473318308036511</v>
      </c>
      <c r="AO175" s="393">
        <f t="shared" si="282"/>
        <v>79.422893168171854</v>
      </c>
      <c r="AP175" s="96">
        <f t="shared" si="283"/>
        <v>63.848419370758613</v>
      </c>
      <c r="AQ175" s="91">
        <f t="shared" si="284"/>
        <v>41.448419370758614</v>
      </c>
      <c r="AR175" s="198"/>
      <c r="AS175" s="81">
        <f>$H$175*月別販売比率!AG5</f>
        <v>28</v>
      </c>
      <c r="AT175" s="21"/>
      <c r="AU175" s="245">
        <f>$H$175*月別販売比率!AG5</f>
        <v>28</v>
      </c>
      <c r="AV175" s="241">
        <v>42</v>
      </c>
      <c r="AW175" s="81">
        <f>$H$175*月別販売比率!AQ5</f>
        <v>28</v>
      </c>
      <c r="AX175" s="21"/>
      <c r="AY175" s="245">
        <f>$H$175*月別販売比率!AV5</f>
        <v>17.050425139864661</v>
      </c>
      <c r="AZ175" s="241">
        <v>30</v>
      </c>
      <c r="BA175" s="81">
        <f>$H$175*月別販売比率!BA5</f>
        <v>15.574473797413239</v>
      </c>
      <c r="BB175" s="21"/>
      <c r="BC175" s="81">
        <f>$H$175*月別販売比率!BF5</f>
        <v>22.400000000000002</v>
      </c>
      <c r="BD175" s="21"/>
      <c r="BE175" s="245">
        <f>$H$175*月別販売比率!C5</f>
        <v>19.841990312435257</v>
      </c>
      <c r="BF175" s="241">
        <v>40</v>
      </c>
      <c r="BG175" s="245">
        <f>$H$175*月別販売比率!H5</f>
        <v>19.600000000000001</v>
      </c>
      <c r="BH175" s="241">
        <v>47</v>
      </c>
      <c r="BI175" s="81">
        <f>$H$175*月別販売比率!M5</f>
        <v>28.297832954623122</v>
      </c>
      <c r="BJ175" s="21"/>
      <c r="BK175" s="245">
        <f>$H$175*月別販売比率!R5</f>
        <v>22.400000000000002</v>
      </c>
      <c r="BL175" s="241">
        <v>50</v>
      </c>
      <c r="BM175" s="245">
        <f>$H$175*月別販売比率!W5</f>
        <v>21.32668169196349</v>
      </c>
      <c r="BN175" s="241">
        <v>40</v>
      </c>
      <c r="BO175" s="81">
        <f>$H$175*月別販売比率!AB5</f>
        <v>33.6</v>
      </c>
      <c r="BP175" s="21"/>
      <c r="BQ175" s="245">
        <f>$H$175*月別販売比率!AG5</f>
        <v>28</v>
      </c>
      <c r="BR175" s="241">
        <v>60</v>
      </c>
      <c r="BS175" s="245">
        <f>$H$175*月別販売比率!AL5</f>
        <v>25.2</v>
      </c>
      <c r="BT175" s="241">
        <v>30</v>
      </c>
      <c r="BU175" s="245">
        <f>$H$175*月別販売比率!AQ5</f>
        <v>28</v>
      </c>
      <c r="BV175" s="241">
        <v>25</v>
      </c>
      <c r="BW175" s="81">
        <f>$H$175*月別販売比率!AV5</f>
        <v>17.050425139864661</v>
      </c>
      <c r="BX175" s="21"/>
      <c r="BY175" s="81">
        <f>$H$175*月別販売比率!BA5</f>
        <v>15.574473797413239</v>
      </c>
      <c r="BZ175" s="21"/>
      <c r="CA175" s="81">
        <f>$H$175*月別販売比率!BF5</f>
        <v>22.400000000000002</v>
      </c>
      <c r="CB175" s="21"/>
      <c r="CC175" s="81">
        <f>H175*月別販売比率!$C$21</f>
        <v>19.841990312435257</v>
      </c>
      <c r="CD175" s="21"/>
      <c r="CE175" s="81">
        <f>H175*月別販売比率!$H$21</f>
        <v>19.600000000000001</v>
      </c>
      <c r="CF175" s="241">
        <v>52</v>
      </c>
      <c r="CG175" s="81">
        <f>H175*月別販売比率!$M$21</f>
        <v>28.297832954623122</v>
      </c>
      <c r="CH175" s="21"/>
      <c r="CI175" s="81">
        <f>H175*月別販売比率!$R$21</f>
        <v>22.400000000000002</v>
      </c>
      <c r="CJ175" s="21">
        <v>30</v>
      </c>
      <c r="CK175" s="81">
        <f>H175*月別販売比率!$W$21</f>
        <v>21.32668169196349</v>
      </c>
      <c r="CL175" s="21">
        <v>35</v>
      </c>
      <c r="CM175" s="81">
        <f>H175*月別販売比率!$AB$21</f>
        <v>33.6</v>
      </c>
      <c r="CN175" s="21"/>
      <c r="CO175" s="81">
        <f>H175*月別販売比率!$AG$21</f>
        <v>28</v>
      </c>
      <c r="CP175" s="21">
        <v>30</v>
      </c>
      <c r="CQ175" s="81">
        <f>H175*月別販売比率!$AL$21</f>
        <v>25.2</v>
      </c>
      <c r="CR175" s="21">
        <v>60</v>
      </c>
      <c r="CS175" s="81">
        <f>H175*月別販売比率!$AQ$21</f>
        <v>28</v>
      </c>
      <c r="CT175" s="21"/>
      <c r="CU175" s="81">
        <f>H175*月別販売比率!$AV$21</f>
        <v>17.050425139864661</v>
      </c>
      <c r="CV175" s="21">
        <v>60</v>
      </c>
      <c r="CW175" s="81">
        <f>H175*月別販売比率!$BA$21</f>
        <v>15.574473797413239</v>
      </c>
      <c r="CX175" s="21"/>
      <c r="CY175" s="81">
        <f>H175*月別販売比率!$BF$21</f>
        <v>22.400000000000002</v>
      </c>
      <c r="CZ175" s="21"/>
      <c r="DA175" s="28"/>
      <c r="DB175" s="294"/>
    </row>
    <row r="176" spans="2:106" ht="30.75" customHeight="1">
      <c r="B176" s="25"/>
      <c r="C176" s="438"/>
      <c r="D176" s="441"/>
      <c r="E176" s="94" t="s">
        <v>287</v>
      </c>
      <c r="F176" s="1">
        <v>103</v>
      </c>
      <c r="G176" s="46">
        <f t="shared" si="285"/>
        <v>317240</v>
      </c>
      <c r="H176" s="164">
        <v>180</v>
      </c>
      <c r="I176" s="46">
        <f t="shared" si="286"/>
        <v>554400</v>
      </c>
      <c r="J176" s="9">
        <v>0</v>
      </c>
      <c r="K176" s="21">
        <f t="shared" ref="K176:K184" si="287">SUM(L176:N176)</f>
        <v>8</v>
      </c>
      <c r="L176" s="39">
        <v>0</v>
      </c>
      <c r="M176" s="40">
        <v>8</v>
      </c>
      <c r="N176" s="42"/>
      <c r="O176" s="288"/>
      <c r="P176" s="288"/>
      <c r="Q176" s="331"/>
      <c r="R176" s="328"/>
      <c r="S176" s="129"/>
      <c r="T176" s="345"/>
      <c r="U176" s="345"/>
      <c r="V176" s="328"/>
      <c r="W176" s="328"/>
      <c r="X176" s="124"/>
      <c r="Y176" s="328"/>
      <c r="Z176" s="124"/>
      <c r="AA176" s="328"/>
      <c r="AB176" s="328"/>
      <c r="AC176" s="328"/>
      <c r="AD176" s="330"/>
      <c r="AE176" s="328"/>
      <c r="AF176" s="328"/>
      <c r="AG176" s="331"/>
      <c r="AH176" s="331">
        <v>46157</v>
      </c>
      <c r="AI176" s="129">
        <f t="shared" si="276"/>
        <v>28.6</v>
      </c>
      <c r="AJ176" s="129">
        <f t="shared" si="277"/>
        <v>39.889990340880615</v>
      </c>
      <c r="AK176" s="129">
        <f t="shared" si="278"/>
        <v>18.289990340880617</v>
      </c>
      <c r="AL176" s="399">
        <f t="shared" si="279"/>
        <v>25.289990340880617</v>
      </c>
      <c r="AM176" s="393">
        <f t="shared" si="280"/>
        <v>49.089990340880618</v>
      </c>
      <c r="AN176" s="393">
        <f t="shared" si="281"/>
        <v>31.089990340880618</v>
      </c>
      <c r="AO176" s="393">
        <f t="shared" si="282"/>
        <v>50.129002750967622</v>
      </c>
      <c r="AP176" s="96">
        <f t="shared" si="283"/>
        <v>40.116841024059113</v>
      </c>
      <c r="AQ176" s="91">
        <f t="shared" si="284"/>
        <v>25.716841024059114</v>
      </c>
      <c r="AR176" s="198"/>
      <c r="AS176" s="81">
        <f>$H$176*月別販売比率!AG5</f>
        <v>18</v>
      </c>
      <c r="AT176" s="21"/>
      <c r="AU176" s="245">
        <f>$H$176*月別販売比率!AG5</f>
        <v>18</v>
      </c>
      <c r="AV176" s="241">
        <v>17</v>
      </c>
      <c r="AW176" s="81">
        <f>$H$176*月別販売比率!AQ5</f>
        <v>18</v>
      </c>
      <c r="AX176" s="21"/>
      <c r="AY176" s="245">
        <f>$H$176*月別販売比率!AV5</f>
        <v>10.960987589912996</v>
      </c>
      <c r="AZ176" s="241">
        <v>35</v>
      </c>
      <c r="BA176" s="81">
        <f>$H$176*月別販売比率!BA5</f>
        <v>10.012161726908511</v>
      </c>
      <c r="BB176" s="21"/>
      <c r="BC176" s="81">
        <f>$H$176*月別販売比率!BF5</f>
        <v>14.4</v>
      </c>
      <c r="BD176" s="21"/>
      <c r="BE176" s="245">
        <f>$H$176*月別販売比率!C5</f>
        <v>12.755565200851237</v>
      </c>
      <c r="BF176" s="241"/>
      <c r="BG176" s="245">
        <f>$H$176*月別販売比率!H5</f>
        <v>12.600000000000001</v>
      </c>
      <c r="BH176" s="241">
        <v>30</v>
      </c>
      <c r="BI176" s="81">
        <f>$H$176*月別販売比率!M5</f>
        <v>18.191464042257721</v>
      </c>
      <c r="BJ176" s="21"/>
      <c r="BK176" s="245">
        <f>$H$176*月別販売比率!R5</f>
        <v>14.4</v>
      </c>
      <c r="BL176" s="241">
        <v>25</v>
      </c>
      <c r="BM176" s="245">
        <f>$H$176*月別販売比率!W5</f>
        <v>13.710009659119386</v>
      </c>
      <c r="BN176" s="241">
        <v>20</v>
      </c>
      <c r="BO176" s="81">
        <f>$H$176*月別販売比率!AB5</f>
        <v>21.599999999999998</v>
      </c>
      <c r="BP176" s="21"/>
      <c r="BQ176" s="245">
        <f>$H$176*月別販売比率!AG5</f>
        <v>18</v>
      </c>
      <c r="BR176" s="241">
        <v>60</v>
      </c>
      <c r="BS176" s="245">
        <f>$H$176*月別販売比率!AL5</f>
        <v>16.2</v>
      </c>
      <c r="BT176" s="241">
        <v>30</v>
      </c>
      <c r="BU176" s="245">
        <f>$H$176*月別販売比率!AQ5</f>
        <v>18</v>
      </c>
      <c r="BV176" s="241">
        <v>30</v>
      </c>
      <c r="BW176" s="81">
        <f>$H$176*月別販売比率!AV5</f>
        <v>10.960987589912996</v>
      </c>
      <c r="BX176" s="21"/>
      <c r="BY176" s="81">
        <f>$H$176*月別販売比率!BA5</f>
        <v>10.012161726908511</v>
      </c>
      <c r="BZ176" s="21"/>
      <c r="CA176" s="81">
        <f>$H$176*月別販売比率!BF5</f>
        <v>14.4</v>
      </c>
      <c r="CB176" s="21"/>
      <c r="CC176" s="81">
        <f>H176*月別販売比率!$C$21</f>
        <v>12.755565200851237</v>
      </c>
      <c r="CD176" s="21"/>
      <c r="CE176" s="81">
        <f>H176*月別販売比率!$H$21</f>
        <v>12.600000000000001</v>
      </c>
      <c r="CF176" s="241">
        <v>15</v>
      </c>
      <c r="CG176" s="81">
        <f>H176*月別販売比率!$M$21</f>
        <v>18.191464042257721</v>
      </c>
      <c r="CH176" s="21"/>
      <c r="CI176" s="81">
        <f>H176*月別販売比率!$R$21</f>
        <v>14.4</v>
      </c>
      <c r="CJ176" s="21">
        <v>35</v>
      </c>
      <c r="CK176" s="81">
        <f>H176*月別販売比率!$W$21</f>
        <v>13.710009659119386</v>
      </c>
      <c r="CL176" s="21">
        <v>25</v>
      </c>
      <c r="CM176" s="81">
        <f>H176*月別販売比率!$AB$21</f>
        <v>21.599999999999998</v>
      </c>
      <c r="CN176" s="21"/>
      <c r="CO176" s="81">
        <f>H176*月別販売比率!$AG$21</f>
        <v>18</v>
      </c>
      <c r="CP176" s="21">
        <v>25</v>
      </c>
      <c r="CQ176" s="81">
        <f>H176*月別販売比率!$AL$21</f>
        <v>16.2</v>
      </c>
      <c r="CR176" s="21">
        <v>40</v>
      </c>
      <c r="CS176" s="81">
        <f>H176*月別販売比率!$AQ$21</f>
        <v>18</v>
      </c>
      <c r="CT176" s="21"/>
      <c r="CU176" s="81">
        <f>H176*月別販売比率!$AV$21</f>
        <v>10.960987589912996</v>
      </c>
      <c r="CV176" s="21">
        <v>30</v>
      </c>
      <c r="CW176" s="81">
        <f>H176*月別販売比率!$BA$21</f>
        <v>10.012161726908511</v>
      </c>
      <c r="CX176" s="21"/>
      <c r="CY176" s="81">
        <f>H176*月別販売比率!$BF$21</f>
        <v>14.4</v>
      </c>
      <c r="CZ176" s="21"/>
      <c r="DA176" s="28"/>
      <c r="DB176" s="294"/>
    </row>
    <row r="177" spans="2:106" ht="30.75" customHeight="1">
      <c r="B177" s="25"/>
      <c r="C177" s="438"/>
      <c r="D177" s="441"/>
      <c r="E177" s="94" t="s">
        <v>286</v>
      </c>
      <c r="F177" s="1">
        <v>186</v>
      </c>
      <c r="G177" s="46">
        <f t="shared" si="285"/>
        <v>572880</v>
      </c>
      <c r="H177" s="45">
        <f t="shared" ref="H177:H178" si="288">F177*($H$169/$F$169)</f>
        <v>185.78143360752057</v>
      </c>
      <c r="I177" s="46">
        <f t="shared" si="286"/>
        <v>572206.81551116332</v>
      </c>
      <c r="J177" s="9">
        <v>0</v>
      </c>
      <c r="K177" s="21">
        <f t="shared" si="287"/>
        <v>30</v>
      </c>
      <c r="L177" s="39">
        <v>11</v>
      </c>
      <c r="M177" s="40">
        <v>15</v>
      </c>
      <c r="N177" s="42">
        <v>4</v>
      </c>
      <c r="O177" s="288"/>
      <c r="P177" s="288"/>
      <c r="Q177" s="330"/>
      <c r="R177" s="124"/>
      <c r="S177" s="129"/>
      <c r="T177" s="345"/>
      <c r="U177" s="331">
        <v>45757</v>
      </c>
      <c r="V177" s="328"/>
      <c r="W177" s="328"/>
      <c r="X177" s="331">
        <v>45848</v>
      </c>
      <c r="Y177" s="331"/>
      <c r="Z177" s="330"/>
      <c r="AA177" s="331"/>
      <c r="AB177" s="331"/>
      <c r="AC177" s="331"/>
      <c r="AD177" s="330"/>
      <c r="AE177" s="328"/>
      <c r="AF177" s="328"/>
      <c r="AG177" s="331"/>
      <c r="AH177" s="331"/>
      <c r="AI177" s="129">
        <f t="shared" si="276"/>
        <v>30.137485311398354</v>
      </c>
      <c r="AJ177" s="129">
        <f t="shared" si="277"/>
        <v>20.987122815597502</v>
      </c>
      <c r="AK177" s="129">
        <f t="shared" si="278"/>
        <v>-1.3066492173049653</v>
      </c>
      <c r="AL177" s="399">
        <f>0-CO177+CP177</f>
        <v>16.421856639247942</v>
      </c>
      <c r="AM177" s="393">
        <f t="shared" si="280"/>
        <v>39.701527614571091</v>
      </c>
      <c r="AN177" s="393">
        <f t="shared" si="281"/>
        <v>21.123384253819033</v>
      </c>
      <c r="AO177" s="393">
        <f t="shared" si="282"/>
        <v>39.810339874884157</v>
      </c>
      <c r="AP177" s="96">
        <f t="shared" si="283"/>
        <v>29.476596768576314</v>
      </c>
      <c r="AQ177" s="91">
        <f t="shared" si="284"/>
        <v>14.614082079974668</v>
      </c>
      <c r="AR177" s="198"/>
      <c r="AS177" s="81">
        <f>$H$177*月別販売比率!AG5</f>
        <v>18.578143360752058</v>
      </c>
      <c r="AT177" s="21"/>
      <c r="AU177" s="245">
        <f>$H$177*月別販売比率!AG5</f>
        <v>18.578143360752058</v>
      </c>
      <c r="AV177" s="241">
        <v>52</v>
      </c>
      <c r="AW177" s="81">
        <f>$H$177*月別販売比率!AQ5</f>
        <v>18.578143360752058</v>
      </c>
      <c r="AX177" s="21"/>
      <c r="AY177" s="245">
        <f>$H$177*月別販売比率!AV5</f>
        <v>11.313044378934878</v>
      </c>
      <c r="AZ177" s="241">
        <v>10</v>
      </c>
      <c r="BA177" s="81">
        <f>$H$177*月別販売比率!BA5</f>
        <v>10.333743106307844</v>
      </c>
      <c r="BB177" s="21"/>
      <c r="BC177" s="81">
        <f>$H$177*月別販売比率!BF5</f>
        <v>14.862514688601646</v>
      </c>
      <c r="BD177" s="21"/>
      <c r="BE177" s="245">
        <f>$H$177*月別販売比率!C5</f>
        <v>13.165262163824131</v>
      </c>
      <c r="BF177" s="241">
        <v>60</v>
      </c>
      <c r="BG177" s="245">
        <f>$H$177*月別販売比率!H5</f>
        <v>13.004700352526442</v>
      </c>
      <c r="BH177" s="241">
        <v>20</v>
      </c>
      <c r="BI177" s="81">
        <f>$H$177*月別販売比率!M5</f>
        <v>18.775757051057223</v>
      </c>
      <c r="BJ177" s="21"/>
      <c r="BK177" s="245">
        <f>$H$177*月別販売比率!R5</f>
        <v>14.862514688601646</v>
      </c>
      <c r="BL177" s="241">
        <v>35</v>
      </c>
      <c r="BM177" s="245">
        <f>$H$177*月別販売比率!W5</f>
        <v>14.150362495800854</v>
      </c>
      <c r="BN177" s="241">
        <v>25</v>
      </c>
      <c r="BO177" s="81">
        <f>$H$177*月別販売比率!AB5</f>
        <v>22.293772032902467</v>
      </c>
      <c r="BP177" s="21"/>
      <c r="BQ177" s="245">
        <f>$H$177*月別販売比率!AG5</f>
        <v>18.578143360752058</v>
      </c>
      <c r="BR177" s="241">
        <v>30</v>
      </c>
      <c r="BS177" s="245">
        <f>$H$177*月別販売比率!AL5</f>
        <v>16.72032902467685</v>
      </c>
      <c r="BT177" s="241">
        <v>50</v>
      </c>
      <c r="BU177" s="245">
        <f>$H$177*月別販売比率!AQ5</f>
        <v>18.578143360752058</v>
      </c>
      <c r="BV177" s="241">
        <v>25</v>
      </c>
      <c r="BW177" s="81">
        <f>$H$177*月別販売比率!AV5</f>
        <v>11.313044378934878</v>
      </c>
      <c r="BX177" s="21"/>
      <c r="BY177" s="81">
        <f>$H$177*月別販売比率!BA5</f>
        <v>10.333743106307844</v>
      </c>
      <c r="BZ177" s="21"/>
      <c r="CA177" s="81">
        <f>$H$177*月別販売比率!BF5</f>
        <v>14.862514688601646</v>
      </c>
      <c r="CB177" s="21"/>
      <c r="CC177" s="81">
        <f>H177*月別販売比率!$C$21</f>
        <v>13.165262163824131</v>
      </c>
      <c r="CD177" s="21"/>
      <c r="CE177" s="81">
        <f>H177*月別販売比率!$H$21</f>
        <v>13.004700352526442</v>
      </c>
      <c r="CF177" s="241">
        <v>45</v>
      </c>
      <c r="CG177" s="81">
        <f>H177*月別販売比率!$M$21</f>
        <v>18.775757051057223</v>
      </c>
      <c r="CH177" s="21"/>
      <c r="CI177" s="81">
        <f>H177*月別販売比率!$R$21</f>
        <v>14.862514688601646</v>
      </c>
      <c r="CJ177" s="21">
        <v>15</v>
      </c>
      <c r="CK177" s="81">
        <f>H177*月別販売比率!$W$21</f>
        <v>14.150362495800854</v>
      </c>
      <c r="CL177" s="21">
        <v>5</v>
      </c>
      <c r="CM177" s="81">
        <f>H177*月別販売比率!$AB$21</f>
        <v>22.293772032902467</v>
      </c>
      <c r="CN177" s="21"/>
      <c r="CO177" s="81">
        <f>H177*月別販売比率!$AG$21</f>
        <v>18.578143360752058</v>
      </c>
      <c r="CP177" s="21">
        <v>35</v>
      </c>
      <c r="CQ177" s="81">
        <f>H177*月別販売比率!$AL$21</f>
        <v>16.72032902467685</v>
      </c>
      <c r="CR177" s="21">
        <v>40</v>
      </c>
      <c r="CS177" s="81">
        <f>H177*月別販売比率!$AQ$21</f>
        <v>18.578143360752058</v>
      </c>
      <c r="CT177" s="21"/>
      <c r="CU177" s="81">
        <f>H177*月別販売比率!$AV$21</f>
        <v>11.313044378934878</v>
      </c>
      <c r="CV177" s="21">
        <v>30</v>
      </c>
      <c r="CW177" s="81">
        <f>H177*月別販売比率!$BA$21</f>
        <v>10.333743106307844</v>
      </c>
      <c r="CX177" s="21"/>
      <c r="CY177" s="81">
        <f>H177*月別販売比率!$BF$21</f>
        <v>14.862514688601646</v>
      </c>
      <c r="CZ177" s="21"/>
      <c r="DA177" s="28"/>
      <c r="DB177" s="294"/>
    </row>
    <row r="178" spans="2:106" ht="30.75" customHeight="1">
      <c r="B178" s="25"/>
      <c r="C178" s="438"/>
      <c r="D178" s="441"/>
      <c r="E178" s="119" t="s">
        <v>285</v>
      </c>
      <c r="F178" s="1">
        <v>78</v>
      </c>
      <c r="G178" s="46">
        <f t="shared" si="285"/>
        <v>240240</v>
      </c>
      <c r="H178" s="45">
        <f t="shared" si="288"/>
        <v>77.908343125734433</v>
      </c>
      <c r="I178" s="46">
        <f t="shared" si="286"/>
        <v>239957.69682726206</v>
      </c>
      <c r="J178" s="102">
        <v>0</v>
      </c>
      <c r="K178" s="21">
        <f t="shared" si="287"/>
        <v>17</v>
      </c>
      <c r="L178" s="39">
        <v>3</v>
      </c>
      <c r="M178" s="40">
        <v>14</v>
      </c>
      <c r="N178" s="42"/>
      <c r="O178" s="288"/>
      <c r="P178" s="288"/>
      <c r="Q178" s="331"/>
      <c r="R178" s="328"/>
      <c r="S178" s="129"/>
      <c r="T178" s="345"/>
      <c r="U178" s="345"/>
      <c r="V178" s="328"/>
      <c r="W178" s="328"/>
      <c r="X178" s="124"/>
      <c r="Y178" s="328"/>
      <c r="Z178" s="124"/>
      <c r="AA178" s="328"/>
      <c r="AB178" s="328"/>
      <c r="AC178" s="328"/>
      <c r="AD178" s="330"/>
      <c r="AE178" s="328"/>
      <c r="AF178" s="328"/>
      <c r="AG178" s="331"/>
      <c r="AH178" s="331"/>
      <c r="AI178" s="129">
        <f t="shared" si="276"/>
        <v>25.767332549941244</v>
      </c>
      <c r="AJ178" s="129">
        <f t="shared" si="277"/>
        <v>19.833309567831208</v>
      </c>
      <c r="AK178" s="129">
        <f t="shared" si="278"/>
        <v>10.484308392743076</v>
      </c>
      <c r="AL178" s="399">
        <f t="shared" si="279"/>
        <v>17.693474080169633</v>
      </c>
      <c r="AM178" s="393">
        <f t="shared" si="280"/>
        <v>20.681723198853533</v>
      </c>
      <c r="AN178" s="393">
        <f t="shared" si="281"/>
        <v>12.890888886280088</v>
      </c>
      <c r="AO178" s="393">
        <f t="shared" si="282"/>
        <v>18.14670898543643</v>
      </c>
      <c r="AP178" s="96">
        <f t="shared" si="283"/>
        <v>13.813203811823463</v>
      </c>
      <c r="AQ178" s="91">
        <f t="shared" si="284"/>
        <v>7.5805363617647084</v>
      </c>
      <c r="AR178" s="198"/>
      <c r="AS178" s="81">
        <f>$H$178*月別販売比率!AG5</f>
        <v>7.7908343125734438</v>
      </c>
      <c r="AT178" s="107"/>
      <c r="AU178" s="245">
        <f>$H$178*月別販売比率!AG5</f>
        <v>7.7908343125734438</v>
      </c>
      <c r="AV178" s="341">
        <v>27</v>
      </c>
      <c r="AW178" s="81">
        <f>$H$178*月別販売比率!AQ5</f>
        <v>7.7908343125734438</v>
      </c>
      <c r="AX178" s="107"/>
      <c r="AY178" s="245">
        <f>$H$178*月別販売比率!AV5</f>
        <v>4.7441799008436591</v>
      </c>
      <c r="AZ178" s="341">
        <v>25</v>
      </c>
      <c r="BA178" s="81">
        <f>$H$178*月別販売比率!BA5</f>
        <v>4.3335051736129673</v>
      </c>
      <c r="BB178" s="107"/>
      <c r="BC178" s="81">
        <f>$H$178*月別販売比率!BF5</f>
        <v>6.2326674500587549</v>
      </c>
      <c r="BD178" s="107"/>
      <c r="BE178" s="245">
        <f>$H$178*月別販売比率!C5</f>
        <v>5.5209163912810872</v>
      </c>
      <c r="BF178" s="341"/>
      <c r="BG178" s="245">
        <f>$H$178*月別販売比率!H5</f>
        <v>5.4535840188014104</v>
      </c>
      <c r="BH178" s="341">
        <v>45</v>
      </c>
      <c r="BI178" s="81">
        <f>$H$178*月別販売比率!M5</f>
        <v>7.8737045697981909</v>
      </c>
      <c r="BJ178" s="107"/>
      <c r="BK178" s="245">
        <f>$H$178*月別販売比率!R5</f>
        <v>6.2326674500587549</v>
      </c>
      <c r="BL178" s="341"/>
      <c r="BM178" s="245">
        <f>$H$178*月別販売比率!W5</f>
        <v>5.9340229821100356</v>
      </c>
      <c r="BN178" s="341">
        <v>15</v>
      </c>
      <c r="BO178" s="81">
        <f>$H$178*月別販売比率!AB5</f>
        <v>9.3490011750881319</v>
      </c>
      <c r="BP178" s="107"/>
      <c r="BQ178" s="245">
        <f>$H$178*月別販売比率!AG5</f>
        <v>7.7908343125734438</v>
      </c>
      <c r="BR178" s="341">
        <v>0</v>
      </c>
      <c r="BS178" s="245">
        <f>$H$178*月別販売比率!AL5</f>
        <v>7.0117508813160985</v>
      </c>
      <c r="BT178" s="341">
        <v>10</v>
      </c>
      <c r="BU178" s="245">
        <f>$H$178*月別販売比率!AQ5</f>
        <v>7.7908343125734438</v>
      </c>
      <c r="BV178" s="341">
        <v>20</v>
      </c>
      <c r="BW178" s="81">
        <f>$H$178*月別販売比率!AV5</f>
        <v>4.7441799008436591</v>
      </c>
      <c r="BX178" s="107"/>
      <c r="BY178" s="81">
        <f>$H$178*月別販売比率!BA5</f>
        <v>4.3335051736129673</v>
      </c>
      <c r="BZ178" s="107"/>
      <c r="CA178" s="81">
        <f>$H$178*月別販売比率!BF5</f>
        <v>6.2326674500587549</v>
      </c>
      <c r="CB178" s="107"/>
      <c r="CC178" s="81">
        <f>H178*月別販売比率!$C$21</f>
        <v>5.5209163912810872</v>
      </c>
      <c r="CD178" s="107"/>
      <c r="CE178" s="81">
        <f>H178*月別販売比率!$H$21</f>
        <v>5.4535840188014104</v>
      </c>
      <c r="CF178" s="341">
        <v>20</v>
      </c>
      <c r="CG178" s="81">
        <f>H178*月別販売比率!$M$21</f>
        <v>7.8737045697981909</v>
      </c>
      <c r="CH178" s="107"/>
      <c r="CI178" s="81">
        <f>H178*月別販売比率!$R$21</f>
        <v>6.2326674500587549</v>
      </c>
      <c r="CJ178" s="107">
        <v>15</v>
      </c>
      <c r="CK178" s="81">
        <f>H178*月別販売比率!$W$21</f>
        <v>5.9340229821100356</v>
      </c>
      <c r="CL178" s="107"/>
      <c r="CM178" s="81">
        <f>H178*月別販売比率!$AB$21</f>
        <v>9.3490011750881319</v>
      </c>
      <c r="CN178" s="107"/>
      <c r="CO178" s="81">
        <f>H178*月別販売比率!$AG$21</f>
        <v>7.7908343125734438</v>
      </c>
      <c r="CP178" s="107">
        <v>15</v>
      </c>
      <c r="CQ178" s="81">
        <f>H178*月別販売比率!$AL$21</f>
        <v>7.0117508813160985</v>
      </c>
      <c r="CR178" s="107">
        <v>10</v>
      </c>
      <c r="CS178" s="81">
        <f>H178*月別販売比率!$AQ$21</f>
        <v>7.7908343125734438</v>
      </c>
      <c r="CT178" s="107"/>
      <c r="CU178" s="81">
        <f>H178*月別販売比率!$AV$21</f>
        <v>4.7441799008436591</v>
      </c>
      <c r="CV178" s="107">
        <v>10</v>
      </c>
      <c r="CW178" s="81">
        <f>H178*月別販売比率!$BA$21</f>
        <v>4.3335051736129673</v>
      </c>
      <c r="CX178" s="107"/>
      <c r="CY178" s="81">
        <f>H178*月別販売比率!$BF$21</f>
        <v>6.2326674500587549</v>
      </c>
      <c r="CZ178" s="107"/>
      <c r="DA178" s="28"/>
      <c r="DB178" s="294"/>
    </row>
    <row r="179" spans="2:106" ht="30.75" customHeight="1">
      <c r="B179" s="25"/>
      <c r="C179" s="438"/>
      <c r="D179" s="442"/>
      <c r="E179" s="119" t="s">
        <v>284</v>
      </c>
      <c r="F179" s="1">
        <v>31</v>
      </c>
      <c r="G179" s="46">
        <f t="shared" si="285"/>
        <v>95480</v>
      </c>
      <c r="H179" s="164">
        <v>150</v>
      </c>
      <c r="I179" s="46">
        <f t="shared" si="286"/>
        <v>462000</v>
      </c>
      <c r="J179" s="102">
        <v>1</v>
      </c>
      <c r="K179" s="21">
        <f t="shared" si="287"/>
        <v>46</v>
      </c>
      <c r="L179" s="39">
        <v>6</v>
      </c>
      <c r="M179" s="40">
        <v>15</v>
      </c>
      <c r="N179" s="42">
        <v>25</v>
      </c>
      <c r="O179" s="288"/>
      <c r="P179" s="288"/>
      <c r="Q179" s="331"/>
      <c r="R179" s="328"/>
      <c r="S179" s="124"/>
      <c r="T179" s="328"/>
      <c r="U179" s="328"/>
      <c r="V179" s="328"/>
      <c r="W179" s="328"/>
      <c r="X179" s="331">
        <v>45848</v>
      </c>
      <c r="Y179" s="331"/>
      <c r="Z179" s="330"/>
      <c r="AA179" s="330"/>
      <c r="AB179" s="330"/>
      <c r="AC179" s="330"/>
      <c r="AD179" s="330"/>
      <c r="AE179" s="330"/>
      <c r="AF179" s="330"/>
      <c r="AG179" s="124"/>
      <c r="AH179" s="124"/>
      <c r="AI179" s="129">
        <f t="shared" si="276"/>
        <v>45</v>
      </c>
      <c r="AJ179" s="129">
        <f t="shared" si="277"/>
        <v>58.574991950733846</v>
      </c>
      <c r="AK179" s="129">
        <f t="shared" si="278"/>
        <v>40.574991950733846</v>
      </c>
      <c r="AL179" s="399">
        <f t="shared" si="279"/>
        <v>45.574991950733846</v>
      </c>
      <c r="AM179" s="393">
        <f t="shared" si="280"/>
        <v>42.074991950733846</v>
      </c>
      <c r="AN179" s="393">
        <f t="shared" si="281"/>
        <v>27.074991950733846</v>
      </c>
      <c r="AO179" s="393">
        <f t="shared" si="282"/>
        <v>37.940835625806351</v>
      </c>
      <c r="AP179" s="96">
        <f t="shared" si="283"/>
        <v>29.597367520049261</v>
      </c>
      <c r="AQ179" s="91">
        <f t="shared" si="284"/>
        <v>17.597367520049261</v>
      </c>
      <c r="AR179" s="198"/>
      <c r="AS179" s="81">
        <f>$H$179*月別販売比率!AG5</f>
        <v>15</v>
      </c>
      <c r="AT179" s="107"/>
      <c r="AU179" s="245">
        <f>$H$179*月別販売比率!AG5</f>
        <v>15</v>
      </c>
      <c r="AV179" s="341">
        <v>3</v>
      </c>
      <c r="AW179" s="81">
        <f>$H$179*月別販売比率!AQ5</f>
        <v>15</v>
      </c>
      <c r="AX179" s="107"/>
      <c r="AY179" s="245">
        <f>$H$179*月別販売比率!AV5</f>
        <v>9.1341563249274973</v>
      </c>
      <c r="AZ179" s="341">
        <v>25</v>
      </c>
      <c r="BA179" s="81">
        <f>$H$179*月別販売比率!BA5</f>
        <v>8.3434681057570916</v>
      </c>
      <c r="BB179" s="107"/>
      <c r="BC179" s="81">
        <f>$H$179*月別販売比率!BF5</f>
        <v>12</v>
      </c>
      <c r="BD179" s="107"/>
      <c r="BE179" s="245">
        <f>$H$179*月別販売比率!C5</f>
        <v>10.629637667376031</v>
      </c>
      <c r="BF179" s="341"/>
      <c r="BG179" s="245">
        <f>$H$179*月別販売比率!H5</f>
        <v>10.500000000000002</v>
      </c>
      <c r="BH179" s="341">
        <v>7</v>
      </c>
      <c r="BI179" s="81">
        <f>$H$179*月別販売比率!M5</f>
        <v>15.159553368548099</v>
      </c>
      <c r="BJ179" s="107"/>
      <c r="BK179" s="245">
        <f>$H$179*月別販売比率!R5</f>
        <v>12</v>
      </c>
      <c r="BL179" s="341">
        <v>5</v>
      </c>
      <c r="BM179" s="245">
        <f>$H$179*月別販売比率!W5</f>
        <v>11.425008049266154</v>
      </c>
      <c r="BN179" s="341">
        <v>10</v>
      </c>
      <c r="BO179" s="81">
        <f>$H$179*月別販売比率!AB5</f>
        <v>18</v>
      </c>
      <c r="BP179" s="107"/>
      <c r="BQ179" s="245">
        <f>$H$179*月別販売比率!AG5</f>
        <v>15</v>
      </c>
      <c r="BR179" s="341">
        <v>20</v>
      </c>
      <c r="BS179" s="245">
        <f>$H$179*月別販売比率!AL5</f>
        <v>13.5</v>
      </c>
      <c r="BT179" s="341">
        <v>10</v>
      </c>
      <c r="BU179" s="245">
        <f>$H$179*月別販売比率!AQ5</f>
        <v>15</v>
      </c>
      <c r="BV179" s="341">
        <v>10</v>
      </c>
      <c r="BW179" s="81">
        <f>$H$179*月別販売比率!AV5</f>
        <v>9.1341563249274973</v>
      </c>
      <c r="BX179" s="107"/>
      <c r="BY179" s="81">
        <f>$H$179*月別販売比率!BA5</f>
        <v>8.3434681057570916</v>
      </c>
      <c r="BZ179" s="107"/>
      <c r="CA179" s="81">
        <f>$H$179*月別販売比率!BF5</f>
        <v>12</v>
      </c>
      <c r="CB179" s="107"/>
      <c r="CC179" s="81">
        <f>H179*月別販売比率!$C$21</f>
        <v>10.629637667376031</v>
      </c>
      <c r="CD179" s="107"/>
      <c r="CE179" s="81">
        <f>H179*月別販売比率!$H$21</f>
        <v>10.500000000000002</v>
      </c>
      <c r="CF179" s="341">
        <v>40</v>
      </c>
      <c r="CG179" s="81">
        <f>H179*月別販売比率!$M$21</f>
        <v>15.159553368548099</v>
      </c>
      <c r="CH179" s="107"/>
      <c r="CI179" s="81">
        <f>H179*月別販売比率!$R$21</f>
        <v>12</v>
      </c>
      <c r="CJ179" s="107">
        <v>10</v>
      </c>
      <c r="CK179" s="81">
        <f>H179*月別販売比率!$W$21</f>
        <v>11.425008049266154</v>
      </c>
      <c r="CL179" s="107">
        <v>25</v>
      </c>
      <c r="CM179" s="81">
        <f>H179*月別販売比率!$AB$21</f>
        <v>18</v>
      </c>
      <c r="CN179" s="107"/>
      <c r="CO179" s="81">
        <f>H179*月別販売比率!$AG$21</f>
        <v>15</v>
      </c>
      <c r="CP179" s="107">
        <v>20</v>
      </c>
      <c r="CQ179" s="81">
        <f>H179*月別販売比率!$AL$21</f>
        <v>13.5</v>
      </c>
      <c r="CR179" s="107">
        <v>10</v>
      </c>
      <c r="CS179" s="81">
        <f>H179*月別販売比率!$AQ$21</f>
        <v>15</v>
      </c>
      <c r="CT179" s="107"/>
      <c r="CU179" s="81">
        <f>H179*月別販売比率!$AV$21</f>
        <v>9.1341563249274973</v>
      </c>
      <c r="CV179" s="107">
        <v>20</v>
      </c>
      <c r="CW179" s="81">
        <f>H179*月別販売比率!$BA$21</f>
        <v>8.3434681057570916</v>
      </c>
      <c r="CX179" s="107"/>
      <c r="CY179" s="81">
        <f>H179*月別販売比率!$BF$21</f>
        <v>12</v>
      </c>
      <c r="CZ179" s="107"/>
      <c r="DA179" s="28"/>
      <c r="DB179" s="294"/>
    </row>
    <row r="180" spans="2:106" ht="30.75" customHeight="1">
      <c r="C180" s="438"/>
      <c r="D180" s="448">
        <v>3</v>
      </c>
      <c r="E180" s="99" t="s">
        <v>275</v>
      </c>
      <c r="F180" s="1">
        <v>222</v>
      </c>
      <c r="G180" s="46">
        <f t="shared" si="285"/>
        <v>683760</v>
      </c>
      <c r="H180" s="164">
        <v>290</v>
      </c>
      <c r="I180" s="46">
        <f t="shared" si="286"/>
        <v>893200</v>
      </c>
      <c r="J180" s="49">
        <v>0</v>
      </c>
      <c r="K180" s="21">
        <f t="shared" si="287"/>
        <v>38</v>
      </c>
      <c r="L180" s="39">
        <v>3</v>
      </c>
      <c r="M180" s="40">
        <v>16</v>
      </c>
      <c r="N180" s="42">
        <v>19</v>
      </c>
      <c r="O180" s="288"/>
      <c r="P180" s="288"/>
      <c r="Q180" s="331">
        <v>45643</v>
      </c>
      <c r="R180" s="328"/>
      <c r="S180" s="285"/>
      <c r="T180" s="328"/>
      <c r="U180" s="331">
        <v>45757</v>
      </c>
      <c r="V180" s="328"/>
      <c r="W180" s="328"/>
      <c r="X180" s="331">
        <v>45848</v>
      </c>
      <c r="Y180" s="331"/>
      <c r="Z180" s="330"/>
      <c r="AA180" s="331">
        <v>45940</v>
      </c>
      <c r="AB180" s="124"/>
      <c r="AC180" s="328"/>
      <c r="AD180" s="330"/>
      <c r="AE180" s="330"/>
      <c r="AF180" s="328"/>
      <c r="AG180" s="331"/>
      <c r="AH180" s="331"/>
      <c r="AI180" s="129">
        <f t="shared" si="276"/>
        <v>24.8</v>
      </c>
      <c r="AJ180" s="129">
        <f t="shared" si="277"/>
        <v>37.7116511047521</v>
      </c>
      <c r="AK180" s="129">
        <f t="shared" si="278"/>
        <v>2.911651104752103</v>
      </c>
      <c r="AL180" s="399">
        <f t="shared" si="279"/>
        <v>8.911651104752103</v>
      </c>
      <c r="AM180" s="393">
        <f t="shared" si="280"/>
        <v>42.811651104752102</v>
      </c>
      <c r="AN180" s="393">
        <f t="shared" si="281"/>
        <v>13.811651104752102</v>
      </c>
      <c r="AO180" s="393">
        <f t="shared" si="282"/>
        <v>56.152282209892277</v>
      </c>
      <c r="AP180" s="96">
        <f t="shared" si="283"/>
        <v>40.021577205428564</v>
      </c>
      <c r="AQ180" s="91">
        <f t="shared" si="284"/>
        <v>16.821577205428564</v>
      </c>
      <c r="AR180" s="198"/>
      <c r="AS180" s="81">
        <f>$H$180*月別販売比率!AG5</f>
        <v>29</v>
      </c>
      <c r="AT180" s="39"/>
      <c r="AU180" s="245">
        <f>$H$180*月別販売比率!AG5</f>
        <v>29</v>
      </c>
      <c r="AV180" s="280">
        <v>42</v>
      </c>
      <c r="AW180" s="81">
        <f>$H$180*月別販売比率!AQ5</f>
        <v>29</v>
      </c>
      <c r="AX180" s="39"/>
      <c r="AY180" s="245">
        <f>$H$180*月別販売比率!AV5</f>
        <v>17.659368894859828</v>
      </c>
      <c r="AZ180" s="280">
        <v>30</v>
      </c>
      <c r="BA180" s="81">
        <f>$H$180*月別販売比率!BA5</f>
        <v>16.130705004463714</v>
      </c>
      <c r="BB180" s="39"/>
      <c r="BC180" s="81">
        <f>$H$180*月別販売比率!BF5</f>
        <v>23.2</v>
      </c>
      <c r="BD180" s="39"/>
      <c r="BE180" s="245">
        <f>$H$180*月別販売比率!C5</f>
        <v>20.550632823593659</v>
      </c>
      <c r="BF180" s="280">
        <v>40</v>
      </c>
      <c r="BG180" s="245">
        <f>$H$180*月別販売比率!H5</f>
        <v>20.3</v>
      </c>
      <c r="BH180" s="280">
        <v>65</v>
      </c>
      <c r="BI180" s="81">
        <f>$H$180*月別販売比率!M5</f>
        <v>29.308469845859662</v>
      </c>
      <c r="BJ180" s="39"/>
      <c r="BK180" s="245">
        <f>$H$180*月別販売比率!R5</f>
        <v>23.2</v>
      </c>
      <c r="BL180" s="280">
        <v>30</v>
      </c>
      <c r="BM180" s="245">
        <f>$H$180*月別販売比率!W5</f>
        <v>22.088348895247901</v>
      </c>
      <c r="BN180" s="280">
        <v>40</v>
      </c>
      <c r="BO180" s="81">
        <f>$H$180*月別販売比率!AB5</f>
        <v>34.799999999999997</v>
      </c>
      <c r="BP180" s="39"/>
      <c r="BQ180" s="245">
        <f>$H$180*月別販売比率!AG5</f>
        <v>29</v>
      </c>
      <c r="BR180" s="280">
        <v>50</v>
      </c>
      <c r="BS180" s="245">
        <f>$H$180*月別販売比率!AL5</f>
        <v>26.099999999999998</v>
      </c>
      <c r="BT180" s="280">
        <v>30</v>
      </c>
      <c r="BU180" s="245">
        <f>$H$180*月別販売比率!AQ5</f>
        <v>29</v>
      </c>
      <c r="BV180" s="280">
        <v>25</v>
      </c>
      <c r="BW180" s="81">
        <f>$H$180*月別販売比率!AV5</f>
        <v>17.659368894859828</v>
      </c>
      <c r="BX180" s="39"/>
      <c r="BY180" s="81">
        <f>$H$180*月別販売比率!BA5</f>
        <v>16.130705004463714</v>
      </c>
      <c r="BZ180" s="39"/>
      <c r="CA180" s="81">
        <f>$H$180*月別販売比率!BF5</f>
        <v>23.2</v>
      </c>
      <c r="CB180" s="39"/>
      <c r="CC180" s="81">
        <f>H180*月別販売比率!$C$21</f>
        <v>20.550632823593659</v>
      </c>
      <c r="CD180" s="39"/>
      <c r="CE180" s="81">
        <f>H180*月別販売比率!$H$21</f>
        <v>20.3</v>
      </c>
      <c r="CF180" s="280">
        <v>75</v>
      </c>
      <c r="CG180" s="81">
        <f>H180*月別販売比率!$M$21</f>
        <v>29.308469845859662</v>
      </c>
      <c r="CH180" s="39"/>
      <c r="CI180" s="81">
        <f>H180*月別販売比率!$R$21</f>
        <v>23.2</v>
      </c>
      <c r="CJ180" s="39">
        <v>10</v>
      </c>
      <c r="CK180" s="81">
        <f>H180*月別販売比率!$W$21</f>
        <v>22.088348895247901</v>
      </c>
      <c r="CL180" s="39">
        <v>35</v>
      </c>
      <c r="CM180" s="81">
        <f>H180*月別販売比率!$AB$21</f>
        <v>34.799999999999997</v>
      </c>
      <c r="CN180" s="39"/>
      <c r="CO180" s="81">
        <f>H180*月別販売比率!$AG$21</f>
        <v>29</v>
      </c>
      <c r="CP180" s="39">
        <v>35</v>
      </c>
      <c r="CQ180" s="81">
        <f>H180*月別販売比率!$AL$21</f>
        <v>26.099999999999998</v>
      </c>
      <c r="CR180" s="39">
        <v>60</v>
      </c>
      <c r="CS180" s="81">
        <f>H180*月別販売比率!$AQ$21</f>
        <v>29</v>
      </c>
      <c r="CT180" s="39"/>
      <c r="CU180" s="81">
        <f>H180*月別販売比率!$AV$21</f>
        <v>17.659368894859828</v>
      </c>
      <c r="CV180" s="39">
        <v>60</v>
      </c>
      <c r="CW180" s="81">
        <f>H180*月別販売比率!$BA$21</f>
        <v>16.130705004463714</v>
      </c>
      <c r="CX180" s="39"/>
      <c r="CY180" s="81">
        <f>H180*月別販売比率!$BF$21</f>
        <v>23.2</v>
      </c>
      <c r="CZ180" s="39"/>
      <c r="DA180" s="28"/>
      <c r="DB180" s="294"/>
    </row>
    <row r="181" spans="2:106" ht="30.75" customHeight="1">
      <c r="C181" s="438"/>
      <c r="D181" s="449"/>
      <c r="E181" s="94" t="s">
        <v>287</v>
      </c>
      <c r="F181" s="1">
        <v>119</v>
      </c>
      <c r="G181" s="46">
        <f t="shared" si="285"/>
        <v>366520</v>
      </c>
      <c r="H181" s="164">
        <v>290</v>
      </c>
      <c r="I181" s="46">
        <f t="shared" si="286"/>
        <v>893200</v>
      </c>
      <c r="J181" s="9">
        <v>0</v>
      </c>
      <c r="K181" s="21">
        <f t="shared" si="287"/>
        <v>18</v>
      </c>
      <c r="L181" s="39">
        <v>4</v>
      </c>
      <c r="M181" s="40">
        <v>14</v>
      </c>
      <c r="N181" s="42"/>
      <c r="O181" s="288"/>
      <c r="P181" s="288"/>
      <c r="Q181" s="331"/>
      <c r="R181" s="328"/>
      <c r="S181" s="328"/>
      <c r="T181" s="328"/>
      <c r="U181" s="331">
        <v>45757</v>
      </c>
      <c r="V181" s="328"/>
      <c r="W181" s="328"/>
      <c r="X181" s="331">
        <v>45848</v>
      </c>
      <c r="Y181" s="331"/>
      <c r="Z181" s="330"/>
      <c r="AA181" s="331">
        <v>45940</v>
      </c>
      <c r="AB181" s="124"/>
      <c r="AC181" s="124"/>
      <c r="AD181" s="124"/>
      <c r="AE181" s="328"/>
      <c r="AF181" s="328"/>
      <c r="AG181" s="331"/>
      <c r="AH181" s="331"/>
      <c r="AI181" s="129">
        <f t="shared" si="276"/>
        <v>24.8</v>
      </c>
      <c r="AJ181" s="129">
        <f t="shared" si="277"/>
        <v>47.7116511047521</v>
      </c>
      <c r="AK181" s="129">
        <f t="shared" si="278"/>
        <v>12.911651104752103</v>
      </c>
      <c r="AL181" s="399">
        <f t="shared" si="279"/>
        <v>28.911651104752103</v>
      </c>
      <c r="AM181" s="393">
        <f t="shared" si="280"/>
        <v>42.811651104752102</v>
      </c>
      <c r="AN181" s="393">
        <f t="shared" si="281"/>
        <v>13.811651104752102</v>
      </c>
      <c r="AO181" s="393">
        <f t="shared" si="282"/>
        <v>56.152282209892277</v>
      </c>
      <c r="AP181" s="96">
        <f t="shared" si="283"/>
        <v>40.021577205428564</v>
      </c>
      <c r="AQ181" s="91">
        <f t="shared" si="284"/>
        <v>16.821577205428564</v>
      </c>
      <c r="AR181" s="198"/>
      <c r="AS181" s="81">
        <f>$H$181*月別販売比率!AG5</f>
        <v>29</v>
      </c>
      <c r="AT181" s="21"/>
      <c r="AU181" s="245">
        <f>$H$181*月別販売比率!AG5</f>
        <v>29</v>
      </c>
      <c r="AV181" s="241">
        <v>22</v>
      </c>
      <c r="AW181" s="81">
        <f>$H$181*月別販売比率!AQ5</f>
        <v>29</v>
      </c>
      <c r="AX181" s="21"/>
      <c r="AY181" s="245">
        <f>$H$181*月別販売比率!AV5</f>
        <v>17.659368894859828</v>
      </c>
      <c r="AZ181" s="241">
        <v>35</v>
      </c>
      <c r="BA181" s="81">
        <f>$H$181*月別販売比率!BA5</f>
        <v>16.130705004463714</v>
      </c>
      <c r="BB181" s="21"/>
      <c r="BC181" s="81">
        <f>$H$181*月別販売比率!BF5</f>
        <v>23.2</v>
      </c>
      <c r="BD181" s="21"/>
      <c r="BE181" s="245">
        <f>$H$181*月別販売比率!C5</f>
        <v>20.550632823593659</v>
      </c>
      <c r="BF181" s="241">
        <v>15</v>
      </c>
      <c r="BG181" s="245">
        <f>$H$181*月別販売比率!H5</f>
        <v>20.3</v>
      </c>
      <c r="BH181" s="241">
        <v>15</v>
      </c>
      <c r="BI181" s="81">
        <f>$H$181*月別販売比率!M5</f>
        <v>29.308469845859662</v>
      </c>
      <c r="BJ181" s="21"/>
      <c r="BK181" s="245">
        <f>$H$181*月別販売比率!R5</f>
        <v>23.2</v>
      </c>
      <c r="BL181" s="241">
        <v>45</v>
      </c>
      <c r="BM181" s="245">
        <f>$H$181*月別販売比率!W5</f>
        <v>22.088348895247901</v>
      </c>
      <c r="BN181" s="241">
        <v>20</v>
      </c>
      <c r="BO181" s="81">
        <f>$H$181*月別販売比率!AB5</f>
        <v>34.799999999999997</v>
      </c>
      <c r="BP181" s="21"/>
      <c r="BQ181" s="245">
        <f>$H$181*月別販売比率!AG5</f>
        <v>29</v>
      </c>
      <c r="BR181" s="241">
        <v>40</v>
      </c>
      <c r="BS181" s="245">
        <f>$H$181*月別販売比率!AL5</f>
        <v>26.099999999999998</v>
      </c>
      <c r="BT181" s="241">
        <v>20</v>
      </c>
      <c r="BU181" s="245">
        <f>$H$181*月別販売比率!AQ5</f>
        <v>29</v>
      </c>
      <c r="BV181" s="241">
        <v>20</v>
      </c>
      <c r="BW181" s="81">
        <f>$H$181*月別販売比率!AV5</f>
        <v>17.659368894859828</v>
      </c>
      <c r="BX181" s="21"/>
      <c r="BY181" s="81">
        <f>$H$181*月別販売比率!BA5</f>
        <v>16.130705004463714</v>
      </c>
      <c r="BZ181" s="21"/>
      <c r="CA181" s="81">
        <f>$H$181*月別販売比率!BF5</f>
        <v>23.2</v>
      </c>
      <c r="CB181" s="21"/>
      <c r="CC181" s="81">
        <f>H181*月別販売比率!$C$21</f>
        <v>20.550632823593659</v>
      </c>
      <c r="CD181" s="21"/>
      <c r="CE181" s="81">
        <f>H181*月別販売比率!$H$21</f>
        <v>20.3</v>
      </c>
      <c r="CF181" s="241">
        <v>55</v>
      </c>
      <c r="CG181" s="81">
        <f>H181*月別販売比率!$M$21</f>
        <v>29.308469845859662</v>
      </c>
      <c r="CH181" s="21"/>
      <c r="CI181" s="81">
        <f>H181*月別販売比率!$R$21</f>
        <v>23.2</v>
      </c>
      <c r="CJ181" s="21">
        <v>30</v>
      </c>
      <c r="CK181" s="81">
        <f>H181*月別販売比率!$W$21</f>
        <v>22.088348895247901</v>
      </c>
      <c r="CL181" s="21">
        <v>45</v>
      </c>
      <c r="CM181" s="81">
        <f>H181*月別販売比率!$AB$21</f>
        <v>34.799999999999997</v>
      </c>
      <c r="CN181" s="21"/>
      <c r="CO181" s="81">
        <f>H181*月別販売比率!$AG$21</f>
        <v>29</v>
      </c>
      <c r="CP181" s="21">
        <v>45</v>
      </c>
      <c r="CQ181" s="81">
        <f>H181*月別販売比率!$AL$21</f>
        <v>26.099999999999998</v>
      </c>
      <c r="CR181" s="21">
        <v>40</v>
      </c>
      <c r="CS181" s="81">
        <f>H181*月別販売比率!$AQ$21</f>
        <v>29</v>
      </c>
      <c r="CT181" s="21"/>
      <c r="CU181" s="81">
        <f>H181*月別販売比率!$AV$21</f>
        <v>17.659368894859828</v>
      </c>
      <c r="CV181" s="21">
        <v>60</v>
      </c>
      <c r="CW181" s="81">
        <f>H181*月別販売比率!$BA$21</f>
        <v>16.130705004463714</v>
      </c>
      <c r="CX181" s="21"/>
      <c r="CY181" s="81">
        <f>H181*月別販売比率!$BF$21</f>
        <v>23.2</v>
      </c>
      <c r="CZ181" s="21"/>
      <c r="DA181" s="28"/>
      <c r="DB181" s="294"/>
    </row>
    <row r="182" spans="2:106" ht="30.75" customHeight="1">
      <c r="C182" s="438"/>
      <c r="D182" s="449"/>
      <c r="E182" s="94" t="s">
        <v>286</v>
      </c>
      <c r="F182" s="1">
        <v>176</v>
      </c>
      <c r="G182" s="46">
        <f t="shared" si="285"/>
        <v>542080</v>
      </c>
      <c r="H182" s="164">
        <v>230</v>
      </c>
      <c r="I182" s="46">
        <f t="shared" si="286"/>
        <v>708400</v>
      </c>
      <c r="J182" s="9">
        <v>-5</v>
      </c>
      <c r="K182" s="21">
        <f t="shared" si="287"/>
        <v>31</v>
      </c>
      <c r="L182" s="39">
        <v>10</v>
      </c>
      <c r="M182" s="40">
        <v>15</v>
      </c>
      <c r="N182" s="42">
        <v>6</v>
      </c>
      <c r="O182" s="288"/>
      <c r="P182" s="288"/>
      <c r="Q182" s="330"/>
      <c r="R182" s="328"/>
      <c r="S182" s="285"/>
      <c r="T182" s="328"/>
      <c r="U182" s="328"/>
      <c r="V182" s="328"/>
      <c r="W182" s="328"/>
      <c r="X182" s="331">
        <v>45848</v>
      </c>
      <c r="Y182" s="331"/>
      <c r="Z182" s="330"/>
      <c r="AA182" s="331">
        <v>45940</v>
      </c>
      <c r="AB182" s="124"/>
      <c r="AC182" s="124"/>
      <c r="AD182" s="124"/>
      <c r="AE182" s="328"/>
      <c r="AF182" s="328"/>
      <c r="AG182" s="331"/>
      <c r="AH182" s="331"/>
      <c r="AI182" s="129">
        <f t="shared" si="276"/>
        <v>17.599999999999998</v>
      </c>
      <c r="AJ182" s="129">
        <f t="shared" si="277"/>
        <v>10.081654324458562</v>
      </c>
      <c r="AK182" s="129">
        <f t="shared" si="278"/>
        <v>-17.518345675541436</v>
      </c>
      <c r="AL182" s="399">
        <f t="shared" si="279"/>
        <v>-10.51834567554144</v>
      </c>
      <c r="AM182" s="393">
        <f>0-CQ182+CR182</f>
        <v>19.3</v>
      </c>
      <c r="AN182" s="393">
        <f t="shared" si="281"/>
        <v>-3.6999999999999993</v>
      </c>
      <c r="AO182" s="393">
        <f>0-CU182+CV182</f>
        <v>35.99429363511117</v>
      </c>
      <c r="AP182" s="96">
        <f t="shared" si="283"/>
        <v>23.200975872950295</v>
      </c>
      <c r="AQ182" s="91">
        <f t="shared" si="284"/>
        <v>4.8009758729502927</v>
      </c>
      <c r="AR182" s="198"/>
      <c r="AS182" s="81">
        <f>$H$182*月別販売比率!AG5</f>
        <v>23</v>
      </c>
      <c r="AT182" s="21"/>
      <c r="AU182" s="245">
        <f>$H$182*月別販売比率!AG5</f>
        <v>23</v>
      </c>
      <c r="AV182" s="241">
        <v>52</v>
      </c>
      <c r="AW182" s="81">
        <f>$H$182*月別販売比率!AQ5</f>
        <v>23</v>
      </c>
      <c r="AX182" s="21"/>
      <c r="AY182" s="245">
        <f>$H$182*月別販売比率!AV5</f>
        <v>14.005706364888828</v>
      </c>
      <c r="AZ182" s="241">
        <v>30</v>
      </c>
      <c r="BA182" s="81">
        <f>$H$182*月別販売比率!BA5</f>
        <v>12.793317762160875</v>
      </c>
      <c r="BB182" s="21"/>
      <c r="BC182" s="81">
        <f>$H$182*月別販売比率!BF5</f>
        <v>18.400000000000002</v>
      </c>
      <c r="BD182" s="21"/>
      <c r="BE182" s="245">
        <f>$H$182*月別販売比率!C5</f>
        <v>16.298777756643247</v>
      </c>
      <c r="BF182" s="241">
        <v>10</v>
      </c>
      <c r="BG182" s="245">
        <f>$H$182*月別販売比率!H5</f>
        <v>16.100000000000001</v>
      </c>
      <c r="BH182" s="241">
        <v>30</v>
      </c>
      <c r="BI182" s="81">
        <f>$H$182*月別販売比率!M5</f>
        <v>23.244648498440419</v>
      </c>
      <c r="BJ182" s="21"/>
      <c r="BK182" s="245">
        <f>$H$182*月別販売比率!R5</f>
        <v>18.400000000000002</v>
      </c>
      <c r="BL182" s="241">
        <v>30</v>
      </c>
      <c r="BM182" s="245">
        <f>$H$182*月別販売比率!W5</f>
        <v>17.518345675541436</v>
      </c>
      <c r="BN182" s="241">
        <v>30</v>
      </c>
      <c r="BO182" s="81">
        <f>$H$182*月別販売比率!AB5</f>
        <v>27.599999999999998</v>
      </c>
      <c r="BP182" s="21"/>
      <c r="BQ182" s="245">
        <f>$H$182*月別販売比率!AG5</f>
        <v>23</v>
      </c>
      <c r="BR182" s="241">
        <v>20</v>
      </c>
      <c r="BS182" s="245">
        <f>$H$182*月別販売比率!AL5</f>
        <v>20.7</v>
      </c>
      <c r="BT182" s="241">
        <v>45</v>
      </c>
      <c r="BU182" s="245">
        <f>$H$182*月別販売比率!AQ5</f>
        <v>23</v>
      </c>
      <c r="BV182" s="241">
        <v>15</v>
      </c>
      <c r="BW182" s="81">
        <f>$H$182*月別販売比率!AV5</f>
        <v>14.005706364888828</v>
      </c>
      <c r="BX182" s="21"/>
      <c r="BY182" s="81">
        <f>$H$182*月別販売比率!BA5</f>
        <v>12.793317762160875</v>
      </c>
      <c r="BZ182" s="21"/>
      <c r="CA182" s="81">
        <f>$H$182*月別販売比率!BF5</f>
        <v>18.400000000000002</v>
      </c>
      <c r="CB182" s="21"/>
      <c r="CC182" s="81">
        <f>H182*月別販売比率!$C$21</f>
        <v>16.298777756643247</v>
      </c>
      <c r="CD182" s="21"/>
      <c r="CE182" s="81">
        <f>H182*月別販売比率!$H$21</f>
        <v>16.100000000000001</v>
      </c>
      <c r="CF182" s="241">
        <v>65</v>
      </c>
      <c r="CG182" s="81">
        <f>H182*月別販売比率!$M$21</f>
        <v>23.244648498440419</v>
      </c>
      <c r="CH182" s="21"/>
      <c r="CI182" s="81">
        <f>H182*月別販売比率!$R$21</f>
        <v>18.400000000000002</v>
      </c>
      <c r="CJ182" s="21">
        <v>10</v>
      </c>
      <c r="CK182" s="81">
        <f>H182*月別販売比率!$W$21</f>
        <v>17.518345675541436</v>
      </c>
      <c r="CL182" s="21">
        <v>10</v>
      </c>
      <c r="CM182" s="81">
        <f>H182*月別販売比率!$AB$21</f>
        <v>27.599999999999998</v>
      </c>
      <c r="CN182" s="21"/>
      <c r="CO182" s="81">
        <f>H182*月別販売比率!$AG$21</f>
        <v>23</v>
      </c>
      <c r="CP182" s="21">
        <v>30</v>
      </c>
      <c r="CQ182" s="81">
        <f>H182*月別販売比率!$AL$21</f>
        <v>20.7</v>
      </c>
      <c r="CR182" s="21">
        <v>40</v>
      </c>
      <c r="CS182" s="81">
        <f>H182*月別販売比率!$AQ$21</f>
        <v>23</v>
      </c>
      <c r="CT182" s="21"/>
      <c r="CU182" s="81">
        <f>H182*月別販売比率!$AV$21</f>
        <v>14.005706364888828</v>
      </c>
      <c r="CV182" s="21">
        <v>50</v>
      </c>
      <c r="CW182" s="81">
        <f>H182*月別販売比率!$BA$21</f>
        <v>12.793317762160875</v>
      </c>
      <c r="CX182" s="21"/>
      <c r="CY182" s="81">
        <f>H182*月別販売比率!$BF$21</f>
        <v>18.400000000000002</v>
      </c>
      <c r="CZ182" s="21"/>
      <c r="DA182" s="28"/>
      <c r="DB182" s="294"/>
    </row>
    <row r="183" spans="2:106" ht="30.75" customHeight="1">
      <c r="C183" s="438"/>
      <c r="D183" s="449"/>
      <c r="E183" s="119" t="s">
        <v>285</v>
      </c>
      <c r="F183" s="1">
        <v>145</v>
      </c>
      <c r="G183" s="46">
        <f t="shared" si="285"/>
        <v>446600</v>
      </c>
      <c r="H183" s="164">
        <v>190</v>
      </c>
      <c r="I183" s="46">
        <f t="shared" si="286"/>
        <v>585200</v>
      </c>
      <c r="J183" s="102">
        <v>0</v>
      </c>
      <c r="K183" s="79">
        <f t="shared" si="287"/>
        <v>17</v>
      </c>
      <c r="L183" s="39">
        <v>3</v>
      </c>
      <c r="M183" s="80">
        <v>14</v>
      </c>
      <c r="N183" s="44"/>
      <c r="O183" s="292"/>
      <c r="P183" s="292"/>
      <c r="Q183" s="337"/>
      <c r="R183" s="344"/>
      <c r="S183" s="286"/>
      <c r="T183" s="344"/>
      <c r="U183" s="344"/>
      <c r="V183" s="328"/>
      <c r="W183" s="328"/>
      <c r="X183" s="328"/>
      <c r="Y183" s="328"/>
      <c r="Z183" s="124"/>
      <c r="AA183" s="331">
        <v>45940</v>
      </c>
      <c r="AB183" s="124"/>
      <c r="AC183" s="328"/>
      <c r="AD183" s="330"/>
      <c r="AE183" s="328"/>
      <c r="AF183" s="328"/>
      <c r="AG183" s="331"/>
      <c r="AH183" s="331"/>
      <c r="AI183" s="198">
        <f t="shared" si="276"/>
        <v>21.799999999999997</v>
      </c>
      <c r="AJ183" s="198">
        <f t="shared" si="277"/>
        <v>17.3283231375962</v>
      </c>
      <c r="AK183" s="198">
        <f t="shared" si="278"/>
        <v>-5.4716768624038004</v>
      </c>
      <c r="AL183" s="402">
        <f>0-CO183+CP183</f>
        <v>16</v>
      </c>
      <c r="AM183" s="396">
        <f t="shared" si="280"/>
        <v>33.900000000000006</v>
      </c>
      <c r="AN183" s="396">
        <f t="shared" si="281"/>
        <v>14.900000000000006</v>
      </c>
      <c r="AO183" s="396">
        <f t="shared" si="282"/>
        <v>33.330068655091843</v>
      </c>
      <c r="AP183" s="199">
        <f t="shared" si="283"/>
        <v>22.76167572113286</v>
      </c>
      <c r="AQ183" s="194">
        <f t="shared" si="284"/>
        <v>7.5616757211328594</v>
      </c>
      <c r="AR183" s="198"/>
      <c r="AS183" s="81">
        <f>$H$183*月別販売比率!AG5</f>
        <v>19</v>
      </c>
      <c r="AT183" s="79"/>
      <c r="AU183" s="245">
        <f>$H$183*月別販売比率!AG5</f>
        <v>19</v>
      </c>
      <c r="AV183" s="342">
        <v>47</v>
      </c>
      <c r="AW183" s="81">
        <f>$H$183*月別販売比率!AQ5</f>
        <v>19</v>
      </c>
      <c r="AX183" s="79"/>
      <c r="AY183" s="245">
        <f>$H$183*月別販売比率!AV5</f>
        <v>11.569931344908163</v>
      </c>
      <c r="AZ183" s="342">
        <v>25</v>
      </c>
      <c r="BA183" s="81">
        <f>$H$183*月別販売比率!BA5</f>
        <v>10.568392933958984</v>
      </c>
      <c r="BB183" s="79"/>
      <c r="BC183" s="81">
        <f>$H$183*月別販売比率!BF5</f>
        <v>15.200000000000001</v>
      </c>
      <c r="BD183" s="79"/>
      <c r="BE183" s="245">
        <f>$H$183*月別販売比率!C5</f>
        <v>13.464207712009639</v>
      </c>
      <c r="BF183" s="342">
        <v>5</v>
      </c>
      <c r="BG183" s="245">
        <f>$H$183*月別販売比率!H5</f>
        <v>13.3</v>
      </c>
      <c r="BH183" s="341">
        <v>27</v>
      </c>
      <c r="BI183" s="81">
        <f>$H$183*月別販売比率!M5</f>
        <v>19.202100933494261</v>
      </c>
      <c r="BJ183" s="107"/>
      <c r="BK183" s="245">
        <f>$H$183*月別販売比率!R5</f>
        <v>15.200000000000001</v>
      </c>
      <c r="BL183" s="341">
        <v>50</v>
      </c>
      <c r="BM183" s="245">
        <f>$H$183*月別販売比率!W5</f>
        <v>14.471676862403797</v>
      </c>
      <c r="BN183" s="341">
        <v>25</v>
      </c>
      <c r="BO183" s="81">
        <f>$H$183*月別販売比率!AB5</f>
        <v>22.8</v>
      </c>
      <c r="BP183" s="107"/>
      <c r="BQ183" s="245">
        <f>$H$183*月別販売比率!AG5</f>
        <v>19</v>
      </c>
      <c r="BR183" s="341">
        <v>20</v>
      </c>
      <c r="BS183" s="245">
        <f>$H$183*月別販売比率!AL5</f>
        <v>17.099999999999998</v>
      </c>
      <c r="BT183" s="341">
        <v>40</v>
      </c>
      <c r="BU183" s="245">
        <f>$H$183*月別販売比率!AQ5</f>
        <v>19</v>
      </c>
      <c r="BV183" s="341">
        <v>10</v>
      </c>
      <c r="BW183" s="81">
        <f>$H$183*月別販売比率!AV5</f>
        <v>11.569931344908163</v>
      </c>
      <c r="BX183" s="107"/>
      <c r="BY183" s="81">
        <f>$H$183*月別販売比率!BA5</f>
        <v>10.568392933958984</v>
      </c>
      <c r="BZ183" s="107"/>
      <c r="CA183" s="81">
        <f>$H$183*月別販売比率!BF5</f>
        <v>15.200000000000001</v>
      </c>
      <c r="CB183" s="107"/>
      <c r="CC183" s="81">
        <f>H183*月別販売比率!$C$21</f>
        <v>13.464207712009639</v>
      </c>
      <c r="CD183" s="107"/>
      <c r="CE183" s="81">
        <f>H183*月別販売比率!$H$21</f>
        <v>13.3</v>
      </c>
      <c r="CF183" s="341">
        <v>40</v>
      </c>
      <c r="CG183" s="81">
        <f>H183*月別販売比率!$M$21</f>
        <v>19.202100933494261</v>
      </c>
      <c r="CH183" s="107"/>
      <c r="CI183" s="81">
        <f>H183*月別販売比率!$R$21</f>
        <v>15.200000000000001</v>
      </c>
      <c r="CJ183" s="107">
        <v>20</v>
      </c>
      <c r="CK183" s="81">
        <f>H183*月別販売比率!$W$21</f>
        <v>14.471676862403797</v>
      </c>
      <c r="CL183" s="107">
        <v>10</v>
      </c>
      <c r="CM183" s="81">
        <f>H183*月別販売比率!$AB$21</f>
        <v>22.8</v>
      </c>
      <c r="CN183" s="107"/>
      <c r="CO183" s="81">
        <f>H183*月別販売比率!$AG$21</f>
        <v>19</v>
      </c>
      <c r="CP183" s="107">
        <v>35</v>
      </c>
      <c r="CQ183" s="81">
        <f>H183*月別販売比率!$AL$21</f>
        <v>17.099999999999998</v>
      </c>
      <c r="CR183" s="107">
        <v>35</v>
      </c>
      <c r="CS183" s="81">
        <f>H183*月別販売比率!$AQ$21</f>
        <v>19</v>
      </c>
      <c r="CT183" s="107"/>
      <c r="CU183" s="81">
        <f>H183*月別販売比率!$AV$21</f>
        <v>11.569931344908163</v>
      </c>
      <c r="CV183" s="107">
        <v>30</v>
      </c>
      <c r="CW183" s="81">
        <f>H183*月別販売比率!$BA$21</f>
        <v>10.568392933958984</v>
      </c>
      <c r="CX183" s="107"/>
      <c r="CY183" s="81">
        <f>H183*月別販売比率!$BF$21</f>
        <v>15.200000000000001</v>
      </c>
      <c r="CZ183" s="107"/>
      <c r="DA183" s="298"/>
      <c r="DB183" s="299"/>
    </row>
    <row r="184" spans="2:106" ht="30.75" customHeight="1">
      <c r="C184" s="447"/>
      <c r="D184" s="450"/>
      <c r="E184" s="122" t="s">
        <v>284</v>
      </c>
      <c r="F184" s="307">
        <v>47</v>
      </c>
      <c r="G184" s="53">
        <f t="shared" si="285"/>
        <v>144760</v>
      </c>
      <c r="H184" s="392">
        <v>150</v>
      </c>
      <c r="I184" s="53">
        <f t="shared" si="286"/>
        <v>462000</v>
      </c>
      <c r="J184" s="82">
        <v>1</v>
      </c>
      <c r="K184" s="79">
        <f t="shared" si="287"/>
        <v>31</v>
      </c>
      <c r="L184" s="79">
        <v>2</v>
      </c>
      <c r="M184" s="108">
        <v>14</v>
      </c>
      <c r="N184" s="117">
        <v>15</v>
      </c>
      <c r="O184" s="291"/>
      <c r="P184" s="291"/>
      <c r="Q184" s="334"/>
      <c r="R184" s="329"/>
      <c r="S184" s="306"/>
      <c r="T184" s="329"/>
      <c r="U184" s="329"/>
      <c r="V184" s="328"/>
      <c r="W184" s="328"/>
      <c r="X184" s="331">
        <v>45848</v>
      </c>
      <c r="Y184" s="334"/>
      <c r="Z184" s="332"/>
      <c r="AA184" s="334">
        <v>45940</v>
      </c>
      <c r="AB184" s="238"/>
      <c r="AC184" s="238"/>
      <c r="AD184" s="238"/>
      <c r="AE184" s="238"/>
      <c r="AF184" s="328"/>
      <c r="AG184" s="331"/>
      <c r="AH184" s="331">
        <v>46157</v>
      </c>
      <c r="AI184" s="238">
        <f t="shared" si="276"/>
        <v>30</v>
      </c>
      <c r="AJ184" s="238">
        <f t="shared" si="277"/>
        <v>43.574991950733846</v>
      </c>
      <c r="AK184" s="238">
        <f t="shared" si="278"/>
        <v>25.574991950733846</v>
      </c>
      <c r="AL184" s="401">
        <f t="shared" si="279"/>
        <v>25.574991950733846</v>
      </c>
      <c r="AM184" s="395">
        <f t="shared" si="280"/>
        <v>27.074991950733846</v>
      </c>
      <c r="AN184" s="395">
        <f t="shared" si="281"/>
        <v>12.074991950733846</v>
      </c>
      <c r="AO184" s="395">
        <f t="shared" si="282"/>
        <v>32.940835625806351</v>
      </c>
      <c r="AP184" s="403">
        <f t="shared" si="283"/>
        <v>24.597367520049261</v>
      </c>
      <c r="AQ184" s="90">
        <f t="shared" si="284"/>
        <v>12.597367520049261</v>
      </c>
      <c r="AR184" s="238"/>
      <c r="AS184" s="282">
        <f>$H$184*月別販売比率!AG5</f>
        <v>15</v>
      </c>
      <c r="AT184" s="103"/>
      <c r="AU184" s="301">
        <f>$H$184*月別販売比率!AG5</f>
        <v>15</v>
      </c>
      <c r="AV184" s="302">
        <v>7</v>
      </c>
      <c r="AW184" s="282">
        <f>$H$184*月別販売比率!AQ5</f>
        <v>15</v>
      </c>
      <c r="AX184" s="103"/>
      <c r="AY184" s="301">
        <f>$H$184*月別販売比率!AV5</f>
        <v>9.1341563249274973</v>
      </c>
      <c r="AZ184" s="302">
        <v>25</v>
      </c>
      <c r="BA184" s="282">
        <f>$H$184*月別販売比率!BA5</f>
        <v>8.3434681057570916</v>
      </c>
      <c r="BB184" s="103"/>
      <c r="BC184" s="282">
        <f>$H$184*月別販売比率!BF5</f>
        <v>12</v>
      </c>
      <c r="BD184" s="103"/>
      <c r="BE184" s="301">
        <f>$H$184*月別販売比率!C5</f>
        <v>10.629637667376031</v>
      </c>
      <c r="BF184" s="352"/>
      <c r="BG184" s="301">
        <f>$H$184*月別販売比率!H5</f>
        <v>10.500000000000002</v>
      </c>
      <c r="BH184" s="302">
        <v>10</v>
      </c>
      <c r="BI184" s="282">
        <f>$H$184*月別販売比率!M5</f>
        <v>15.159553368548099</v>
      </c>
      <c r="BJ184" s="117"/>
      <c r="BK184" s="301">
        <f>$H$184*月別販売比率!R5</f>
        <v>12</v>
      </c>
      <c r="BL184" s="302">
        <v>20</v>
      </c>
      <c r="BM184" s="301">
        <f>$H$184*月別販売比率!W5</f>
        <v>11.425008049266154</v>
      </c>
      <c r="BN184" s="302">
        <v>5</v>
      </c>
      <c r="BO184" s="282">
        <f>$H$184*月別販売比率!AB5</f>
        <v>18</v>
      </c>
      <c r="BP184" s="103"/>
      <c r="BQ184" s="301">
        <f>$H$184*月別販売比率!AG5</f>
        <v>15</v>
      </c>
      <c r="BR184" s="302">
        <v>20</v>
      </c>
      <c r="BS184" s="301">
        <f>$H$184*月別販売比率!AL5</f>
        <v>13.5</v>
      </c>
      <c r="BT184" s="302">
        <v>10</v>
      </c>
      <c r="BU184" s="301">
        <f>$H$184*月別販売比率!AQ5</f>
        <v>15</v>
      </c>
      <c r="BV184" s="302">
        <v>10</v>
      </c>
      <c r="BW184" s="282">
        <f>$H$184*月別販売比率!AV5</f>
        <v>9.1341563249274973</v>
      </c>
      <c r="BX184" s="103"/>
      <c r="BY184" s="282">
        <f>$H$184*月別販売比率!BA5</f>
        <v>8.3434681057570916</v>
      </c>
      <c r="BZ184" s="103"/>
      <c r="CA184" s="282">
        <f>$H$184*月別販売比率!BF5</f>
        <v>12</v>
      </c>
      <c r="CB184" s="117"/>
      <c r="CC184" s="282">
        <f>H184*月別販売比率!$C$21</f>
        <v>10.629637667376031</v>
      </c>
      <c r="CD184" s="117"/>
      <c r="CE184" s="282">
        <f>H184*月別販売比率!$H$21</f>
        <v>10.500000000000002</v>
      </c>
      <c r="CF184" s="352">
        <v>40</v>
      </c>
      <c r="CG184" s="282">
        <f>H184*月別販売比率!$M$21</f>
        <v>15.159553368548099</v>
      </c>
      <c r="CH184" s="117"/>
      <c r="CI184" s="282">
        <f>H184*月別販売比率!$R$21</f>
        <v>12</v>
      </c>
      <c r="CJ184" s="117">
        <v>10</v>
      </c>
      <c r="CK184" s="282">
        <f>H184*月別販売比率!$W$21</f>
        <v>11.425008049266154</v>
      </c>
      <c r="CL184" s="117">
        <v>25</v>
      </c>
      <c r="CM184" s="282">
        <f>H184*月別販売比率!$AB$21</f>
        <v>18</v>
      </c>
      <c r="CN184" s="117"/>
      <c r="CO184" s="282">
        <f>H184*月別販売比率!$AG$21</f>
        <v>15</v>
      </c>
      <c r="CP184" s="117">
        <v>15</v>
      </c>
      <c r="CQ184" s="282">
        <f>H184*月別販売比率!$AL$21</f>
        <v>13.5</v>
      </c>
      <c r="CR184" s="117">
        <v>15</v>
      </c>
      <c r="CS184" s="282">
        <f>H184*月別販売比率!$AQ$21</f>
        <v>15</v>
      </c>
      <c r="CT184" s="117"/>
      <c r="CU184" s="282">
        <f>H184*月別販売比率!$AV$21</f>
        <v>9.1341563249274973</v>
      </c>
      <c r="CV184" s="103">
        <v>30</v>
      </c>
      <c r="CW184" s="282">
        <f>H184*月別販売比率!$BA$21</f>
        <v>8.3434681057570916</v>
      </c>
      <c r="CX184" s="103"/>
      <c r="CY184" s="282">
        <f>H184*月別販売比率!$BF$21</f>
        <v>12</v>
      </c>
      <c r="CZ184" s="103"/>
      <c r="DA184" s="296"/>
      <c r="DB184" s="297"/>
    </row>
    <row r="185" spans="2:106" ht="30.75" customHeight="1">
      <c r="B185" s="2">
        <v>12</v>
      </c>
      <c r="C185" s="435" t="s">
        <v>488</v>
      </c>
      <c r="D185" s="436"/>
      <c r="E185" s="437"/>
      <c r="F185" s="130">
        <f>SUM(F186:F193)</f>
        <v>925</v>
      </c>
      <c r="G185" s="131">
        <f>SUM(G186:G193)</f>
        <v>4070000</v>
      </c>
      <c r="H185" s="130">
        <v>1013</v>
      </c>
      <c r="I185" s="131">
        <f t="shared" ref="I185:N185" si="289">SUM(I186:I193)</f>
        <v>5576127.1351351356</v>
      </c>
      <c r="J185" s="147">
        <f t="shared" si="289"/>
        <v>255</v>
      </c>
      <c r="K185" s="148">
        <f t="shared" si="289"/>
        <v>202</v>
      </c>
      <c r="L185" s="148">
        <f t="shared" si="289"/>
        <v>74</v>
      </c>
      <c r="M185" s="148">
        <f t="shared" si="289"/>
        <v>128</v>
      </c>
      <c r="N185" s="135">
        <f t="shared" si="289"/>
        <v>0</v>
      </c>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6">
        <f t="shared" ref="AS185:CB185" si="290">SUM(AS186:AS193)</f>
        <v>126.73016216216217</v>
      </c>
      <c r="AT185" s="134">
        <f t="shared" si="290"/>
        <v>470</v>
      </c>
      <c r="AU185" s="136">
        <f t="shared" si="290"/>
        <v>114.05714594594595</v>
      </c>
      <c r="AV185" s="134">
        <f t="shared" si="290"/>
        <v>0</v>
      </c>
      <c r="AW185" s="136">
        <f t="shared" si="290"/>
        <v>126.73016216216217</v>
      </c>
      <c r="AX185" s="134">
        <f t="shared" si="290"/>
        <v>30</v>
      </c>
      <c r="AY185" s="136">
        <f t="shared" si="290"/>
        <v>77.171540818173384</v>
      </c>
      <c r="AZ185" s="134">
        <f t="shared" si="290"/>
        <v>0</v>
      </c>
      <c r="BA185" s="136">
        <f t="shared" si="290"/>
        <v>70.491271069161613</v>
      </c>
      <c r="BB185" s="134">
        <f t="shared" si="290"/>
        <v>0</v>
      </c>
      <c r="BC185" s="136">
        <f t="shared" si="290"/>
        <v>101.38412972972972</v>
      </c>
      <c r="BD185" s="134">
        <f t="shared" si="290"/>
        <v>0</v>
      </c>
      <c r="BE185" s="136">
        <f t="shared" si="290"/>
        <v>89.806380354106111</v>
      </c>
      <c r="BF185" s="134">
        <f t="shared" si="290"/>
        <v>0</v>
      </c>
      <c r="BG185" s="136">
        <f t="shared" si="290"/>
        <v>88.711113513513524</v>
      </c>
      <c r="BH185" s="134">
        <f t="shared" si="290"/>
        <v>600</v>
      </c>
      <c r="BI185" s="136">
        <f t="shared" si="290"/>
        <v>128.07817711347013</v>
      </c>
      <c r="BJ185" s="134">
        <f t="shared" si="290"/>
        <v>0</v>
      </c>
      <c r="BK185" s="136">
        <f t="shared" si="290"/>
        <v>101.38412972972972</v>
      </c>
      <c r="BL185" s="134">
        <f t="shared" si="290"/>
        <v>0</v>
      </c>
      <c r="BM185" s="136">
        <f t="shared" si="290"/>
        <v>96.526208185833838</v>
      </c>
      <c r="BN185" s="134">
        <f t="shared" si="290"/>
        <v>0</v>
      </c>
      <c r="BO185" s="136">
        <f t="shared" si="290"/>
        <v>152.0761945945946</v>
      </c>
      <c r="BP185" s="134">
        <f t="shared" si="290"/>
        <v>0</v>
      </c>
      <c r="BQ185" s="136">
        <f t="shared" si="290"/>
        <v>126.73016216216217</v>
      </c>
      <c r="BR185" s="134">
        <f t="shared" si="290"/>
        <v>320</v>
      </c>
      <c r="BS185" s="136">
        <f t="shared" si="290"/>
        <v>114.05714594594595</v>
      </c>
      <c r="BT185" s="134">
        <f>SUM(BT186:BT193)</f>
        <v>280</v>
      </c>
      <c r="BU185" s="136">
        <f t="shared" si="290"/>
        <v>126.73016216216217</v>
      </c>
      <c r="BV185" s="134">
        <f t="shared" si="290"/>
        <v>0</v>
      </c>
      <c r="BW185" s="136">
        <f t="shared" si="290"/>
        <v>77.171540818173384</v>
      </c>
      <c r="BX185" s="134">
        <f t="shared" si="290"/>
        <v>0</v>
      </c>
      <c r="BY185" s="136">
        <f t="shared" si="290"/>
        <v>70.491271069161613</v>
      </c>
      <c r="BZ185" s="134">
        <f t="shared" si="290"/>
        <v>0</v>
      </c>
      <c r="CA185" s="136">
        <f t="shared" si="290"/>
        <v>101.38412972972972</v>
      </c>
      <c r="CB185" s="134">
        <f t="shared" si="290"/>
        <v>0</v>
      </c>
      <c r="CC185" s="136">
        <f t="shared" ref="CC185:CD185" si="291">SUM(CC186:CC193)</f>
        <v>89.806380354106111</v>
      </c>
      <c r="CD185" s="134">
        <f t="shared" si="291"/>
        <v>0</v>
      </c>
      <c r="CE185" s="136">
        <f>H185*月別販売比率!$H$21</f>
        <v>70.910000000000011</v>
      </c>
      <c r="CF185" s="134">
        <f t="shared" ref="CF185" si="292">SUM(CF186:CF193)</f>
        <v>0</v>
      </c>
      <c r="CG185" s="136">
        <f t="shared" ref="CG185:CH185" si="293">SUM(CG186:CG193)</f>
        <v>128.07817711347013</v>
      </c>
      <c r="CH185" s="134">
        <f t="shared" si="293"/>
        <v>300</v>
      </c>
      <c r="CI185" s="136">
        <f>L185*月別販売比率!$H$21</f>
        <v>5.1800000000000006</v>
      </c>
      <c r="CJ185" s="134">
        <v>30</v>
      </c>
      <c r="CK185" s="136">
        <f t="shared" ref="CK185:CL185" si="294">SUM(CK186:CK193)</f>
        <v>96.526208185833838</v>
      </c>
      <c r="CL185" s="134">
        <f t="shared" si="294"/>
        <v>300</v>
      </c>
      <c r="CM185" s="136">
        <f>P185*月別販売比率!$H$21</f>
        <v>0</v>
      </c>
      <c r="CN185" s="134">
        <f t="shared" ref="CN185:CP185" si="295">SUM(CN186:CN193)</f>
        <v>0</v>
      </c>
      <c r="CO185" s="136">
        <f t="shared" si="295"/>
        <v>126.73016216216217</v>
      </c>
      <c r="CP185" s="134">
        <f t="shared" si="295"/>
        <v>320</v>
      </c>
      <c r="CQ185" s="136">
        <f>T185*月別販売比率!$H$21</f>
        <v>0</v>
      </c>
      <c r="CR185" s="134">
        <f t="shared" ref="CR185:CT185" si="296">SUM(CR186:CR193)</f>
        <v>0</v>
      </c>
      <c r="CS185" s="136">
        <f t="shared" si="296"/>
        <v>126.73016216216217</v>
      </c>
      <c r="CT185" s="134">
        <f t="shared" si="296"/>
        <v>280</v>
      </c>
      <c r="CU185" s="136">
        <v>77.171540818173384</v>
      </c>
      <c r="CV185" s="134">
        <f t="shared" ref="CV185:CX185" si="297">SUM(CV186:CV193)</f>
        <v>0</v>
      </c>
      <c r="CW185" s="136">
        <f t="shared" si="297"/>
        <v>70.491271069161613</v>
      </c>
      <c r="CX185" s="134">
        <f t="shared" si="297"/>
        <v>0</v>
      </c>
      <c r="CY185" s="136">
        <f t="shared" ref="CY185:CZ185" si="298">SUM(CY186:CY193)</f>
        <v>101.38412972972972</v>
      </c>
      <c r="CZ185" s="134">
        <f t="shared" si="298"/>
        <v>0</v>
      </c>
      <c r="DA185" s="141"/>
      <c r="DB185" s="293"/>
    </row>
    <row r="186" spans="2:106" ht="30.75" customHeight="1">
      <c r="C186" s="438" t="s">
        <v>359</v>
      </c>
      <c r="D186" s="441">
        <v>1</v>
      </c>
      <c r="E186" s="94" t="s">
        <v>47</v>
      </c>
      <c r="F186" s="57">
        <v>152</v>
      </c>
      <c r="G186" s="5">
        <f t="shared" ref="G186:G193" si="299">F186*4400</f>
        <v>668800</v>
      </c>
      <c r="H186" s="164">
        <v>200</v>
      </c>
      <c r="I186" s="5">
        <f t="shared" ref="I186:I193" si="300">H186*4400</f>
        <v>880000</v>
      </c>
      <c r="J186" s="9">
        <v>36</v>
      </c>
      <c r="K186" s="10">
        <f t="shared" ref="K186:K193" si="301">SUM(L186:N186)</f>
        <v>14</v>
      </c>
      <c r="L186" s="39">
        <v>7</v>
      </c>
      <c r="M186" s="21">
        <v>7</v>
      </c>
      <c r="N186" s="42"/>
      <c r="O186" s="19"/>
      <c r="P186" s="19"/>
      <c r="Q186" s="124"/>
      <c r="R186" s="328"/>
      <c r="S186" s="328"/>
      <c r="T186" s="328"/>
      <c r="U186" s="328"/>
      <c r="V186" s="328"/>
      <c r="W186" s="331">
        <v>45838</v>
      </c>
      <c r="X186" s="124"/>
      <c r="Y186" s="124"/>
      <c r="Z186" s="124"/>
      <c r="AA186" s="334">
        <v>45940</v>
      </c>
      <c r="AB186" s="124"/>
      <c r="AC186" s="124"/>
      <c r="AD186" s="124"/>
      <c r="AE186" s="328"/>
      <c r="AF186" s="328"/>
      <c r="AG186" s="331"/>
      <c r="AH186" s="331"/>
      <c r="AI186" s="129">
        <f t="shared" ref="AI186:AI193" si="302">SUM(J186:K186)-CI186+CJ186</f>
        <v>34</v>
      </c>
      <c r="AJ186" s="129">
        <f t="shared" ref="AJ186:AJ193" si="303">AI186-CK186+CL186</f>
        <v>78.766655934311785</v>
      </c>
      <c r="AK186" s="129">
        <f t="shared" ref="AK186:AK193" si="304">AJ186-CM186+CN186</f>
        <v>54.766655934311785</v>
      </c>
      <c r="AL186" s="399">
        <f t="shared" ref="AL186:AL193" si="305">AK186-CO186+CP186</f>
        <v>79.766655934311785</v>
      </c>
      <c r="AM186" s="393">
        <f t="shared" ref="AM186:AM193" si="306">AL186-CQ186+CR186</f>
        <v>61.766655934311785</v>
      </c>
      <c r="AN186" s="393">
        <f t="shared" ref="AN186:AN193" si="307">AM186-CS186+CT186</f>
        <v>91.766655934311785</v>
      </c>
      <c r="AO186" s="393">
        <f t="shared" ref="AO186:AO193" si="308">AN186-CU186+CV186</f>
        <v>79.587780834408463</v>
      </c>
      <c r="AP186" s="96">
        <f t="shared" ref="AP186:AP193" si="309">AO186-CW186+CX186</f>
        <v>68.463156693399</v>
      </c>
      <c r="AQ186" s="91">
        <f t="shared" ref="AQ186:AQ193" si="310">AP186-CY186+CZ186</f>
        <v>52.463156693399</v>
      </c>
      <c r="AR186" s="198"/>
      <c r="AS186" s="245">
        <f>$H$186*月別販売比率!AG5</f>
        <v>20</v>
      </c>
      <c r="AT186" s="241">
        <v>100</v>
      </c>
      <c r="AU186" s="81">
        <f>$H$186*月別販売比率!AL5</f>
        <v>18</v>
      </c>
      <c r="AV186" s="21"/>
      <c r="AW186" s="245">
        <f>$H$186*月別販売比率!AQ5</f>
        <v>20</v>
      </c>
      <c r="AX186" s="241"/>
      <c r="AY186" s="81">
        <f>$H$186*月別販売比率!AV5</f>
        <v>12.178875099903328</v>
      </c>
      <c r="AZ186" s="21"/>
      <c r="BA186" s="81">
        <f>$H$186*月別販売比率!BA5</f>
        <v>11.124624141009457</v>
      </c>
      <c r="BB186" s="21"/>
      <c r="BC186" s="81">
        <f>$H$186*月別販売比率!BF5</f>
        <v>16</v>
      </c>
      <c r="BD186" s="21"/>
      <c r="BE186" s="81">
        <f>$H$186*月別販売比率!C21</f>
        <v>14.172850223168041</v>
      </c>
      <c r="BF186" s="21"/>
      <c r="BG186" s="245">
        <f>$H$186*月別販売比率!H21</f>
        <v>14.000000000000002</v>
      </c>
      <c r="BH186" s="241">
        <v>110</v>
      </c>
      <c r="BI186" s="81">
        <f>$H$186*月別販売比率!M21</f>
        <v>20.212737824730802</v>
      </c>
      <c r="BJ186" s="21"/>
      <c r="BK186" s="81">
        <f>$H$186*月別販売比率!R21</f>
        <v>16</v>
      </c>
      <c r="BL186" s="21"/>
      <c r="BM186" s="81">
        <f>$H$186*月別販売比率!W21</f>
        <v>15.233344065688206</v>
      </c>
      <c r="BN186" s="21"/>
      <c r="BO186" s="81">
        <f>$H$186*月別販売比率!AB21</f>
        <v>24</v>
      </c>
      <c r="BP186" s="21"/>
      <c r="BQ186" s="245">
        <f>$H$186*月別販売比率!AG21</f>
        <v>20</v>
      </c>
      <c r="BR186" s="241">
        <v>50</v>
      </c>
      <c r="BS186" s="245">
        <f>$H$186*月別販売比率!AL21</f>
        <v>18</v>
      </c>
      <c r="BT186" s="241">
        <v>60</v>
      </c>
      <c r="BU186" s="81">
        <f>$H$186*月別販売比率!AQ21</f>
        <v>20</v>
      </c>
      <c r="BV186" s="21"/>
      <c r="BW186" s="81">
        <f>$H$186*月別販売比率!AV21</f>
        <v>12.178875099903328</v>
      </c>
      <c r="BX186" s="21"/>
      <c r="BY186" s="81">
        <f>$H$186*月別販売比率!BA21</f>
        <v>11.124624141009457</v>
      </c>
      <c r="BZ186" s="21"/>
      <c r="CA186" s="81">
        <f>$H$186*月別販売比率!BF21</f>
        <v>16</v>
      </c>
      <c r="CB186" s="21"/>
      <c r="CC186" s="81">
        <f>H186*月別販売比率!$C$21</f>
        <v>14.172850223168041</v>
      </c>
      <c r="CD186" s="21"/>
      <c r="CE186" s="81">
        <f>H186*月別販売比率!$H$21</f>
        <v>14.000000000000002</v>
      </c>
      <c r="CF186" s="21"/>
      <c r="CG186" s="81">
        <f>H186*月別販売比率!$M$21</f>
        <v>20.212737824730802</v>
      </c>
      <c r="CH186" s="241">
        <v>60</v>
      </c>
      <c r="CI186" s="81">
        <f>H186*月別販売比率!$R$21</f>
        <v>16</v>
      </c>
      <c r="CJ186" s="21"/>
      <c r="CK186" s="81">
        <f>H186*月別販売比率!$W$21</f>
        <v>15.233344065688206</v>
      </c>
      <c r="CL186" s="21">
        <v>60</v>
      </c>
      <c r="CM186" s="81">
        <f>H186*月別販売比率!$AB$21</f>
        <v>24</v>
      </c>
      <c r="CN186" s="21"/>
      <c r="CO186" s="81">
        <f>H186*月別販売比率!$AG$21</f>
        <v>20</v>
      </c>
      <c r="CP186" s="21">
        <v>45</v>
      </c>
      <c r="CQ186" s="81">
        <f>H186*月別販売比率!$AL$21</f>
        <v>18</v>
      </c>
      <c r="CR186" s="21"/>
      <c r="CS186" s="81">
        <f>H186*月別販売比率!$AQ$21</f>
        <v>20</v>
      </c>
      <c r="CT186" s="21">
        <v>50</v>
      </c>
      <c r="CU186" s="81">
        <f>H186*月別販売比率!$AV$21</f>
        <v>12.178875099903328</v>
      </c>
      <c r="CV186" s="21"/>
      <c r="CW186" s="81">
        <f>H186*月別販売比率!$BA$21</f>
        <v>11.124624141009457</v>
      </c>
      <c r="CX186" s="21"/>
      <c r="CY186" s="81">
        <f>H186*月別販売比率!$BF$21</f>
        <v>16</v>
      </c>
      <c r="CZ186" s="21"/>
      <c r="DA186" s="28"/>
      <c r="DB186" s="294"/>
    </row>
    <row r="187" spans="2:106" ht="30.75" customHeight="1">
      <c r="C187" s="439"/>
      <c r="D187" s="441"/>
      <c r="E187" s="94" t="s">
        <v>51</v>
      </c>
      <c r="F187" s="57">
        <v>182</v>
      </c>
      <c r="G187" s="5">
        <f t="shared" si="299"/>
        <v>800800</v>
      </c>
      <c r="H187" s="164">
        <v>220</v>
      </c>
      <c r="I187" s="5">
        <f t="shared" si="300"/>
        <v>968000</v>
      </c>
      <c r="J187" s="9">
        <v>19</v>
      </c>
      <c r="K187" s="10">
        <f t="shared" si="301"/>
        <v>19</v>
      </c>
      <c r="L187" s="21">
        <v>9</v>
      </c>
      <c r="M187" s="21">
        <v>10</v>
      </c>
      <c r="N187" s="95"/>
      <c r="O187" s="19"/>
      <c r="P187" s="19"/>
      <c r="Q187" s="124"/>
      <c r="R187" s="124"/>
      <c r="S187" s="124"/>
      <c r="T187" s="124"/>
      <c r="U187" s="124"/>
      <c r="V187" s="124"/>
      <c r="W187" s="124"/>
      <c r="X187" s="124"/>
      <c r="Y187" s="124"/>
      <c r="Z187" s="124"/>
      <c r="AA187" s="124"/>
      <c r="AB187" s="124"/>
      <c r="AC187" s="124"/>
      <c r="AD187" s="124"/>
      <c r="AE187" s="124"/>
      <c r="AF187" s="124"/>
      <c r="AG187" s="124"/>
      <c r="AH187" s="124"/>
      <c r="AI187" s="129">
        <f t="shared" si="302"/>
        <v>20.399999999999999</v>
      </c>
      <c r="AJ187" s="129">
        <f t="shared" si="303"/>
        <v>50.64332152774297</v>
      </c>
      <c r="AK187" s="129">
        <f t="shared" si="304"/>
        <v>24.243321527742971</v>
      </c>
      <c r="AL187" s="399">
        <f t="shared" si="305"/>
        <v>62.243321527742971</v>
      </c>
      <c r="AM187" s="393">
        <f t="shared" si="306"/>
        <v>42.443321527742967</v>
      </c>
      <c r="AN187" s="393">
        <f t="shared" si="307"/>
        <v>90.443321527742967</v>
      </c>
      <c r="AO187" s="393">
        <f t="shared" si="308"/>
        <v>77.04655891784931</v>
      </c>
      <c r="AP187" s="96">
        <f t="shared" si="309"/>
        <v>64.809472362738916</v>
      </c>
      <c r="AQ187" s="91">
        <f t="shared" si="310"/>
        <v>47.209472362738914</v>
      </c>
      <c r="AR187" s="198"/>
      <c r="AS187" s="245">
        <f>$H$187*月別販売比率!AG5</f>
        <v>22</v>
      </c>
      <c r="AT187" s="241">
        <v>100</v>
      </c>
      <c r="AU187" s="81">
        <f>$H$187*月別販売比率!AL5</f>
        <v>19.8</v>
      </c>
      <c r="AV187" s="21"/>
      <c r="AW187" s="245">
        <f>$H$187*月別販売比率!AQ5</f>
        <v>22</v>
      </c>
      <c r="AX187" s="241"/>
      <c r="AY187" s="81">
        <f>$H$187*月別販売比率!AV5</f>
        <v>13.396762609893662</v>
      </c>
      <c r="AZ187" s="21"/>
      <c r="BA187" s="81">
        <f>$H$187*月別販売比率!BA5</f>
        <v>12.237086555110402</v>
      </c>
      <c r="BB187" s="21"/>
      <c r="BC187" s="81">
        <f>$H$187*月別販売比率!BF5</f>
        <v>17.600000000000001</v>
      </c>
      <c r="BD187" s="21"/>
      <c r="BE187" s="81">
        <f>$H$187*月別販売比率!C21</f>
        <v>15.590135245484845</v>
      </c>
      <c r="BF187" s="21"/>
      <c r="BG187" s="245">
        <f>$H$187*月別販売比率!H21</f>
        <v>15.400000000000002</v>
      </c>
      <c r="BH187" s="241">
        <v>110</v>
      </c>
      <c r="BI187" s="81">
        <f>$H$187*月別販売比率!M21</f>
        <v>22.234011607203879</v>
      </c>
      <c r="BJ187" s="21"/>
      <c r="BK187" s="81">
        <f>$H$187*月別販売比率!R21</f>
        <v>17.600000000000001</v>
      </c>
      <c r="BL187" s="21"/>
      <c r="BM187" s="81">
        <f>$H$187*月別販売比率!W21</f>
        <v>16.756678472257025</v>
      </c>
      <c r="BN187" s="21"/>
      <c r="BO187" s="81">
        <f>$H$187*月別販売比率!AB21</f>
        <v>26.4</v>
      </c>
      <c r="BP187" s="21"/>
      <c r="BQ187" s="245">
        <f>$H$187*月別販売比率!AG21</f>
        <v>22</v>
      </c>
      <c r="BR187" s="241">
        <v>60</v>
      </c>
      <c r="BS187" s="245">
        <f>$H$187*月別販売比率!AL21</f>
        <v>19.8</v>
      </c>
      <c r="BT187" s="241">
        <v>60</v>
      </c>
      <c r="BU187" s="81">
        <f>$H$187*月別販売比率!AQ21</f>
        <v>22</v>
      </c>
      <c r="BV187" s="21"/>
      <c r="BW187" s="81">
        <f>$H$187*月別販売比率!AV21</f>
        <v>13.396762609893662</v>
      </c>
      <c r="BX187" s="21"/>
      <c r="BY187" s="81">
        <f>$H$187*月別販売比率!BA21</f>
        <v>12.237086555110402</v>
      </c>
      <c r="BZ187" s="21"/>
      <c r="CA187" s="81">
        <f>$H$187*月別販売比率!BF21</f>
        <v>17.600000000000001</v>
      </c>
      <c r="CB187" s="21"/>
      <c r="CC187" s="81">
        <f>H187*月別販売比率!$C$21</f>
        <v>15.590135245484845</v>
      </c>
      <c r="CD187" s="21"/>
      <c r="CE187" s="81">
        <f>H187*月別販売比率!$H$21</f>
        <v>15.400000000000002</v>
      </c>
      <c r="CF187" s="21"/>
      <c r="CG187" s="81">
        <f>H187*月別販売比率!$M$21</f>
        <v>22.234011607203879</v>
      </c>
      <c r="CH187" s="241">
        <v>48</v>
      </c>
      <c r="CI187" s="81">
        <f>H187*月別販売比率!$R$21</f>
        <v>17.600000000000001</v>
      </c>
      <c r="CJ187" s="21"/>
      <c r="CK187" s="81">
        <f>H187*月別販売比率!$W$21</f>
        <v>16.756678472257025</v>
      </c>
      <c r="CL187" s="21">
        <v>47</v>
      </c>
      <c r="CM187" s="81">
        <f>H187*月別販売比率!$AB$21</f>
        <v>26.4</v>
      </c>
      <c r="CN187" s="21"/>
      <c r="CO187" s="81">
        <f>H187*月別販売比率!$AG$21</f>
        <v>22</v>
      </c>
      <c r="CP187" s="21">
        <v>60</v>
      </c>
      <c r="CQ187" s="81">
        <f>H187*月別販売比率!$AL$21</f>
        <v>19.8</v>
      </c>
      <c r="CR187" s="21"/>
      <c r="CS187" s="81">
        <f>H187*月別販売比率!$AQ$21</f>
        <v>22</v>
      </c>
      <c r="CT187" s="21">
        <v>70</v>
      </c>
      <c r="CU187" s="81">
        <f>H187*月別販売比率!$AV$21</f>
        <v>13.396762609893662</v>
      </c>
      <c r="CV187" s="21"/>
      <c r="CW187" s="81">
        <f>H187*月別販売比率!$BA$21</f>
        <v>12.237086555110402</v>
      </c>
      <c r="CX187" s="21"/>
      <c r="CY187" s="81">
        <f>H187*月別販売比率!$BF$21</f>
        <v>17.600000000000001</v>
      </c>
      <c r="CZ187" s="21"/>
      <c r="DA187" s="28"/>
      <c r="DB187" s="294"/>
    </row>
    <row r="188" spans="2:106" ht="30.75" customHeight="1">
      <c r="C188" s="439"/>
      <c r="D188" s="441"/>
      <c r="E188" s="94" t="s">
        <v>49</v>
      </c>
      <c r="F188" s="57">
        <v>77</v>
      </c>
      <c r="G188" s="5">
        <f t="shared" si="299"/>
        <v>338800</v>
      </c>
      <c r="H188" s="164">
        <v>120</v>
      </c>
      <c r="I188" s="5">
        <f t="shared" si="300"/>
        <v>528000</v>
      </c>
      <c r="J188" s="9">
        <v>10</v>
      </c>
      <c r="K188" s="10">
        <f t="shared" si="301"/>
        <v>17</v>
      </c>
      <c r="L188" s="21">
        <v>9</v>
      </c>
      <c r="M188" s="21">
        <v>8</v>
      </c>
      <c r="N188" s="95"/>
      <c r="O188" s="19"/>
      <c r="P188" s="19"/>
      <c r="Q188" s="124"/>
      <c r="R188" s="124"/>
      <c r="S188" s="124"/>
      <c r="T188" s="124"/>
      <c r="U188" s="328"/>
      <c r="V188" s="328"/>
      <c r="W188" s="331">
        <v>45838</v>
      </c>
      <c r="X188" s="124"/>
      <c r="Y188" s="124"/>
      <c r="Z188" s="124"/>
      <c r="AA188" s="124"/>
      <c r="AB188" s="124"/>
      <c r="AC188" s="124"/>
      <c r="AD188" s="124"/>
      <c r="AE188" s="124"/>
      <c r="AF188" s="124"/>
      <c r="AG188" s="124"/>
      <c r="AH188" s="124"/>
      <c r="AI188" s="129">
        <f t="shared" si="302"/>
        <v>17.399999999999999</v>
      </c>
      <c r="AJ188" s="129">
        <f t="shared" si="303"/>
        <v>28.259993560587077</v>
      </c>
      <c r="AK188" s="129">
        <f t="shared" si="304"/>
        <v>13.859993560587078</v>
      </c>
      <c r="AL188" s="399">
        <f t="shared" si="305"/>
        <v>46.859993560587078</v>
      </c>
      <c r="AM188" s="393">
        <f t="shared" si="306"/>
        <v>36.059993560587081</v>
      </c>
      <c r="AN188" s="393">
        <f t="shared" si="307"/>
        <v>64.059993560587088</v>
      </c>
      <c r="AO188" s="393">
        <f t="shared" si="308"/>
        <v>56.752668500645093</v>
      </c>
      <c r="AP188" s="96">
        <f t="shared" si="309"/>
        <v>50.077894016039423</v>
      </c>
      <c r="AQ188" s="91">
        <f t="shared" si="310"/>
        <v>40.477894016039421</v>
      </c>
      <c r="AR188" s="198"/>
      <c r="AS188" s="245">
        <f>$H$188*月別販売比率!AG5</f>
        <v>12</v>
      </c>
      <c r="AT188" s="241">
        <v>40</v>
      </c>
      <c r="AU188" s="81">
        <f>$H$188*月別販売比率!AL5</f>
        <v>10.799999999999999</v>
      </c>
      <c r="AV188" s="21"/>
      <c r="AW188" s="245">
        <f>$H$188*月別販売比率!AQ5</f>
        <v>12</v>
      </c>
      <c r="AX188" s="241"/>
      <c r="AY188" s="81">
        <f>$H$188*月別販売比率!AV5</f>
        <v>7.3073250599419977</v>
      </c>
      <c r="AZ188" s="21"/>
      <c r="BA188" s="81">
        <f>$H$188*月別販売比率!BA5</f>
        <v>6.674774484605674</v>
      </c>
      <c r="BB188" s="21"/>
      <c r="BC188" s="81">
        <f>$H$188*月別販売比率!BF5</f>
        <v>9.6</v>
      </c>
      <c r="BD188" s="21"/>
      <c r="BE188" s="81">
        <f>$H$188*月別販売比率!C21</f>
        <v>8.5037101339008245</v>
      </c>
      <c r="BF188" s="21"/>
      <c r="BG188" s="245">
        <f>$H$188*月別販売比率!H21</f>
        <v>8.4</v>
      </c>
      <c r="BH188" s="241">
        <v>45</v>
      </c>
      <c r="BI188" s="81">
        <f>$H$188*月別販売比率!M21</f>
        <v>12.12764269483848</v>
      </c>
      <c r="BJ188" s="21"/>
      <c r="BK188" s="81">
        <f>$H$188*月別販売比率!R21</f>
        <v>9.6</v>
      </c>
      <c r="BL188" s="21"/>
      <c r="BM188" s="81">
        <f>$H$188*月別販売比率!W21</f>
        <v>9.1400064394129235</v>
      </c>
      <c r="BN188" s="21"/>
      <c r="BO188" s="81">
        <f>$H$188*月別販売比率!AB21</f>
        <v>14.399999999999999</v>
      </c>
      <c r="BP188" s="21"/>
      <c r="BQ188" s="245">
        <f>$H$188*月別販売比率!AG21</f>
        <v>12</v>
      </c>
      <c r="BR188" s="241">
        <v>30</v>
      </c>
      <c r="BS188" s="245">
        <f>$H$188*月別販売比率!AL21</f>
        <v>10.799999999999999</v>
      </c>
      <c r="BT188" s="241">
        <v>40</v>
      </c>
      <c r="BU188" s="81">
        <f>$H$188*月別販売比率!AQ21</f>
        <v>12</v>
      </c>
      <c r="BV188" s="21"/>
      <c r="BW188" s="81">
        <f>$H$188*月別販売比率!AV21</f>
        <v>7.3073250599419977</v>
      </c>
      <c r="BX188" s="21"/>
      <c r="BY188" s="81">
        <f>$H$188*月別販売比率!BA21</f>
        <v>6.674774484605674</v>
      </c>
      <c r="BZ188" s="21"/>
      <c r="CA188" s="81">
        <f>$H$188*月別販売比率!BF21</f>
        <v>9.6</v>
      </c>
      <c r="CB188" s="21"/>
      <c r="CC188" s="81">
        <f>H188*月別販売比率!$C$21</f>
        <v>8.5037101339008245</v>
      </c>
      <c r="CD188" s="21"/>
      <c r="CE188" s="81">
        <f>H188*月別販売比率!$H$21</f>
        <v>8.4</v>
      </c>
      <c r="CF188" s="21"/>
      <c r="CG188" s="81">
        <f>H188*月別販売比率!$M$21</f>
        <v>12.12764269483848</v>
      </c>
      <c r="CH188" s="241">
        <v>20</v>
      </c>
      <c r="CI188" s="81">
        <f>H188*月別販売比率!$R$21</f>
        <v>9.6</v>
      </c>
      <c r="CJ188" s="21"/>
      <c r="CK188" s="81">
        <f>H188*月別販売比率!$W$21</f>
        <v>9.1400064394129235</v>
      </c>
      <c r="CL188" s="21">
        <v>20</v>
      </c>
      <c r="CM188" s="81">
        <f>H188*月別販売比率!$AB$21</f>
        <v>14.399999999999999</v>
      </c>
      <c r="CN188" s="21"/>
      <c r="CO188" s="81">
        <f>H188*月別販売比率!$AG$21</f>
        <v>12</v>
      </c>
      <c r="CP188" s="21">
        <v>45</v>
      </c>
      <c r="CQ188" s="81">
        <f>H188*月別販売比率!$AL$21</f>
        <v>10.799999999999999</v>
      </c>
      <c r="CR188" s="21"/>
      <c r="CS188" s="81">
        <f>H188*月別販売比率!$AQ$21</f>
        <v>12</v>
      </c>
      <c r="CT188" s="21">
        <v>40</v>
      </c>
      <c r="CU188" s="81">
        <f>H188*月別販売比率!$AV$21</f>
        <v>7.3073250599419977</v>
      </c>
      <c r="CV188" s="21"/>
      <c r="CW188" s="81">
        <f>H188*月別販売比率!$BA$21</f>
        <v>6.674774484605674</v>
      </c>
      <c r="CX188" s="21"/>
      <c r="CY188" s="81">
        <f>H188*月別販売比率!$BF$21</f>
        <v>9.6</v>
      </c>
      <c r="CZ188" s="21"/>
      <c r="DA188" s="28"/>
      <c r="DB188" s="294"/>
    </row>
    <row r="189" spans="2:106" ht="30.75" customHeight="1">
      <c r="C189" s="439"/>
      <c r="D189" s="442"/>
      <c r="E189" s="94" t="s">
        <v>50</v>
      </c>
      <c r="F189" s="57">
        <v>94</v>
      </c>
      <c r="G189" s="5">
        <f t="shared" si="299"/>
        <v>413600</v>
      </c>
      <c r="H189" s="45">
        <f t="shared" ref="H189:H193" si="311">F189*($H$185/$F$185)</f>
        <v>102.94270270270269</v>
      </c>
      <c r="I189" s="5">
        <f t="shared" si="300"/>
        <v>452947.89189189184</v>
      </c>
      <c r="J189" s="9">
        <v>42</v>
      </c>
      <c r="K189" s="10">
        <f t="shared" si="301"/>
        <v>36</v>
      </c>
      <c r="L189" s="21">
        <v>10</v>
      </c>
      <c r="M189" s="21">
        <v>26</v>
      </c>
      <c r="N189" s="95"/>
      <c r="O189" s="19"/>
      <c r="P189" s="19"/>
      <c r="Q189" s="124"/>
      <c r="R189" s="124"/>
      <c r="S189" s="124"/>
      <c r="T189" s="124"/>
      <c r="U189" s="124"/>
      <c r="V189" s="124"/>
      <c r="W189" s="124"/>
      <c r="X189" s="124"/>
      <c r="Y189" s="124"/>
      <c r="Z189" s="124"/>
      <c r="AA189" s="124"/>
      <c r="AB189" s="124"/>
      <c r="AC189" s="124"/>
      <c r="AD189" s="124"/>
      <c r="AE189" s="124"/>
      <c r="AF189" s="124"/>
      <c r="AG189" s="124"/>
      <c r="AH189" s="124"/>
      <c r="AI189" s="129">
        <f t="shared" si="302"/>
        <v>69.764583783783792</v>
      </c>
      <c r="AJ189" s="129">
        <f t="shared" si="303"/>
        <v>86.923775737173187</v>
      </c>
      <c r="AK189" s="129">
        <f t="shared" si="304"/>
        <v>74.570651412848861</v>
      </c>
      <c r="AL189" s="399">
        <f t="shared" si="305"/>
        <v>84.276381142578586</v>
      </c>
      <c r="AM189" s="393">
        <f t="shared" si="306"/>
        <v>75.011537899335337</v>
      </c>
      <c r="AN189" s="393">
        <f t="shared" si="307"/>
        <v>64.717267629065063</v>
      </c>
      <c r="AO189" s="393">
        <f t="shared" si="308"/>
        <v>58.448636035751576</v>
      </c>
      <c r="AP189" s="96">
        <f t="shared" si="309"/>
        <v>52.722641657615348</v>
      </c>
      <c r="AQ189" s="91">
        <f t="shared" si="310"/>
        <v>44.487225441399133</v>
      </c>
      <c r="AR189" s="198"/>
      <c r="AS189" s="245">
        <f>$H$189*月別販売比率!AG5</f>
        <v>10.294270270270269</v>
      </c>
      <c r="AT189" s="241">
        <v>60</v>
      </c>
      <c r="AU189" s="81">
        <f>$H$189*月別販売比率!AL5</f>
        <v>9.2648432432432415</v>
      </c>
      <c r="AV189" s="21"/>
      <c r="AW189" s="245">
        <f>$H$189*月別販売比率!AQ5</f>
        <v>10.294270270270269</v>
      </c>
      <c r="AX189" s="241"/>
      <c r="AY189" s="81">
        <f>$H$189*月別販売比率!AV5</f>
        <v>6.2686315933134846</v>
      </c>
      <c r="AZ189" s="21"/>
      <c r="BA189" s="81">
        <f>$H$189*月別販売比率!BA5</f>
        <v>5.725994378136229</v>
      </c>
      <c r="BB189" s="21"/>
      <c r="BC189" s="81">
        <f>$H$189*月別販売比率!BF5</f>
        <v>8.2354162162162154</v>
      </c>
      <c r="BD189" s="21"/>
      <c r="BE189" s="81">
        <f>$H$189*月別販売比率!C21</f>
        <v>7.2949575348676055</v>
      </c>
      <c r="BF189" s="21"/>
      <c r="BG189" s="245">
        <f>$H$189*月別販売比率!H21</f>
        <v>7.2059891891891885</v>
      </c>
      <c r="BH189" s="241">
        <v>35</v>
      </c>
      <c r="BI189" s="81">
        <f>$H$189*月別販売比率!M21</f>
        <v>10.403769303494681</v>
      </c>
      <c r="BJ189" s="21"/>
      <c r="BK189" s="81">
        <f>$H$189*月別販売比率!R21</f>
        <v>8.2354162162162154</v>
      </c>
      <c r="BL189" s="21"/>
      <c r="BM189" s="81">
        <f>$H$189*月別販売比率!W21</f>
        <v>7.840808046610606</v>
      </c>
      <c r="BN189" s="21"/>
      <c r="BO189" s="81">
        <f>$H$189*月別販売比率!AB21</f>
        <v>12.353124324324323</v>
      </c>
      <c r="BP189" s="21"/>
      <c r="BQ189" s="245">
        <f>$H$189*月別販売比率!AG21</f>
        <v>10.294270270270269</v>
      </c>
      <c r="BR189" s="241">
        <v>20</v>
      </c>
      <c r="BS189" s="245">
        <f>$H$189*月別販売比率!AL21</f>
        <v>9.2648432432432415</v>
      </c>
      <c r="BT189" s="241">
        <v>20</v>
      </c>
      <c r="BU189" s="81">
        <f>$H$189*月別販売比率!AQ21</f>
        <v>10.294270270270269</v>
      </c>
      <c r="BV189" s="21"/>
      <c r="BW189" s="81">
        <f>$H$189*月別販売比率!AV21</f>
        <v>6.2686315933134846</v>
      </c>
      <c r="BX189" s="21"/>
      <c r="BY189" s="81">
        <f>$H$189*月別販売比率!BA21</f>
        <v>5.725994378136229</v>
      </c>
      <c r="BZ189" s="21"/>
      <c r="CA189" s="81">
        <f>$H$189*月別販売比率!BF21</f>
        <v>8.2354162162162154</v>
      </c>
      <c r="CB189" s="21"/>
      <c r="CC189" s="81">
        <f>H189*月別販売比率!$C$21</f>
        <v>7.2949575348676055</v>
      </c>
      <c r="CD189" s="21"/>
      <c r="CE189" s="81">
        <f>H189*月別販売比率!$H$21</f>
        <v>7.2059891891891885</v>
      </c>
      <c r="CF189" s="21"/>
      <c r="CG189" s="81">
        <f>H189*月別販売比率!$M$21</f>
        <v>10.403769303494681</v>
      </c>
      <c r="CH189" s="241">
        <v>25</v>
      </c>
      <c r="CI189" s="81">
        <f>H189*月別販売比率!$R$21</f>
        <v>8.2354162162162154</v>
      </c>
      <c r="CJ189" s="21"/>
      <c r="CK189" s="81">
        <f>H189*月別販売比率!$W$21</f>
        <v>7.840808046610606</v>
      </c>
      <c r="CL189" s="21">
        <v>25</v>
      </c>
      <c r="CM189" s="81">
        <f>H189*月別販売比率!$AB$21</f>
        <v>12.353124324324323</v>
      </c>
      <c r="CN189" s="21"/>
      <c r="CO189" s="81">
        <f>H189*月別販売比率!$AG$21</f>
        <v>10.294270270270269</v>
      </c>
      <c r="CP189" s="21">
        <v>20</v>
      </c>
      <c r="CQ189" s="81">
        <f>H189*月別販売比率!$AL$21</f>
        <v>9.2648432432432415</v>
      </c>
      <c r="CR189" s="21"/>
      <c r="CS189" s="81">
        <f>H189*月別販売比率!$AQ$21</f>
        <v>10.294270270270269</v>
      </c>
      <c r="CT189" s="21">
        <v>0</v>
      </c>
      <c r="CU189" s="81">
        <f>H189*月別販売比率!$AV$21</f>
        <v>6.2686315933134846</v>
      </c>
      <c r="CV189" s="21"/>
      <c r="CW189" s="81">
        <f>H189*月別販売比率!$BA$21</f>
        <v>5.725994378136229</v>
      </c>
      <c r="CX189" s="21"/>
      <c r="CY189" s="81">
        <f>H189*月別販売比率!$BF$21</f>
        <v>8.2354162162162154</v>
      </c>
      <c r="CZ189" s="21"/>
      <c r="DA189" s="28"/>
      <c r="DB189" s="294"/>
    </row>
    <row r="190" spans="2:106" ht="30.75" customHeight="1">
      <c r="C190" s="439"/>
      <c r="D190" s="443">
        <v>2</v>
      </c>
      <c r="E190" s="99" t="s">
        <v>47</v>
      </c>
      <c r="F190" s="56">
        <v>48</v>
      </c>
      <c r="G190" s="46">
        <f t="shared" si="299"/>
        <v>211200</v>
      </c>
      <c r="H190" s="164">
        <v>190</v>
      </c>
      <c r="I190" s="46">
        <f t="shared" si="300"/>
        <v>836000</v>
      </c>
      <c r="J190" s="49">
        <v>40</v>
      </c>
      <c r="K190" s="40">
        <f t="shared" si="301"/>
        <v>18</v>
      </c>
      <c r="L190" s="39">
        <v>9</v>
      </c>
      <c r="M190" s="39">
        <v>9</v>
      </c>
      <c r="N190" s="42"/>
      <c r="O190" s="288"/>
      <c r="P190" s="288"/>
      <c r="Q190" s="331">
        <v>46011</v>
      </c>
      <c r="R190" s="328"/>
      <c r="S190" s="328"/>
      <c r="T190" s="328"/>
      <c r="U190" s="328"/>
      <c r="V190" s="328"/>
      <c r="W190" s="331">
        <v>45838</v>
      </c>
      <c r="X190" s="124"/>
      <c r="Y190" s="124"/>
      <c r="Z190" s="124"/>
      <c r="AA190" s="334">
        <v>45940</v>
      </c>
      <c r="AB190" s="124"/>
      <c r="AC190" s="328"/>
      <c r="AD190" s="328"/>
      <c r="AE190" s="328"/>
      <c r="AF190" s="328"/>
      <c r="AG190" s="331"/>
      <c r="AH190" s="331"/>
      <c r="AI190" s="129">
        <f t="shared" si="302"/>
        <v>42.8</v>
      </c>
      <c r="AJ190" s="129">
        <f t="shared" si="303"/>
        <v>88.3283231375962</v>
      </c>
      <c r="AK190" s="129">
        <f t="shared" si="304"/>
        <v>65.528323137596203</v>
      </c>
      <c r="AL190" s="399">
        <f t="shared" si="305"/>
        <v>91.528323137596203</v>
      </c>
      <c r="AM190" s="393">
        <f t="shared" si="306"/>
        <v>74.428323137596209</v>
      </c>
      <c r="AN190" s="393">
        <f t="shared" si="307"/>
        <v>95.428323137596209</v>
      </c>
      <c r="AO190" s="393">
        <f t="shared" si="308"/>
        <v>83.858391792688053</v>
      </c>
      <c r="AP190" s="96">
        <f t="shared" si="309"/>
        <v>73.289998858729064</v>
      </c>
      <c r="AQ190" s="91">
        <f t="shared" si="310"/>
        <v>58.089998858729061</v>
      </c>
      <c r="AR190" s="198"/>
      <c r="AS190" s="245">
        <f>$H$190*月別販売比率!AG5</f>
        <v>19</v>
      </c>
      <c r="AT190" s="280"/>
      <c r="AU190" s="81">
        <f>$H$190*月別販売比率!AL5</f>
        <v>17.099999999999998</v>
      </c>
      <c r="AW190" s="245">
        <f>$H$190*月別販売比率!AQ5</f>
        <v>19</v>
      </c>
      <c r="AX190" s="280">
        <v>30</v>
      </c>
      <c r="AY190" s="81">
        <f>$H$190*月別販売比率!AV5</f>
        <v>11.569931344908163</v>
      </c>
      <c r="AZ190" s="39"/>
      <c r="BA190" s="81">
        <f>$H$190*月別販売比率!BA5</f>
        <v>10.568392933958984</v>
      </c>
      <c r="BB190" s="39"/>
      <c r="BC190" s="81">
        <f>$H$190*月別販売比率!BF5</f>
        <v>15.200000000000001</v>
      </c>
      <c r="BD190" s="39"/>
      <c r="BE190" s="81">
        <f>$H$190*月別販売比率!C21</f>
        <v>13.464207712009639</v>
      </c>
      <c r="BF190" s="39"/>
      <c r="BG190" s="245">
        <f>$H$190*月別販売比率!H21</f>
        <v>13.3</v>
      </c>
      <c r="BH190" s="280">
        <v>70</v>
      </c>
      <c r="BI190" s="81">
        <f>$H$190*月別販売比率!M21</f>
        <v>19.202100933494261</v>
      </c>
      <c r="BJ190" s="39"/>
      <c r="BK190" s="81">
        <f>$H$190*月別販売比率!R21</f>
        <v>15.200000000000001</v>
      </c>
      <c r="BL190" s="39"/>
      <c r="BM190" s="81">
        <f>$H$190*月別販売比率!W21</f>
        <v>14.471676862403797</v>
      </c>
      <c r="BN190" s="39"/>
      <c r="BO190" s="81">
        <f>$H$190*月別販売比率!AB21</f>
        <v>22.8</v>
      </c>
      <c r="BP190" s="39"/>
      <c r="BQ190" s="245">
        <f>$H$190*月別販売比率!AG21</f>
        <v>19</v>
      </c>
      <c r="BR190" s="280">
        <v>40</v>
      </c>
      <c r="BS190" s="245">
        <f>$H$190*月別販売比率!AL21</f>
        <v>17.099999999999998</v>
      </c>
      <c r="BT190" s="280"/>
      <c r="BU190" s="81">
        <f>$H$190*月別販売比率!AQ21</f>
        <v>19</v>
      </c>
      <c r="BV190" s="39"/>
      <c r="BW190" s="81">
        <f>$H$190*月別販売比率!AV21</f>
        <v>11.569931344908163</v>
      </c>
      <c r="BX190" s="39"/>
      <c r="BY190" s="81">
        <f>$H$190*月別販売比率!BA21</f>
        <v>10.568392933958984</v>
      </c>
      <c r="BZ190" s="39"/>
      <c r="CA190" s="81">
        <f>$H$190*月別販売比率!BF21</f>
        <v>15.200000000000001</v>
      </c>
      <c r="CB190" s="39"/>
      <c r="CC190" s="81">
        <f>H190*月別販売比率!$C$21</f>
        <v>13.464207712009639</v>
      </c>
      <c r="CD190" s="39"/>
      <c r="CE190" s="81">
        <f>H190*月別販売比率!$H$21</f>
        <v>13.3</v>
      </c>
      <c r="CF190" s="39"/>
      <c r="CG190" s="81">
        <f>H190*月別販売比率!$M$21</f>
        <v>19.202100933494261</v>
      </c>
      <c r="CH190" s="280">
        <v>60</v>
      </c>
      <c r="CI190" s="81">
        <f>H190*月別販売比率!$R$21</f>
        <v>15.200000000000001</v>
      </c>
      <c r="CJ190" s="39"/>
      <c r="CK190" s="81">
        <f>H190*月別販売比率!$W$21</f>
        <v>14.471676862403797</v>
      </c>
      <c r="CL190" s="39">
        <v>60</v>
      </c>
      <c r="CM190" s="81">
        <f>H190*月別販売比率!$AB$21</f>
        <v>22.8</v>
      </c>
      <c r="CN190" s="39"/>
      <c r="CO190" s="81">
        <f>H190*月別販売比率!$AG$21</f>
        <v>19</v>
      </c>
      <c r="CP190" s="39">
        <v>45</v>
      </c>
      <c r="CQ190" s="81">
        <f>H190*月別販売比率!$AL$21</f>
        <v>17.099999999999998</v>
      </c>
      <c r="CR190" s="39"/>
      <c r="CS190" s="81">
        <f>H190*月別販売比率!$AQ$21</f>
        <v>19</v>
      </c>
      <c r="CT190" s="39">
        <v>40</v>
      </c>
      <c r="CU190" s="81">
        <f>H190*月別販売比率!$AV$21</f>
        <v>11.569931344908163</v>
      </c>
      <c r="CV190" s="39"/>
      <c r="CW190" s="81">
        <f>H190*月別販売比率!$BA$21</f>
        <v>10.568392933958984</v>
      </c>
      <c r="CX190" s="39"/>
      <c r="CY190" s="81">
        <f>H190*月別販売比率!$BF$21</f>
        <v>15.200000000000001</v>
      </c>
      <c r="CZ190" s="39"/>
      <c r="DA190" s="28"/>
      <c r="DB190" s="294"/>
    </row>
    <row r="191" spans="2:106" ht="30.75" customHeight="1">
      <c r="C191" s="439"/>
      <c r="D191" s="441"/>
      <c r="E191" s="94" t="s">
        <v>51</v>
      </c>
      <c r="F191" s="57">
        <v>158</v>
      </c>
      <c r="G191" s="5">
        <f t="shared" si="299"/>
        <v>695200</v>
      </c>
      <c r="H191" s="164">
        <v>200</v>
      </c>
      <c r="I191" s="5">
        <f t="shared" si="300"/>
        <v>880000</v>
      </c>
      <c r="J191" s="49">
        <v>8</v>
      </c>
      <c r="K191" s="10">
        <f t="shared" si="301"/>
        <v>20</v>
      </c>
      <c r="L191" s="39">
        <v>10</v>
      </c>
      <c r="M191" s="21">
        <v>10</v>
      </c>
      <c r="N191" s="95"/>
      <c r="O191" s="19"/>
      <c r="P191" s="19"/>
      <c r="Q191" s="124"/>
      <c r="R191" s="124"/>
      <c r="S191" s="124"/>
      <c r="T191" s="124"/>
      <c r="U191" s="124"/>
      <c r="V191" s="124"/>
      <c r="W191" s="124"/>
      <c r="X191" s="124"/>
      <c r="Y191" s="124"/>
      <c r="Z191" s="124"/>
      <c r="AA191" s="124"/>
      <c r="AB191" s="124"/>
      <c r="AC191" s="124"/>
      <c r="AD191" s="124"/>
      <c r="AE191" s="124"/>
      <c r="AF191" s="124"/>
      <c r="AG191" s="124"/>
      <c r="AH191" s="331"/>
      <c r="AI191" s="129">
        <f t="shared" si="302"/>
        <v>12</v>
      </c>
      <c r="AJ191" s="129">
        <f t="shared" si="303"/>
        <v>44.766655934311792</v>
      </c>
      <c r="AK191" s="129">
        <f t="shared" si="304"/>
        <v>20.766655934311792</v>
      </c>
      <c r="AL191" s="399">
        <f t="shared" si="305"/>
        <v>65.766655934311785</v>
      </c>
      <c r="AM191" s="393">
        <f t="shared" si="306"/>
        <v>47.766655934311785</v>
      </c>
      <c r="AN191" s="393">
        <f t="shared" si="307"/>
        <v>87.766655934311785</v>
      </c>
      <c r="AO191" s="393">
        <f t="shared" si="308"/>
        <v>75.587780834408463</v>
      </c>
      <c r="AP191" s="96">
        <f t="shared" si="309"/>
        <v>64.463156693399</v>
      </c>
      <c r="AQ191" s="91">
        <f t="shared" si="310"/>
        <v>48.463156693399</v>
      </c>
      <c r="AR191" s="198"/>
      <c r="AS191" s="245">
        <f>$H$191*月別販売比率!AG5</f>
        <v>20</v>
      </c>
      <c r="AT191" s="241">
        <v>70</v>
      </c>
      <c r="AU191" s="81">
        <f>$H$191*月別販売比率!AL5</f>
        <v>18</v>
      </c>
      <c r="AV191" s="21"/>
      <c r="AW191" s="245">
        <f>$H$191*月別販売比率!AQ5</f>
        <v>20</v>
      </c>
      <c r="AX191" s="241"/>
      <c r="AY191" s="81">
        <f>$H$191*月別販売比率!AV5</f>
        <v>12.178875099903328</v>
      </c>
      <c r="AZ191" s="21"/>
      <c r="BA191" s="81">
        <f>$H$191*月別販売比率!BA5</f>
        <v>11.124624141009457</v>
      </c>
      <c r="BB191" s="21"/>
      <c r="BC191" s="81">
        <f>$H$191*月別販売比率!BF5</f>
        <v>16</v>
      </c>
      <c r="BD191" s="21"/>
      <c r="BE191" s="81">
        <f>$H$191*月別販売比率!C21</f>
        <v>14.172850223168041</v>
      </c>
      <c r="BF191" s="21"/>
      <c r="BG191" s="245">
        <f>$H$191*月別販売比率!H21</f>
        <v>14.000000000000002</v>
      </c>
      <c r="BH191" s="241">
        <v>105</v>
      </c>
      <c r="BI191" s="81">
        <f>$H$191*月別販売比率!M21</f>
        <v>20.212737824730802</v>
      </c>
      <c r="BJ191" s="21"/>
      <c r="BK191" s="81">
        <f>$H$191*月別販売比率!R21</f>
        <v>16</v>
      </c>
      <c r="BL191" s="21"/>
      <c r="BM191" s="81">
        <f>$H$191*月別販売比率!W21</f>
        <v>15.233344065688206</v>
      </c>
      <c r="BN191" s="21"/>
      <c r="BO191" s="81">
        <f>$H$191*月別販売比率!AB21</f>
        <v>24</v>
      </c>
      <c r="BP191" s="21"/>
      <c r="BQ191" s="245">
        <f>$H$191*月別販売比率!AG21</f>
        <v>20</v>
      </c>
      <c r="BR191" s="241">
        <v>60</v>
      </c>
      <c r="BS191" s="245">
        <f>$H$191*月別販売比率!AL21</f>
        <v>18</v>
      </c>
      <c r="BT191" s="241">
        <v>40</v>
      </c>
      <c r="BU191" s="81">
        <f>$H$191*月別販売比率!AQ21</f>
        <v>20</v>
      </c>
      <c r="BV191" s="21"/>
      <c r="BW191" s="81">
        <f>$H$191*月別販売比率!AV21</f>
        <v>12.178875099903328</v>
      </c>
      <c r="BX191" s="21"/>
      <c r="BY191" s="81">
        <f>$H$191*月別販売比率!BA21</f>
        <v>11.124624141009457</v>
      </c>
      <c r="BZ191" s="21"/>
      <c r="CA191" s="81">
        <f>$H$191*月別販売比率!BF21</f>
        <v>16</v>
      </c>
      <c r="CB191" s="21"/>
      <c r="CC191" s="81">
        <f>H191*月別販売比率!$C$21</f>
        <v>14.172850223168041</v>
      </c>
      <c r="CD191" s="21"/>
      <c r="CE191" s="81">
        <f>H191*月別販売比率!$H$21</f>
        <v>14.000000000000002</v>
      </c>
      <c r="CF191" s="21"/>
      <c r="CG191" s="81">
        <f>H191*月別販売比率!$M$21</f>
        <v>20.212737824730802</v>
      </c>
      <c r="CH191" s="241">
        <v>47</v>
      </c>
      <c r="CI191" s="81">
        <f>H191*月別販売比率!$R$21</f>
        <v>16</v>
      </c>
      <c r="CJ191" s="21"/>
      <c r="CK191" s="81">
        <f>H191*月別販売比率!$W$21</f>
        <v>15.233344065688206</v>
      </c>
      <c r="CL191" s="21">
        <v>48</v>
      </c>
      <c r="CM191" s="81">
        <f>H191*月別販売比率!$AB$21</f>
        <v>24</v>
      </c>
      <c r="CN191" s="21"/>
      <c r="CO191" s="81">
        <f>H191*月別販売比率!$AG$21</f>
        <v>20</v>
      </c>
      <c r="CP191" s="21">
        <v>65</v>
      </c>
      <c r="CQ191" s="81">
        <f>H191*月別販売比率!$AL$21</f>
        <v>18</v>
      </c>
      <c r="CR191" s="21"/>
      <c r="CS191" s="81">
        <f>H191*月別販売比率!$AQ$21</f>
        <v>20</v>
      </c>
      <c r="CT191" s="21">
        <v>60</v>
      </c>
      <c r="CU191" s="81">
        <f>H191*月別販売比率!$AV$21</f>
        <v>12.178875099903328</v>
      </c>
      <c r="CV191" s="21"/>
      <c r="CW191" s="81">
        <f>H191*月別販売比率!$BA$21</f>
        <v>11.124624141009457</v>
      </c>
      <c r="CX191" s="21"/>
      <c r="CY191" s="81">
        <f>H191*月別販売比率!$BF$21</f>
        <v>16</v>
      </c>
      <c r="CZ191" s="21"/>
      <c r="DA191" s="28"/>
      <c r="DB191" s="294"/>
    </row>
    <row r="192" spans="2:106" ht="30.75" customHeight="1">
      <c r="C192" s="439"/>
      <c r="D192" s="441"/>
      <c r="E192" s="94" t="s">
        <v>49</v>
      </c>
      <c r="F192" s="56">
        <v>142</v>
      </c>
      <c r="G192" s="46">
        <f t="shared" si="299"/>
        <v>624800</v>
      </c>
      <c r="H192" s="45">
        <f t="shared" si="311"/>
        <v>155.50918918918919</v>
      </c>
      <c r="I192" s="46">
        <f t="shared" si="300"/>
        <v>684240.43243243243</v>
      </c>
      <c r="J192" s="49">
        <v>86</v>
      </c>
      <c r="K192" s="40">
        <f t="shared" si="301"/>
        <v>52</v>
      </c>
      <c r="L192" s="39">
        <v>10</v>
      </c>
      <c r="M192" s="39">
        <v>42</v>
      </c>
      <c r="N192" s="42"/>
      <c r="O192" s="19"/>
      <c r="P192" s="19"/>
      <c r="Q192" s="124"/>
      <c r="R192" s="124"/>
      <c r="S192" s="124"/>
      <c r="T192" s="124"/>
      <c r="U192" s="124"/>
      <c r="V192" s="124"/>
      <c r="W192" s="124"/>
      <c r="X192" s="124"/>
      <c r="Y192" s="124"/>
      <c r="Z192" s="124"/>
      <c r="AA192" s="124"/>
      <c r="AB192" s="124"/>
      <c r="AC192" s="124"/>
      <c r="AD192" s="124"/>
      <c r="AE192" s="124"/>
      <c r="AF192" s="124"/>
      <c r="AG192" s="124"/>
      <c r="AH192" s="124"/>
      <c r="AI192" s="129">
        <f t="shared" si="302"/>
        <v>125.55926486486487</v>
      </c>
      <c r="AJ192" s="129">
        <f t="shared" si="303"/>
        <v>138.71463994338927</v>
      </c>
      <c r="AK192" s="129">
        <f t="shared" si="304"/>
        <v>120.05353724068657</v>
      </c>
      <c r="AL192" s="399">
        <f t="shared" si="305"/>
        <v>124.50261832176764</v>
      </c>
      <c r="AM192" s="393">
        <f t="shared" si="306"/>
        <v>110.50679129474062</v>
      </c>
      <c r="AN192" s="393">
        <f t="shared" si="307"/>
        <v>104.9558723758217</v>
      </c>
      <c r="AO192" s="393">
        <f t="shared" si="308"/>
        <v>95.486237415709837</v>
      </c>
      <c r="AP192" s="96">
        <f t="shared" si="309"/>
        <v>86.836331014695531</v>
      </c>
      <c r="AQ192" s="91">
        <f t="shared" si="310"/>
        <v>74.395595879560403</v>
      </c>
      <c r="AR192" s="198"/>
      <c r="AS192" s="245">
        <f>$H$192*月別販売比率!AG5</f>
        <v>15.550918918918919</v>
      </c>
      <c r="AT192" s="241">
        <v>60</v>
      </c>
      <c r="AU192" s="81">
        <f>$H$192*月別販売比率!AL5</f>
        <v>13.995827027027026</v>
      </c>
      <c r="AV192" s="21"/>
      <c r="AW192" s="245">
        <f>$H$192*月別販売比率!AQ5</f>
        <v>15.550918918918919</v>
      </c>
      <c r="AX192" s="241"/>
      <c r="AY192" s="81">
        <f>$H$192*月別販売比率!AV5</f>
        <v>9.4696349601118612</v>
      </c>
      <c r="AZ192" s="21"/>
      <c r="BA192" s="81">
        <f>$H$192*月別販売比率!BA5</f>
        <v>8.6499064010143041</v>
      </c>
      <c r="BB192" s="21"/>
      <c r="BC192" s="81">
        <f>$H$192*月別販売比率!BF5</f>
        <v>12.440735135135135</v>
      </c>
      <c r="BD192" s="21"/>
      <c r="BE192" s="81">
        <f>$H$192*月別販売比率!C21</f>
        <v>11.020042233523405</v>
      </c>
      <c r="BF192" s="21"/>
      <c r="BG192" s="245">
        <f>$H$192*月別販売比率!H21</f>
        <v>10.885643243243244</v>
      </c>
      <c r="BH192" s="241">
        <v>95</v>
      </c>
      <c r="BI192" s="81">
        <f>$H$192*月別販売比率!M21</f>
        <v>15.716332352087711</v>
      </c>
      <c r="BJ192" s="21"/>
      <c r="BK192" s="81">
        <f>$H$192*月別販売比率!R21</f>
        <v>12.440735135135135</v>
      </c>
      <c r="BL192" s="21"/>
      <c r="BM192" s="81">
        <f>$H$192*月別販売比率!W21</f>
        <v>11.844624921475598</v>
      </c>
      <c r="BN192" s="21"/>
      <c r="BO192" s="81">
        <f>$H$192*月別販売比率!AB21</f>
        <v>18.661102702702703</v>
      </c>
      <c r="BP192" s="21"/>
      <c r="BQ192" s="245">
        <f>$H$192*月別販売比率!AG21</f>
        <v>15.550918918918919</v>
      </c>
      <c r="BR192" s="241">
        <v>40</v>
      </c>
      <c r="BS192" s="245">
        <f>$H$192*月別販売比率!AL21</f>
        <v>13.995827027027026</v>
      </c>
      <c r="BT192" s="241">
        <v>40</v>
      </c>
      <c r="BU192" s="81">
        <f>$H$192*月別販売比率!AQ21</f>
        <v>15.550918918918919</v>
      </c>
      <c r="BV192" s="21"/>
      <c r="BW192" s="81">
        <f>$H$192*月別販売比率!AV21</f>
        <v>9.4696349601118612</v>
      </c>
      <c r="BX192" s="21"/>
      <c r="BY192" s="81">
        <f>$H$192*月別販売比率!BA21</f>
        <v>8.6499064010143041</v>
      </c>
      <c r="BZ192" s="21"/>
      <c r="CA192" s="81">
        <f>$H$192*月別販売比率!BF21</f>
        <v>12.440735135135135</v>
      </c>
      <c r="CB192" s="21"/>
      <c r="CC192" s="81">
        <f>H192*月別販売比率!$C$21</f>
        <v>11.020042233523405</v>
      </c>
      <c r="CD192" s="21"/>
      <c r="CE192" s="81">
        <f>H192*月別販売比率!$H$21</f>
        <v>10.885643243243244</v>
      </c>
      <c r="CF192" s="21"/>
      <c r="CG192" s="81">
        <f>H192*月別販売比率!$M$21</f>
        <v>15.716332352087711</v>
      </c>
      <c r="CH192" s="241">
        <v>25</v>
      </c>
      <c r="CI192" s="81">
        <f>H192*月別販売比率!$R$21</f>
        <v>12.440735135135135</v>
      </c>
      <c r="CJ192" s="21"/>
      <c r="CK192" s="81">
        <f>H192*月別販売比率!$W$21</f>
        <v>11.844624921475598</v>
      </c>
      <c r="CL192" s="21">
        <v>25</v>
      </c>
      <c r="CM192" s="81">
        <f>H192*月別販売比率!$AB$21</f>
        <v>18.661102702702703</v>
      </c>
      <c r="CN192" s="21"/>
      <c r="CO192" s="81">
        <f>H192*月別販売比率!$AG$21</f>
        <v>15.550918918918919</v>
      </c>
      <c r="CP192" s="21">
        <v>20</v>
      </c>
      <c r="CQ192" s="81">
        <f>H192*月別販売比率!$AL$21</f>
        <v>13.995827027027026</v>
      </c>
      <c r="CR192" s="21"/>
      <c r="CS192" s="81">
        <f>H192*月別販売比率!$AQ$21</f>
        <v>15.550918918918919</v>
      </c>
      <c r="CT192" s="21">
        <v>10</v>
      </c>
      <c r="CU192" s="81">
        <f>H192*月別販売比率!$AV$21</f>
        <v>9.4696349601118612</v>
      </c>
      <c r="CV192" s="21"/>
      <c r="CW192" s="81">
        <f>H192*月別販売比率!$BA$21</f>
        <v>8.6499064010143041</v>
      </c>
      <c r="CX192" s="21"/>
      <c r="CY192" s="81">
        <f>H192*月別販売比率!$BF$21</f>
        <v>12.440735135135135</v>
      </c>
      <c r="CZ192" s="21"/>
      <c r="DA192" s="28"/>
      <c r="DB192" s="294"/>
    </row>
    <row r="193" spans="2:106" ht="30.75" customHeight="1">
      <c r="C193" s="440"/>
      <c r="D193" s="444"/>
      <c r="E193" s="101" t="s">
        <v>50</v>
      </c>
      <c r="F193" s="58">
        <v>72</v>
      </c>
      <c r="G193" s="35">
        <f t="shared" si="299"/>
        <v>316800</v>
      </c>
      <c r="H193" s="52">
        <f t="shared" si="311"/>
        <v>78.849729729729717</v>
      </c>
      <c r="I193" s="35">
        <f t="shared" si="300"/>
        <v>346938.81081081077</v>
      </c>
      <c r="J193" s="113">
        <v>14</v>
      </c>
      <c r="K193" s="108">
        <f t="shared" si="301"/>
        <v>26</v>
      </c>
      <c r="L193" s="104">
        <v>10</v>
      </c>
      <c r="M193" s="104">
        <v>16</v>
      </c>
      <c r="N193" s="105"/>
      <c r="O193" s="115"/>
      <c r="P193" s="115"/>
      <c r="Q193" s="238"/>
      <c r="R193" s="238"/>
      <c r="S193" s="238"/>
      <c r="T193" s="238"/>
      <c r="U193" s="238"/>
      <c r="V193" s="238"/>
      <c r="W193" s="238"/>
      <c r="X193" s="238"/>
      <c r="Y193" s="238"/>
      <c r="Z193" s="238"/>
      <c r="AA193" s="238"/>
      <c r="AB193" s="238"/>
      <c r="AC193" s="238"/>
      <c r="AD193" s="238"/>
      <c r="AE193" s="238"/>
      <c r="AF193" s="238"/>
      <c r="AG193" s="238"/>
      <c r="AH193" s="238"/>
      <c r="AI193" s="238">
        <f t="shared" si="302"/>
        <v>33.69202162162162</v>
      </c>
      <c r="AJ193" s="238">
        <f t="shared" si="303"/>
        <v>42.686296309324135</v>
      </c>
      <c r="AK193" s="238">
        <f t="shared" si="304"/>
        <v>33.224328741756565</v>
      </c>
      <c r="AL193" s="401">
        <f t="shared" si="305"/>
        <v>45.339355768783591</v>
      </c>
      <c r="AM193" s="395">
        <f t="shared" si="306"/>
        <v>38.242880093107914</v>
      </c>
      <c r="AN193" s="395">
        <f t="shared" si="307"/>
        <v>40.357907120134939</v>
      </c>
      <c r="AO193" s="395">
        <f t="shared" si="308"/>
        <v>35.556402069937377</v>
      </c>
      <c r="AP193" s="403">
        <f t="shared" si="309"/>
        <v>31.170534035620264</v>
      </c>
      <c r="AQ193" s="90">
        <f t="shared" si="310"/>
        <v>24.862555657241884</v>
      </c>
      <c r="AR193" s="238"/>
      <c r="AS193" s="301">
        <f>$H$193*月別販売比率!AG5</f>
        <v>7.8849729729729718</v>
      </c>
      <c r="AT193" s="302">
        <v>40</v>
      </c>
      <c r="AU193" s="282">
        <f>$H$193*月別販売比率!AL5</f>
        <v>7.0964756756756744</v>
      </c>
      <c r="AV193" s="103"/>
      <c r="AW193" s="301">
        <f>$H$193*月別販売比率!AQ5</f>
        <v>7.8849729729729718</v>
      </c>
      <c r="AX193" s="302"/>
      <c r="AY193" s="282">
        <f>$H$193*月別販売比率!AV5</f>
        <v>4.8015050501975622</v>
      </c>
      <c r="AZ193" s="103"/>
      <c r="BA193" s="282">
        <f>$H$193*月別販売比率!BA5</f>
        <v>4.3858680343171113</v>
      </c>
      <c r="BB193" s="103"/>
      <c r="BC193" s="282">
        <f>$H$193*月別販売比率!BF5</f>
        <v>6.3079783783783778</v>
      </c>
      <c r="BD193" s="103"/>
      <c r="BE193" s="282">
        <f>$H$193*月別販売比率!C21</f>
        <v>5.5876270479836974</v>
      </c>
      <c r="BF193" s="103"/>
      <c r="BG193" s="301">
        <f>$H$193*月別販売比率!H21</f>
        <v>5.5194810810810804</v>
      </c>
      <c r="BH193" s="302">
        <v>30</v>
      </c>
      <c r="BI193" s="282">
        <f>$H$193*月別販売比率!M21</f>
        <v>7.9688445728895427</v>
      </c>
      <c r="BJ193" s="103"/>
      <c r="BK193" s="282">
        <f>$H$193*月別販売比率!R21</f>
        <v>6.3079783783783778</v>
      </c>
      <c r="BL193" s="103"/>
      <c r="BM193" s="282">
        <f>$H$193*月別販売比率!W21</f>
        <v>6.0057253122974856</v>
      </c>
      <c r="BN193" s="103"/>
      <c r="BO193" s="282">
        <f>$H$193*月別販売比率!AB21</f>
        <v>9.4619675675675659</v>
      </c>
      <c r="BP193" s="103"/>
      <c r="BQ193" s="301">
        <f>$H$193*月別販売比率!AG21</f>
        <v>7.8849729729729718</v>
      </c>
      <c r="BR193" s="302">
        <v>20</v>
      </c>
      <c r="BS193" s="301">
        <f>$H$193*月別販売比率!AL21</f>
        <v>7.0964756756756744</v>
      </c>
      <c r="BT193" s="302">
        <v>20</v>
      </c>
      <c r="BU193" s="282">
        <f>$H$193*月別販売比率!AQ21</f>
        <v>7.8849729729729718</v>
      </c>
      <c r="BV193" s="103"/>
      <c r="BW193" s="282">
        <f>$H$193*月別販売比率!AV21</f>
        <v>4.8015050501975622</v>
      </c>
      <c r="BX193" s="103"/>
      <c r="BY193" s="282">
        <f>$H$193*月別販売比率!BA21</f>
        <v>4.3858680343171113</v>
      </c>
      <c r="BZ193" s="103"/>
      <c r="CA193" s="282">
        <f>$H$193*月別販売比率!BF21</f>
        <v>6.3079783783783778</v>
      </c>
      <c r="CB193" s="103"/>
      <c r="CC193" s="282">
        <f>H193*月別販売比率!$C$21</f>
        <v>5.5876270479836974</v>
      </c>
      <c r="CD193" s="103"/>
      <c r="CE193" s="282">
        <f>H193*月別販売比率!$H$21</f>
        <v>5.5194810810810804</v>
      </c>
      <c r="CF193" s="103"/>
      <c r="CG193" s="282">
        <f>H193*月別販売比率!$M$21</f>
        <v>7.9688445728895427</v>
      </c>
      <c r="CH193" s="302">
        <v>15</v>
      </c>
      <c r="CI193" s="282">
        <f>H193*月別販売比率!$R$21</f>
        <v>6.3079783783783778</v>
      </c>
      <c r="CJ193" s="103"/>
      <c r="CK193" s="282">
        <f>H193*月別販売比率!$W$21</f>
        <v>6.0057253122974856</v>
      </c>
      <c r="CL193" s="103">
        <v>15</v>
      </c>
      <c r="CM193" s="282">
        <f>H193*月別販売比率!$AB$21</f>
        <v>9.4619675675675659</v>
      </c>
      <c r="CN193" s="103"/>
      <c r="CO193" s="282">
        <f>H193*月別販売比率!$AG$21</f>
        <v>7.8849729729729718</v>
      </c>
      <c r="CP193" s="103">
        <v>20</v>
      </c>
      <c r="CQ193" s="282">
        <f>H193*月別販売比率!$AL$21</f>
        <v>7.0964756756756744</v>
      </c>
      <c r="CR193" s="103"/>
      <c r="CS193" s="282">
        <f>H193*月別販売比率!$AQ$21</f>
        <v>7.8849729729729718</v>
      </c>
      <c r="CT193" s="103">
        <v>10</v>
      </c>
      <c r="CU193" s="282">
        <f>H193*月別販売比率!$AV$21</f>
        <v>4.8015050501975622</v>
      </c>
      <c r="CV193" s="103"/>
      <c r="CW193" s="282">
        <f>H193*月別販売比率!$BA$21</f>
        <v>4.3858680343171113</v>
      </c>
      <c r="CX193" s="103"/>
      <c r="CY193" s="282">
        <f>H193*月別販売比率!$BF$21</f>
        <v>6.3079783783783778</v>
      </c>
      <c r="CZ193" s="103"/>
      <c r="DA193" s="303"/>
      <c r="DB193" s="300"/>
    </row>
    <row r="194" spans="2:106" ht="30.75" customHeight="1">
      <c r="B194" s="2">
        <v>13</v>
      </c>
      <c r="C194" s="435" t="s">
        <v>489</v>
      </c>
      <c r="D194" s="436"/>
      <c r="E194" s="445"/>
      <c r="F194" s="130">
        <f>SUM(F195:F202)</f>
        <v>795</v>
      </c>
      <c r="G194" s="131">
        <f>SUM(G195:G202)</f>
        <v>2798400</v>
      </c>
      <c r="H194" s="130">
        <v>907</v>
      </c>
      <c r="I194" s="131">
        <f t="shared" ref="I194:N194" si="312">SUM(I195:I202)</f>
        <v>3192639.9999999995</v>
      </c>
      <c r="J194" s="133">
        <f t="shared" si="312"/>
        <v>0</v>
      </c>
      <c r="K194" s="134">
        <f t="shared" si="312"/>
        <v>440</v>
      </c>
      <c r="L194" s="134">
        <f t="shared" si="312"/>
        <v>421</v>
      </c>
      <c r="M194" s="134">
        <f t="shared" si="312"/>
        <v>19</v>
      </c>
      <c r="N194" s="135">
        <f t="shared" si="312"/>
        <v>0</v>
      </c>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6">
        <f t="shared" ref="AS194:CB194" si="313">SUM(AS195:AS202)</f>
        <v>59.007991984992493</v>
      </c>
      <c r="AT194" s="134">
        <f t="shared" si="313"/>
        <v>98</v>
      </c>
      <c r="AU194" s="136">
        <f t="shared" si="313"/>
        <v>71.926385934995537</v>
      </c>
      <c r="AV194" s="134">
        <f t="shared" si="313"/>
        <v>0</v>
      </c>
      <c r="AW194" s="136">
        <f t="shared" si="313"/>
        <v>98.551147142655651</v>
      </c>
      <c r="AX194" s="134">
        <f t="shared" si="313"/>
        <v>0</v>
      </c>
      <c r="AY194" s="136">
        <f t="shared" si="313"/>
        <v>94.602400003598916</v>
      </c>
      <c r="AZ194" s="134">
        <f t="shared" si="313"/>
        <v>0</v>
      </c>
      <c r="BA194" s="136">
        <f t="shared" si="313"/>
        <v>60.059863145758122</v>
      </c>
      <c r="BB194" s="134">
        <f t="shared" si="313"/>
        <v>0</v>
      </c>
      <c r="BC194" s="136">
        <f t="shared" si="313"/>
        <v>90.700000000000017</v>
      </c>
      <c r="BD194" s="134">
        <f t="shared" si="313"/>
        <v>0</v>
      </c>
      <c r="BE194" s="136">
        <f t="shared" si="313"/>
        <v>90.700000000000017</v>
      </c>
      <c r="BF194" s="134">
        <f t="shared" si="313"/>
        <v>0</v>
      </c>
      <c r="BG194" s="136">
        <f t="shared" si="313"/>
        <v>64.893670160530363</v>
      </c>
      <c r="BH194" s="134">
        <f t="shared" si="313"/>
        <v>215</v>
      </c>
      <c r="BI194" s="136">
        <f t="shared" si="313"/>
        <v>55.126420880313205</v>
      </c>
      <c r="BJ194" s="134">
        <f t="shared" si="313"/>
        <v>0</v>
      </c>
      <c r="BK194" s="136">
        <f t="shared" si="313"/>
        <v>53.859163658524899</v>
      </c>
      <c r="BL194" s="134">
        <f t="shared" si="313"/>
        <v>0</v>
      </c>
      <c r="BM194" s="136">
        <f t="shared" si="313"/>
        <v>61.19117968113035</v>
      </c>
      <c r="BN194" s="134">
        <f t="shared" si="313"/>
        <v>0</v>
      </c>
      <c r="BO194" s="136">
        <f t="shared" si="313"/>
        <v>91.129005022875617</v>
      </c>
      <c r="BP194" s="134">
        <f t="shared" si="313"/>
        <v>600</v>
      </c>
      <c r="BQ194" s="136">
        <f t="shared" si="313"/>
        <v>59.007991984992493</v>
      </c>
      <c r="BR194" s="134">
        <f t="shared" si="313"/>
        <v>0</v>
      </c>
      <c r="BS194" s="136">
        <f t="shared" si="313"/>
        <v>71.926385934995537</v>
      </c>
      <c r="BT194" s="134">
        <f t="shared" si="313"/>
        <v>0</v>
      </c>
      <c r="BU194" s="136">
        <f t="shared" si="313"/>
        <v>98.551147142655651</v>
      </c>
      <c r="BV194" s="134">
        <f t="shared" si="313"/>
        <v>0</v>
      </c>
      <c r="BW194" s="136">
        <f t="shared" si="313"/>
        <v>94.602400003598916</v>
      </c>
      <c r="BX194" s="134">
        <f t="shared" si="313"/>
        <v>0</v>
      </c>
      <c r="BY194" s="136">
        <f t="shared" si="313"/>
        <v>60.059863145758122</v>
      </c>
      <c r="BZ194" s="134">
        <f t="shared" si="313"/>
        <v>0</v>
      </c>
      <c r="CA194" s="136">
        <f t="shared" si="313"/>
        <v>90.700000000000017</v>
      </c>
      <c r="CB194" s="134">
        <f t="shared" si="313"/>
        <v>0</v>
      </c>
      <c r="CC194" s="136">
        <f t="shared" ref="CC194:CD194" si="314">SUM(CC195:CC202)</f>
        <v>0</v>
      </c>
      <c r="CD194" s="134">
        <f t="shared" si="314"/>
        <v>0</v>
      </c>
      <c r="CE194" s="136">
        <f t="shared" ref="CE194:CF194" si="315">SUM(CE195:CE202)</f>
        <v>21.083471698113208</v>
      </c>
      <c r="CF194" s="134">
        <f t="shared" si="315"/>
        <v>0</v>
      </c>
      <c r="CG194" s="136">
        <f t="shared" ref="CG194:CJ194" si="316">SUM(CG195:CG202)</f>
        <v>71.935746568257358</v>
      </c>
      <c r="CH194" s="134">
        <f t="shared" si="316"/>
        <v>0</v>
      </c>
      <c r="CI194" s="136">
        <f t="shared" si="316"/>
        <v>53.859163658524899</v>
      </c>
      <c r="CJ194" s="134">
        <f t="shared" si="316"/>
        <v>0</v>
      </c>
      <c r="CK194" s="136">
        <f t="shared" ref="CK194:CN194" si="317">SUM(CK195:CK202)</f>
        <v>61.19117968113035</v>
      </c>
      <c r="CL194" s="134">
        <f t="shared" si="317"/>
        <v>0</v>
      </c>
      <c r="CM194" s="136">
        <f t="shared" si="317"/>
        <v>24.999677949546843</v>
      </c>
      <c r="CN194" s="134">
        <f t="shared" si="317"/>
        <v>0</v>
      </c>
      <c r="CO194" s="136">
        <f t="shared" ref="CO194:CR194" si="318">SUM(CO195:CO202)</f>
        <v>28.402962123214859</v>
      </c>
      <c r="CP194" s="134">
        <f t="shared" si="318"/>
        <v>0</v>
      </c>
      <c r="CQ194" s="136">
        <f t="shared" si="318"/>
        <v>0</v>
      </c>
      <c r="CR194" s="134">
        <f t="shared" si="318"/>
        <v>0</v>
      </c>
      <c r="CS194" s="136">
        <f t="shared" ref="CS194:CX194" si="319">SUM(CS195:CS202)</f>
        <v>0</v>
      </c>
      <c r="CT194" s="134">
        <f t="shared" si="319"/>
        <v>0</v>
      </c>
      <c r="CU194" s="136">
        <v>94.602400003598916</v>
      </c>
      <c r="CV194" s="134">
        <f t="shared" si="319"/>
        <v>0</v>
      </c>
      <c r="CW194" s="136">
        <f t="shared" si="319"/>
        <v>60.059863145758122</v>
      </c>
      <c r="CX194" s="134">
        <f t="shared" si="319"/>
        <v>0</v>
      </c>
      <c r="CY194" s="136">
        <f t="shared" ref="CY194:CZ194" si="320">SUM(CY195:CY202)</f>
        <v>60.059863145758122</v>
      </c>
      <c r="CZ194" s="134">
        <f t="shared" si="320"/>
        <v>0</v>
      </c>
      <c r="DA194" s="141"/>
      <c r="DB194" s="293"/>
    </row>
    <row r="195" spans="2:106" ht="30.75" customHeight="1">
      <c r="B195" s="239"/>
      <c r="C195" s="446" t="s">
        <v>348</v>
      </c>
      <c r="D195" s="443">
        <v>1</v>
      </c>
      <c r="E195" s="99" t="s">
        <v>60</v>
      </c>
      <c r="F195" s="56">
        <v>80</v>
      </c>
      <c r="G195" s="46">
        <f t="shared" ref="G195:G202" si="321">F195*3520</f>
        <v>281600</v>
      </c>
      <c r="H195" s="45">
        <f>F195*($H$194/$F$194)</f>
        <v>91.270440251572325</v>
      </c>
      <c r="I195" s="46">
        <f t="shared" ref="I195:I202" si="322">H195*3520</f>
        <v>321271.94968553458</v>
      </c>
      <c r="J195" s="388"/>
      <c r="K195" s="39">
        <f t="shared" ref="K195:K202" si="323">SUM(L195:N195)</f>
        <v>54</v>
      </c>
      <c r="L195" s="39">
        <v>51</v>
      </c>
      <c r="M195" s="39">
        <v>3</v>
      </c>
      <c r="N195" s="42"/>
      <c r="O195" s="19"/>
      <c r="P195" s="19"/>
      <c r="Q195" s="124"/>
      <c r="R195" s="124"/>
      <c r="S195" s="124"/>
      <c r="T195" s="124"/>
      <c r="U195" s="124"/>
      <c r="V195" s="124"/>
      <c r="W195" s="124"/>
      <c r="X195" s="124"/>
      <c r="Y195" s="124"/>
      <c r="Z195" s="124"/>
      <c r="AA195" s="124"/>
      <c r="AB195" s="124"/>
      <c r="AC195" s="124"/>
      <c r="AD195" s="124"/>
      <c r="AE195" s="124"/>
      <c r="AF195" s="124"/>
      <c r="AG195" s="124"/>
      <c r="AH195" s="124"/>
      <c r="AI195" s="129">
        <f t="shared" ref="AI195:AI202" si="324">SUM(J195:K195)-CI195+CJ195</f>
        <v>48.58020994631196</v>
      </c>
      <c r="AJ195" s="129">
        <f t="shared" ref="AJ195:AJ202" si="325">AI195-CK195+CL195</f>
        <v>42.422606959531549</v>
      </c>
      <c r="AK195" s="129">
        <f t="shared" ref="AK195:AK202" si="326">AJ195-CM195+CN195</f>
        <v>39.394142409823978</v>
      </c>
      <c r="AL195" s="399">
        <f t="shared" ref="AL195:AL202" si="327">AK195-CO195+CP195</f>
        <v>35.953403530289634</v>
      </c>
      <c r="AM195" s="393">
        <f t="shared" ref="AM195:AM202" si="328">AL195-CQ195+CR195</f>
        <v>35.953403530289634</v>
      </c>
      <c r="AN195" s="393">
        <f t="shared" ref="AN195:AN202" si="329">AM195-CS195+CT195</f>
        <v>35.953403530289634</v>
      </c>
      <c r="AO195" s="393">
        <f t="shared" ref="AO195:AO202" si="330">AN195-CU195+CV195</f>
        <v>26.433665165147605</v>
      </c>
      <c r="AP195" s="96">
        <f t="shared" ref="AP195:AP202" si="331">AO195-CW195+CX195</f>
        <v>20.389905351737983</v>
      </c>
      <c r="AQ195" s="91">
        <f t="shared" ref="AQ195:AQ202" si="332">AP195-CY195+CZ195</f>
        <v>14.346145538328361</v>
      </c>
      <c r="AR195" s="198"/>
      <c r="AS195" s="245">
        <f>$H$195*月別販売比率!AG11</f>
        <v>5.9379111431438982</v>
      </c>
      <c r="AT195" s="280">
        <v>25</v>
      </c>
      <c r="AU195" s="81">
        <f>$H$195*月別販売比率!AL11</f>
        <v>7.2378753142133876</v>
      </c>
      <c r="AV195" s="39"/>
      <c r="AW195" s="81">
        <f>$H$195*月別販売比率!AQ11</f>
        <v>9.9170965678144043</v>
      </c>
      <c r="AX195" s="315"/>
      <c r="AY195" s="81">
        <f>$H$195*月別販売比率!AV11</f>
        <v>9.5197383651420289</v>
      </c>
      <c r="AZ195" s="39"/>
      <c r="BA195" s="81">
        <f>$H$195*月別販売比率!BA11</f>
        <v>6.0437598134096211</v>
      </c>
      <c r="BB195" s="39"/>
      <c r="BC195" s="81">
        <f>$H$195*月別販売比率!BF11</f>
        <v>9.1270440251572325</v>
      </c>
      <c r="BD195" s="39"/>
      <c r="BE195" s="81">
        <f>$H$195*月別販売比率!C27</f>
        <v>9.1270440251572325</v>
      </c>
      <c r="BF195" s="39"/>
      <c r="BG195" s="245">
        <f>$H$195*月別販売比率!H27</f>
        <v>6.5301806450848163</v>
      </c>
      <c r="BH195" s="280">
        <v>25</v>
      </c>
      <c r="BI195" s="81">
        <f>$H$195*月別販売比率!M27</f>
        <v>7.2388172647303008</v>
      </c>
      <c r="BJ195" s="39"/>
      <c r="BK195" s="81">
        <f>$H$195*月別販売比率!R27</f>
        <v>5.4197900536880397</v>
      </c>
      <c r="BL195" s="39"/>
      <c r="BM195" s="81">
        <f>$H$195*月別販売比率!W27</f>
        <v>6.1576029867804127</v>
      </c>
      <c r="BN195" s="39"/>
      <c r="BO195" s="245">
        <f>$H$195*月別販売比率!AB27</f>
        <v>9.1702143419245896</v>
      </c>
      <c r="BP195" s="280">
        <v>60</v>
      </c>
      <c r="BQ195" s="81">
        <f>$H$195*月別販売比率!AG27</f>
        <v>5.9379111431438982</v>
      </c>
      <c r="BR195" s="39"/>
      <c r="BS195" s="81">
        <f>$H$195*月別販売比率!AL27</f>
        <v>7.2378753142133876</v>
      </c>
      <c r="BT195" s="39"/>
      <c r="BU195" s="81">
        <f>$H$195*月別販売比率!AQ27</f>
        <v>9.9170965678144043</v>
      </c>
      <c r="BV195" s="39"/>
      <c r="BW195" s="81">
        <f>$H$195*月別販売比率!AV27</f>
        <v>9.5197383651420289</v>
      </c>
      <c r="BX195" s="39"/>
      <c r="BY195" s="81">
        <f>$H$195*月別販売比率!BA27</f>
        <v>6.0437598134096211</v>
      </c>
      <c r="BZ195" s="39"/>
      <c r="CA195" s="81">
        <f>$H$195*月別販売比率!BF27</f>
        <v>9.1270440251572325</v>
      </c>
      <c r="CB195" s="39"/>
      <c r="CC195" s="81">
        <f>$H$195*月別販売比率!BH27</f>
        <v>0</v>
      </c>
      <c r="CD195" s="39"/>
      <c r="CE195" s="81">
        <f>$H$195*月別販売比率!H21</f>
        <v>6.3889308176100634</v>
      </c>
      <c r="CF195" s="39"/>
      <c r="CG195" s="81">
        <f>H195*月別販売比率!$M$27</f>
        <v>7.2388172647303008</v>
      </c>
      <c r="CH195" s="39"/>
      <c r="CI195" s="81">
        <f>H195*月別販売比率!$R$27</f>
        <v>5.4197900536880397</v>
      </c>
      <c r="CJ195" s="39"/>
      <c r="CK195" s="81">
        <f>H195*月別販売比率!$W$27</f>
        <v>6.1576029867804127</v>
      </c>
      <c r="CL195" s="39"/>
      <c r="CM195" s="81">
        <f>L195*月別販売比率!$R$27</f>
        <v>3.0284645497075742</v>
      </c>
      <c r="CN195" s="39"/>
      <c r="CO195" s="81">
        <f>L195*月別販売比率!$W$27</f>
        <v>3.4407388795343414</v>
      </c>
      <c r="CP195" s="39"/>
      <c r="CQ195" s="81">
        <f>P195*月別販売比率!$R$27</f>
        <v>0</v>
      </c>
      <c r="CR195" s="39"/>
      <c r="CS195" s="81">
        <f>P195*月別販売比率!$W$27</f>
        <v>0</v>
      </c>
      <c r="CT195" s="39"/>
      <c r="CU195" s="81">
        <f>H195*月別販売比率!$AV$27</f>
        <v>9.5197383651420289</v>
      </c>
      <c r="CV195" s="39"/>
      <c r="CW195" s="81">
        <f>H195*月別販売比率!$BA$27</f>
        <v>6.0437598134096211</v>
      </c>
      <c r="CX195" s="39"/>
      <c r="CY195" s="81">
        <f>H195*月別販売比率!$BA$27</f>
        <v>6.0437598134096211</v>
      </c>
      <c r="CZ195" s="39"/>
      <c r="DA195" s="28"/>
      <c r="DB195" s="294"/>
    </row>
    <row r="196" spans="2:106" ht="30.75" customHeight="1">
      <c r="B196" s="239"/>
      <c r="C196" s="457"/>
      <c r="D196" s="441"/>
      <c r="E196" s="94" t="s">
        <v>62</v>
      </c>
      <c r="F196" s="57">
        <v>77</v>
      </c>
      <c r="G196" s="5">
        <f t="shared" si="321"/>
        <v>271040</v>
      </c>
      <c r="H196" s="45">
        <f t="shared" ref="H196:H202" si="333">F196*($H$194/$F$194)</f>
        <v>87.847798742138366</v>
      </c>
      <c r="I196" s="5">
        <f t="shared" si="322"/>
        <v>309224.25157232705</v>
      </c>
      <c r="J196" s="389"/>
      <c r="K196" s="21">
        <f t="shared" si="323"/>
        <v>49</v>
      </c>
      <c r="L196" s="21">
        <v>47</v>
      </c>
      <c r="M196" s="39">
        <v>2</v>
      </c>
      <c r="N196" s="42"/>
      <c r="O196" s="19"/>
      <c r="P196" s="19"/>
      <c r="Q196" s="124"/>
      <c r="R196" s="124"/>
      <c r="S196" s="124"/>
      <c r="T196" s="124"/>
      <c r="U196" s="124"/>
      <c r="V196" s="124"/>
      <c r="W196" s="124"/>
      <c r="X196" s="124"/>
      <c r="Y196" s="124"/>
      <c r="Z196" s="124"/>
      <c r="AA196" s="124"/>
      <c r="AB196" s="124"/>
      <c r="AC196" s="124"/>
      <c r="AD196" s="124"/>
      <c r="AE196" s="124"/>
      <c r="AF196" s="124"/>
      <c r="AG196" s="124"/>
      <c r="AH196" s="124"/>
      <c r="AI196" s="129">
        <f t="shared" si="324"/>
        <v>43.783452073325265</v>
      </c>
      <c r="AJ196" s="129">
        <f t="shared" si="325"/>
        <v>37.856759198549113</v>
      </c>
      <c r="AK196" s="129">
        <f t="shared" si="326"/>
        <v>35.065821280191152</v>
      </c>
      <c r="AL196" s="399">
        <f t="shared" si="327"/>
        <v>31.894944273561464</v>
      </c>
      <c r="AM196" s="393">
        <f t="shared" si="328"/>
        <v>31.894944273561464</v>
      </c>
      <c r="AN196" s="393">
        <f t="shared" si="329"/>
        <v>31.894944273561464</v>
      </c>
      <c r="AO196" s="393">
        <f t="shared" si="330"/>
        <v>22.732196097112261</v>
      </c>
      <c r="AP196" s="96">
        <f t="shared" si="331"/>
        <v>16.9150772767055</v>
      </c>
      <c r="AQ196" s="91">
        <f t="shared" si="332"/>
        <v>11.097958456298738</v>
      </c>
      <c r="AR196" s="198"/>
      <c r="AS196" s="245">
        <f>$H$196*月別販売比率!AG11</f>
        <v>5.715239475276003</v>
      </c>
      <c r="AT196" s="241">
        <v>25</v>
      </c>
      <c r="AU196" s="81">
        <f>$H$196*月別販売比率!AL11</f>
        <v>6.9664549899303863</v>
      </c>
      <c r="AV196" s="21"/>
      <c r="AW196" s="81">
        <f>$H$196*月別販売比率!AQ11</f>
        <v>9.5452054465213649</v>
      </c>
      <c r="AX196" s="316"/>
      <c r="AY196" s="81">
        <f>$H$196*月別販売比率!AV11</f>
        <v>9.1627481764492025</v>
      </c>
      <c r="AZ196" s="21"/>
      <c r="BA196" s="81">
        <f>$H$196*月別販売比率!BA11</f>
        <v>5.817118820406761</v>
      </c>
      <c r="BB196" s="21"/>
      <c r="BC196" s="81">
        <f>$H$196*月別販売比率!BF11</f>
        <v>8.7847798742138377</v>
      </c>
      <c r="BD196" s="21"/>
      <c r="BE196" s="81">
        <f>$H$196*月別販売比率!C27</f>
        <v>8.7847798742138377</v>
      </c>
      <c r="BF196" s="21"/>
      <c r="BG196" s="245">
        <f>$H$196*月別販売比率!H27</f>
        <v>6.2852988708941364</v>
      </c>
      <c r="BH196" s="241">
        <v>25</v>
      </c>
      <c r="BI196" s="81">
        <f>$H$197*月別販売比率!M27</f>
        <v>9.681918091576776</v>
      </c>
      <c r="BJ196" s="21"/>
      <c r="BK196" s="81">
        <f>$H$196*月別販売比率!R27</f>
        <v>5.216547926674739</v>
      </c>
      <c r="BL196" s="21"/>
      <c r="BM196" s="81">
        <f>$H$196*月別販売比率!W27</f>
        <v>5.9266928747761476</v>
      </c>
      <c r="BN196" s="21"/>
      <c r="BO196" s="245">
        <f>$H$196*月別販売比率!AB27</f>
        <v>8.8263313041024176</v>
      </c>
      <c r="BP196" s="241">
        <v>65</v>
      </c>
      <c r="BQ196" s="81">
        <f>$H$196*月別販売比率!AG27</f>
        <v>5.715239475276003</v>
      </c>
      <c r="BR196" s="21"/>
      <c r="BS196" s="81">
        <f>$H$196*月別販売比率!AL27</f>
        <v>6.9664549899303863</v>
      </c>
      <c r="BT196" s="21"/>
      <c r="BU196" s="81">
        <f>$H$196*月別販売比率!AQ27</f>
        <v>9.5452054465213649</v>
      </c>
      <c r="BV196" s="21"/>
      <c r="BW196" s="81">
        <f>$H$196*月別販売比率!AV27</f>
        <v>9.1627481764492025</v>
      </c>
      <c r="BX196" s="21"/>
      <c r="BY196" s="81">
        <f>$H$196*月別販売比率!BA27</f>
        <v>5.817118820406761</v>
      </c>
      <c r="BZ196" s="21"/>
      <c r="CA196" s="81">
        <f>$H$196*月別販売比率!BF27</f>
        <v>8.7847798742138377</v>
      </c>
      <c r="CB196" s="21"/>
      <c r="CC196" s="81">
        <f>$H$196*月別販売比率!BH27</f>
        <v>0</v>
      </c>
      <c r="CD196" s="21"/>
      <c r="CE196" s="81">
        <f>$H$196*月別販売比率!H21</f>
        <v>6.1493459119496858</v>
      </c>
      <c r="CF196" s="21"/>
      <c r="CG196" s="81">
        <f>H196*月別販売比率!$M$27</f>
        <v>6.967361617302914</v>
      </c>
      <c r="CH196" s="21"/>
      <c r="CI196" s="81">
        <f>H196*月別販売比率!$R$27</f>
        <v>5.216547926674739</v>
      </c>
      <c r="CJ196" s="21"/>
      <c r="CK196" s="81">
        <f>H196*月別販売比率!$W$27</f>
        <v>5.9266928747761476</v>
      </c>
      <c r="CL196" s="21"/>
      <c r="CM196" s="81">
        <f>L196*月別販売比率!$R$27</f>
        <v>2.7909379183579603</v>
      </c>
      <c r="CN196" s="21"/>
      <c r="CO196" s="81">
        <f>L196*月別販売比率!$W$27</f>
        <v>3.1708770066296874</v>
      </c>
      <c r="CP196" s="21"/>
      <c r="CQ196" s="81">
        <f>P196*月別販売比率!$R$27</f>
        <v>0</v>
      </c>
      <c r="CR196" s="21"/>
      <c r="CS196" s="81">
        <f>P196*月別販売比率!$W$27</f>
        <v>0</v>
      </c>
      <c r="CT196" s="21"/>
      <c r="CU196" s="81">
        <f>H196*月別販売比率!$AV$27</f>
        <v>9.1627481764492025</v>
      </c>
      <c r="CV196" s="21"/>
      <c r="CW196" s="81">
        <f>H196*月別販売比率!$BA$27</f>
        <v>5.817118820406761</v>
      </c>
      <c r="CX196" s="21"/>
      <c r="CY196" s="81">
        <f>H196*月別販売比率!$BA$27</f>
        <v>5.817118820406761</v>
      </c>
      <c r="CZ196" s="21"/>
      <c r="DA196" s="28"/>
      <c r="DB196" s="294"/>
    </row>
    <row r="197" spans="2:106" ht="30.75" customHeight="1">
      <c r="B197" s="239"/>
      <c r="C197" s="457"/>
      <c r="D197" s="441"/>
      <c r="E197" s="94" t="s">
        <v>61</v>
      </c>
      <c r="F197" s="57">
        <v>107</v>
      </c>
      <c r="G197" s="5">
        <f t="shared" si="321"/>
        <v>376640</v>
      </c>
      <c r="H197" s="45">
        <f t="shared" si="333"/>
        <v>122.07421383647798</v>
      </c>
      <c r="I197" s="5">
        <f t="shared" si="322"/>
        <v>429701.23270440247</v>
      </c>
      <c r="J197" s="389"/>
      <c r="K197" s="21">
        <f t="shared" si="323"/>
        <v>76</v>
      </c>
      <c r="L197" s="21">
        <v>74</v>
      </c>
      <c r="M197" s="39">
        <v>2</v>
      </c>
      <c r="N197" s="42"/>
      <c r="O197" s="19"/>
      <c r="P197" s="19"/>
      <c r="Q197" s="124"/>
      <c r="R197" s="124"/>
      <c r="S197" s="124"/>
      <c r="T197" s="124"/>
      <c r="U197" s="124"/>
      <c r="V197" s="124"/>
      <c r="W197" s="124"/>
      <c r="X197" s="124"/>
      <c r="Y197" s="124"/>
      <c r="Z197" s="124"/>
      <c r="AA197" s="124"/>
      <c r="AB197" s="124"/>
      <c r="AC197" s="124"/>
      <c r="AD197" s="124"/>
      <c r="AE197" s="124"/>
      <c r="AF197" s="124"/>
      <c r="AG197" s="124"/>
      <c r="AH197" s="124"/>
      <c r="AI197" s="129">
        <f t="shared" si="324"/>
        <v>68.751030803192251</v>
      </c>
      <c r="AJ197" s="129">
        <f t="shared" si="325"/>
        <v>60.515236808373452</v>
      </c>
      <c r="AK197" s="129">
        <f t="shared" si="326"/>
        <v>56.120994128405599</v>
      </c>
      <c r="AL197" s="399">
        <f t="shared" si="327"/>
        <v>51.128549479669495</v>
      </c>
      <c r="AM197" s="393">
        <f t="shared" si="328"/>
        <v>51.128549479669495</v>
      </c>
      <c r="AN197" s="393">
        <f t="shared" si="329"/>
        <v>51.128549479669495</v>
      </c>
      <c r="AO197" s="393">
        <f t="shared" si="330"/>
        <v>38.395899416292032</v>
      </c>
      <c r="AP197" s="96">
        <f t="shared" si="331"/>
        <v>30.312370665856662</v>
      </c>
      <c r="AQ197" s="91">
        <f t="shared" si="332"/>
        <v>22.228841915421292</v>
      </c>
      <c r="AR197" s="198"/>
      <c r="AS197" s="245">
        <f>$H$197*月別販売比率!AG11</f>
        <v>7.9419561539549646</v>
      </c>
      <c r="AT197" s="241">
        <v>23</v>
      </c>
      <c r="AU197" s="81">
        <f>$H$197*月別販売比率!AL11</f>
        <v>9.6806582327604058</v>
      </c>
      <c r="AV197" s="21"/>
      <c r="AW197" s="81">
        <f>$H$197*月別販売比率!AQ11</f>
        <v>13.264116659451766</v>
      </c>
      <c r="AX197" s="316"/>
      <c r="AY197" s="81">
        <f>$H$197*月別販売比率!AV11</f>
        <v>12.732650063377463</v>
      </c>
      <c r="AZ197" s="21"/>
      <c r="BA197" s="81">
        <f>$H$197*月別販売比率!BA11</f>
        <v>8.0835287504353683</v>
      </c>
      <c r="BB197" s="21"/>
      <c r="BC197" s="81">
        <f>$H$197*月別販売比率!BF11</f>
        <v>12.207421383647798</v>
      </c>
      <c r="BD197" s="21"/>
      <c r="BE197" s="81">
        <f>$H$197*月別販売比率!C27</f>
        <v>12.207421383647798</v>
      </c>
      <c r="BF197" s="21"/>
      <c r="BG197" s="245">
        <f>$H$197*月別販売比率!H27</f>
        <v>8.7341166128009426</v>
      </c>
      <c r="BH197" s="241">
        <v>20</v>
      </c>
      <c r="BI197" s="81">
        <f>$H$197*月別販売比率!M27</f>
        <v>9.681918091576776</v>
      </c>
      <c r="BJ197" s="21"/>
      <c r="BK197" s="81">
        <f>$H$197*月別販売比率!R27</f>
        <v>7.248969196807753</v>
      </c>
      <c r="BL197" s="21"/>
      <c r="BM197" s="81">
        <f>$H$197*月別販売比率!W27</f>
        <v>8.2357939948188008</v>
      </c>
      <c r="BN197" s="21"/>
      <c r="BO197" s="245">
        <f>$H$197*月別販売比率!AB27</f>
        <v>12.265161682324139</v>
      </c>
      <c r="BP197" s="241">
        <v>80</v>
      </c>
      <c r="BQ197" s="81">
        <f>$H$197*月別販売比率!AG27</f>
        <v>7.9419561539549646</v>
      </c>
      <c r="BR197" s="21"/>
      <c r="BS197" s="81">
        <f>$H$197*月別販売比率!AL27</f>
        <v>9.6806582327604058</v>
      </c>
      <c r="BT197" s="21"/>
      <c r="BU197" s="81">
        <f>$H$197*月別販売比率!AQ27</f>
        <v>13.264116659451766</v>
      </c>
      <c r="BV197" s="21"/>
      <c r="BW197" s="81">
        <f>$H$197*月別販売比率!AV27</f>
        <v>12.732650063377463</v>
      </c>
      <c r="BX197" s="21"/>
      <c r="BY197" s="81">
        <f>$H$197*月別販売比率!BA27</f>
        <v>8.0835287504353683</v>
      </c>
      <c r="BZ197" s="21"/>
      <c r="CA197" s="81">
        <f>$H$197*月別販売比率!BF27</f>
        <v>12.207421383647798</v>
      </c>
      <c r="CB197" s="21"/>
      <c r="CC197" s="81">
        <f>$H$197*月別販売比率!BH27</f>
        <v>0</v>
      </c>
      <c r="CD197" s="21"/>
      <c r="CE197" s="81">
        <f>$H$197*月別販売比率!H21</f>
        <v>8.5451949685534601</v>
      </c>
      <c r="CF197" s="21"/>
      <c r="CG197" s="81">
        <f>H197*月別販売比率!$M$27</f>
        <v>9.681918091576776</v>
      </c>
      <c r="CH197" s="21"/>
      <c r="CI197" s="81">
        <f>H197*月別販売比率!$R$27</f>
        <v>7.248969196807753</v>
      </c>
      <c r="CJ197" s="21"/>
      <c r="CK197" s="81">
        <f>H197*月別販売比率!$W$27</f>
        <v>8.2357939948188008</v>
      </c>
      <c r="CL197" s="21"/>
      <c r="CM197" s="81">
        <f>L197*月別販売比率!$R$27</f>
        <v>4.3942426799678529</v>
      </c>
      <c r="CN197" s="21"/>
      <c r="CO197" s="81">
        <f>L197*月別販売比率!$W$27</f>
        <v>4.9924446487361038</v>
      </c>
      <c r="CP197" s="21"/>
      <c r="CQ197" s="81">
        <f>P197*月別販売比率!$R$27</f>
        <v>0</v>
      </c>
      <c r="CR197" s="21"/>
      <c r="CS197" s="81">
        <f>P197*月別販売比率!$W$27</f>
        <v>0</v>
      </c>
      <c r="CT197" s="21"/>
      <c r="CU197" s="81">
        <f>H197*月別販売比率!$AV$27</f>
        <v>12.732650063377463</v>
      </c>
      <c r="CV197" s="21"/>
      <c r="CW197" s="81">
        <f>H197*月別販売比率!$BA$27</f>
        <v>8.0835287504353683</v>
      </c>
      <c r="CX197" s="21"/>
      <c r="CY197" s="81">
        <f>H197*月別販売比率!$BA$27</f>
        <v>8.0835287504353683</v>
      </c>
      <c r="CZ197" s="21"/>
      <c r="DA197" s="28"/>
      <c r="DB197" s="294"/>
    </row>
    <row r="198" spans="2:106" ht="30.75" customHeight="1">
      <c r="B198" s="239"/>
      <c r="C198" s="457"/>
      <c r="D198" s="442"/>
      <c r="E198" s="94" t="s">
        <v>63</v>
      </c>
      <c r="F198" s="57">
        <v>112</v>
      </c>
      <c r="G198" s="5">
        <f t="shared" si="321"/>
        <v>394240</v>
      </c>
      <c r="H198" s="45">
        <f t="shared" si="333"/>
        <v>127.77861635220125</v>
      </c>
      <c r="I198" s="5">
        <f t="shared" si="322"/>
        <v>449780.72955974843</v>
      </c>
      <c r="J198" s="389"/>
      <c r="K198" s="21">
        <f t="shared" si="323"/>
        <v>66</v>
      </c>
      <c r="L198" s="21">
        <v>64</v>
      </c>
      <c r="M198" s="39">
        <v>2</v>
      </c>
      <c r="N198" s="42"/>
      <c r="O198" s="19"/>
      <c r="P198" s="19"/>
      <c r="Q198" s="124"/>
      <c r="R198" s="124"/>
      <c r="S198" s="124"/>
      <c r="T198" s="124"/>
      <c r="U198" s="124"/>
      <c r="V198" s="124"/>
      <c r="W198" s="124"/>
      <c r="X198" s="124"/>
      <c r="Y198" s="124"/>
      <c r="Z198" s="124"/>
      <c r="AA198" s="124"/>
      <c r="AB198" s="124"/>
      <c r="AC198" s="124"/>
      <c r="AD198" s="124"/>
      <c r="AE198" s="124"/>
      <c r="AF198" s="124"/>
      <c r="AG198" s="124"/>
      <c r="AH198" s="124"/>
      <c r="AI198" s="129">
        <f t="shared" si="324"/>
        <v>58.412293924836746</v>
      </c>
      <c r="AJ198" s="129">
        <f t="shared" si="325"/>
        <v>49.791649743344166</v>
      </c>
      <c r="AK198" s="129">
        <f t="shared" si="326"/>
        <v>45.991223641750345</v>
      </c>
      <c r="AL198" s="399">
        <f t="shared" si="327"/>
        <v>41.673433675275874</v>
      </c>
      <c r="AM198" s="393">
        <f t="shared" si="328"/>
        <v>41.673433675275874</v>
      </c>
      <c r="AN198" s="393">
        <f t="shared" si="329"/>
        <v>41.673433675275874</v>
      </c>
      <c r="AO198" s="393">
        <f t="shared" si="330"/>
        <v>28.345799964077035</v>
      </c>
      <c r="AP198" s="96">
        <f t="shared" si="331"/>
        <v>19.884536225303563</v>
      </c>
      <c r="AQ198" s="91">
        <f t="shared" si="332"/>
        <v>11.423272486530093</v>
      </c>
      <c r="AR198" s="198"/>
      <c r="AS198" s="245">
        <f>$H$198*月別販売比率!AG11</f>
        <v>8.3130756004014579</v>
      </c>
      <c r="AT198" s="241">
        <v>25</v>
      </c>
      <c r="AU198" s="81">
        <f>$H$198*月別販売比率!AL11</f>
        <v>10.133025439898743</v>
      </c>
      <c r="AV198" s="21"/>
      <c r="AW198" s="81">
        <f>$H$198*月別販売比率!AQ11</f>
        <v>13.883935194940166</v>
      </c>
      <c r="AX198" s="316"/>
      <c r="AY198" s="81">
        <f>$H$198*月別販売比率!AV11</f>
        <v>13.327633711198839</v>
      </c>
      <c r="AZ198" s="21"/>
      <c r="BA198" s="81">
        <f>$H$198*月別販売比率!BA11</f>
        <v>8.4612637387734697</v>
      </c>
      <c r="BB198" s="21"/>
      <c r="BC198" s="81">
        <f>$H$198*月別販売比率!BF11</f>
        <v>12.777861635220127</v>
      </c>
      <c r="BD198" s="21"/>
      <c r="BE198" s="81">
        <f>$H$198*月別販売比率!C27</f>
        <v>12.777861635220127</v>
      </c>
      <c r="BF198" s="21"/>
      <c r="BG198" s="245">
        <f>$H$198*月別販売比率!H27</f>
        <v>9.1422529031187434</v>
      </c>
      <c r="BH198" s="241">
        <v>20</v>
      </c>
      <c r="BI198" s="81">
        <f>$H$201*月別販売比率!M24</f>
        <v>0</v>
      </c>
      <c r="BJ198" s="21"/>
      <c r="BK198" s="81">
        <f>$H$198*月別販売比率!R27</f>
        <v>7.5877060751632559</v>
      </c>
      <c r="BL198" s="21"/>
      <c r="BM198" s="81">
        <f>$H$198*月別販売比率!W27</f>
        <v>8.6206441814925778</v>
      </c>
      <c r="BN198" s="21"/>
      <c r="BO198" s="245">
        <f>$H$198*月別販売比率!AB27</f>
        <v>12.838300078694425</v>
      </c>
      <c r="BP198" s="241">
        <v>75</v>
      </c>
      <c r="BQ198" s="81">
        <f>$H$198*月別販売比率!AG27</f>
        <v>8.3130756004014579</v>
      </c>
      <c r="BR198" s="21"/>
      <c r="BS198" s="81">
        <f>$H$198*月別販売比率!AL27</f>
        <v>10.133025439898743</v>
      </c>
      <c r="BT198" s="21"/>
      <c r="BU198" s="81">
        <f>$H$198*月別販売比率!AQ27</f>
        <v>13.883935194940166</v>
      </c>
      <c r="BV198" s="21"/>
      <c r="BW198" s="81">
        <f>$H$198*月別販売比率!AV27</f>
        <v>13.327633711198839</v>
      </c>
      <c r="BX198" s="21"/>
      <c r="BY198" s="81">
        <f>$H$198*月別販売比率!BA27</f>
        <v>8.4612637387734697</v>
      </c>
      <c r="BZ198" s="21"/>
      <c r="CA198" s="81">
        <f>$H$198*月別販売比率!BF27</f>
        <v>12.777861635220127</v>
      </c>
      <c r="CB198" s="21"/>
      <c r="CC198" s="81">
        <f>$H$198*月別販売比率!BH27</f>
        <v>0</v>
      </c>
      <c r="CD198" s="21"/>
      <c r="CE198" s="81">
        <f>$H$198*月別販売比率!BJ27</f>
        <v>0</v>
      </c>
      <c r="CF198" s="21"/>
      <c r="CG198" s="81">
        <f>H198*月別販売比率!$M$27</f>
        <v>10.13434417062242</v>
      </c>
      <c r="CH198" s="21"/>
      <c r="CI198" s="81">
        <f>H198*月別販売比率!$R$27</f>
        <v>7.5877060751632559</v>
      </c>
      <c r="CJ198" s="21"/>
      <c r="CK198" s="81">
        <f>H198*月別販売比率!$W$27</f>
        <v>8.6206441814925778</v>
      </c>
      <c r="CL198" s="21"/>
      <c r="CM198" s="81">
        <f>L198*月別販売比率!$R$27</f>
        <v>3.8004261015938186</v>
      </c>
      <c r="CN198" s="21"/>
      <c r="CO198" s="81">
        <f>L198*月別販売比率!$W$27</f>
        <v>4.3177899664744679</v>
      </c>
      <c r="CP198" s="21"/>
      <c r="CQ198" s="81">
        <f>P198*月別販売比率!$R$27</f>
        <v>0</v>
      </c>
      <c r="CR198" s="21"/>
      <c r="CS198" s="81">
        <f>P198*月別販売比率!$W$27</f>
        <v>0</v>
      </c>
      <c r="CT198" s="21"/>
      <c r="CU198" s="81">
        <f>H198*月別販売比率!$AV$27</f>
        <v>13.327633711198839</v>
      </c>
      <c r="CV198" s="21"/>
      <c r="CW198" s="81">
        <f>H198*月別販売比率!$BA$27</f>
        <v>8.4612637387734697</v>
      </c>
      <c r="CX198" s="21"/>
      <c r="CY198" s="81">
        <f>H198*月別販売比率!$BA$27</f>
        <v>8.4612637387734697</v>
      </c>
      <c r="CZ198" s="21"/>
      <c r="DA198" s="28"/>
      <c r="DB198" s="294"/>
    </row>
    <row r="199" spans="2:106" ht="30.75" customHeight="1">
      <c r="B199" s="239"/>
      <c r="C199" s="457"/>
      <c r="D199" s="441">
        <v>2</v>
      </c>
      <c r="E199" s="99" t="s">
        <v>60</v>
      </c>
      <c r="F199" s="57">
        <v>87</v>
      </c>
      <c r="G199" s="5">
        <f t="shared" si="321"/>
        <v>306240</v>
      </c>
      <c r="H199" s="45">
        <f t="shared" si="333"/>
        <v>99.256603773584899</v>
      </c>
      <c r="I199" s="5">
        <f t="shared" si="322"/>
        <v>349383.24528301886</v>
      </c>
      <c r="J199" s="389"/>
      <c r="K199" s="21">
        <f t="shared" si="323"/>
        <v>64</v>
      </c>
      <c r="L199" s="21">
        <v>61</v>
      </c>
      <c r="M199" s="39">
        <v>3</v>
      </c>
      <c r="N199" s="42"/>
      <c r="O199" s="19"/>
      <c r="P199" s="19"/>
      <c r="Q199" s="124"/>
      <c r="R199" s="124"/>
      <c r="S199" s="124"/>
      <c r="T199" s="124"/>
      <c r="U199" s="124"/>
      <c r="V199" s="124"/>
      <c r="W199" s="124"/>
      <c r="X199" s="124"/>
      <c r="Y199" s="124"/>
      <c r="Z199" s="124"/>
      <c r="AA199" s="124"/>
      <c r="AB199" s="124"/>
      <c r="AC199" s="124"/>
      <c r="AD199" s="124"/>
      <c r="AE199" s="124"/>
      <c r="AF199" s="124"/>
      <c r="AG199" s="124"/>
      <c r="AH199" s="124"/>
      <c r="AI199" s="129">
        <f t="shared" si="324"/>
        <v>58.105978316614255</v>
      </c>
      <c r="AJ199" s="129">
        <f t="shared" si="325"/>
        <v>51.409585068490557</v>
      </c>
      <c r="AK199" s="129">
        <f t="shared" si="326"/>
        <v>47.787303940408947</v>
      </c>
      <c r="AL199" s="399">
        <f t="shared" si="327"/>
        <v>43.671910378612971</v>
      </c>
      <c r="AM199" s="393">
        <f t="shared" si="328"/>
        <v>43.671910378612971</v>
      </c>
      <c r="AN199" s="393">
        <f t="shared" si="329"/>
        <v>43.671910378612971</v>
      </c>
      <c r="AO199" s="393">
        <f t="shared" si="330"/>
        <v>33.31919490652102</v>
      </c>
      <c r="AP199" s="96">
        <f t="shared" si="331"/>
        <v>26.746606109438055</v>
      </c>
      <c r="AQ199" s="91">
        <f t="shared" si="332"/>
        <v>20.17401731235509</v>
      </c>
      <c r="AR199" s="198"/>
      <c r="AS199" s="245">
        <f>$H$199*月別販売比率!AG11</f>
        <v>6.4574783681689896</v>
      </c>
      <c r="AT199" s="241"/>
      <c r="AU199" s="81">
        <f>$H$199*月別販売比率!AL11</f>
        <v>7.8711894042070591</v>
      </c>
      <c r="AV199" s="21"/>
      <c r="AW199" s="81">
        <f>$H$199*月別販売比率!AQ11</f>
        <v>10.784842517498165</v>
      </c>
      <c r="AX199" s="21"/>
      <c r="AY199" s="81">
        <f>$H$199*月別販売比率!AV11</f>
        <v>10.352715472091955</v>
      </c>
      <c r="AZ199" s="21"/>
      <c r="BA199" s="81">
        <f>$H$199*月別販売比率!BA11</f>
        <v>6.5725887970829628</v>
      </c>
      <c r="BB199" s="21"/>
      <c r="BC199" s="81">
        <f>$H$199*月別販売比率!BF11</f>
        <v>9.9256603773584899</v>
      </c>
      <c r="BD199" s="21"/>
      <c r="BE199" s="81">
        <f>$H$199*月別販売比率!C27</f>
        <v>9.9256603773584899</v>
      </c>
      <c r="BF199" s="21"/>
      <c r="BG199" s="245">
        <f>$H$199*月別販売比率!H27</f>
        <v>7.1015714515297379</v>
      </c>
      <c r="BH199" s="241">
        <v>40</v>
      </c>
      <c r="BI199" s="81">
        <f>$H$201*月別販売比率!M25</f>
        <v>18.20845283018868</v>
      </c>
      <c r="BJ199" s="21"/>
      <c r="BK199" s="81">
        <f>$H$199*月別販売比率!R27</f>
        <v>5.8940216833857431</v>
      </c>
      <c r="BL199" s="21"/>
      <c r="BM199" s="81">
        <f>$H$199*月別販売比率!W27</f>
        <v>6.6963932481236981</v>
      </c>
      <c r="BN199" s="21"/>
      <c r="BO199" s="245">
        <f>$H$199*月別販売比率!AB27</f>
        <v>9.9726080968429915</v>
      </c>
      <c r="BP199" s="241">
        <v>60</v>
      </c>
      <c r="BQ199" s="81">
        <f>$H$199*月別販売比率!AG27</f>
        <v>6.4574783681689896</v>
      </c>
      <c r="BR199" s="21"/>
      <c r="BS199" s="81">
        <f>$H$199*月別販売比率!AL27</f>
        <v>7.8711894042070591</v>
      </c>
      <c r="BT199" s="21"/>
      <c r="BU199" s="81">
        <f>$H$199*月別販売比率!AQ27</f>
        <v>10.784842517498165</v>
      </c>
      <c r="BV199" s="21"/>
      <c r="BW199" s="81">
        <f>$H$199*月別販売比率!AV27</f>
        <v>10.352715472091955</v>
      </c>
      <c r="BX199" s="21"/>
      <c r="BY199" s="81">
        <f>$H$199*月別販売比率!BA27</f>
        <v>6.5725887970829628</v>
      </c>
      <c r="BZ199" s="21"/>
      <c r="CA199" s="81">
        <f>$H$199*月別販売比率!BF27</f>
        <v>9.9256603773584899</v>
      </c>
      <c r="CB199" s="21"/>
      <c r="CC199" s="81">
        <f>$H$199*月別販売比率!BH27</f>
        <v>0</v>
      </c>
      <c r="CD199" s="21"/>
      <c r="CE199" s="81">
        <f>$H$199*月別販売比率!BJ27</f>
        <v>0</v>
      </c>
      <c r="CF199" s="21"/>
      <c r="CG199" s="81">
        <f>H199*月別販売比率!$M$27</f>
        <v>7.8722137753942016</v>
      </c>
      <c r="CH199" s="21"/>
      <c r="CI199" s="81">
        <f>H199*月別販売比率!$R$27</f>
        <v>5.8940216833857431</v>
      </c>
      <c r="CJ199" s="21"/>
      <c r="CK199" s="81">
        <f>H199*月別販売比率!$W$27</f>
        <v>6.6963932481236981</v>
      </c>
      <c r="CL199" s="21"/>
      <c r="CM199" s="81">
        <f>L199*月別販売比率!$R$27</f>
        <v>3.6222811280816085</v>
      </c>
      <c r="CN199" s="21"/>
      <c r="CO199" s="81">
        <f>L199*月別販売比率!$W$27</f>
        <v>4.1153935617959769</v>
      </c>
      <c r="CP199" s="21"/>
      <c r="CQ199" s="81">
        <f>P199*月別販売比率!$R$27</f>
        <v>0</v>
      </c>
      <c r="CR199" s="21"/>
      <c r="CS199" s="81">
        <f>P199*月別販売比率!$W$27</f>
        <v>0</v>
      </c>
      <c r="CT199" s="21"/>
      <c r="CU199" s="81">
        <f>H199*月別販売比率!$AV$27</f>
        <v>10.352715472091955</v>
      </c>
      <c r="CV199" s="21"/>
      <c r="CW199" s="81">
        <f>H199*月別販売比率!$BA$27</f>
        <v>6.5725887970829628</v>
      </c>
      <c r="CX199" s="21"/>
      <c r="CY199" s="81">
        <f>H199*月別販売比率!$BA$27</f>
        <v>6.5725887970829628</v>
      </c>
      <c r="CZ199" s="21"/>
      <c r="DA199" s="28"/>
      <c r="DB199" s="294"/>
    </row>
    <row r="200" spans="2:106" ht="30.75" customHeight="1">
      <c r="B200" s="239"/>
      <c r="C200" s="457"/>
      <c r="D200" s="441"/>
      <c r="E200" s="94" t="s">
        <v>62</v>
      </c>
      <c r="F200" s="57">
        <v>105</v>
      </c>
      <c r="G200" s="5">
        <f t="shared" si="321"/>
        <v>369600</v>
      </c>
      <c r="H200" s="45">
        <f t="shared" si="333"/>
        <v>119.79245283018868</v>
      </c>
      <c r="I200" s="5">
        <f t="shared" si="322"/>
        <v>421669.43396226416</v>
      </c>
      <c r="J200" s="389"/>
      <c r="K200" s="21">
        <f t="shared" si="323"/>
        <v>42</v>
      </c>
      <c r="L200" s="21">
        <v>39</v>
      </c>
      <c r="M200" s="39">
        <v>3</v>
      </c>
      <c r="N200" s="42"/>
      <c r="O200" s="19"/>
      <c r="P200" s="19"/>
      <c r="Q200" s="124"/>
      <c r="R200" s="124"/>
      <c r="S200" s="124"/>
      <c r="T200" s="124"/>
      <c r="U200" s="124"/>
      <c r="V200" s="328"/>
      <c r="W200" s="331">
        <v>45838</v>
      </c>
      <c r="X200" s="124"/>
      <c r="Y200" s="124"/>
      <c r="Z200" s="124"/>
      <c r="AA200" s="124"/>
      <c r="AB200" s="124"/>
      <c r="AC200" s="124"/>
      <c r="AD200" s="124"/>
      <c r="AE200" s="124"/>
      <c r="AF200" s="124"/>
      <c r="AG200" s="124"/>
      <c r="AH200" s="124"/>
      <c r="AI200" s="129">
        <f t="shared" si="324"/>
        <v>34.886525554534444</v>
      </c>
      <c r="AJ200" s="129">
        <f t="shared" si="325"/>
        <v>26.804671634385151</v>
      </c>
      <c r="AK200" s="129">
        <f t="shared" si="326"/>
        <v>24.488786978726417</v>
      </c>
      <c r="AL200" s="399">
        <f t="shared" si="327"/>
        <v>21.857633717906037</v>
      </c>
      <c r="AM200" s="393">
        <f t="shared" si="328"/>
        <v>21.857633717906037</v>
      </c>
      <c r="AN200" s="393">
        <f t="shared" si="329"/>
        <v>21.857633717906037</v>
      </c>
      <c r="AO200" s="393">
        <f t="shared" si="330"/>
        <v>9.3629771136571236</v>
      </c>
      <c r="AP200" s="96">
        <f t="shared" si="331"/>
        <v>1.4305423585569947</v>
      </c>
      <c r="AQ200" s="91">
        <f t="shared" si="332"/>
        <v>-6.5018923965431341</v>
      </c>
      <c r="AR200" s="198"/>
      <c r="AS200" s="245">
        <f>$H$200*月別販売比率!AG11</f>
        <v>7.7935083753763674</v>
      </c>
      <c r="AT200" s="241"/>
      <c r="AU200" s="81">
        <f>$H$200*月別販売比率!AL11</f>
        <v>9.4997113499050716</v>
      </c>
      <c r="AV200" s="21"/>
      <c r="AW200" s="81">
        <f>$H$200*月別販売比率!AQ11</f>
        <v>13.016189245256408</v>
      </c>
      <c r="AX200" s="21"/>
      <c r="AY200" s="81">
        <f>$H$200*月別販売比率!AV11</f>
        <v>12.494656604248913</v>
      </c>
      <c r="AZ200" s="21"/>
      <c r="BA200" s="81">
        <f>$H$200*月別販売比率!BA11</f>
        <v>7.9324347551001289</v>
      </c>
      <c r="BB200" s="21"/>
      <c r="BC200" s="81">
        <f>$H$200*月別販売比率!BF11</f>
        <v>11.979245283018869</v>
      </c>
      <c r="BD200" s="21"/>
      <c r="BE200" s="81">
        <f>$H$200*月別販売比率!C27</f>
        <v>11.979245283018869</v>
      </c>
      <c r="BF200" s="21"/>
      <c r="BG200" s="245">
        <f>$H$200*月別販売比率!H27</f>
        <v>8.5708620966738227</v>
      </c>
      <c r="BH200" s="241">
        <v>25</v>
      </c>
      <c r="BI200" s="81">
        <f>$H$201*月別販売比率!M26</f>
        <v>0</v>
      </c>
      <c r="BJ200" s="21"/>
      <c r="BK200" s="81">
        <f>$H$200*月別販売比率!R27</f>
        <v>7.1134744454655525</v>
      </c>
      <c r="BL200" s="21"/>
      <c r="BM200" s="81">
        <f>$H$200*月別販売比率!W27</f>
        <v>8.0818539201492907</v>
      </c>
      <c r="BN200" s="21"/>
      <c r="BO200" s="245">
        <f>$H$200*月別販売比率!AB27</f>
        <v>12.035906323776025</v>
      </c>
      <c r="BP200" s="241">
        <v>95</v>
      </c>
      <c r="BQ200" s="81">
        <f>$H$200*月別販売比率!AG27</f>
        <v>7.7935083753763674</v>
      </c>
      <c r="BR200" s="21"/>
      <c r="BS200" s="81">
        <f>$H$200*月別販売比率!AL27</f>
        <v>9.4997113499050716</v>
      </c>
      <c r="BT200" s="21"/>
      <c r="BU200" s="81">
        <f>$H$200*月別販売比率!AQ27</f>
        <v>13.016189245256408</v>
      </c>
      <c r="BV200" s="21"/>
      <c r="BW200" s="81">
        <f>$H$200*月別販売比率!AV27</f>
        <v>12.494656604248913</v>
      </c>
      <c r="BX200" s="21"/>
      <c r="BY200" s="81">
        <f>$H$200*月別販売比率!BA27</f>
        <v>7.9324347551001289</v>
      </c>
      <c r="BZ200" s="21"/>
      <c r="CA200" s="81">
        <f>$H$200*月別販売比率!BF27</f>
        <v>11.979245283018869</v>
      </c>
      <c r="CB200" s="21"/>
      <c r="CC200" s="81">
        <f>$H$200*月別販売比率!BH27</f>
        <v>0</v>
      </c>
      <c r="CD200" s="21"/>
      <c r="CE200" s="81">
        <f>$H$200*月別販売比率!BJ27</f>
        <v>0</v>
      </c>
      <c r="CF200" s="21"/>
      <c r="CG200" s="81">
        <f>H200*月別販売比率!$M$27</f>
        <v>9.5009476599585199</v>
      </c>
      <c r="CH200" s="21"/>
      <c r="CI200" s="81">
        <f>H200*月別販売比率!$R$27</f>
        <v>7.1134744454655525</v>
      </c>
      <c r="CJ200" s="21"/>
      <c r="CK200" s="81">
        <f>H200*月別販売比率!$W$27</f>
        <v>8.0818539201492907</v>
      </c>
      <c r="CL200" s="21"/>
      <c r="CM200" s="81">
        <f>L200*月別販売比率!$R$27</f>
        <v>2.3158846556587331</v>
      </c>
      <c r="CN200" s="21"/>
      <c r="CO200" s="81">
        <f>L200*月別販売比率!$W$27</f>
        <v>2.6311532608203789</v>
      </c>
      <c r="CP200" s="21"/>
      <c r="CQ200" s="81">
        <f>P200*月別販売比率!$R$27</f>
        <v>0</v>
      </c>
      <c r="CR200" s="21"/>
      <c r="CS200" s="81">
        <f>P200*月別販売比率!$W$27</f>
        <v>0</v>
      </c>
      <c r="CT200" s="21"/>
      <c r="CU200" s="81">
        <f>H200*月別販売比率!$AV$27</f>
        <v>12.494656604248913</v>
      </c>
      <c r="CV200" s="21"/>
      <c r="CW200" s="81">
        <f>H200*月別販売比率!$BA$27</f>
        <v>7.9324347551001289</v>
      </c>
      <c r="CX200" s="21"/>
      <c r="CY200" s="81">
        <f>H200*月別販売比率!$BA$27</f>
        <v>7.9324347551001289</v>
      </c>
      <c r="CZ200" s="21"/>
      <c r="DA200" s="28"/>
      <c r="DB200" s="294"/>
    </row>
    <row r="201" spans="2:106" ht="30.75" customHeight="1">
      <c r="B201" s="239"/>
      <c r="C201" s="457"/>
      <c r="D201" s="441"/>
      <c r="E201" s="94" t="s">
        <v>61</v>
      </c>
      <c r="F201" s="56">
        <v>114</v>
      </c>
      <c r="G201" s="46">
        <f t="shared" si="321"/>
        <v>401280</v>
      </c>
      <c r="H201" s="45">
        <f t="shared" si="333"/>
        <v>130.06037735849057</v>
      </c>
      <c r="I201" s="46">
        <f t="shared" si="322"/>
        <v>457812.52830188681</v>
      </c>
      <c r="J201" s="388"/>
      <c r="K201" s="39">
        <f t="shared" si="323"/>
        <v>74</v>
      </c>
      <c r="L201" s="39">
        <v>72</v>
      </c>
      <c r="M201" s="39">
        <v>2</v>
      </c>
      <c r="N201" s="42"/>
      <c r="O201" s="43"/>
      <c r="P201" s="43"/>
      <c r="Q201" s="129"/>
      <c r="R201" s="129"/>
      <c r="S201" s="129"/>
      <c r="T201" s="129"/>
      <c r="U201" s="129"/>
      <c r="V201" s="129"/>
      <c r="W201" s="129"/>
      <c r="X201" s="129"/>
      <c r="Y201" s="129"/>
      <c r="Z201" s="129"/>
      <c r="AA201" s="129"/>
      <c r="AB201" s="129"/>
      <c r="AC201" s="129"/>
      <c r="AD201" s="129"/>
      <c r="AE201" s="129"/>
      <c r="AF201" s="129"/>
      <c r="AG201" s="129"/>
      <c r="AH201" s="129"/>
      <c r="AI201" s="129">
        <f t="shared" si="324"/>
        <v>66.276799173494538</v>
      </c>
      <c r="AJ201" s="129">
        <f t="shared" si="325"/>
        <v>57.502214917332452</v>
      </c>
      <c r="AK201" s="129">
        <f t="shared" si="326"/>
        <v>53.226735553039404</v>
      </c>
      <c r="AL201" s="399">
        <f t="shared" si="327"/>
        <v>48.369221840755628</v>
      </c>
      <c r="AM201" s="393">
        <f t="shared" si="328"/>
        <v>48.369221840755628</v>
      </c>
      <c r="AN201" s="393">
        <f t="shared" si="329"/>
        <v>48.369221840755628</v>
      </c>
      <c r="AO201" s="393">
        <f t="shared" si="330"/>
        <v>34.80359467042824</v>
      </c>
      <c r="AP201" s="96">
        <f t="shared" si="331"/>
        <v>26.191236936319527</v>
      </c>
      <c r="AQ201" s="91">
        <f t="shared" si="332"/>
        <v>17.578879202210814</v>
      </c>
      <c r="AR201" s="198"/>
      <c r="AS201" s="245">
        <f>$H$201*月別販売比率!AG11</f>
        <v>8.4615233789800559</v>
      </c>
      <c r="AT201" s="241"/>
      <c r="AU201" s="81">
        <f>$H$201*月別販売比率!AL11</f>
        <v>10.313972322754079</v>
      </c>
      <c r="AV201" s="21"/>
      <c r="AW201" s="81">
        <f>$H$201*月別販売比率!AQ11</f>
        <v>14.131862609135528</v>
      </c>
      <c r="AX201" s="21"/>
      <c r="AY201" s="81">
        <f>$H$201*月別販売比率!AV11</f>
        <v>13.565627170327391</v>
      </c>
      <c r="AZ201" s="21"/>
      <c r="BA201" s="81">
        <f>$H$201*月別販売比率!BA11</f>
        <v>8.612357734108711</v>
      </c>
      <c r="BB201" s="21"/>
      <c r="BC201" s="81">
        <f>$H$201*月別販売比率!BF11</f>
        <v>13.006037735849057</v>
      </c>
      <c r="BD201" s="21"/>
      <c r="BE201" s="81">
        <f>$H$201*月別販売比率!C27</f>
        <v>13.006037735849057</v>
      </c>
      <c r="BF201" s="21"/>
      <c r="BG201" s="245">
        <f>$H$201*月別販売比率!H27</f>
        <v>9.3055074192458651</v>
      </c>
      <c r="BH201" s="241">
        <v>30</v>
      </c>
      <c r="BI201" s="81">
        <f>$H$201*月別販売比率!M27</f>
        <v>10.315314602240679</v>
      </c>
      <c r="BJ201" s="21"/>
      <c r="BK201" s="81">
        <f>$H$201*月別販売比率!R27</f>
        <v>7.7232008265054573</v>
      </c>
      <c r="BL201" s="21"/>
      <c r="BM201" s="81">
        <f>$H$201*月別販売比率!W27</f>
        <v>8.7745842561620879</v>
      </c>
      <c r="BN201" s="21"/>
      <c r="BO201" s="245">
        <f>$H$201*月別販売比率!AB27</f>
        <v>13.067555437242541</v>
      </c>
      <c r="BP201" s="241">
        <v>80</v>
      </c>
      <c r="BQ201" s="81">
        <f>$H$201*月別販売比率!AG27</f>
        <v>8.4615233789800559</v>
      </c>
      <c r="BR201" s="21"/>
      <c r="BS201" s="81">
        <f>$H$201*月別販売比率!AL27</f>
        <v>10.313972322754079</v>
      </c>
      <c r="BT201" s="21"/>
      <c r="BU201" s="81">
        <f>$H$201*月別販売比率!AQ27</f>
        <v>14.131862609135528</v>
      </c>
      <c r="BV201" s="21"/>
      <c r="BW201" s="81">
        <f>$H$201*月別販売比率!AV27</f>
        <v>13.565627170327391</v>
      </c>
      <c r="BX201" s="21"/>
      <c r="BY201" s="81">
        <f>$H$201*月別販売比率!BA27</f>
        <v>8.612357734108711</v>
      </c>
      <c r="BZ201" s="21"/>
      <c r="CA201" s="81">
        <f>$H$201*月別販売比率!BF27</f>
        <v>13.006037735849057</v>
      </c>
      <c r="CB201" s="21"/>
      <c r="CC201" s="81">
        <f>$H$201*月別販売比率!BH27</f>
        <v>0</v>
      </c>
      <c r="CD201" s="21"/>
      <c r="CE201" s="81">
        <f>$H$201*月別販売比率!BJ27</f>
        <v>0</v>
      </c>
      <c r="CF201" s="21"/>
      <c r="CG201" s="81">
        <f>H201*月別販売比率!$M$27</f>
        <v>10.315314602240679</v>
      </c>
      <c r="CH201" s="21"/>
      <c r="CI201" s="81">
        <f>H201*月別販売比率!$R$27</f>
        <v>7.7232008265054573</v>
      </c>
      <c r="CJ201" s="21"/>
      <c r="CK201" s="81">
        <f>H201*月別販売比率!$W$27</f>
        <v>8.7745842561620879</v>
      </c>
      <c r="CL201" s="21"/>
      <c r="CM201" s="81">
        <f>L201*月別販売比率!$R$27</f>
        <v>4.2754793642930462</v>
      </c>
      <c r="CN201" s="21"/>
      <c r="CO201" s="81">
        <f>L201*月別販売比率!$W$27</f>
        <v>4.8575137122837759</v>
      </c>
      <c r="CP201" s="21"/>
      <c r="CQ201" s="81">
        <f>P201*月別販売比率!$R$27</f>
        <v>0</v>
      </c>
      <c r="CR201" s="21"/>
      <c r="CS201" s="81">
        <f>P201*月別販売比率!$W$27</f>
        <v>0</v>
      </c>
      <c r="CT201" s="21"/>
      <c r="CU201" s="81">
        <f>H201*月別販売比率!$AV$27</f>
        <v>13.565627170327391</v>
      </c>
      <c r="CV201" s="21"/>
      <c r="CW201" s="81">
        <f>H201*月別販売比率!$BA$27</f>
        <v>8.612357734108711</v>
      </c>
      <c r="CX201" s="21"/>
      <c r="CY201" s="81">
        <f>H201*月別販売比率!$BA$27</f>
        <v>8.612357734108711</v>
      </c>
      <c r="CZ201" s="21"/>
      <c r="DA201" s="28"/>
      <c r="DB201" s="294"/>
    </row>
    <row r="202" spans="2:106" ht="30.75" customHeight="1">
      <c r="B202" s="239"/>
      <c r="C202" s="458"/>
      <c r="D202" s="444"/>
      <c r="E202" s="122" t="s">
        <v>63</v>
      </c>
      <c r="F202" s="58">
        <v>113</v>
      </c>
      <c r="G202" s="35">
        <f t="shared" si="321"/>
        <v>397760</v>
      </c>
      <c r="H202" s="52">
        <f t="shared" si="333"/>
        <v>128.9194968553459</v>
      </c>
      <c r="I202" s="35">
        <f t="shared" si="322"/>
        <v>453796.62893081753</v>
      </c>
      <c r="J202" s="390"/>
      <c r="K202" s="103">
        <f t="shared" si="323"/>
        <v>15</v>
      </c>
      <c r="L202" s="104">
        <v>13</v>
      </c>
      <c r="M202" s="103">
        <v>2</v>
      </c>
      <c r="N202" s="117"/>
      <c r="O202" s="123"/>
      <c r="P202" s="123"/>
      <c r="Q202" s="238"/>
      <c r="R202" s="238"/>
      <c r="S202" s="238"/>
      <c r="T202" s="238"/>
      <c r="U202" s="238"/>
      <c r="V202" s="238"/>
      <c r="W202" s="238"/>
      <c r="X202" s="238"/>
      <c r="Y202" s="238"/>
      <c r="Z202" s="238"/>
      <c r="AA202" s="238"/>
      <c r="AB202" s="238"/>
      <c r="AC202" s="238"/>
      <c r="AD202" s="238"/>
      <c r="AE202" s="238"/>
      <c r="AF202" s="238"/>
      <c r="AG202" s="238"/>
      <c r="AH202" s="238"/>
      <c r="AI202" s="238">
        <f t="shared" si="324"/>
        <v>7.3445465491656448</v>
      </c>
      <c r="AJ202" s="238">
        <f t="shared" si="325"/>
        <v>-1.3530676696616863</v>
      </c>
      <c r="AK202" s="238">
        <f t="shared" si="326"/>
        <v>-2.1250292215479307</v>
      </c>
      <c r="AL202" s="401">
        <f t="shared" si="327"/>
        <v>-3.0020803084880567</v>
      </c>
      <c r="AM202" s="395">
        <f t="shared" si="328"/>
        <v>-3.0020803084880567</v>
      </c>
      <c r="AN202" s="395">
        <f t="shared" si="329"/>
        <v>-3.0020803084880567</v>
      </c>
      <c r="AO202" s="395">
        <f t="shared" si="330"/>
        <v>-16.44871074925117</v>
      </c>
      <c r="AP202" s="403">
        <f t="shared" si="331"/>
        <v>-24.98552148569226</v>
      </c>
      <c r="AQ202" s="90">
        <f t="shared" si="332"/>
        <v>-33.52233222213335</v>
      </c>
      <c r="AR202" s="238"/>
      <c r="AS202" s="301">
        <f>$H$202*月別販売比率!AG11</f>
        <v>8.387299489690756</v>
      </c>
      <c r="AT202" s="302"/>
      <c r="AU202" s="282">
        <f>$H$202*月別販売比率!AL11</f>
        <v>10.22349888132641</v>
      </c>
      <c r="AV202" s="103"/>
      <c r="AW202" s="282">
        <f>$H$202*月別販売比率!AQ11</f>
        <v>14.007898902037846</v>
      </c>
      <c r="AX202" s="103"/>
      <c r="AY202" s="282">
        <f>$H$202*月別販売比率!AV11</f>
        <v>13.446630440763114</v>
      </c>
      <c r="AZ202" s="103"/>
      <c r="BA202" s="282">
        <f>$H$202*月別販売比率!BA11</f>
        <v>8.5368107364410903</v>
      </c>
      <c r="BB202" s="103"/>
      <c r="BC202" s="282">
        <f>$H$202*月別販売比率!BF11</f>
        <v>12.891949685534591</v>
      </c>
      <c r="BD202" s="103"/>
      <c r="BE202" s="282">
        <f>$H$202*月別販売比率!C27</f>
        <v>12.891949685534591</v>
      </c>
      <c r="BF202" s="103"/>
      <c r="BG202" s="301">
        <f>$H$202*月別販売比率!H27</f>
        <v>9.2238801611823025</v>
      </c>
      <c r="BH202" s="302">
        <v>30</v>
      </c>
      <c r="BI202" s="282">
        <f>$H$201*月別販売比率!M28</f>
        <v>0</v>
      </c>
      <c r="BJ202" s="103"/>
      <c r="BK202" s="282">
        <f>$H$202*月別販売比率!R27</f>
        <v>7.6554534508343552</v>
      </c>
      <c r="BL202" s="103"/>
      <c r="BM202" s="282">
        <f>$H$202*月別販売比率!W27</f>
        <v>8.6976142188273311</v>
      </c>
      <c r="BN202" s="103"/>
      <c r="BO202" s="301">
        <f>$H$202*月別販売比率!AB27</f>
        <v>12.952927757968482</v>
      </c>
      <c r="BP202" s="302">
        <v>85</v>
      </c>
      <c r="BQ202" s="282">
        <f>$H$202*月別販売比率!AG27</f>
        <v>8.387299489690756</v>
      </c>
      <c r="BR202" s="117"/>
      <c r="BS202" s="282">
        <f>$H$202*月別販売比率!AL27</f>
        <v>10.22349888132641</v>
      </c>
      <c r="BT202" s="103"/>
      <c r="BU202" s="282">
        <f>$H$202*月別販売比率!AQ27</f>
        <v>14.007898902037846</v>
      </c>
      <c r="BV202" s="103"/>
      <c r="BW202" s="282">
        <f>$H$202*月別販売比率!AV27</f>
        <v>13.446630440763114</v>
      </c>
      <c r="BX202" s="103"/>
      <c r="BY202" s="282">
        <f>$H$202*月別販売比率!BA27</f>
        <v>8.5368107364410903</v>
      </c>
      <c r="BZ202" s="103"/>
      <c r="CA202" s="282">
        <f>$H$202*月別販売比率!BF27</f>
        <v>12.891949685534591</v>
      </c>
      <c r="CB202" s="103"/>
      <c r="CC202" s="282">
        <f>$H$202*月別販売比率!BH27</f>
        <v>0</v>
      </c>
      <c r="CD202" s="103"/>
      <c r="CE202" s="282">
        <f>$H$202*月別販売比率!BJ27</f>
        <v>0</v>
      </c>
      <c r="CF202" s="103"/>
      <c r="CG202" s="282">
        <f>H202*月別販売比率!$M$27</f>
        <v>10.224829386431548</v>
      </c>
      <c r="CH202" s="103"/>
      <c r="CI202" s="282">
        <f>H202*月別販売比率!$R$27</f>
        <v>7.6554534508343552</v>
      </c>
      <c r="CJ202" s="103"/>
      <c r="CK202" s="282">
        <f>H202*月別販売比率!$W$27</f>
        <v>8.6976142188273311</v>
      </c>
      <c r="CL202" s="103"/>
      <c r="CM202" s="282">
        <f>L202*月別販売比率!$R$27</f>
        <v>0.77196155188624438</v>
      </c>
      <c r="CN202" s="103"/>
      <c r="CO202" s="282">
        <f>L202*月別販売比率!$W$27</f>
        <v>0.87705108694012623</v>
      </c>
      <c r="CP202" s="103"/>
      <c r="CQ202" s="282">
        <f>P202*月別販売比率!$R$27</f>
        <v>0</v>
      </c>
      <c r="CR202" s="103"/>
      <c r="CS202" s="282">
        <f>P202*月別販売比率!$W$27</f>
        <v>0</v>
      </c>
      <c r="CT202" s="103"/>
      <c r="CU202" s="282">
        <f>H202*月別販売比率!$AV$27</f>
        <v>13.446630440763114</v>
      </c>
      <c r="CV202" s="103"/>
      <c r="CW202" s="282">
        <f>H202*月別販売比率!$BA$27</f>
        <v>8.5368107364410903</v>
      </c>
      <c r="CX202" s="103"/>
      <c r="CY202" s="282">
        <f>H202*月別販売比率!$BA$27</f>
        <v>8.5368107364410903</v>
      </c>
      <c r="CZ202" s="103"/>
      <c r="DA202" s="303"/>
      <c r="DB202" s="300"/>
    </row>
    <row r="203" spans="2:106" ht="30.6" customHeight="1">
      <c r="B203" s="2">
        <v>14</v>
      </c>
      <c r="C203" s="435" t="s">
        <v>490</v>
      </c>
      <c r="D203" s="436"/>
      <c r="E203" s="445"/>
      <c r="F203" s="130">
        <f>SUM(F204:F213)</f>
        <v>1070</v>
      </c>
      <c r="G203" s="131">
        <f>SUM(G204:G213)</f>
        <v>3295600</v>
      </c>
      <c r="H203" s="130">
        <v>1070</v>
      </c>
      <c r="I203" s="131">
        <f>SUM(I204:I213)</f>
        <v>3295600</v>
      </c>
      <c r="J203" s="133">
        <f>SUM(J205:J213)</f>
        <v>251</v>
      </c>
      <c r="K203" s="134">
        <f>SUM(K205:K213)</f>
        <v>199</v>
      </c>
      <c r="L203" s="134">
        <f>SUM(L205:L213)</f>
        <v>67</v>
      </c>
      <c r="M203" s="134">
        <f>SUM(M204:M213)</f>
        <v>148</v>
      </c>
      <c r="N203" s="135">
        <f>SUM(N204:N213)</f>
        <v>0</v>
      </c>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6">
        <f t="shared" ref="AS203:CB203" si="334">SUM(AS204:AS213)</f>
        <v>107.00000000000003</v>
      </c>
      <c r="AT203" s="134">
        <f t="shared" si="334"/>
        <v>0</v>
      </c>
      <c r="AU203" s="136">
        <f t="shared" si="334"/>
        <v>96.300000000000011</v>
      </c>
      <c r="AV203" s="134">
        <f t="shared" si="334"/>
        <v>0</v>
      </c>
      <c r="AW203" s="136">
        <f t="shared" si="334"/>
        <v>107.00000000000003</v>
      </c>
      <c r="AX203" s="134">
        <f t="shared" si="334"/>
        <v>0</v>
      </c>
      <c r="AY203" s="136">
        <f t="shared" si="334"/>
        <v>65.156981784482824</v>
      </c>
      <c r="AZ203" s="134">
        <f t="shared" si="334"/>
        <v>0</v>
      </c>
      <c r="BA203" s="136">
        <f t="shared" si="334"/>
        <v>59.516739154400597</v>
      </c>
      <c r="BB203" s="134">
        <f t="shared" si="334"/>
        <v>0</v>
      </c>
      <c r="BC203" s="136">
        <f t="shared" si="334"/>
        <v>85.600000000000009</v>
      </c>
      <c r="BD203" s="134">
        <f t="shared" si="334"/>
        <v>0</v>
      </c>
      <c r="BE203" s="136">
        <f t="shared" si="334"/>
        <v>75.824748693949019</v>
      </c>
      <c r="BF203" s="134">
        <f t="shared" si="334"/>
        <v>600</v>
      </c>
      <c r="BG203" s="136">
        <f t="shared" si="334"/>
        <v>74.900000000000006</v>
      </c>
      <c r="BH203" s="134">
        <f t="shared" si="334"/>
        <v>0</v>
      </c>
      <c r="BI203" s="136">
        <f t="shared" si="334"/>
        <v>108.13814736230978</v>
      </c>
      <c r="BJ203" s="134">
        <f t="shared" si="334"/>
        <v>0</v>
      </c>
      <c r="BK203" s="136">
        <f t="shared" si="334"/>
        <v>85.600000000000009</v>
      </c>
      <c r="BL203" s="134">
        <f t="shared" si="334"/>
        <v>0</v>
      </c>
      <c r="BM203" s="136">
        <f t="shared" si="334"/>
        <v>81.498390751431899</v>
      </c>
      <c r="BN203" s="134">
        <f t="shared" si="334"/>
        <v>0</v>
      </c>
      <c r="BO203" s="136">
        <f t="shared" si="334"/>
        <v>128.4</v>
      </c>
      <c r="BP203" s="134">
        <f t="shared" si="334"/>
        <v>560</v>
      </c>
      <c r="BQ203" s="136">
        <f t="shared" si="334"/>
        <v>107.00000000000003</v>
      </c>
      <c r="BR203" s="134">
        <f t="shared" si="334"/>
        <v>40</v>
      </c>
      <c r="BS203" s="136">
        <f t="shared" si="334"/>
        <v>96.300000000000011</v>
      </c>
      <c r="BT203" s="134">
        <f t="shared" si="334"/>
        <v>0</v>
      </c>
      <c r="BU203" s="136">
        <f t="shared" si="334"/>
        <v>107.00000000000003</v>
      </c>
      <c r="BV203" s="134">
        <f t="shared" si="334"/>
        <v>0</v>
      </c>
      <c r="BW203" s="136">
        <f t="shared" si="334"/>
        <v>65.156981784482824</v>
      </c>
      <c r="BX203" s="134">
        <f t="shared" si="334"/>
        <v>0</v>
      </c>
      <c r="BY203" s="136">
        <f t="shared" si="334"/>
        <v>59.516739154400597</v>
      </c>
      <c r="BZ203" s="134">
        <f t="shared" si="334"/>
        <v>300</v>
      </c>
      <c r="CA203" s="136">
        <f t="shared" si="334"/>
        <v>85.600000000000009</v>
      </c>
      <c r="CB203" s="134">
        <f t="shared" si="334"/>
        <v>0</v>
      </c>
      <c r="CC203" s="136">
        <f t="shared" ref="CC203" si="335">SUM(CC204:CC213)</f>
        <v>75.824748693949019</v>
      </c>
      <c r="CD203" s="134">
        <f>SUM(CD204:CD213)</f>
        <v>300</v>
      </c>
      <c r="CE203" s="136">
        <f t="shared" ref="CE203:CF203" si="336">SUM(CE204:CE213)</f>
        <v>74.900000000000006</v>
      </c>
      <c r="CF203" s="134">
        <f t="shared" si="336"/>
        <v>0</v>
      </c>
      <c r="CG203" s="136">
        <f t="shared" ref="CG203:CJ203" si="337">SUM(CG204:CG213)</f>
        <v>108.13814736230978</v>
      </c>
      <c r="CH203" s="134">
        <f t="shared" si="337"/>
        <v>0</v>
      </c>
      <c r="CI203" s="136">
        <f t="shared" si="337"/>
        <v>85.600000000000009</v>
      </c>
      <c r="CJ203" s="134">
        <f t="shared" si="337"/>
        <v>0</v>
      </c>
      <c r="CK203" s="136">
        <f t="shared" ref="CK203:CN203" si="338">SUM(CK204:CK213)</f>
        <v>81.498390751431899</v>
      </c>
      <c r="CL203" s="134">
        <f t="shared" si="338"/>
        <v>0</v>
      </c>
      <c r="CM203" s="136">
        <f t="shared" si="338"/>
        <v>128.4</v>
      </c>
      <c r="CN203" s="134">
        <f t="shared" si="338"/>
        <v>0</v>
      </c>
      <c r="CO203" s="136">
        <f t="shared" ref="CO203:CR203" si="339">SUM(CO204:CO213)</f>
        <v>107.00000000000003</v>
      </c>
      <c r="CP203" s="134">
        <f t="shared" si="339"/>
        <v>320</v>
      </c>
      <c r="CQ203" s="136">
        <f t="shared" si="339"/>
        <v>96.300000000000011</v>
      </c>
      <c r="CR203" s="134">
        <f t="shared" si="339"/>
        <v>0</v>
      </c>
      <c r="CS203" s="136">
        <f t="shared" ref="CS203:CX203" si="340">SUM(CS204:CS213)</f>
        <v>107.00000000000003</v>
      </c>
      <c r="CT203" s="134">
        <f t="shared" si="340"/>
        <v>280</v>
      </c>
      <c r="CU203" s="136">
        <v>65.156981784482824</v>
      </c>
      <c r="CV203" s="134">
        <f t="shared" si="340"/>
        <v>0</v>
      </c>
      <c r="CW203" s="136">
        <f t="shared" si="340"/>
        <v>59.516739154400597</v>
      </c>
      <c r="CX203" s="134">
        <f t="shared" si="340"/>
        <v>0</v>
      </c>
      <c r="CY203" s="136">
        <f t="shared" ref="CY203:CZ203" si="341">SUM(CY204:CY213)</f>
        <v>85.600000000000009</v>
      </c>
      <c r="CZ203" s="134">
        <f t="shared" si="341"/>
        <v>0</v>
      </c>
      <c r="DA203" s="141"/>
      <c r="DB203" s="293"/>
    </row>
    <row r="204" spans="2:106" ht="30.75" customHeight="1">
      <c r="B204" s="25"/>
      <c r="C204" s="446" t="s">
        <v>360</v>
      </c>
      <c r="D204" s="443">
        <v>1</v>
      </c>
      <c r="E204" s="99" t="s">
        <v>275</v>
      </c>
      <c r="F204" s="1">
        <v>144.96</v>
      </c>
      <c r="G204" s="46">
        <f>F204*3080</f>
        <v>446476.80000000005</v>
      </c>
      <c r="H204" s="45">
        <f>F204*($H$203/$F$203)</f>
        <v>144.96</v>
      </c>
      <c r="I204" s="46">
        <f>H204*3080</f>
        <v>446476.80000000005</v>
      </c>
      <c r="J204" s="279">
        <v>41</v>
      </c>
      <c r="K204" s="39">
        <f t="shared" ref="K204:K209" si="342">SUM(L204:N204)</f>
        <v>23</v>
      </c>
      <c r="L204" s="79">
        <v>12</v>
      </c>
      <c r="M204" s="39">
        <v>11</v>
      </c>
      <c r="N204" s="42"/>
      <c r="O204" s="288"/>
      <c r="P204" s="288"/>
      <c r="Q204" s="331">
        <v>45631</v>
      </c>
      <c r="R204" s="124"/>
      <c r="S204" s="345"/>
      <c r="T204" s="345"/>
      <c r="U204" s="331">
        <v>45392</v>
      </c>
      <c r="V204" s="124"/>
      <c r="W204" s="124"/>
      <c r="X204" s="124"/>
      <c r="Y204" s="124"/>
      <c r="Z204" s="124"/>
      <c r="AA204" s="124"/>
      <c r="AB204" s="124"/>
      <c r="AC204" s="328"/>
      <c r="AD204" s="328"/>
      <c r="AE204" s="124"/>
      <c r="AF204" s="124"/>
      <c r="AG204" s="124"/>
      <c r="AH204" s="124"/>
      <c r="AI204" s="129">
        <f t="shared" ref="AI204:AI213" si="343">SUM(J204:K204)-CI204+CJ204</f>
        <v>52.403199999999998</v>
      </c>
      <c r="AJ204" s="129">
        <f t="shared" ref="AJ204:AJ213" si="344">AI204-CK204+CL204</f>
        <v>41.362072221189187</v>
      </c>
      <c r="AK204" s="129">
        <f t="shared" ref="AK204:AK213" si="345">AJ204-CM204+CN204</f>
        <v>23.966872221189188</v>
      </c>
      <c r="AL204" s="399">
        <f t="shared" ref="AL204:AL212" si="346">AK204-CO204+CP204</f>
        <v>59.470872221189182</v>
      </c>
      <c r="AM204" s="393">
        <f t="shared" ref="AM204:AM213" si="347">AL204-CQ204+CR204</f>
        <v>46.424472221189184</v>
      </c>
      <c r="AN204" s="393">
        <f t="shared" ref="AN204:AN213" si="348">AM204-CS204+CT204</f>
        <v>81.928472221189182</v>
      </c>
      <c r="AO204" s="393">
        <f t="shared" ref="AO204:AO213" si="349">AN204-CU204+CV204</f>
        <v>73.101223548779245</v>
      </c>
      <c r="AP204" s="96">
        <f t="shared" ref="AP204:AP213" si="350">AO204-CW204+CX204</f>
        <v>65.038095971375583</v>
      </c>
      <c r="AQ204" s="91">
        <f t="shared" ref="AQ204:AQ213" si="351">AP204-CY204+CZ204</f>
        <v>53.441295971375581</v>
      </c>
      <c r="AR204" s="198"/>
      <c r="AS204" s="81">
        <f>$H$204*月別販売比率!AG5</f>
        <v>14.496000000000002</v>
      </c>
      <c r="AT204" s="39"/>
      <c r="AU204" s="81">
        <f>$H$204*月別販売比率!AL5</f>
        <v>13.0464</v>
      </c>
      <c r="AV204" s="39"/>
      <c r="AW204" s="81">
        <f>$H$204*月別販売比率!AQ5</f>
        <v>14.496000000000002</v>
      </c>
      <c r="AX204" s="39"/>
      <c r="AY204" s="81">
        <f>$H$204*月別販売比率!AV5</f>
        <v>8.8272486724099331</v>
      </c>
      <c r="AZ204" s="39"/>
      <c r="BA204" s="81">
        <f>$H$204*月別販売比率!BA5</f>
        <v>8.0631275774036553</v>
      </c>
      <c r="BB204" s="39"/>
      <c r="BC204" s="81">
        <f>$H$204*月別販売比率!BF5</f>
        <v>11.5968</v>
      </c>
      <c r="BD204" s="39"/>
      <c r="BE204" s="245">
        <f>$H$204*月別販売比率!C21</f>
        <v>10.272481841752196</v>
      </c>
      <c r="BF204" s="280">
        <v>60</v>
      </c>
      <c r="BG204" s="81">
        <f>$H$204*月別販売比率!H21</f>
        <v>10.147200000000002</v>
      </c>
      <c r="BH204" s="39"/>
      <c r="BI204" s="81">
        <f>$H$204*月別販売比率!M21</f>
        <v>14.650192375364885</v>
      </c>
      <c r="BJ204" s="39"/>
      <c r="BK204" s="81">
        <f>$H$204*月別販売比率!R21</f>
        <v>11.5968</v>
      </c>
      <c r="BL204" s="39"/>
      <c r="BM204" s="81">
        <f>$H$204*月別販売比率!W21</f>
        <v>11.041127778810813</v>
      </c>
      <c r="BN204" s="39"/>
      <c r="BO204" s="245">
        <f>$H$204*月別販売比率!AB21</f>
        <v>17.395199999999999</v>
      </c>
      <c r="BP204" s="280">
        <v>100</v>
      </c>
      <c r="BQ204" s="245">
        <f>$H$204*月別販売比率!AG21</f>
        <v>14.496000000000002</v>
      </c>
      <c r="BR204" s="280"/>
      <c r="BS204" s="81">
        <f>$H$204*月別販売比率!AL21</f>
        <v>13.0464</v>
      </c>
      <c r="BT204" s="39"/>
      <c r="BU204" s="81">
        <f>$H$204*月別販売比率!AQ21</f>
        <v>14.496000000000002</v>
      </c>
      <c r="BV204" s="39"/>
      <c r="BW204" s="81">
        <f>$H$204*月別販売比率!AV21</f>
        <v>8.8272486724099331</v>
      </c>
      <c r="BX204" s="39"/>
      <c r="BY204" s="245">
        <f>$H$204*月別販売比率!BA21</f>
        <v>8.0631275774036553</v>
      </c>
      <c r="BZ204" s="280">
        <v>30</v>
      </c>
      <c r="CA204" s="81">
        <f>$H$204*月別販売比率!BF21</f>
        <v>11.5968</v>
      </c>
      <c r="CB204" s="39"/>
      <c r="CC204" s="245">
        <f>H204*月別販売比率!$C$21</f>
        <v>10.272481841752196</v>
      </c>
      <c r="CD204" s="280">
        <v>30</v>
      </c>
      <c r="CE204" s="81">
        <f>H204*月別販売比率!$H$21</f>
        <v>10.147200000000002</v>
      </c>
      <c r="CF204" s="39"/>
      <c r="CG204" s="81">
        <f>H204*月別販売比率!$M$21</f>
        <v>14.650192375364885</v>
      </c>
      <c r="CH204" s="39"/>
      <c r="CI204" s="81">
        <f>H204*月別販売比率!$R$21</f>
        <v>11.5968</v>
      </c>
      <c r="CJ204" s="39"/>
      <c r="CK204" s="81">
        <f>H204*月別販売比率!$W$21</f>
        <v>11.041127778810813</v>
      </c>
      <c r="CL204" s="39"/>
      <c r="CM204" s="81">
        <f>H204*月別販売比率!$AB$21</f>
        <v>17.395199999999999</v>
      </c>
      <c r="CN204" s="39"/>
      <c r="CO204" s="81">
        <f>H204*月別販売比率!$AG$21</f>
        <v>14.496000000000002</v>
      </c>
      <c r="CP204" s="39">
        <v>50</v>
      </c>
      <c r="CQ204" s="81">
        <f>H204*月別販売比率!$AL$21</f>
        <v>13.0464</v>
      </c>
      <c r="CR204" s="39"/>
      <c r="CS204" s="81">
        <f>H204*月別販売比率!$AQ$21</f>
        <v>14.496000000000002</v>
      </c>
      <c r="CT204" s="39">
        <v>50</v>
      </c>
      <c r="CU204" s="81">
        <f>H204*月別販売比率!$AV$21</f>
        <v>8.8272486724099331</v>
      </c>
      <c r="CV204" s="39"/>
      <c r="CW204" s="81">
        <f>H204*月別販売比率!$BA$21</f>
        <v>8.0631275774036553</v>
      </c>
      <c r="CX204" s="39"/>
      <c r="CY204" s="81">
        <f>H204*月別販売比率!$BF$21</f>
        <v>11.5968</v>
      </c>
      <c r="CZ204" s="39"/>
      <c r="DA204" s="28"/>
      <c r="DB204" s="294"/>
    </row>
    <row r="205" spans="2:106" ht="30.75" customHeight="1">
      <c r="B205" s="25"/>
      <c r="C205" s="438"/>
      <c r="D205" s="441"/>
      <c r="E205" s="99" t="s">
        <v>46</v>
      </c>
      <c r="F205" s="1">
        <v>90.600000000000009</v>
      </c>
      <c r="G205" s="46">
        <f t="shared" ref="G205:G213" si="352">F205*3080</f>
        <v>279048</v>
      </c>
      <c r="H205" s="45">
        <f t="shared" ref="H205:H213" si="353">F205*($H$203/$F$203)</f>
        <v>90.600000000000009</v>
      </c>
      <c r="I205" s="46">
        <f t="shared" ref="I205:I213" si="354">H205*3080</f>
        <v>279048</v>
      </c>
      <c r="J205" s="49">
        <v>13</v>
      </c>
      <c r="K205" s="39">
        <f t="shared" si="342"/>
        <v>23</v>
      </c>
      <c r="L205" s="39">
        <v>11</v>
      </c>
      <c r="M205" s="39">
        <v>12</v>
      </c>
      <c r="N205" s="42"/>
      <c r="O205" s="19"/>
      <c r="P205" s="19"/>
      <c r="Q205" s="330"/>
      <c r="R205" s="124"/>
      <c r="S205" s="345"/>
      <c r="T205" s="345"/>
      <c r="U205" s="331">
        <v>45392</v>
      </c>
      <c r="V205" s="124"/>
      <c r="W205" s="124"/>
      <c r="X205" s="124"/>
      <c r="Y205" s="328"/>
      <c r="Z205" s="124"/>
      <c r="AA205" s="328"/>
      <c r="AB205" s="328"/>
      <c r="AC205" s="328"/>
      <c r="AD205" s="330"/>
      <c r="AE205" s="330"/>
      <c r="AF205" s="330"/>
      <c r="AG205" s="330"/>
      <c r="AH205" s="330"/>
      <c r="AI205" s="129">
        <f t="shared" si="343"/>
        <v>28.751999999999999</v>
      </c>
      <c r="AJ205" s="129">
        <f t="shared" si="344"/>
        <v>21.851295138243241</v>
      </c>
      <c r="AK205" s="129">
        <f t="shared" si="345"/>
        <v>10.979295138243241</v>
      </c>
      <c r="AL205" s="399">
        <f t="shared" si="346"/>
        <v>31.919295138243243</v>
      </c>
      <c r="AM205" s="393">
        <f t="shared" si="347"/>
        <v>23.765295138243243</v>
      </c>
      <c r="AN205" s="393">
        <f t="shared" si="348"/>
        <v>39.705295138243244</v>
      </c>
      <c r="AO205" s="393">
        <f t="shared" si="349"/>
        <v>34.188264717987039</v>
      </c>
      <c r="AP205" s="96">
        <f t="shared" si="350"/>
        <v>29.148809982109753</v>
      </c>
      <c r="AQ205" s="91">
        <f t="shared" si="351"/>
        <v>21.900809982109752</v>
      </c>
      <c r="AR205" s="198"/>
      <c r="AS205" s="81">
        <f>$H$205*月別販売比率!AG5</f>
        <v>9.06</v>
      </c>
      <c r="AT205" s="21"/>
      <c r="AU205" s="81">
        <f>$H$205*月別販売比率!AL5</f>
        <v>8.1539999999999999</v>
      </c>
      <c r="AV205" s="21"/>
      <c r="AW205" s="81">
        <f>$H$205*月別販売比率!AQ5</f>
        <v>9.06</v>
      </c>
      <c r="AX205" s="21"/>
      <c r="AY205" s="81">
        <f>$H$205*月別販売比率!AV5</f>
        <v>5.5170304202562086</v>
      </c>
      <c r="AZ205" s="21"/>
      <c r="BA205" s="81">
        <f>$H$205*月別販売比率!BA5</f>
        <v>5.0394547358772845</v>
      </c>
      <c r="BB205" s="21"/>
      <c r="BC205" s="81">
        <f>$H$205*月別販売比率!BF5</f>
        <v>7.2480000000000011</v>
      </c>
      <c r="BD205" s="21"/>
      <c r="BE205" s="245">
        <f>$H$205*月別販売比率!C21</f>
        <v>6.4203011510951224</v>
      </c>
      <c r="BF205" s="241">
        <v>90</v>
      </c>
      <c r="BG205" s="81">
        <f>$H$205*月別販売比率!H21</f>
        <v>6.3420000000000014</v>
      </c>
      <c r="BH205" s="21"/>
      <c r="BI205" s="81">
        <f>$H$205*月別販売比率!M21</f>
        <v>9.1563702346030542</v>
      </c>
      <c r="BJ205" s="21"/>
      <c r="BK205" s="81">
        <f>$H$205*月別販売比率!R21</f>
        <v>7.2480000000000011</v>
      </c>
      <c r="BL205" s="21"/>
      <c r="BM205" s="81">
        <f>$H$205*月別販売比率!W21</f>
        <v>6.9007048617567577</v>
      </c>
      <c r="BN205" s="21"/>
      <c r="BO205" s="245">
        <f>$H$205*月別販売比率!AB21</f>
        <v>10.872</v>
      </c>
      <c r="BP205" s="241">
        <v>15</v>
      </c>
      <c r="BQ205" s="245">
        <f>$H$205*月別販売比率!AG21</f>
        <v>9.06</v>
      </c>
      <c r="BR205" s="241"/>
      <c r="BS205" s="81">
        <f>$H$205*月別販売比率!AL21</f>
        <v>8.1539999999999999</v>
      </c>
      <c r="BT205" s="21"/>
      <c r="BU205" s="81">
        <f>$H$205*月別販売比率!AQ21</f>
        <v>9.06</v>
      </c>
      <c r="BV205" s="21"/>
      <c r="BW205" s="81">
        <f>$H$205*月別販売比率!AV21</f>
        <v>5.5170304202562086</v>
      </c>
      <c r="BX205" s="21"/>
      <c r="BY205" s="245">
        <f>$H$205*月別販売比率!BA21</f>
        <v>5.0394547358772845</v>
      </c>
      <c r="BZ205" s="241">
        <v>40</v>
      </c>
      <c r="CA205" s="81">
        <f>$H$205*月別販売比率!BF21</f>
        <v>7.2480000000000011</v>
      </c>
      <c r="CB205" s="21"/>
      <c r="CC205" s="245">
        <f>H205*月別販売比率!$C$21</f>
        <v>6.4203011510951224</v>
      </c>
      <c r="CD205" s="241">
        <v>40</v>
      </c>
      <c r="CE205" s="81">
        <f>H205*月別販売比率!$H$21</f>
        <v>6.3420000000000014</v>
      </c>
      <c r="CF205" s="21"/>
      <c r="CG205" s="81">
        <f>H205*月別販売比率!$M$21</f>
        <v>9.1563702346030542</v>
      </c>
      <c r="CH205" s="21"/>
      <c r="CI205" s="81">
        <f>H205*月別販売比率!$R$21</f>
        <v>7.2480000000000011</v>
      </c>
      <c r="CJ205" s="21"/>
      <c r="CK205" s="81">
        <f>H205*月別販売比率!$W$21</f>
        <v>6.9007048617567577</v>
      </c>
      <c r="CL205" s="21"/>
      <c r="CM205" s="81">
        <f>H205*月別販売比率!$AB$21</f>
        <v>10.872</v>
      </c>
      <c r="CN205" s="21"/>
      <c r="CO205" s="81">
        <f>H205*月別販売比率!$AG$21</f>
        <v>9.06</v>
      </c>
      <c r="CP205" s="21">
        <v>30</v>
      </c>
      <c r="CQ205" s="81">
        <f>H205*月別販売比率!$AL$21</f>
        <v>8.1539999999999999</v>
      </c>
      <c r="CR205" s="21"/>
      <c r="CS205" s="81">
        <f>H205*月別販売比率!$AQ$21</f>
        <v>9.06</v>
      </c>
      <c r="CT205" s="21">
        <v>25</v>
      </c>
      <c r="CU205" s="81">
        <f>H205*月別販売比率!$AV$21</f>
        <v>5.5170304202562086</v>
      </c>
      <c r="CV205" s="21"/>
      <c r="CW205" s="81">
        <f>H205*月別販売比率!$BA$21</f>
        <v>5.0394547358772845</v>
      </c>
      <c r="CX205" s="21"/>
      <c r="CY205" s="81">
        <f>H205*月別販売比率!$BF$21</f>
        <v>7.2480000000000011</v>
      </c>
      <c r="CZ205" s="21"/>
      <c r="DA205" s="28"/>
      <c r="DB205" s="294"/>
    </row>
    <row r="206" spans="2:106" ht="30.75" customHeight="1">
      <c r="B206" s="25"/>
      <c r="C206" s="457"/>
      <c r="D206" s="441"/>
      <c r="E206" s="94" t="s">
        <v>47</v>
      </c>
      <c r="F206" s="1">
        <v>122.31</v>
      </c>
      <c r="G206" s="46">
        <f t="shared" si="352"/>
        <v>376714.8</v>
      </c>
      <c r="H206" s="45">
        <f t="shared" si="353"/>
        <v>122.31</v>
      </c>
      <c r="I206" s="46">
        <f t="shared" si="354"/>
        <v>376714.8</v>
      </c>
      <c r="J206" s="9">
        <v>24</v>
      </c>
      <c r="K206" s="21">
        <f t="shared" si="342"/>
        <v>27</v>
      </c>
      <c r="L206" s="21">
        <v>9</v>
      </c>
      <c r="M206" s="39">
        <v>18</v>
      </c>
      <c r="N206" s="42"/>
      <c r="O206" s="19"/>
      <c r="P206" s="19"/>
      <c r="Q206" s="330"/>
      <c r="R206" s="124"/>
      <c r="S206" s="345"/>
      <c r="T206" s="345"/>
      <c r="U206" s="331">
        <v>45392</v>
      </c>
      <c r="V206" s="124"/>
      <c r="W206" s="124"/>
      <c r="X206" s="124"/>
      <c r="Y206" s="124"/>
      <c r="Z206" s="124"/>
      <c r="AA206" s="328"/>
      <c r="AB206" s="124"/>
      <c r="AC206" s="328"/>
      <c r="AD206" s="328"/>
      <c r="AE206" s="124"/>
      <c r="AF206" s="124"/>
      <c r="AG206" s="124"/>
      <c r="AH206" s="124"/>
      <c r="AI206" s="129">
        <f t="shared" si="343"/>
        <v>41.215199999999996</v>
      </c>
      <c r="AJ206" s="129">
        <f t="shared" si="344"/>
        <v>31.899248436628373</v>
      </c>
      <c r="AK206" s="129">
        <f t="shared" si="345"/>
        <v>17.222048436628373</v>
      </c>
      <c r="AL206" s="399">
        <f t="shared" si="346"/>
        <v>44.991048436628375</v>
      </c>
      <c r="AM206" s="393">
        <f t="shared" si="347"/>
        <v>33.983148436628376</v>
      </c>
      <c r="AN206" s="393">
        <f t="shared" si="348"/>
        <v>66.752148436628374</v>
      </c>
      <c r="AO206" s="393">
        <f t="shared" si="349"/>
        <v>59.304157369282493</v>
      </c>
      <c r="AP206" s="96">
        <f t="shared" si="350"/>
        <v>52.500893475848159</v>
      </c>
      <c r="AQ206" s="91">
        <f t="shared" si="351"/>
        <v>42.716093475848155</v>
      </c>
      <c r="AR206" s="198"/>
      <c r="AS206" s="81">
        <f>$H$206*月別販売比率!AG5</f>
        <v>12.231000000000002</v>
      </c>
      <c r="AT206" s="21"/>
      <c r="AU206" s="81">
        <f>$H$206*月別販売比率!AL5</f>
        <v>11.007899999999999</v>
      </c>
      <c r="AV206" s="21"/>
      <c r="AW206" s="81">
        <f>$H$206*月別販売比率!AQ5</f>
        <v>12.231000000000002</v>
      </c>
      <c r="AX206" s="21"/>
      <c r="AY206" s="81">
        <f>$H$206*月別販売比率!AV5</f>
        <v>7.4479910673458809</v>
      </c>
      <c r="AZ206" s="21"/>
      <c r="BA206" s="81">
        <f>$H$206*月別販売比率!BA5</f>
        <v>6.803263893434333</v>
      </c>
      <c r="BB206" s="21"/>
      <c r="BC206" s="81">
        <f>$H$206*月別販売比率!BF5</f>
        <v>9.7848000000000006</v>
      </c>
      <c r="BD206" s="21"/>
      <c r="BE206" s="245">
        <f>$H$206*月別販売比率!C21</f>
        <v>8.6674065539784149</v>
      </c>
      <c r="BF206" s="241">
        <v>75</v>
      </c>
      <c r="BG206" s="81">
        <f>$H$206*月別販売比率!H21</f>
        <v>8.5617000000000001</v>
      </c>
      <c r="BH206" s="21"/>
      <c r="BI206" s="81">
        <f>$H$206*月別販売比率!M21</f>
        <v>12.361099816714122</v>
      </c>
      <c r="BJ206" s="21"/>
      <c r="BK206" s="81">
        <f>$H$206*月別販売比率!R21</f>
        <v>9.7848000000000006</v>
      </c>
      <c r="BL206" s="21"/>
      <c r="BM206" s="81">
        <f>$H$206*月別販売比率!W21</f>
        <v>9.3159515633716232</v>
      </c>
      <c r="BN206" s="21"/>
      <c r="BO206" s="245">
        <f>$H$206*月別販売比率!AB21</f>
        <v>14.677199999999999</v>
      </c>
      <c r="BP206" s="241">
        <v>65</v>
      </c>
      <c r="BQ206" s="245">
        <f>$H$206*月別販売比率!AG21</f>
        <v>12.231000000000002</v>
      </c>
      <c r="BR206" s="241"/>
      <c r="BS206" s="81">
        <f>$H$206*月別販売比率!AL21</f>
        <v>11.007899999999999</v>
      </c>
      <c r="BT206" s="21"/>
      <c r="BU206" s="81">
        <f>$H$206*月別販売比率!AQ21</f>
        <v>12.231000000000002</v>
      </c>
      <c r="BV206" s="21"/>
      <c r="BW206" s="81">
        <f>$H$206*月別販売比率!AV21</f>
        <v>7.4479910673458809</v>
      </c>
      <c r="BX206" s="21"/>
      <c r="BY206" s="245">
        <f>$H$206*月別販売比率!BA21</f>
        <v>6.803263893434333</v>
      </c>
      <c r="BZ206" s="241">
        <v>35</v>
      </c>
      <c r="CA206" s="81">
        <f>$H$206*月別販売比率!BF21</f>
        <v>9.7848000000000006</v>
      </c>
      <c r="CB206" s="21"/>
      <c r="CC206" s="245">
        <f>H206*月別販売比率!$C$21</f>
        <v>8.6674065539784149</v>
      </c>
      <c r="CD206" s="241">
        <v>35</v>
      </c>
      <c r="CE206" s="81">
        <f>H206*月別販売比率!$H$21</f>
        <v>8.5617000000000001</v>
      </c>
      <c r="CF206" s="21"/>
      <c r="CG206" s="81">
        <f>H206*月別販売比率!$M$21</f>
        <v>12.361099816714122</v>
      </c>
      <c r="CH206" s="21"/>
      <c r="CI206" s="81">
        <f>H206*月別販売比率!$R$21</f>
        <v>9.7848000000000006</v>
      </c>
      <c r="CJ206" s="21"/>
      <c r="CK206" s="81">
        <f>H206*月別販売比率!$W$21</f>
        <v>9.3159515633716232</v>
      </c>
      <c r="CL206" s="21"/>
      <c r="CM206" s="81">
        <f>H206*月別販売比率!$AB$21</f>
        <v>14.677199999999999</v>
      </c>
      <c r="CN206" s="21"/>
      <c r="CO206" s="81">
        <f>H206*月別販売比率!$AG$21</f>
        <v>12.231000000000002</v>
      </c>
      <c r="CP206" s="21">
        <v>40</v>
      </c>
      <c r="CQ206" s="81">
        <f>H206*月別販売比率!$AL$21</f>
        <v>11.007899999999999</v>
      </c>
      <c r="CR206" s="21"/>
      <c r="CS206" s="81">
        <f>H206*月別販売比率!$AQ$21</f>
        <v>12.231000000000002</v>
      </c>
      <c r="CT206" s="21">
        <v>45</v>
      </c>
      <c r="CU206" s="81">
        <f>H206*月別販売比率!$AV$21</f>
        <v>7.4479910673458809</v>
      </c>
      <c r="CV206" s="21"/>
      <c r="CW206" s="81">
        <f>H206*月別販売比率!$BA$21</f>
        <v>6.803263893434333</v>
      </c>
      <c r="CX206" s="21"/>
      <c r="CY206" s="81">
        <f>H206*月別販売比率!$BF$21</f>
        <v>9.7848000000000006</v>
      </c>
      <c r="CZ206" s="21"/>
      <c r="DA206" s="28"/>
      <c r="DB206" s="294"/>
    </row>
    <row r="207" spans="2:106" ht="30.75" customHeight="1">
      <c r="B207" s="25"/>
      <c r="C207" s="457"/>
      <c r="D207" s="441"/>
      <c r="E207" s="94" t="s">
        <v>51</v>
      </c>
      <c r="F207" s="1">
        <v>58.89</v>
      </c>
      <c r="G207" s="46">
        <f t="shared" si="352"/>
        <v>181381.2</v>
      </c>
      <c r="H207" s="45">
        <f t="shared" si="353"/>
        <v>58.89</v>
      </c>
      <c r="I207" s="46">
        <f t="shared" si="354"/>
        <v>181381.2</v>
      </c>
      <c r="J207" s="9">
        <v>0</v>
      </c>
      <c r="K207" s="21">
        <f t="shared" si="342"/>
        <v>25</v>
      </c>
      <c r="L207" s="21">
        <v>7</v>
      </c>
      <c r="M207" s="39">
        <v>18</v>
      </c>
      <c r="N207" s="42"/>
      <c r="O207" s="19"/>
      <c r="P207" s="19"/>
      <c r="Q207" s="330"/>
      <c r="R207" s="124"/>
      <c r="S207" s="129"/>
      <c r="T207" s="129"/>
      <c r="U207" s="129"/>
      <c r="V207" s="328"/>
      <c r="W207" s="328"/>
      <c r="X207" s="328"/>
      <c r="Y207" s="328"/>
      <c r="Z207" s="124"/>
      <c r="AA207" s="328"/>
      <c r="AB207" s="328"/>
      <c r="AC207" s="328"/>
      <c r="AD207" s="328"/>
      <c r="AE207" s="328"/>
      <c r="AF207" s="328"/>
      <c r="AG207" s="124"/>
      <c r="AH207" s="124"/>
      <c r="AI207" s="129">
        <f t="shared" si="343"/>
        <v>20.288800000000002</v>
      </c>
      <c r="AJ207" s="129">
        <f t="shared" si="344"/>
        <v>15.80334183985811</v>
      </c>
      <c r="AK207" s="129">
        <f t="shared" si="345"/>
        <v>8.7365418398581092</v>
      </c>
      <c r="AL207" s="399">
        <f t="shared" si="346"/>
        <v>22.84754183985811</v>
      </c>
      <c r="AM207" s="393">
        <f t="shared" si="347"/>
        <v>17.547441839858109</v>
      </c>
      <c r="AN207" s="393">
        <f t="shared" si="348"/>
        <v>31.65844183985811</v>
      </c>
      <c r="AO207" s="393">
        <f t="shared" si="349"/>
        <v>28.072372066691575</v>
      </c>
      <c r="AP207" s="96">
        <f t="shared" si="350"/>
        <v>24.796726488371341</v>
      </c>
      <c r="AQ207" s="91">
        <f t="shared" si="351"/>
        <v>20.085526488371343</v>
      </c>
      <c r="AR207" s="198"/>
      <c r="AS207" s="81">
        <f>$H$207*月別販売比率!AG5</f>
        <v>5.8890000000000002</v>
      </c>
      <c r="AT207" s="21"/>
      <c r="AU207" s="81">
        <f>$H$207*月別販売比率!AL5</f>
        <v>5.3000999999999996</v>
      </c>
      <c r="AV207" s="21"/>
      <c r="AW207" s="81">
        <f>$H$207*月別販売比率!AQ5</f>
        <v>5.8890000000000002</v>
      </c>
      <c r="AX207" s="21"/>
      <c r="AY207" s="81">
        <f>$H$207*月別販売比率!AV5</f>
        <v>3.5860697731665354</v>
      </c>
      <c r="AZ207" s="21"/>
      <c r="BA207" s="81">
        <f>$H$207*月別販売比率!BA5</f>
        <v>3.2756455783202343</v>
      </c>
      <c r="BB207" s="21"/>
      <c r="BC207" s="81">
        <f>$H$207*月別販売比率!BF5</f>
        <v>4.7111999999999998</v>
      </c>
      <c r="BD207" s="21"/>
      <c r="BE207" s="245">
        <f>$H$207*月別販売比率!C21</f>
        <v>4.1731957482118291</v>
      </c>
      <c r="BF207" s="241">
        <v>60</v>
      </c>
      <c r="BG207" s="81">
        <f>$H$207*月別販売比率!H21</f>
        <v>4.1223000000000001</v>
      </c>
      <c r="BH207" s="21"/>
      <c r="BI207" s="81">
        <f>$H$207*月別販売比率!M21</f>
        <v>5.9516406524919843</v>
      </c>
      <c r="BJ207" s="21"/>
      <c r="BK207" s="81">
        <f>$H$207*月別販売比率!R21</f>
        <v>4.7111999999999998</v>
      </c>
      <c r="BL207" s="21"/>
      <c r="BM207" s="81">
        <f>$H$207*月別販売比率!W21</f>
        <v>4.4854581601418921</v>
      </c>
      <c r="BN207" s="21"/>
      <c r="BO207" s="245">
        <f>$H$207*月別販売比率!AB21</f>
        <v>7.0667999999999997</v>
      </c>
      <c r="BP207" s="241">
        <v>10</v>
      </c>
      <c r="BQ207" s="245">
        <f>$H$207*月別販売比率!AG21</f>
        <v>5.8890000000000002</v>
      </c>
      <c r="BR207" s="241"/>
      <c r="BS207" s="81">
        <f>$H$207*月別販売比率!AL21</f>
        <v>5.3000999999999996</v>
      </c>
      <c r="BT207" s="21"/>
      <c r="BU207" s="81">
        <f>$H$207*月別販売比率!AQ21</f>
        <v>5.8890000000000002</v>
      </c>
      <c r="BV207" s="21"/>
      <c r="BW207" s="81">
        <f>$H$207*月別販売比率!AV21</f>
        <v>3.5860697731665354</v>
      </c>
      <c r="BX207" s="21"/>
      <c r="BY207" s="245">
        <f>$H$207*月別販売比率!BA21</f>
        <v>3.2756455783202343</v>
      </c>
      <c r="BZ207" s="241">
        <v>25</v>
      </c>
      <c r="CA207" s="81">
        <f>$H$207*月別販売比率!BF21</f>
        <v>4.7111999999999998</v>
      </c>
      <c r="CB207" s="21"/>
      <c r="CC207" s="245">
        <f>H207*月別販売比率!$C$21</f>
        <v>4.1731957482118291</v>
      </c>
      <c r="CD207" s="241">
        <v>25</v>
      </c>
      <c r="CE207" s="81">
        <f>H207*月別販売比率!$H$21</f>
        <v>4.1223000000000001</v>
      </c>
      <c r="CF207" s="21"/>
      <c r="CG207" s="81">
        <f>H207*月別販売比率!$M$21</f>
        <v>5.9516406524919843</v>
      </c>
      <c r="CH207" s="21"/>
      <c r="CI207" s="81">
        <f>H207*月別販売比率!$R$21</f>
        <v>4.7111999999999998</v>
      </c>
      <c r="CJ207" s="21"/>
      <c r="CK207" s="81">
        <f>H207*月別販売比率!$W$21</f>
        <v>4.4854581601418921</v>
      </c>
      <c r="CL207" s="21"/>
      <c r="CM207" s="81">
        <f>H207*月別販売比率!$AB$21</f>
        <v>7.0667999999999997</v>
      </c>
      <c r="CN207" s="21"/>
      <c r="CO207" s="81">
        <f>H207*月別販売比率!$AG$21</f>
        <v>5.8890000000000002</v>
      </c>
      <c r="CP207" s="21">
        <v>20</v>
      </c>
      <c r="CQ207" s="81">
        <f>H207*月別販売比率!$AL$21</f>
        <v>5.3000999999999996</v>
      </c>
      <c r="CR207" s="21"/>
      <c r="CS207" s="81">
        <f>H207*月別販売比率!$AQ$21</f>
        <v>5.8890000000000002</v>
      </c>
      <c r="CT207" s="21">
        <v>20</v>
      </c>
      <c r="CU207" s="81">
        <f>H207*月別販売比率!$AV$21</f>
        <v>3.5860697731665354</v>
      </c>
      <c r="CV207" s="21"/>
      <c r="CW207" s="81">
        <f>H207*月別販売比率!$BA$21</f>
        <v>3.2756455783202343</v>
      </c>
      <c r="CX207" s="21"/>
      <c r="CY207" s="81">
        <f>H207*月別販売比率!$BF$21</f>
        <v>4.7111999999999998</v>
      </c>
      <c r="CZ207" s="21"/>
      <c r="DA207" s="28"/>
      <c r="DB207" s="294"/>
    </row>
    <row r="208" spans="2:106" ht="30.75" customHeight="1">
      <c r="B208" s="25"/>
      <c r="C208" s="457"/>
      <c r="D208" s="441"/>
      <c r="E208" s="94" t="s">
        <v>49</v>
      </c>
      <c r="F208" s="1">
        <v>36.24</v>
      </c>
      <c r="G208" s="46">
        <f t="shared" si="352"/>
        <v>111619.20000000001</v>
      </c>
      <c r="H208" s="45">
        <f t="shared" si="353"/>
        <v>36.24</v>
      </c>
      <c r="I208" s="46">
        <f t="shared" si="354"/>
        <v>111619.20000000001</v>
      </c>
      <c r="J208" s="9">
        <v>0</v>
      </c>
      <c r="K208" s="21">
        <f t="shared" si="342"/>
        <v>14</v>
      </c>
      <c r="L208" s="21">
        <v>0</v>
      </c>
      <c r="M208" s="39">
        <v>14</v>
      </c>
      <c r="N208" s="42"/>
      <c r="O208" s="19"/>
      <c r="P208" s="19"/>
      <c r="Q208" s="330"/>
      <c r="R208" s="124"/>
      <c r="S208" s="129"/>
      <c r="T208" s="129"/>
      <c r="U208" s="129"/>
      <c r="V208" s="124"/>
      <c r="W208" s="124"/>
      <c r="X208" s="124"/>
      <c r="Y208" s="124"/>
      <c r="Z208" s="124"/>
      <c r="AA208" s="328"/>
      <c r="AB208" s="124"/>
      <c r="AC208" s="124"/>
      <c r="AD208" s="124"/>
      <c r="AE208" s="124"/>
      <c r="AF208" s="124"/>
      <c r="AG208" s="124"/>
      <c r="AH208" s="124"/>
      <c r="AI208" s="129">
        <f t="shared" si="343"/>
        <v>11.1008</v>
      </c>
      <c r="AJ208" s="129">
        <f t="shared" si="344"/>
        <v>8.3405180552972968</v>
      </c>
      <c r="AK208" s="129">
        <f t="shared" si="345"/>
        <v>3.9917180552972971</v>
      </c>
      <c r="AL208" s="399">
        <f t="shared" si="346"/>
        <v>20.367718055297296</v>
      </c>
      <c r="AM208" s="393">
        <f t="shared" si="347"/>
        <v>17.106118055297294</v>
      </c>
      <c r="AN208" s="393">
        <f t="shared" si="348"/>
        <v>13.482118055297294</v>
      </c>
      <c r="AO208" s="393">
        <f t="shared" si="349"/>
        <v>11.275305887194811</v>
      </c>
      <c r="AP208" s="96">
        <f t="shared" si="350"/>
        <v>9.2595239928438975</v>
      </c>
      <c r="AQ208" s="91">
        <f t="shared" si="351"/>
        <v>6.360323992843897</v>
      </c>
      <c r="AR208" s="198"/>
      <c r="AS208" s="81">
        <f>$H$208*月別販売比率!AG5</f>
        <v>3.6240000000000006</v>
      </c>
      <c r="AT208" s="21"/>
      <c r="AU208" s="81">
        <f>$H$208*月別販売比率!AL5</f>
        <v>3.2616000000000001</v>
      </c>
      <c r="AV208" s="21"/>
      <c r="AW208" s="81">
        <f>$H$208*月別販売比率!AQ5</f>
        <v>3.6240000000000006</v>
      </c>
      <c r="AX208" s="21"/>
      <c r="AY208" s="81">
        <f>$H$208*月別販売比率!AV5</f>
        <v>2.2068121681024833</v>
      </c>
      <c r="AZ208" s="21"/>
      <c r="BA208" s="81">
        <f>$H$208*月別販売比率!BA5</f>
        <v>2.0157818943509138</v>
      </c>
      <c r="BB208" s="21"/>
      <c r="BC208" s="81">
        <f>$H$208*月別販売比率!BF5</f>
        <v>2.8992</v>
      </c>
      <c r="BD208" s="21"/>
      <c r="BE208" s="245">
        <f>$H$208*月別販売比率!C21</f>
        <v>2.568120460438049</v>
      </c>
      <c r="BF208" s="241">
        <v>15</v>
      </c>
      <c r="BG208" s="81">
        <f>$H$208*月別販売比率!H21</f>
        <v>2.5368000000000004</v>
      </c>
      <c r="BH208" s="21"/>
      <c r="BI208" s="81">
        <f>$H$208*月別販売比率!M21</f>
        <v>3.6625480938412212</v>
      </c>
      <c r="BJ208" s="21"/>
      <c r="BK208" s="81">
        <f>$H$208*月別販売比率!R21</f>
        <v>2.8992</v>
      </c>
      <c r="BL208" s="21"/>
      <c r="BM208" s="81">
        <f>$H$208*月別販売比率!W21</f>
        <v>2.7602819447027032</v>
      </c>
      <c r="BN208" s="21"/>
      <c r="BO208" s="245">
        <f>$H$208*月別販売比率!AB21</f>
        <v>4.3487999999999998</v>
      </c>
      <c r="BP208" s="241">
        <v>25</v>
      </c>
      <c r="BQ208" s="245">
        <f>$H$208*月別販売比率!AG21</f>
        <v>3.6240000000000006</v>
      </c>
      <c r="BR208" s="241"/>
      <c r="BS208" s="81">
        <f>$H$208*月別販売比率!AL21</f>
        <v>3.2616000000000001</v>
      </c>
      <c r="BT208" s="21"/>
      <c r="BU208" s="81">
        <f>$H$208*月別販売比率!AQ21</f>
        <v>3.6240000000000006</v>
      </c>
      <c r="BV208" s="21"/>
      <c r="BW208" s="81">
        <f>$H$208*月別販売比率!AV21</f>
        <v>2.2068121681024833</v>
      </c>
      <c r="BX208" s="21"/>
      <c r="BY208" s="245">
        <f>$H$208*月別販売比率!BA21</f>
        <v>2.0157818943509138</v>
      </c>
      <c r="BZ208" s="241">
        <v>5</v>
      </c>
      <c r="CA208" s="81">
        <f>$H$208*月別販売比率!BF21</f>
        <v>2.8992</v>
      </c>
      <c r="CB208" s="21"/>
      <c r="CC208" s="245">
        <f>H208*月別販売比率!$C$21</f>
        <v>2.568120460438049</v>
      </c>
      <c r="CD208" s="241">
        <v>5</v>
      </c>
      <c r="CE208" s="81">
        <f>H208*月別販売比率!$H$21</f>
        <v>2.5368000000000004</v>
      </c>
      <c r="CF208" s="21"/>
      <c r="CG208" s="81">
        <f>H208*月別販売比率!$M$21</f>
        <v>3.6625480938412212</v>
      </c>
      <c r="CH208" s="21"/>
      <c r="CI208" s="81">
        <f>H208*月別販売比率!$R$21</f>
        <v>2.8992</v>
      </c>
      <c r="CJ208" s="21"/>
      <c r="CK208" s="81">
        <f>H208*月別販売比率!$W$21</f>
        <v>2.7602819447027032</v>
      </c>
      <c r="CL208" s="21"/>
      <c r="CM208" s="81">
        <f>H208*月別販売比率!$AB$21</f>
        <v>4.3487999999999998</v>
      </c>
      <c r="CN208" s="21"/>
      <c r="CO208" s="81">
        <f>H208*月別販売比率!$AG$21</f>
        <v>3.6240000000000006</v>
      </c>
      <c r="CP208" s="21">
        <v>20</v>
      </c>
      <c r="CQ208" s="81">
        <f>H208*月別販売比率!$AL$21</f>
        <v>3.2616000000000001</v>
      </c>
      <c r="CR208" s="21"/>
      <c r="CS208" s="81">
        <f>H208*月別販売比率!$AQ$21</f>
        <v>3.6240000000000006</v>
      </c>
      <c r="CT208" s="21">
        <v>0</v>
      </c>
      <c r="CU208" s="81">
        <f>H208*月別販売比率!$AV$21</f>
        <v>2.2068121681024833</v>
      </c>
      <c r="CV208" s="21"/>
      <c r="CW208" s="81">
        <f>H208*月別販売比率!$BA$21</f>
        <v>2.0157818943509138</v>
      </c>
      <c r="CX208" s="21"/>
      <c r="CY208" s="81">
        <f>H208*月別販売比率!$BF$21</f>
        <v>2.8992</v>
      </c>
      <c r="CZ208" s="21"/>
      <c r="DA208" s="28"/>
      <c r="DB208" s="294"/>
    </row>
    <row r="209" spans="2:106" ht="30.75" customHeight="1">
      <c r="B209" s="25"/>
      <c r="C209" s="457"/>
      <c r="D209" s="443">
        <v>2</v>
      </c>
      <c r="E209" s="94" t="s">
        <v>275</v>
      </c>
      <c r="F209" s="1">
        <v>197.44</v>
      </c>
      <c r="G209" s="46">
        <f t="shared" si="352"/>
        <v>608115.19999999995</v>
      </c>
      <c r="H209" s="45">
        <f t="shared" si="353"/>
        <v>197.44</v>
      </c>
      <c r="I209" s="46">
        <f t="shared" si="354"/>
        <v>608115.19999999995</v>
      </c>
      <c r="J209" s="278">
        <v>116</v>
      </c>
      <c r="K209" s="21">
        <f t="shared" si="342"/>
        <v>25</v>
      </c>
      <c r="L209" s="79">
        <v>12</v>
      </c>
      <c r="M209" s="39">
        <v>13</v>
      </c>
      <c r="N209" s="42"/>
      <c r="O209" s="288"/>
      <c r="P209" s="288"/>
      <c r="Q209" s="331">
        <v>45631</v>
      </c>
      <c r="R209" s="124"/>
      <c r="S209" s="129"/>
      <c r="T209" s="129"/>
      <c r="U209" s="129"/>
      <c r="V209" s="124"/>
      <c r="W209" s="124"/>
      <c r="X209" s="124"/>
      <c r="Y209" s="124"/>
      <c r="Z209" s="124"/>
      <c r="AA209" s="328"/>
      <c r="AB209" s="124"/>
      <c r="AC209" s="124"/>
      <c r="AD209" s="124"/>
      <c r="AE209" s="124"/>
      <c r="AF209" s="124"/>
      <c r="AG209" s="124"/>
      <c r="AH209" s="124"/>
      <c r="AI209" s="129">
        <f t="shared" si="343"/>
        <v>125.20480000000001</v>
      </c>
      <c r="AJ209" s="129">
        <f t="shared" si="344"/>
        <v>110.16644273835261</v>
      </c>
      <c r="AK209" s="129">
        <f t="shared" si="345"/>
        <v>86.473642738352623</v>
      </c>
      <c r="AL209" s="399">
        <f t="shared" si="346"/>
        <v>106.72964273835262</v>
      </c>
      <c r="AM209" s="393">
        <f t="shared" si="347"/>
        <v>88.960042738352627</v>
      </c>
      <c r="AN209" s="393">
        <f t="shared" si="348"/>
        <v>99.216042738352627</v>
      </c>
      <c r="AO209" s="393">
        <f t="shared" si="349"/>
        <v>87.193057239728063</v>
      </c>
      <c r="AP209" s="96">
        <f t="shared" si="350"/>
        <v>76.21082828772353</v>
      </c>
      <c r="AQ209" s="91">
        <f t="shared" si="351"/>
        <v>60.415628287723528</v>
      </c>
      <c r="AR209" s="198"/>
      <c r="AS209" s="81">
        <f>$H$209*月別販売比率!AG5</f>
        <v>19.744</v>
      </c>
      <c r="AT209" s="21"/>
      <c r="AU209" s="81">
        <f>$H$209*月別販売比率!AL5</f>
        <v>17.769600000000001</v>
      </c>
      <c r="AV209" s="21"/>
      <c r="AW209" s="81">
        <f>$H$209*月別販売比率!AQ5</f>
        <v>19.744</v>
      </c>
      <c r="AX209" s="21"/>
      <c r="AY209" s="81">
        <f>$H$209*月別販売比率!AV5</f>
        <v>12.022985498624566</v>
      </c>
      <c r="AZ209" s="21"/>
      <c r="BA209" s="81">
        <f>$H$209*月別販売比率!BA5</f>
        <v>10.982228952004535</v>
      </c>
      <c r="BB209" s="21"/>
      <c r="BC209" s="81">
        <f>$H$209*月別販売比率!BF5</f>
        <v>15.795199999999999</v>
      </c>
      <c r="BD209" s="21"/>
      <c r="BE209" s="245">
        <f>$H$209*月別販売比率!C21</f>
        <v>13.99143774031149</v>
      </c>
      <c r="BF209" s="241">
        <v>60</v>
      </c>
      <c r="BG209" s="81">
        <f>$H$209*月別販売比率!H21</f>
        <v>13.820800000000002</v>
      </c>
      <c r="BH209" s="21"/>
      <c r="BI209" s="81">
        <f>$H$209*月別販売比率!M21</f>
        <v>19.954014780574244</v>
      </c>
      <c r="BJ209" s="21"/>
      <c r="BK209" s="81">
        <f>$H$209*月別販売比率!R21</f>
        <v>15.795199999999999</v>
      </c>
      <c r="BL209" s="21"/>
      <c r="BM209" s="81">
        <f>$H$209*月別販売比率!W21</f>
        <v>15.038357261647397</v>
      </c>
      <c r="BN209" s="21"/>
      <c r="BO209" s="245">
        <f>$H$209*月別販売比率!AB21</f>
        <v>23.692799999999998</v>
      </c>
      <c r="BP209" s="241">
        <v>150</v>
      </c>
      <c r="BQ209" s="245">
        <f>$H$209*月別販売比率!AG21</f>
        <v>19.744</v>
      </c>
      <c r="BR209" s="241"/>
      <c r="BS209" s="81">
        <f>$H$209*月別販売比率!AL21</f>
        <v>17.769600000000001</v>
      </c>
      <c r="BT209" s="21"/>
      <c r="BU209" s="81">
        <f>$H$209*月別販売比率!AQ21</f>
        <v>19.744</v>
      </c>
      <c r="BV209" s="21"/>
      <c r="BW209" s="81">
        <f>$H$209*月別販売比率!AV21</f>
        <v>12.022985498624566</v>
      </c>
      <c r="BX209" s="21"/>
      <c r="BY209" s="245">
        <f>$H$209*月別販売比率!BA21</f>
        <v>10.982228952004535</v>
      </c>
      <c r="BZ209" s="241">
        <v>40</v>
      </c>
      <c r="CA209" s="81">
        <f>$H$209*月別販売比率!BF21</f>
        <v>15.795199999999999</v>
      </c>
      <c r="CB209" s="21"/>
      <c r="CC209" s="245">
        <f>H209*月別販売比率!$C$21</f>
        <v>13.99143774031149</v>
      </c>
      <c r="CD209" s="241">
        <v>40</v>
      </c>
      <c r="CE209" s="81">
        <f>H209*月別販売比率!$H$21</f>
        <v>13.820800000000002</v>
      </c>
      <c r="CF209" s="21"/>
      <c r="CG209" s="81">
        <f>H209*月別販売比率!$M$21</f>
        <v>19.954014780574244</v>
      </c>
      <c r="CH209" s="21"/>
      <c r="CI209" s="81">
        <f>H209*月別販売比率!$R$21</f>
        <v>15.795199999999999</v>
      </c>
      <c r="CJ209" s="21"/>
      <c r="CK209" s="81">
        <f>H209*月別販売比率!$W$21</f>
        <v>15.038357261647397</v>
      </c>
      <c r="CL209" s="21"/>
      <c r="CM209" s="81">
        <f>H209*月別販売比率!$AB$21</f>
        <v>23.692799999999998</v>
      </c>
      <c r="CN209" s="21"/>
      <c r="CO209" s="81">
        <f>H209*月別販売比率!$AG$21</f>
        <v>19.744</v>
      </c>
      <c r="CP209" s="21">
        <v>40</v>
      </c>
      <c r="CQ209" s="81">
        <f>H209*月別販売比率!$AL$21</f>
        <v>17.769600000000001</v>
      </c>
      <c r="CR209" s="21"/>
      <c r="CS209" s="81">
        <f>H209*月別販売比率!$AQ$21</f>
        <v>19.744</v>
      </c>
      <c r="CT209" s="21">
        <v>30</v>
      </c>
      <c r="CU209" s="81">
        <f>H209*月別販売比率!$AV$21</f>
        <v>12.022985498624566</v>
      </c>
      <c r="CV209" s="21"/>
      <c r="CW209" s="81">
        <f>H209*月別販売比率!$BA$21</f>
        <v>10.982228952004535</v>
      </c>
      <c r="CX209" s="21"/>
      <c r="CY209" s="81">
        <f>H209*月別販売比率!$BF$21</f>
        <v>15.795199999999999</v>
      </c>
      <c r="CZ209" s="21"/>
      <c r="DA209" s="28"/>
      <c r="DB209" s="294"/>
    </row>
    <row r="210" spans="2:106" ht="30.75" customHeight="1">
      <c r="B210" s="25"/>
      <c r="C210" s="457"/>
      <c r="D210" s="441"/>
      <c r="E210" s="94" t="s">
        <v>46</v>
      </c>
      <c r="F210" s="1">
        <v>123.4</v>
      </c>
      <c r="G210" s="46">
        <f t="shared" si="352"/>
        <v>380072</v>
      </c>
      <c r="H210" s="45">
        <f>F210*($H$203/$F$203)</f>
        <v>123.4</v>
      </c>
      <c r="I210" s="46">
        <f t="shared" si="354"/>
        <v>380072</v>
      </c>
      <c r="J210" s="9">
        <v>34</v>
      </c>
      <c r="K210" s="21">
        <f>SUM(L209:N209)</f>
        <v>25</v>
      </c>
      <c r="L210" s="21">
        <v>12</v>
      </c>
      <c r="M210" s="39">
        <v>18</v>
      </c>
      <c r="N210" s="42"/>
      <c r="O210" s="19"/>
      <c r="P210" s="19"/>
      <c r="Q210" s="330"/>
      <c r="R210" s="124"/>
      <c r="S210" s="345"/>
      <c r="T210" s="345"/>
      <c r="U210" s="331">
        <v>45392</v>
      </c>
      <c r="V210" s="328"/>
      <c r="W210" s="331">
        <v>45838</v>
      </c>
      <c r="X210" s="124"/>
      <c r="Y210" s="124"/>
      <c r="Z210" s="124"/>
      <c r="AA210" s="328"/>
      <c r="AB210" s="124"/>
      <c r="AC210" s="124"/>
      <c r="AD210" s="124"/>
      <c r="AE210" s="124"/>
      <c r="AF210" s="124"/>
      <c r="AG210" s="124"/>
      <c r="AH210" s="124"/>
      <c r="AI210" s="129">
        <f t="shared" si="343"/>
        <v>49.128</v>
      </c>
      <c r="AJ210" s="129">
        <f t="shared" si="344"/>
        <v>39.729026711470375</v>
      </c>
      <c r="AK210" s="129">
        <f t="shared" si="345"/>
        <v>24.921026711470375</v>
      </c>
      <c r="AL210" s="399">
        <f t="shared" si="346"/>
        <v>42.581026711470372</v>
      </c>
      <c r="AM210" s="393">
        <f t="shared" si="347"/>
        <v>31.47502671147037</v>
      </c>
      <c r="AN210" s="393">
        <f t="shared" si="348"/>
        <v>44.135026711470367</v>
      </c>
      <c r="AO210" s="393">
        <f t="shared" si="349"/>
        <v>36.620660774830014</v>
      </c>
      <c r="AP210" s="96">
        <f t="shared" si="350"/>
        <v>29.756767679827178</v>
      </c>
      <c r="AQ210" s="91">
        <f t="shared" si="351"/>
        <v>19.884767679827178</v>
      </c>
      <c r="AR210" s="198"/>
      <c r="AS210" s="81">
        <f>$H$210*月別販売比率!AG5</f>
        <v>12.340000000000002</v>
      </c>
      <c r="AT210" s="21"/>
      <c r="AU210" s="81">
        <f>$H$210*月別販売比率!AL5</f>
        <v>11.106</v>
      </c>
      <c r="AV210" s="21"/>
      <c r="AW210" s="81">
        <f>$H$210*月別販売比率!AQ5</f>
        <v>12.340000000000002</v>
      </c>
      <c r="AX210" s="21"/>
      <c r="AY210" s="81">
        <f>$H$210*月別販売比率!AV5</f>
        <v>7.5143659366403543</v>
      </c>
      <c r="AZ210" s="21"/>
      <c r="BA210" s="81">
        <f>$H$210*月別販売比率!BA5</f>
        <v>6.863893095002835</v>
      </c>
      <c r="BB210" s="21"/>
      <c r="BC210" s="81">
        <f>$H$210*月別販売比率!BF5</f>
        <v>9.8719999999999999</v>
      </c>
      <c r="BD210" s="21"/>
      <c r="BE210" s="245">
        <f>$H$210*月別販売比率!C21</f>
        <v>8.744648587694682</v>
      </c>
      <c r="BF210" s="241">
        <v>90</v>
      </c>
      <c r="BG210" s="81">
        <f>$H$210*月別販売比率!H21</f>
        <v>8.6380000000000017</v>
      </c>
      <c r="BH210" s="21"/>
      <c r="BI210" s="81">
        <f>$H$210*月別販売比率!M21</f>
        <v>12.471259237858904</v>
      </c>
      <c r="BJ210" s="21"/>
      <c r="BK210" s="81">
        <f>$H$210*月別販売比率!R21</f>
        <v>9.8719999999999999</v>
      </c>
      <c r="BL210" s="21"/>
      <c r="BM210" s="81">
        <f>$H$210*月別販売比率!W21</f>
        <v>9.3989732885296231</v>
      </c>
      <c r="BN210" s="21"/>
      <c r="BO210" s="245">
        <f>$H$210*月別販売比率!AB21</f>
        <v>14.808</v>
      </c>
      <c r="BP210" s="241">
        <v>50</v>
      </c>
      <c r="BQ210" s="245">
        <f>$H$210*月別販売比率!AG21</f>
        <v>12.340000000000002</v>
      </c>
      <c r="BR210" s="241"/>
      <c r="BS210" s="81">
        <f>$H$210*月別販売比率!AL21</f>
        <v>11.106</v>
      </c>
      <c r="BT210" s="21"/>
      <c r="BU210" s="81">
        <f>$H$210*月別販売比率!AQ21</f>
        <v>12.340000000000002</v>
      </c>
      <c r="BV210" s="21"/>
      <c r="BW210" s="81">
        <f>$H$210*月別販売比率!AV21</f>
        <v>7.5143659366403543</v>
      </c>
      <c r="BX210" s="21"/>
      <c r="BY210" s="245">
        <f>$H$210*月別販売比率!BA21</f>
        <v>6.863893095002835</v>
      </c>
      <c r="BZ210" s="241">
        <v>50</v>
      </c>
      <c r="CA210" s="81">
        <f>$H$210*月別販売比率!BF21</f>
        <v>9.8719999999999999</v>
      </c>
      <c r="CB210" s="21"/>
      <c r="CC210" s="245">
        <f>H210*月別販売比率!$C$21</f>
        <v>8.744648587694682</v>
      </c>
      <c r="CD210" s="241">
        <v>50</v>
      </c>
      <c r="CE210" s="81">
        <f>H210*月別販売比率!$H$21</f>
        <v>8.6380000000000017</v>
      </c>
      <c r="CF210" s="21"/>
      <c r="CG210" s="81">
        <f>H210*月別販売比率!$M$21</f>
        <v>12.471259237858904</v>
      </c>
      <c r="CH210" s="21"/>
      <c r="CI210" s="81">
        <f>H210*月別販売比率!$R$21</f>
        <v>9.8719999999999999</v>
      </c>
      <c r="CJ210" s="21"/>
      <c r="CK210" s="81">
        <f>H210*月別販売比率!$W$21</f>
        <v>9.3989732885296231</v>
      </c>
      <c r="CL210" s="21"/>
      <c r="CM210" s="81">
        <f>H210*月別販売比率!$AB$21</f>
        <v>14.808</v>
      </c>
      <c r="CN210" s="21"/>
      <c r="CO210" s="81">
        <f>H210*月別販売比率!$AG$21</f>
        <v>12.340000000000002</v>
      </c>
      <c r="CP210" s="21">
        <v>30</v>
      </c>
      <c r="CQ210" s="81">
        <f>H210*月別販売比率!$AL$21</f>
        <v>11.106</v>
      </c>
      <c r="CR210" s="21"/>
      <c r="CS210" s="81">
        <f>H210*月別販売比率!$AQ$21</f>
        <v>12.340000000000002</v>
      </c>
      <c r="CT210" s="21">
        <v>25</v>
      </c>
      <c r="CU210" s="81">
        <f>H210*月別販売比率!$AV$21</f>
        <v>7.5143659366403543</v>
      </c>
      <c r="CV210" s="21"/>
      <c r="CW210" s="81">
        <f>H210*月別販売比率!$BA$21</f>
        <v>6.863893095002835</v>
      </c>
      <c r="CX210" s="21"/>
      <c r="CY210" s="81">
        <f>H210*月別販売比率!$BF$21</f>
        <v>9.8719999999999999</v>
      </c>
      <c r="CZ210" s="21"/>
      <c r="DA210" s="28"/>
      <c r="DB210" s="294"/>
    </row>
    <row r="211" spans="2:106" ht="30.75" customHeight="1">
      <c r="B211" s="25"/>
      <c r="C211" s="457"/>
      <c r="D211" s="441"/>
      <c r="E211" s="94" t="s">
        <v>47</v>
      </c>
      <c r="F211" s="1">
        <v>166.59</v>
      </c>
      <c r="G211" s="46">
        <f t="shared" si="352"/>
        <v>513097.2</v>
      </c>
      <c r="H211" s="45">
        <f t="shared" si="353"/>
        <v>166.59</v>
      </c>
      <c r="I211" s="46">
        <f t="shared" si="354"/>
        <v>513097.2</v>
      </c>
      <c r="J211" s="9">
        <v>54</v>
      </c>
      <c r="K211" s="21">
        <f>SUM(L211:N211)</f>
        <v>22</v>
      </c>
      <c r="L211" s="21">
        <v>9</v>
      </c>
      <c r="M211" s="39">
        <v>13</v>
      </c>
      <c r="N211" s="42"/>
      <c r="O211" s="19"/>
      <c r="P211" s="19"/>
      <c r="Q211" s="330"/>
      <c r="R211" s="124"/>
      <c r="S211" s="345"/>
      <c r="T211" s="345"/>
      <c r="U211" s="331">
        <v>45392</v>
      </c>
      <c r="V211" s="328"/>
      <c r="W211" s="328"/>
      <c r="X211" s="124"/>
      <c r="Y211" s="328"/>
      <c r="Z211" s="124"/>
      <c r="AA211" s="328"/>
      <c r="AB211" s="124"/>
      <c r="AC211" s="328"/>
      <c r="AD211" s="328"/>
      <c r="AE211" s="124"/>
      <c r="AF211" s="124"/>
      <c r="AG211" s="124"/>
      <c r="AH211" s="124"/>
      <c r="AI211" s="129">
        <f t="shared" si="343"/>
        <v>62.672799999999995</v>
      </c>
      <c r="AJ211" s="129">
        <f t="shared" si="344"/>
        <v>49.984186060485001</v>
      </c>
      <c r="AK211" s="129">
        <f t="shared" si="345"/>
        <v>29.993386060485001</v>
      </c>
      <c r="AL211" s="399">
        <f t="shared" si="346"/>
        <v>63.334386060485002</v>
      </c>
      <c r="AM211" s="393">
        <f t="shared" si="347"/>
        <v>48.341286060485004</v>
      </c>
      <c r="AN211" s="393">
        <f t="shared" si="348"/>
        <v>76.682286060484998</v>
      </c>
      <c r="AO211" s="393">
        <f t="shared" si="349"/>
        <v>66.537892046020517</v>
      </c>
      <c r="AP211" s="96">
        <f t="shared" si="350"/>
        <v>57.271636367766689</v>
      </c>
      <c r="AQ211" s="91">
        <f t="shared" si="351"/>
        <v>43.944436367766684</v>
      </c>
      <c r="AR211" s="198"/>
      <c r="AS211" s="81">
        <f>$H$211*月別販売比率!AG5</f>
        <v>16.659000000000002</v>
      </c>
      <c r="AT211" s="21"/>
      <c r="AU211" s="81">
        <f>$H$211*月別販売比率!AL5</f>
        <v>14.9931</v>
      </c>
      <c r="AV211" s="21"/>
      <c r="AW211" s="81">
        <f>$H$211*月別販売比率!AQ5</f>
        <v>16.659000000000002</v>
      </c>
      <c r="AX211" s="21"/>
      <c r="AY211" s="81">
        <f>$H$211*月別販売比率!AV5</f>
        <v>10.144394014464478</v>
      </c>
      <c r="AZ211" s="21"/>
      <c r="BA211" s="81">
        <f>$H$211*月別販売比率!BA5</f>
        <v>9.2662556782538275</v>
      </c>
      <c r="BB211" s="21"/>
      <c r="BC211" s="81">
        <f>$H$211*月別販売比率!BF5</f>
        <v>13.327200000000001</v>
      </c>
      <c r="BD211" s="21"/>
      <c r="BE211" s="245">
        <f>$H$211*月別販売比率!C21</f>
        <v>11.805275593387819</v>
      </c>
      <c r="BF211" s="241">
        <v>75</v>
      </c>
      <c r="BG211" s="81">
        <f>$H$211*月別販売比率!H21</f>
        <v>11.661300000000001</v>
      </c>
      <c r="BH211" s="21"/>
      <c r="BI211" s="81">
        <f>$H$211*月別販売比率!M21</f>
        <v>16.836199971109522</v>
      </c>
      <c r="BJ211" s="21"/>
      <c r="BK211" s="81">
        <f>$H$211*月別販売比率!R21</f>
        <v>13.327200000000001</v>
      </c>
      <c r="BL211" s="21"/>
      <c r="BM211" s="81">
        <f>$H$211*月別販売比率!W21</f>
        <v>12.688613939514992</v>
      </c>
      <c r="BN211" s="21"/>
      <c r="BO211" s="245">
        <f>$H$211*月別販売比率!AB21</f>
        <v>19.9908</v>
      </c>
      <c r="BP211" s="241">
        <v>110</v>
      </c>
      <c r="BQ211" s="245">
        <f>$H$211*月別販売比率!AG21</f>
        <v>16.659000000000002</v>
      </c>
      <c r="BR211" s="241"/>
      <c r="BS211" s="81">
        <f>$H$211*月別販売比率!AL21</f>
        <v>14.9931</v>
      </c>
      <c r="BT211" s="21"/>
      <c r="BU211" s="81">
        <f>$H$211*月別販売比率!AQ21</f>
        <v>16.659000000000002</v>
      </c>
      <c r="BV211" s="21"/>
      <c r="BW211" s="81">
        <f>$H$211*月別販売比率!AV21</f>
        <v>10.144394014464478</v>
      </c>
      <c r="BX211" s="21"/>
      <c r="BY211" s="245">
        <f>$H$211*月別販売比率!BA21</f>
        <v>9.2662556782538275</v>
      </c>
      <c r="BZ211" s="241">
        <v>40</v>
      </c>
      <c r="CA211" s="81">
        <f>$H$211*月別販売比率!BF21</f>
        <v>13.327200000000001</v>
      </c>
      <c r="CB211" s="21"/>
      <c r="CC211" s="245">
        <f>H211*月別販売比率!$C$21</f>
        <v>11.805275593387819</v>
      </c>
      <c r="CD211" s="241">
        <v>40</v>
      </c>
      <c r="CE211" s="81">
        <f>H211*月別販売比率!$H$21</f>
        <v>11.661300000000001</v>
      </c>
      <c r="CF211" s="21"/>
      <c r="CG211" s="81">
        <f>H211*月別販売比率!$M$21</f>
        <v>16.836199971109522</v>
      </c>
      <c r="CH211" s="21"/>
      <c r="CI211" s="81">
        <f>H211*月別販売比率!$R$21</f>
        <v>13.327200000000001</v>
      </c>
      <c r="CJ211" s="21"/>
      <c r="CK211" s="81">
        <f>H211*月別販売比率!$W$21</f>
        <v>12.688613939514992</v>
      </c>
      <c r="CL211" s="21"/>
      <c r="CM211" s="81">
        <f>H211*月別販売比率!$AB$21</f>
        <v>19.9908</v>
      </c>
      <c r="CN211" s="21"/>
      <c r="CO211" s="81">
        <f>H211*月別販売比率!$AG$21</f>
        <v>16.659000000000002</v>
      </c>
      <c r="CP211" s="21">
        <v>50</v>
      </c>
      <c r="CQ211" s="81">
        <f>H211*月別販売比率!$AL$21</f>
        <v>14.9931</v>
      </c>
      <c r="CR211" s="21"/>
      <c r="CS211" s="81">
        <f>H211*月別販売比率!$AQ$21</f>
        <v>16.659000000000002</v>
      </c>
      <c r="CT211" s="21">
        <v>45</v>
      </c>
      <c r="CU211" s="81">
        <f>H211*月別販売比率!$AV$21</f>
        <v>10.144394014464478</v>
      </c>
      <c r="CV211" s="21"/>
      <c r="CW211" s="81">
        <f>H211*月別販売比率!$BA$21</f>
        <v>9.2662556782538275</v>
      </c>
      <c r="CX211" s="21"/>
      <c r="CY211" s="81">
        <f>H211*月別販売比率!$BF$21</f>
        <v>13.327200000000001</v>
      </c>
      <c r="CZ211" s="21"/>
      <c r="DA211" s="28"/>
      <c r="DB211" s="294"/>
    </row>
    <row r="212" spans="2:106" ht="30.75" customHeight="1">
      <c r="B212" s="25"/>
      <c r="C212" s="457"/>
      <c r="D212" s="441"/>
      <c r="E212" s="94" t="s">
        <v>51</v>
      </c>
      <c r="F212" s="308">
        <v>80.210000000000008</v>
      </c>
      <c r="G212" s="46">
        <f t="shared" si="352"/>
        <v>247046.80000000002</v>
      </c>
      <c r="H212" s="45">
        <f t="shared" si="353"/>
        <v>80.210000000000008</v>
      </c>
      <c r="I212" s="46">
        <f t="shared" si="354"/>
        <v>247046.80000000002</v>
      </c>
      <c r="J212" s="9">
        <v>10</v>
      </c>
      <c r="K212" s="21">
        <f>SUM(L212:N212)</f>
        <v>24</v>
      </c>
      <c r="L212" s="21">
        <v>7</v>
      </c>
      <c r="M212" s="39">
        <v>17</v>
      </c>
      <c r="N212" s="42"/>
      <c r="O212" s="310"/>
      <c r="P212" s="43"/>
      <c r="Q212" s="335"/>
      <c r="R212" s="129"/>
      <c r="S212" s="345"/>
      <c r="T212" s="345"/>
      <c r="U212" s="345"/>
      <c r="V212" s="328"/>
      <c r="W212" s="328"/>
      <c r="X212" s="328"/>
      <c r="Y212" s="328"/>
      <c r="Z212" s="124"/>
      <c r="AA212" s="328"/>
      <c r="AB212" s="124"/>
      <c r="AC212" s="124"/>
      <c r="AD212" s="124"/>
      <c r="AE212" s="124"/>
      <c r="AF212" s="124"/>
      <c r="AG212" s="124"/>
      <c r="AH212" s="124"/>
      <c r="AI212" s="129">
        <f t="shared" si="343"/>
        <v>27.583199999999998</v>
      </c>
      <c r="AJ212" s="129">
        <f t="shared" si="344"/>
        <v>21.473867362455742</v>
      </c>
      <c r="AK212" s="129">
        <f t="shared" si="345"/>
        <v>11.848667362455741</v>
      </c>
      <c r="AL212" s="399">
        <f t="shared" si="346"/>
        <v>23.827667362455742</v>
      </c>
      <c r="AM212" s="393">
        <f t="shared" si="347"/>
        <v>16.60876736245574</v>
      </c>
      <c r="AN212" s="393">
        <f t="shared" si="348"/>
        <v>33.587767362455736</v>
      </c>
      <c r="AO212" s="393">
        <f t="shared" si="349"/>
        <v>28.703429503639505</v>
      </c>
      <c r="AP212" s="96">
        <f t="shared" si="350"/>
        <v>24.241898991887663</v>
      </c>
      <c r="AQ212" s="91">
        <f t="shared" si="351"/>
        <v>17.825098991887661</v>
      </c>
      <c r="AR212" s="198"/>
      <c r="AS212" s="81">
        <f>$H$212*月別販売比率!AG5</f>
        <v>8.0210000000000008</v>
      </c>
      <c r="AT212" s="39"/>
      <c r="AU212" s="81">
        <f>$H$212*月別販売比率!AL5</f>
        <v>7.2189000000000005</v>
      </c>
      <c r="AV212" s="39"/>
      <c r="AW212" s="81">
        <f>$H$212*月別販売比率!AQ5</f>
        <v>8.0210000000000008</v>
      </c>
      <c r="AX212" s="39"/>
      <c r="AY212" s="81">
        <f>$H$212*月別販売比率!AV5</f>
        <v>4.8843378588162301</v>
      </c>
      <c r="AZ212" s="39"/>
      <c r="BA212" s="81">
        <f>$H$212*月別販売比率!BA5</f>
        <v>4.4615305117518433</v>
      </c>
      <c r="BB212" s="39"/>
      <c r="BC212" s="81">
        <f>$H$212*月別販売比率!BF5</f>
        <v>6.4168000000000012</v>
      </c>
      <c r="BD212" s="39"/>
      <c r="BE212" s="245">
        <f>$H$212*月別販売比率!C21</f>
        <v>5.6840215820015434</v>
      </c>
      <c r="BF212" s="280">
        <v>60</v>
      </c>
      <c r="BG212" s="81">
        <f>$H$212*月別販売比率!H21</f>
        <v>5.6147000000000009</v>
      </c>
      <c r="BH212" s="39"/>
      <c r="BI212" s="81">
        <f>$H$212*月別販売比率!M21</f>
        <v>8.1063185046082875</v>
      </c>
      <c r="BJ212" s="39"/>
      <c r="BK212" s="81">
        <f>$H$212*月別販売比率!R21</f>
        <v>6.4168000000000012</v>
      </c>
      <c r="BL212" s="39"/>
      <c r="BM212" s="81">
        <f>$H$212*月別販売比率!W21</f>
        <v>6.1093326375442558</v>
      </c>
      <c r="BN212" s="39"/>
      <c r="BO212" s="245">
        <f>$H$212*月別販売比率!AB21</f>
        <v>9.6252000000000013</v>
      </c>
      <c r="BP212" s="280">
        <v>35</v>
      </c>
      <c r="BQ212" s="245">
        <f>$H$212*月別販売比率!AG21</f>
        <v>8.0210000000000008</v>
      </c>
      <c r="BR212" s="280"/>
      <c r="BS212" s="81">
        <f>$H$212*月別販売比率!AL21</f>
        <v>7.2189000000000005</v>
      </c>
      <c r="BT212" s="39"/>
      <c r="BU212" s="81">
        <f>$H$212*月別販売比率!AQ21</f>
        <v>8.0210000000000008</v>
      </c>
      <c r="BV212" s="39"/>
      <c r="BW212" s="81">
        <f>$H$212*月別販売比率!AV21</f>
        <v>4.8843378588162301</v>
      </c>
      <c r="BX212" s="39"/>
      <c r="BY212" s="245">
        <f>$H$212*月別販売比率!BA21</f>
        <v>4.4615305117518433</v>
      </c>
      <c r="BZ212" s="280">
        <v>30</v>
      </c>
      <c r="CA212" s="81">
        <f>$H$212*月別販売比率!BF21</f>
        <v>6.4168000000000012</v>
      </c>
      <c r="CB212" s="39"/>
      <c r="CC212" s="245">
        <f>H212*月別販売比率!$C$21</f>
        <v>5.6840215820015434</v>
      </c>
      <c r="CD212" s="280">
        <v>30</v>
      </c>
      <c r="CE212" s="81">
        <f>H212*月別販売比率!$H$21</f>
        <v>5.6147000000000009</v>
      </c>
      <c r="CF212" s="39"/>
      <c r="CG212" s="81">
        <f>H212*月別販売比率!$M$21</f>
        <v>8.1063185046082875</v>
      </c>
      <c r="CH212" s="39"/>
      <c r="CI212" s="81">
        <f>H212*月別販売比率!$R$21</f>
        <v>6.4168000000000012</v>
      </c>
      <c r="CJ212" s="39"/>
      <c r="CK212" s="81">
        <f>H212*月別販売比率!$W$21</f>
        <v>6.1093326375442558</v>
      </c>
      <c r="CL212" s="39"/>
      <c r="CM212" s="81">
        <f>H212*月別販売比率!$AB$21</f>
        <v>9.6252000000000013</v>
      </c>
      <c r="CN212" s="39"/>
      <c r="CO212" s="81">
        <f>H212*月別販売比率!$AG$21</f>
        <v>8.0210000000000008</v>
      </c>
      <c r="CP212" s="39">
        <v>20</v>
      </c>
      <c r="CQ212" s="81">
        <f>H212*月別販売比率!$AL$21</f>
        <v>7.2189000000000005</v>
      </c>
      <c r="CR212" s="39"/>
      <c r="CS212" s="81">
        <f>H212*月別販売比率!$AQ$21</f>
        <v>8.0210000000000008</v>
      </c>
      <c r="CT212" s="39">
        <v>25</v>
      </c>
      <c r="CU212" s="81">
        <f>H212*月別販売比率!$AV$21</f>
        <v>4.8843378588162301</v>
      </c>
      <c r="CV212" s="39"/>
      <c r="CW212" s="81">
        <f>H212*月別販売比率!$BA$21</f>
        <v>4.4615305117518433</v>
      </c>
      <c r="CX212" s="39"/>
      <c r="CY212" s="81">
        <f>H212*月別販売比率!$BF$21</f>
        <v>6.4168000000000012</v>
      </c>
      <c r="CZ212" s="39"/>
      <c r="DA212" s="50"/>
      <c r="DB212" s="295"/>
    </row>
    <row r="213" spans="2:106" ht="30.75" customHeight="1">
      <c r="B213" s="25"/>
      <c r="C213" s="457"/>
      <c r="D213" s="441"/>
      <c r="E213" s="101" t="s">
        <v>49</v>
      </c>
      <c r="F213" s="309">
        <v>49.36</v>
      </c>
      <c r="G213" s="53">
        <f t="shared" si="352"/>
        <v>152028.79999999999</v>
      </c>
      <c r="H213" s="52">
        <f t="shared" si="353"/>
        <v>49.36</v>
      </c>
      <c r="I213" s="53">
        <f t="shared" si="354"/>
        <v>152028.79999999999</v>
      </c>
      <c r="J213" s="102">
        <v>0</v>
      </c>
      <c r="K213" s="107">
        <f>SUM(L213:N213)</f>
        <v>14</v>
      </c>
      <c r="L213" s="107">
        <v>0</v>
      </c>
      <c r="M213" s="103">
        <v>14</v>
      </c>
      <c r="N213" s="44"/>
      <c r="O213" s="281"/>
      <c r="P213" s="115"/>
      <c r="Q213" s="336"/>
      <c r="R213" s="305"/>
      <c r="S213" s="238"/>
      <c r="T213" s="238"/>
      <c r="U213" s="238"/>
      <c r="V213" s="238"/>
      <c r="W213" s="238"/>
      <c r="X213" s="238"/>
      <c r="Y213" s="238"/>
      <c r="Z213" s="238"/>
      <c r="AA213" s="334">
        <v>45940</v>
      </c>
      <c r="AB213" s="238"/>
      <c r="AC213" s="238"/>
      <c r="AD213" s="238"/>
      <c r="AE213" s="238"/>
      <c r="AF213" s="238"/>
      <c r="AG213" s="238"/>
      <c r="AH213" s="238"/>
      <c r="AI213" s="238">
        <f t="shared" si="343"/>
        <v>10.0512</v>
      </c>
      <c r="AJ213" s="238">
        <f t="shared" si="344"/>
        <v>6.2916106845881501</v>
      </c>
      <c r="AK213" s="238">
        <f t="shared" si="345"/>
        <v>0.36841068458815052</v>
      </c>
      <c r="AL213" s="401">
        <f>0-CO213+CP213</f>
        <v>15.064</v>
      </c>
      <c r="AM213" s="395">
        <f t="shared" si="347"/>
        <v>10.621600000000001</v>
      </c>
      <c r="AN213" s="395">
        <f t="shared" si="348"/>
        <v>20.685600000000001</v>
      </c>
      <c r="AO213" s="395">
        <f t="shared" si="349"/>
        <v>17.67985362534386</v>
      </c>
      <c r="AP213" s="403">
        <f t="shared" si="350"/>
        <v>14.934296387342727</v>
      </c>
      <c r="AQ213" s="90">
        <f t="shared" si="351"/>
        <v>10.985496387342726</v>
      </c>
      <c r="AR213" s="238"/>
      <c r="AS213" s="282">
        <f>$H$213*月別販売比率!AG5</f>
        <v>4.9359999999999999</v>
      </c>
      <c r="AT213" s="104"/>
      <c r="AU213" s="282">
        <f>$H$213*月別販売比率!AL5</f>
        <v>4.4424000000000001</v>
      </c>
      <c r="AV213" s="104"/>
      <c r="AW213" s="282">
        <f>$H$213*月別販売比率!AQ5</f>
        <v>4.9359999999999999</v>
      </c>
      <c r="AX213" s="104"/>
      <c r="AY213" s="282">
        <f>$H$213*月別販売比率!AV5</f>
        <v>3.0057463746561415</v>
      </c>
      <c r="AZ213" s="104"/>
      <c r="BA213" s="282">
        <f>$H$213*月別販売比率!BA5</f>
        <v>2.7455572380011337</v>
      </c>
      <c r="BB213" s="104"/>
      <c r="BC213" s="282">
        <f>$H$213*月別販売比率!BF5</f>
        <v>3.9487999999999999</v>
      </c>
      <c r="BD213" s="104"/>
      <c r="BE213" s="301">
        <f>$H$213*月別販売比率!C21</f>
        <v>3.4978594350778724</v>
      </c>
      <c r="BF213" s="339">
        <v>15</v>
      </c>
      <c r="BG213" s="282">
        <f>$H$213*月別販売比率!H21</f>
        <v>3.4552000000000005</v>
      </c>
      <c r="BH213" s="104"/>
      <c r="BI213" s="282">
        <f>$H$213*月別販売比率!M21</f>
        <v>4.9885036951435611</v>
      </c>
      <c r="BJ213" s="104"/>
      <c r="BK213" s="282">
        <f>$H$213*月別販売比率!R21</f>
        <v>3.9487999999999999</v>
      </c>
      <c r="BL213" s="104"/>
      <c r="BM213" s="282">
        <f>$H$213*月別販売比率!W21</f>
        <v>3.7595893154118492</v>
      </c>
      <c r="BN213" s="104"/>
      <c r="BO213" s="301">
        <f>$H$213*月別販売比率!AB21</f>
        <v>5.9231999999999996</v>
      </c>
      <c r="BP213" s="339"/>
      <c r="BQ213" s="301">
        <f>$H$213*月別販売比率!AG21</f>
        <v>4.9359999999999999</v>
      </c>
      <c r="BR213" s="339">
        <v>40</v>
      </c>
      <c r="BS213" s="282">
        <f>$H$213*月別販売比率!AL21</f>
        <v>4.4424000000000001</v>
      </c>
      <c r="BT213" s="104"/>
      <c r="BU213" s="282">
        <f>$H$213*月別販売比率!AQ21</f>
        <v>4.9359999999999999</v>
      </c>
      <c r="BV213" s="104"/>
      <c r="BW213" s="282">
        <f>$H$213*月別販売比率!AV21</f>
        <v>3.0057463746561415</v>
      </c>
      <c r="BX213" s="104"/>
      <c r="BY213" s="301">
        <f>$H$213*月別販売比率!BA21</f>
        <v>2.7455572380011337</v>
      </c>
      <c r="BZ213" s="339">
        <v>5</v>
      </c>
      <c r="CA213" s="282">
        <f>$H$213*月別販売比率!BF21</f>
        <v>3.9487999999999999</v>
      </c>
      <c r="CB213" s="104"/>
      <c r="CC213" s="301">
        <f>H213*月別販売比率!$C$21</f>
        <v>3.4978594350778724</v>
      </c>
      <c r="CD213" s="339">
        <v>5</v>
      </c>
      <c r="CE213" s="282">
        <f>H213*月別販売比率!$H$21</f>
        <v>3.4552000000000005</v>
      </c>
      <c r="CF213" s="104"/>
      <c r="CG213" s="282">
        <f>H213*月別販売比率!$M$21</f>
        <v>4.9885036951435611</v>
      </c>
      <c r="CH213" s="104"/>
      <c r="CI213" s="282">
        <f>H213*月別販売比率!$R$21</f>
        <v>3.9487999999999999</v>
      </c>
      <c r="CJ213" s="104"/>
      <c r="CK213" s="282">
        <f>H213*月別販売比率!$W$21</f>
        <v>3.7595893154118492</v>
      </c>
      <c r="CL213" s="104"/>
      <c r="CM213" s="282">
        <f>H213*月別販売比率!$AB$21</f>
        <v>5.9231999999999996</v>
      </c>
      <c r="CN213" s="104"/>
      <c r="CO213" s="282">
        <f>H213*月別販売比率!$AG$21</f>
        <v>4.9359999999999999</v>
      </c>
      <c r="CP213" s="104">
        <v>20</v>
      </c>
      <c r="CQ213" s="282">
        <f>H213*月別販売比率!$AL$21</f>
        <v>4.4424000000000001</v>
      </c>
      <c r="CR213" s="104"/>
      <c r="CS213" s="282">
        <f>H213*月別販売比率!$AQ$21</f>
        <v>4.9359999999999999</v>
      </c>
      <c r="CT213" s="104">
        <v>15</v>
      </c>
      <c r="CU213" s="282">
        <f>H213*月別販売比率!$AV$21</f>
        <v>3.0057463746561415</v>
      </c>
      <c r="CV213" s="104"/>
      <c r="CW213" s="282">
        <f>H213*月別販売比率!$BA$21</f>
        <v>2.7455572380011337</v>
      </c>
      <c r="CX213" s="104"/>
      <c r="CY213" s="282">
        <f>H213*月別販売比率!$BF$21</f>
        <v>3.9487999999999999</v>
      </c>
      <c r="CZ213" s="104"/>
      <c r="DA213" s="296"/>
      <c r="DB213" s="297"/>
    </row>
    <row r="214" spans="2:106" ht="30.75" customHeight="1">
      <c r="B214" s="2">
        <v>15</v>
      </c>
      <c r="C214" s="435" t="s">
        <v>491</v>
      </c>
      <c r="D214" s="436"/>
      <c r="E214" s="437"/>
      <c r="F214" s="130">
        <f>SUM(F215:F220)</f>
        <v>614</v>
      </c>
      <c r="G214" s="131">
        <f>SUM(G215:G220)</f>
        <v>4187480</v>
      </c>
      <c r="H214" s="165">
        <v>615</v>
      </c>
      <c r="I214" s="131">
        <f t="shared" ref="I214:N214" si="355">SUM(I215:I220)</f>
        <v>5183200</v>
      </c>
      <c r="J214" s="147">
        <f t="shared" si="355"/>
        <v>65</v>
      </c>
      <c r="K214" s="148">
        <f t="shared" si="355"/>
        <v>155</v>
      </c>
      <c r="L214" s="148">
        <f t="shared" si="355"/>
        <v>60</v>
      </c>
      <c r="M214" s="148">
        <f t="shared" si="355"/>
        <v>55</v>
      </c>
      <c r="N214" s="149">
        <f t="shared" si="355"/>
        <v>0</v>
      </c>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6">
        <f t="shared" ref="AS214:CB214" si="356">SUM(AS215:AS220)</f>
        <v>60.8</v>
      </c>
      <c r="AT214" s="134">
        <f t="shared" si="356"/>
        <v>0</v>
      </c>
      <c r="AU214" s="136">
        <f t="shared" si="356"/>
        <v>38.301981978382045</v>
      </c>
      <c r="AV214" s="134">
        <f t="shared" si="356"/>
        <v>0</v>
      </c>
      <c r="AW214" s="136">
        <f t="shared" si="356"/>
        <v>42.67701944017103</v>
      </c>
      <c r="AX214" s="134">
        <f t="shared" si="356"/>
        <v>0</v>
      </c>
      <c r="AY214" s="136">
        <f t="shared" si="356"/>
        <v>30.4</v>
      </c>
      <c r="AZ214" s="134">
        <f t="shared" si="356"/>
        <v>0</v>
      </c>
      <c r="BA214" s="136">
        <f t="shared" si="356"/>
        <v>22.8</v>
      </c>
      <c r="BB214" s="134">
        <f t="shared" si="356"/>
        <v>0</v>
      </c>
      <c r="BC214" s="136">
        <f t="shared" si="356"/>
        <v>37.926165311382398</v>
      </c>
      <c r="BD214" s="134">
        <f t="shared" si="356"/>
        <v>0</v>
      </c>
      <c r="BE214" s="136">
        <f t="shared" si="356"/>
        <v>53.2</v>
      </c>
      <c r="BF214" s="134">
        <f t="shared" si="356"/>
        <v>0</v>
      </c>
      <c r="BG214" s="136">
        <f t="shared" si="356"/>
        <v>60.8</v>
      </c>
      <c r="BH214" s="134">
        <f t="shared" si="356"/>
        <v>0</v>
      </c>
      <c r="BI214" s="136">
        <f t="shared" si="356"/>
        <v>106.4</v>
      </c>
      <c r="BJ214" s="134">
        <f t="shared" si="356"/>
        <v>0</v>
      </c>
      <c r="BK214" s="136">
        <f t="shared" si="356"/>
        <v>136.79999999999998</v>
      </c>
      <c r="BL214" s="134">
        <f t="shared" si="356"/>
        <v>0</v>
      </c>
      <c r="BM214" s="136">
        <f t="shared" si="356"/>
        <v>76</v>
      </c>
      <c r="BN214" s="134">
        <f t="shared" si="356"/>
        <v>0</v>
      </c>
      <c r="BO214" s="136">
        <f t="shared" si="356"/>
        <v>91.2</v>
      </c>
      <c r="BP214" s="134">
        <f t="shared" si="356"/>
        <v>0</v>
      </c>
      <c r="BQ214" s="136">
        <f t="shared" si="356"/>
        <v>60.8</v>
      </c>
      <c r="BR214" s="134">
        <f t="shared" si="356"/>
        <v>300</v>
      </c>
      <c r="BS214" s="136">
        <f t="shared" si="356"/>
        <v>38.301981978382045</v>
      </c>
      <c r="BT214" s="134">
        <f t="shared" si="356"/>
        <v>0</v>
      </c>
      <c r="BU214" s="136">
        <f t="shared" si="356"/>
        <v>42.67701944017103</v>
      </c>
      <c r="BV214" s="134">
        <f t="shared" si="356"/>
        <v>300</v>
      </c>
      <c r="BW214" s="136">
        <f t="shared" si="356"/>
        <v>30.4</v>
      </c>
      <c r="BX214" s="134">
        <f t="shared" si="356"/>
        <v>0</v>
      </c>
      <c r="BY214" s="136">
        <f t="shared" si="356"/>
        <v>22.8</v>
      </c>
      <c r="BZ214" s="134">
        <f t="shared" si="356"/>
        <v>0</v>
      </c>
      <c r="CA214" s="136">
        <f t="shared" si="356"/>
        <v>37.926165311382398</v>
      </c>
      <c r="CB214" s="134">
        <f t="shared" si="356"/>
        <v>0</v>
      </c>
      <c r="CC214" s="136">
        <f t="shared" ref="CC214:CD214" si="357">SUM(CC215:CC220)</f>
        <v>53.2</v>
      </c>
      <c r="CD214" s="134">
        <f t="shared" si="357"/>
        <v>0</v>
      </c>
      <c r="CE214" s="136">
        <f t="shared" ref="CE214:CF214" si="358">SUM(CE215:CE220)</f>
        <v>60.8</v>
      </c>
      <c r="CF214" s="134">
        <f t="shared" si="358"/>
        <v>0</v>
      </c>
      <c r="CG214" s="136">
        <f t="shared" ref="CG214:CJ214" si="359">SUM(CG215:CG220)</f>
        <v>106.4</v>
      </c>
      <c r="CH214" s="134">
        <f t="shared" si="359"/>
        <v>0</v>
      </c>
      <c r="CI214" s="136">
        <f t="shared" si="359"/>
        <v>11.7</v>
      </c>
      <c r="CJ214" s="134">
        <f t="shared" si="359"/>
        <v>0</v>
      </c>
      <c r="CK214" s="136">
        <f t="shared" ref="CK214:CN214" si="360">SUM(CK215:CK220)</f>
        <v>76</v>
      </c>
      <c r="CL214" s="134">
        <f t="shared" si="360"/>
        <v>0</v>
      </c>
      <c r="CM214" s="136">
        <f t="shared" si="360"/>
        <v>91.2</v>
      </c>
      <c r="CN214" s="134">
        <f t="shared" si="360"/>
        <v>300</v>
      </c>
      <c r="CO214" s="136">
        <f t="shared" ref="CO214:CR214" si="361">SUM(CO215:CO220)</f>
        <v>60.8</v>
      </c>
      <c r="CP214" s="134">
        <f t="shared" si="361"/>
        <v>300</v>
      </c>
      <c r="CQ214" s="136">
        <f t="shared" si="361"/>
        <v>38.301981978382045</v>
      </c>
      <c r="CR214" s="134">
        <f t="shared" si="361"/>
        <v>0</v>
      </c>
      <c r="CS214" s="136">
        <f t="shared" ref="CS214:CX214" si="362">SUM(CS215:CS220)</f>
        <v>42.67701944017103</v>
      </c>
      <c r="CT214" s="134">
        <f t="shared" si="362"/>
        <v>0</v>
      </c>
      <c r="CU214" s="136">
        <v>30.4</v>
      </c>
      <c r="CV214" s="134">
        <f t="shared" si="362"/>
        <v>0</v>
      </c>
      <c r="CW214" s="136">
        <f t="shared" si="362"/>
        <v>22.8</v>
      </c>
      <c r="CX214" s="134">
        <f t="shared" si="362"/>
        <v>0</v>
      </c>
      <c r="CY214" s="136">
        <f t="shared" ref="CY214:CZ214" si="363">SUM(CY215:CY220)</f>
        <v>37.926165311382398</v>
      </c>
      <c r="CZ214" s="134">
        <f t="shared" si="363"/>
        <v>0</v>
      </c>
      <c r="DA214" s="141"/>
      <c r="DB214" s="293"/>
    </row>
    <row r="215" spans="2:106" ht="30.75" customHeight="1">
      <c r="C215" s="446" t="s">
        <v>481</v>
      </c>
      <c r="D215" s="443">
        <v>1</v>
      </c>
      <c r="E215" s="99" t="s">
        <v>46</v>
      </c>
      <c r="F215" s="56">
        <v>67</v>
      </c>
      <c r="G215" s="46">
        <f>F215*6820</f>
        <v>456940</v>
      </c>
      <c r="H215" s="56">
        <v>110</v>
      </c>
      <c r="I215" s="46">
        <f>H215*6820</f>
        <v>750200</v>
      </c>
      <c r="J215" s="49">
        <v>40</v>
      </c>
      <c r="K215" s="39">
        <v>62</v>
      </c>
      <c r="L215" s="39">
        <v>13</v>
      </c>
      <c r="M215" s="39">
        <v>15</v>
      </c>
      <c r="N215" s="42"/>
      <c r="O215" s="19"/>
      <c r="P215" s="19"/>
      <c r="Q215" s="124"/>
      <c r="R215" s="124"/>
      <c r="S215" s="124"/>
      <c r="T215" s="124"/>
      <c r="U215" s="124"/>
      <c r="V215" s="124"/>
      <c r="W215" s="124"/>
      <c r="X215" s="124"/>
      <c r="Y215" s="124"/>
      <c r="Z215" s="124"/>
      <c r="AA215" s="124"/>
      <c r="AB215" s="124"/>
      <c r="AC215" s="124"/>
      <c r="AD215" s="124"/>
      <c r="AE215" s="124"/>
      <c r="AF215" s="124"/>
      <c r="AG215" s="124"/>
      <c r="AH215" s="124"/>
      <c r="AI215" s="129">
        <f t="shared" ref="AI215:AI220" si="364">SUM(J215:K215)-CI215+CJ215</f>
        <v>94.8</v>
      </c>
      <c r="AJ215" s="129">
        <f t="shared" ref="AJ215:AJ220" si="365">AI215-CK215+CL215</f>
        <v>83.8</v>
      </c>
      <c r="AK215" s="129">
        <f t="shared" ref="AK215:AK219" si="366">AJ215-CM215+CN215</f>
        <v>85.6</v>
      </c>
      <c r="AL215" s="399">
        <f t="shared" ref="AL215:AL220" si="367">AK215-CO215+CP215</f>
        <v>91.8</v>
      </c>
      <c r="AM215" s="393">
        <f t="shared" ref="AM215:AM220" si="368">AL215-CQ215+CR215</f>
        <v>86.256292082076286</v>
      </c>
      <c r="AN215" s="393">
        <f t="shared" ref="AN215:AN220" si="369">AM215-CS215+CT215</f>
        <v>80.079355057840999</v>
      </c>
      <c r="AO215" s="393">
        <f t="shared" ref="AO215:AO220" si="370">AN215-CU215+CV215</f>
        <v>75.679355057840993</v>
      </c>
      <c r="AP215" s="96">
        <f t="shared" ref="AP215:AP220" si="371">AO215-CW215+CX215</f>
        <v>72.379355057840996</v>
      </c>
      <c r="AQ215" s="91">
        <f t="shared" ref="AQ215:AQ220" si="372">AP215-CY215+CZ215</f>
        <v>66.890041657509329</v>
      </c>
      <c r="AR215" s="198"/>
      <c r="AS215" s="81">
        <f>$H$215*月別販売比率!AG25</f>
        <v>8.8000000000000007</v>
      </c>
      <c r="AT215" s="39"/>
      <c r="AU215" s="81">
        <f>$H$215*月別販売比率!AL25</f>
        <v>5.5437079179237179</v>
      </c>
      <c r="AV215" s="39"/>
      <c r="AW215" s="81">
        <f>$H$215*月別販売比率!AQ25</f>
        <v>6.1769370242352801</v>
      </c>
      <c r="AX215" s="39"/>
      <c r="AY215" s="81">
        <f>$H$215*月別販売比率!AV25</f>
        <v>4.4000000000000004</v>
      </c>
      <c r="AZ215" s="39"/>
      <c r="BA215" s="81">
        <f>$H$215*月別販売比率!BA25</f>
        <v>3.3</v>
      </c>
      <c r="BB215" s="39"/>
      <c r="BC215" s="81">
        <f>$H$215*月別販売比率!BF25</f>
        <v>5.4893134003316622</v>
      </c>
      <c r="BD215" s="39"/>
      <c r="BE215" s="81">
        <f>$H$215*月別販売比率!C25</f>
        <v>7.7000000000000011</v>
      </c>
      <c r="BF215" s="39"/>
      <c r="BG215" s="81">
        <f>$H$215*月別販売比率!H25</f>
        <v>8.8000000000000007</v>
      </c>
      <c r="BH215" s="39"/>
      <c r="BI215" s="81">
        <f>$H$215*月別販売比率!M25</f>
        <v>15.400000000000002</v>
      </c>
      <c r="BJ215" s="39"/>
      <c r="BK215" s="81">
        <f>$H$215*月別販売比率!R25</f>
        <v>19.8</v>
      </c>
      <c r="BL215" s="39"/>
      <c r="BM215" s="81">
        <f>$H$215*月別販売比率!W25</f>
        <v>11</v>
      </c>
      <c r="BN215" s="39"/>
      <c r="BO215" s="81">
        <f>$H$215*月別販売比率!AB25</f>
        <v>13.2</v>
      </c>
      <c r="BP215" s="39"/>
      <c r="BQ215" s="245">
        <f>$H$215*月別販売比率!AG25</f>
        <v>8.8000000000000007</v>
      </c>
      <c r="BR215" s="280">
        <v>20</v>
      </c>
      <c r="BS215" s="81">
        <f>$H$215*月別販売比率!AL25</f>
        <v>5.5437079179237179</v>
      </c>
      <c r="BT215" s="39"/>
      <c r="BU215" s="245">
        <f>$H$215*月別販売比率!AQ25</f>
        <v>6.1769370242352801</v>
      </c>
      <c r="BV215" s="280">
        <v>30</v>
      </c>
      <c r="BW215" s="81">
        <f>$H$215*月別販売比率!AV25</f>
        <v>4.4000000000000004</v>
      </c>
      <c r="BX215" s="39"/>
      <c r="BY215" s="81">
        <f>$H$215*月別販売比率!BA25</f>
        <v>3.3</v>
      </c>
      <c r="BZ215" s="39"/>
      <c r="CA215" s="81">
        <f>$H$215*月別販売比率!BF25</f>
        <v>5.4893134003316622</v>
      </c>
      <c r="CB215" s="39"/>
      <c r="CC215" s="81">
        <f>H215*月別販売比率!$C$25</f>
        <v>7.7000000000000011</v>
      </c>
      <c r="CD215" s="39"/>
      <c r="CE215" s="81">
        <f>H215*月別販売比率!$H$25</f>
        <v>8.8000000000000007</v>
      </c>
      <c r="CF215" s="39"/>
      <c r="CG215" s="81">
        <f>H215*月別販売比率!$M$25</f>
        <v>15.400000000000002</v>
      </c>
      <c r="CH215" s="39"/>
      <c r="CI215" s="81">
        <f>J215*月別販売比率!$R$25</f>
        <v>7.1999999999999993</v>
      </c>
      <c r="CJ215" s="39"/>
      <c r="CK215" s="81">
        <f>H215*月別販売比率!$W$25</f>
        <v>11</v>
      </c>
      <c r="CL215" s="39"/>
      <c r="CM215" s="81">
        <f>H215*月別販売比率!$AB$25</f>
        <v>13.2</v>
      </c>
      <c r="CN215" s="39">
        <v>15</v>
      </c>
      <c r="CO215" s="81">
        <f>H215*月別販売比率!$AG$25</f>
        <v>8.8000000000000007</v>
      </c>
      <c r="CP215" s="39">
        <v>15</v>
      </c>
      <c r="CQ215" s="81">
        <f>H215*月別販売比率!$AL$25</f>
        <v>5.5437079179237179</v>
      </c>
      <c r="CR215" s="39"/>
      <c r="CS215" s="81">
        <f>H215*月別販売比率!$AQ$25</f>
        <v>6.1769370242352801</v>
      </c>
      <c r="CT215" s="39"/>
      <c r="CU215" s="81">
        <f>H215*月別販売比率!$AV$25</f>
        <v>4.4000000000000004</v>
      </c>
      <c r="CV215" s="39"/>
      <c r="CW215" s="81">
        <f>H215*月別販売比率!$BA$25</f>
        <v>3.3</v>
      </c>
      <c r="CX215" s="39"/>
      <c r="CY215" s="81">
        <f>H215*月別販売比率!$BF$25</f>
        <v>5.4893134003316622</v>
      </c>
      <c r="CZ215" s="39"/>
      <c r="DA215" s="28"/>
      <c r="DB215" s="294"/>
    </row>
    <row r="216" spans="2:106" ht="30.75" customHeight="1">
      <c r="C216" s="457"/>
      <c r="D216" s="441"/>
      <c r="E216" s="94" t="s">
        <v>47</v>
      </c>
      <c r="F216" s="57">
        <v>98</v>
      </c>
      <c r="G216" s="46">
        <f t="shared" ref="G216:G220" si="373">F216*6820</f>
        <v>668360</v>
      </c>
      <c r="H216" s="56">
        <v>100</v>
      </c>
      <c r="I216" s="46">
        <f t="shared" ref="I216:I220" si="374">H216*6820</f>
        <v>682000</v>
      </c>
      <c r="J216" s="9">
        <v>1</v>
      </c>
      <c r="K216" s="21">
        <v>4</v>
      </c>
      <c r="L216" s="21">
        <v>3</v>
      </c>
      <c r="M216" s="21">
        <v>9</v>
      </c>
      <c r="N216" s="42"/>
      <c r="O216" s="19"/>
      <c r="P216" s="19"/>
      <c r="Q216" s="124"/>
      <c r="R216" s="124"/>
      <c r="S216" s="124"/>
      <c r="T216" s="124"/>
      <c r="U216" s="124"/>
      <c r="V216" s="124"/>
      <c r="W216" s="124"/>
      <c r="X216" s="328"/>
      <c r="Y216" s="328"/>
      <c r="Z216" s="124"/>
      <c r="AA216" s="334">
        <v>45940</v>
      </c>
      <c r="AB216" s="124"/>
      <c r="AC216" s="124"/>
      <c r="AD216" s="124"/>
      <c r="AE216" s="124"/>
      <c r="AF216" s="124"/>
      <c r="AG216" s="124"/>
      <c r="AH216" s="124"/>
      <c r="AI216" s="129">
        <f t="shared" si="364"/>
        <v>4.82</v>
      </c>
      <c r="AJ216" s="129">
        <f t="shared" si="365"/>
        <v>-5.18</v>
      </c>
      <c r="AK216" s="129">
        <f>0-CM216+CN216</f>
        <v>53</v>
      </c>
      <c r="AL216" s="399">
        <f t="shared" si="367"/>
        <v>110</v>
      </c>
      <c r="AM216" s="393">
        <f t="shared" si="368"/>
        <v>104.96026552916025</v>
      </c>
      <c r="AN216" s="393">
        <f t="shared" si="369"/>
        <v>99.344868234400906</v>
      </c>
      <c r="AO216" s="393">
        <f t="shared" si="370"/>
        <v>95.344868234400906</v>
      </c>
      <c r="AP216" s="96">
        <f t="shared" si="371"/>
        <v>92.344868234400906</v>
      </c>
      <c r="AQ216" s="91">
        <f t="shared" si="372"/>
        <v>87.354583325008491</v>
      </c>
      <c r="AR216" s="198"/>
      <c r="AS216" s="81">
        <f>$H$216*月別販売比率!AG25</f>
        <v>8</v>
      </c>
      <c r="AT216" s="21"/>
      <c r="AU216" s="81">
        <f>$H$216*月別販売比率!AL25</f>
        <v>5.0397344708397434</v>
      </c>
      <c r="AV216" s="21"/>
      <c r="AW216" s="81">
        <f>$H$216*月別販売比率!AQ25</f>
        <v>5.6153972947593456</v>
      </c>
      <c r="AX216" s="21"/>
      <c r="AY216" s="81">
        <f>$H$216*月別販売比率!AV25</f>
        <v>4</v>
      </c>
      <c r="AZ216" s="21"/>
      <c r="BA216" s="81">
        <f>$H$216*月別販売比率!BA25</f>
        <v>3</v>
      </c>
      <c r="BB216" s="21"/>
      <c r="BC216" s="81">
        <f>$H$216*月別販売比率!BF25</f>
        <v>4.99028490939242</v>
      </c>
      <c r="BD216" s="21"/>
      <c r="BE216" s="81">
        <f>$H$216*月別販売比率!C25</f>
        <v>7.0000000000000009</v>
      </c>
      <c r="BF216" s="21"/>
      <c r="BG216" s="81">
        <f>$H$216*月別販売比率!H25</f>
        <v>8</v>
      </c>
      <c r="BH216" s="21"/>
      <c r="BI216" s="81">
        <f>$H$216*月別販売比率!M25</f>
        <v>14.000000000000002</v>
      </c>
      <c r="BJ216" s="21"/>
      <c r="BK216" s="81">
        <f>$H$216*月別販売比率!R25</f>
        <v>18</v>
      </c>
      <c r="BL216" s="21"/>
      <c r="BM216" s="81">
        <f>$H$216*月別販売比率!W25</f>
        <v>10</v>
      </c>
      <c r="BN216" s="21"/>
      <c r="BO216" s="81">
        <f>$H$216*月別販売比率!AB25</f>
        <v>12</v>
      </c>
      <c r="BP216" s="21"/>
      <c r="BQ216" s="245">
        <f>$H$216*月別販売比率!AG25</f>
        <v>8</v>
      </c>
      <c r="BR216" s="241">
        <v>40</v>
      </c>
      <c r="BS216" s="81">
        <f>$H$216*月別販売比率!AL25</f>
        <v>5.0397344708397434</v>
      </c>
      <c r="BT216" s="21"/>
      <c r="BU216" s="245">
        <f>$H$216*月別販売比率!AQ25</f>
        <v>5.6153972947593456</v>
      </c>
      <c r="BV216" s="241">
        <v>30</v>
      </c>
      <c r="BW216" s="81">
        <f>$H$216*月別販売比率!AV25</f>
        <v>4</v>
      </c>
      <c r="BX216" s="21"/>
      <c r="BY216" s="81">
        <f>$H$216*月別販売比率!BA25</f>
        <v>3</v>
      </c>
      <c r="BZ216" s="21"/>
      <c r="CA216" s="81">
        <f>$H$216*月別販売比率!BF25</f>
        <v>4.99028490939242</v>
      </c>
      <c r="CB216" s="21"/>
      <c r="CC216" s="81">
        <f>H216*月別販売比率!$C$25</f>
        <v>7.0000000000000009</v>
      </c>
      <c r="CD216" s="21"/>
      <c r="CE216" s="81">
        <f>H216*月別販売比率!$H$25</f>
        <v>8</v>
      </c>
      <c r="CF216" s="21"/>
      <c r="CG216" s="81">
        <f>H216*月別販売比率!$M$25</f>
        <v>14.000000000000002</v>
      </c>
      <c r="CH216" s="21"/>
      <c r="CI216" s="81">
        <f>J216*月別販売比率!$R$25</f>
        <v>0.18</v>
      </c>
      <c r="CJ216" s="21"/>
      <c r="CK216" s="81">
        <f>H216*月別販売比率!$W$25</f>
        <v>10</v>
      </c>
      <c r="CL216" s="21"/>
      <c r="CM216" s="81">
        <f>H216*月別販売比率!$AB$25</f>
        <v>12</v>
      </c>
      <c r="CN216" s="21">
        <v>65</v>
      </c>
      <c r="CO216" s="81">
        <f>H216*月別販売比率!$AG$25</f>
        <v>8</v>
      </c>
      <c r="CP216" s="21">
        <v>65</v>
      </c>
      <c r="CQ216" s="81">
        <f>H216*月別販売比率!$AL$25</f>
        <v>5.0397344708397434</v>
      </c>
      <c r="CR216" s="21"/>
      <c r="CS216" s="81">
        <f>H216*月別販売比率!$AQ$25</f>
        <v>5.6153972947593456</v>
      </c>
      <c r="CT216" s="21"/>
      <c r="CU216" s="81">
        <f>H216*月別販売比率!$AV$25</f>
        <v>4</v>
      </c>
      <c r="CV216" s="21"/>
      <c r="CW216" s="81">
        <f>H216*月別販売比率!$BA$25</f>
        <v>3</v>
      </c>
      <c r="CX216" s="21"/>
      <c r="CY216" s="81">
        <f>H216*月別販売比率!$BF$25</f>
        <v>4.99028490939242</v>
      </c>
      <c r="CZ216" s="21"/>
      <c r="DA216" s="28"/>
      <c r="DB216" s="294"/>
    </row>
    <row r="217" spans="2:106" ht="30.75" customHeight="1">
      <c r="C217" s="457"/>
      <c r="D217" s="441"/>
      <c r="E217" s="94" t="s">
        <v>51</v>
      </c>
      <c r="F217" s="57">
        <v>129</v>
      </c>
      <c r="G217" s="46">
        <f t="shared" si="373"/>
        <v>879780</v>
      </c>
      <c r="H217" s="56">
        <v>150</v>
      </c>
      <c r="I217" s="46">
        <f t="shared" si="374"/>
        <v>1023000</v>
      </c>
      <c r="J217" s="9">
        <v>24</v>
      </c>
      <c r="K217" s="21">
        <f t="shared" ref="K217:K220" si="375">SUM(L217:N217)</f>
        <v>24</v>
      </c>
      <c r="L217" s="21">
        <v>10</v>
      </c>
      <c r="M217" s="21">
        <v>14</v>
      </c>
      <c r="N217" s="42"/>
      <c r="O217" s="19"/>
      <c r="P217" s="19"/>
      <c r="Q217" s="124"/>
      <c r="R217" s="124"/>
      <c r="S217" s="124"/>
      <c r="T217" s="124"/>
      <c r="U217" s="328"/>
      <c r="V217" s="328"/>
      <c r="W217" s="328"/>
      <c r="X217" s="328"/>
      <c r="Y217" s="328"/>
      <c r="Z217" s="124"/>
      <c r="AA217" s="333">
        <v>45940</v>
      </c>
      <c r="AB217" s="124"/>
      <c r="AC217" s="124"/>
      <c r="AD217" s="124"/>
      <c r="AE217" s="124"/>
      <c r="AF217" s="124"/>
      <c r="AG217" s="124"/>
      <c r="AH217" s="124"/>
      <c r="AI217" s="129">
        <f t="shared" si="364"/>
        <v>43.68</v>
      </c>
      <c r="AJ217" s="129">
        <f t="shared" si="365"/>
        <v>28.68</v>
      </c>
      <c r="AK217" s="129">
        <f t="shared" si="366"/>
        <v>60.68</v>
      </c>
      <c r="AL217" s="399">
        <f t="shared" si="367"/>
        <v>98.68</v>
      </c>
      <c r="AM217" s="393">
        <f t="shared" si="368"/>
        <v>91.120398293740394</v>
      </c>
      <c r="AN217" s="393">
        <f t="shared" si="369"/>
        <v>82.69730235160138</v>
      </c>
      <c r="AO217" s="393">
        <f t="shared" si="370"/>
        <v>76.69730235160138</v>
      </c>
      <c r="AP217" s="96">
        <f t="shared" si="371"/>
        <v>72.19730235160138</v>
      </c>
      <c r="AQ217" s="91">
        <f t="shared" si="372"/>
        <v>64.711874987512743</v>
      </c>
      <c r="AR217" s="198"/>
      <c r="AS217" s="81">
        <f>$H$217*月別販売比率!AG25</f>
        <v>12</v>
      </c>
      <c r="AT217" s="21"/>
      <c r="AU217" s="81">
        <f>$H$217*月別販売比率!AL25</f>
        <v>7.559601706259615</v>
      </c>
      <c r="AV217" s="21"/>
      <c r="AW217" s="81">
        <f>$H$217*月別販売比率!AQ25</f>
        <v>8.4230959421390192</v>
      </c>
      <c r="AX217" s="21"/>
      <c r="AY217" s="81">
        <f>$H$217*月別販売比率!AV25</f>
        <v>6</v>
      </c>
      <c r="AZ217" s="21"/>
      <c r="BA217" s="81">
        <f>$H$217*月別販売比率!BA25</f>
        <v>4.5</v>
      </c>
      <c r="BB217" s="21"/>
      <c r="BC217" s="81">
        <f>$H$217*月別販売比率!BF25</f>
        <v>7.48542736408863</v>
      </c>
      <c r="BD217" s="21"/>
      <c r="BE217" s="81">
        <f>$H$217*月別販売比率!C25</f>
        <v>10.500000000000002</v>
      </c>
      <c r="BF217" s="21"/>
      <c r="BG217" s="81">
        <f>$H$217*月別販売比率!H25</f>
        <v>12</v>
      </c>
      <c r="BH217" s="21"/>
      <c r="BI217" s="81">
        <f>$H$217*月別販売比率!M25</f>
        <v>21.000000000000004</v>
      </c>
      <c r="BJ217" s="21"/>
      <c r="BK217" s="81">
        <f>$H$217*月別販売比率!R25</f>
        <v>27</v>
      </c>
      <c r="BL217" s="21"/>
      <c r="BM217" s="81">
        <f>$H$217*月別販売比率!W25</f>
        <v>15</v>
      </c>
      <c r="BN217" s="21"/>
      <c r="BO217" s="81">
        <f>$H$217*月別販売比率!AB25</f>
        <v>18</v>
      </c>
      <c r="BP217" s="21"/>
      <c r="BQ217" s="245">
        <f>$H$217*月別販売比率!AG25</f>
        <v>12</v>
      </c>
      <c r="BR217" s="241">
        <v>70</v>
      </c>
      <c r="BS217" s="81">
        <f>$H$217*月別販売比率!AL25</f>
        <v>7.559601706259615</v>
      </c>
      <c r="BT217" s="21"/>
      <c r="BU217" s="245">
        <f>$H$217*月別販売比率!AQ25</f>
        <v>8.4230959421390192</v>
      </c>
      <c r="BV217" s="241">
        <v>80</v>
      </c>
      <c r="BW217" s="81">
        <f>$H$217*月別販売比率!AV25</f>
        <v>6</v>
      </c>
      <c r="BX217" s="21"/>
      <c r="BY217" s="81">
        <f>$H$217*月別販売比率!BA25</f>
        <v>4.5</v>
      </c>
      <c r="BZ217" s="21"/>
      <c r="CA217" s="81">
        <f>$H$217*月別販売比率!BF25</f>
        <v>7.48542736408863</v>
      </c>
      <c r="CB217" s="21"/>
      <c r="CC217" s="81">
        <f>H217*月別販売比率!$C$25</f>
        <v>10.500000000000002</v>
      </c>
      <c r="CD217" s="21"/>
      <c r="CE217" s="81">
        <f>H217*月別販売比率!$H$25</f>
        <v>12</v>
      </c>
      <c r="CF217" s="21"/>
      <c r="CG217" s="81">
        <f>H217*月別販売比率!$M$25</f>
        <v>21.000000000000004</v>
      </c>
      <c r="CH217" s="21"/>
      <c r="CI217" s="81">
        <f>J217*月別販売比率!$R$25</f>
        <v>4.32</v>
      </c>
      <c r="CJ217" s="21"/>
      <c r="CK217" s="81">
        <f>H217*月別販売比率!$W$25</f>
        <v>15</v>
      </c>
      <c r="CL217" s="21"/>
      <c r="CM217" s="81">
        <f>H217*月別販売比率!$AB$25</f>
        <v>18</v>
      </c>
      <c r="CN217" s="21">
        <v>50</v>
      </c>
      <c r="CO217" s="81">
        <f>H217*月別販売比率!$AG$25</f>
        <v>12</v>
      </c>
      <c r="CP217" s="21">
        <v>50</v>
      </c>
      <c r="CQ217" s="81">
        <f>H217*月別販売比率!$AL$25</f>
        <v>7.559601706259615</v>
      </c>
      <c r="CR217" s="21"/>
      <c r="CS217" s="81">
        <f>H217*月別販売比率!$AQ$25</f>
        <v>8.4230959421390192</v>
      </c>
      <c r="CT217" s="21"/>
      <c r="CU217" s="81">
        <f>H217*月別販売比率!$AV$25</f>
        <v>6</v>
      </c>
      <c r="CV217" s="21"/>
      <c r="CW217" s="81">
        <f>H217*月別販売比率!$BA$25</f>
        <v>4.5</v>
      </c>
      <c r="CX217" s="21"/>
      <c r="CY217" s="81">
        <f>H217*月別販売比率!$BF$25</f>
        <v>7.48542736408863</v>
      </c>
      <c r="CZ217" s="21"/>
      <c r="DA217" s="28"/>
      <c r="DB217" s="294"/>
    </row>
    <row r="218" spans="2:106" ht="30.75" customHeight="1">
      <c r="C218" s="457"/>
      <c r="D218" s="443">
        <v>2</v>
      </c>
      <c r="E218" s="94" t="s">
        <v>46</v>
      </c>
      <c r="F218" s="57">
        <v>68</v>
      </c>
      <c r="G218" s="46">
        <f t="shared" si="373"/>
        <v>463760</v>
      </c>
      <c r="H218" s="56">
        <v>120</v>
      </c>
      <c r="I218" s="46">
        <f t="shared" si="374"/>
        <v>818400</v>
      </c>
      <c r="J218" s="9">
        <v>0</v>
      </c>
      <c r="K218" s="21">
        <v>44</v>
      </c>
      <c r="L218" s="21">
        <v>30</v>
      </c>
      <c r="M218" s="21">
        <v>0</v>
      </c>
      <c r="N218" s="42"/>
      <c r="O218" s="19"/>
      <c r="P218" s="19"/>
      <c r="Q218" s="124"/>
      <c r="R218" s="124"/>
      <c r="S218" s="124"/>
      <c r="T218" s="124"/>
      <c r="U218" s="124"/>
      <c r="V218" s="124"/>
      <c r="W218" s="124"/>
      <c r="X218" s="124"/>
      <c r="Y218" s="124"/>
      <c r="Z218" s="124"/>
      <c r="AA218" s="124"/>
      <c r="AB218" s="124"/>
      <c r="AC218" s="124"/>
      <c r="AD218" s="124"/>
      <c r="AE218" s="124"/>
      <c r="AF218" s="124"/>
      <c r="AG218" s="124"/>
      <c r="AH218" s="124"/>
      <c r="AI218" s="129">
        <f t="shared" si="364"/>
        <v>44</v>
      </c>
      <c r="AJ218" s="129">
        <f t="shared" si="365"/>
        <v>32</v>
      </c>
      <c r="AK218" s="129">
        <f t="shared" si="366"/>
        <v>77.599999999999994</v>
      </c>
      <c r="AL218" s="399">
        <f t="shared" si="367"/>
        <v>128</v>
      </c>
      <c r="AM218" s="393">
        <f t="shared" si="368"/>
        <v>121.95231863499231</v>
      </c>
      <c r="AN218" s="393">
        <f t="shared" si="369"/>
        <v>115.2138418812811</v>
      </c>
      <c r="AO218" s="393">
        <f t="shared" si="370"/>
        <v>110.4138418812811</v>
      </c>
      <c r="AP218" s="96">
        <f t="shared" si="371"/>
        <v>106.81384188128111</v>
      </c>
      <c r="AQ218" s="91">
        <f t="shared" si="372"/>
        <v>100.8254999900102</v>
      </c>
      <c r="AR218" s="198"/>
      <c r="AS218" s="81">
        <f>$H$218*月別販売比率!AG25</f>
        <v>9.6</v>
      </c>
      <c r="AT218" s="21"/>
      <c r="AU218" s="81">
        <f>$H$218*月別販売比率!AL25</f>
        <v>6.0476813650076924</v>
      </c>
      <c r="AV218" s="21"/>
      <c r="AW218" s="81">
        <f>$H$218*月別販売比率!AQ25</f>
        <v>6.7384767537112147</v>
      </c>
      <c r="AX218" s="21"/>
      <c r="AY218" s="81">
        <f>$H$218*月別販売比率!AV25</f>
        <v>4.8</v>
      </c>
      <c r="AZ218" s="21"/>
      <c r="BA218" s="81">
        <f>$H$218*月別販売比率!BA25</f>
        <v>3.5999999999999996</v>
      </c>
      <c r="BB218" s="21"/>
      <c r="BC218" s="81">
        <f>$H$218*月別販売比率!BF25</f>
        <v>5.9883418912709043</v>
      </c>
      <c r="BD218" s="21"/>
      <c r="BE218" s="81">
        <f>$H$218*月別販売比率!C25</f>
        <v>8.4</v>
      </c>
      <c r="BF218" s="21"/>
      <c r="BG218" s="81">
        <f>$H$218*月別販売比率!H25</f>
        <v>9.6</v>
      </c>
      <c r="BH218" s="21"/>
      <c r="BI218" s="81">
        <f>$H$218*月別販売比率!M25</f>
        <v>16.8</v>
      </c>
      <c r="BJ218" s="21"/>
      <c r="BK218" s="81">
        <f>$H$218*月別販売比率!R25</f>
        <v>21.599999999999998</v>
      </c>
      <c r="BL218" s="21"/>
      <c r="BM218" s="81">
        <f>$H$218*月別販売比率!W25</f>
        <v>12</v>
      </c>
      <c r="BN218" s="21"/>
      <c r="BO218" s="81">
        <f>$H$218*月別販売比率!AB25</f>
        <v>14.399999999999999</v>
      </c>
      <c r="BP218" s="21"/>
      <c r="BQ218" s="245">
        <f>$H$218*月別販売比率!AG25</f>
        <v>9.6</v>
      </c>
      <c r="BR218" s="241">
        <v>20</v>
      </c>
      <c r="BS218" s="81">
        <f>$H$218*月別販売比率!AL25</f>
        <v>6.0476813650076924</v>
      </c>
      <c r="BT218" s="21"/>
      <c r="BU218" s="245">
        <f>$H$218*月別販売比率!AQ25</f>
        <v>6.7384767537112147</v>
      </c>
      <c r="BV218" s="241">
        <v>30</v>
      </c>
      <c r="BW218" s="81">
        <f>$H$218*月別販売比率!AV25</f>
        <v>4.8</v>
      </c>
      <c r="BX218" s="21"/>
      <c r="BY218" s="81">
        <f>$H$218*月別販売比率!BA25</f>
        <v>3.5999999999999996</v>
      </c>
      <c r="BZ218" s="21"/>
      <c r="CA218" s="81">
        <f>$H$218*月別販売比率!BF25</f>
        <v>5.9883418912709043</v>
      </c>
      <c r="CB218" s="21"/>
      <c r="CC218" s="81">
        <f>H218*月別販売比率!$C$25</f>
        <v>8.4</v>
      </c>
      <c r="CD218" s="21"/>
      <c r="CE218" s="81">
        <f>H218*月別販売比率!$H$25</f>
        <v>9.6</v>
      </c>
      <c r="CF218" s="21"/>
      <c r="CG218" s="81">
        <f>H218*月別販売比率!$M$25</f>
        <v>16.8</v>
      </c>
      <c r="CH218" s="21"/>
      <c r="CI218" s="81">
        <f>J218*月別販売比率!$R$25</f>
        <v>0</v>
      </c>
      <c r="CJ218" s="21"/>
      <c r="CK218" s="81">
        <f>H218*月別販売比率!$W$25</f>
        <v>12</v>
      </c>
      <c r="CL218" s="21"/>
      <c r="CM218" s="81">
        <f>H218*月別販売比率!$AB$25</f>
        <v>14.399999999999999</v>
      </c>
      <c r="CN218" s="21">
        <v>60</v>
      </c>
      <c r="CO218" s="81">
        <f>H218*月別販売比率!$AG$25</f>
        <v>9.6</v>
      </c>
      <c r="CP218" s="21">
        <v>60</v>
      </c>
      <c r="CQ218" s="81">
        <f>H218*月別販売比率!$AL$25</f>
        <v>6.0476813650076924</v>
      </c>
      <c r="CR218" s="21"/>
      <c r="CS218" s="81">
        <f>H218*月別販売比率!$AQ$25</f>
        <v>6.7384767537112147</v>
      </c>
      <c r="CT218" s="21"/>
      <c r="CU218" s="81">
        <f>H218*月別販売比率!$AV$25</f>
        <v>4.8</v>
      </c>
      <c r="CV218" s="21"/>
      <c r="CW218" s="81">
        <f>H218*月別販売比率!$BA$25</f>
        <v>3.5999999999999996</v>
      </c>
      <c r="CX218" s="21"/>
      <c r="CY218" s="81">
        <f>H218*月別販売比率!$BF$25</f>
        <v>5.9883418912709043</v>
      </c>
      <c r="CZ218" s="21"/>
      <c r="DA218" s="28"/>
      <c r="DB218" s="294"/>
    </row>
    <row r="219" spans="2:106" ht="30.75" customHeight="1">
      <c r="C219" s="457"/>
      <c r="D219" s="441"/>
      <c r="E219" s="94" t="s">
        <v>47</v>
      </c>
      <c r="F219" s="57">
        <v>111</v>
      </c>
      <c r="G219" s="46">
        <f t="shared" si="373"/>
        <v>757020</v>
      </c>
      <c r="H219" s="45">
        <v>120</v>
      </c>
      <c r="I219" s="46">
        <f t="shared" si="374"/>
        <v>818400</v>
      </c>
      <c r="J219" s="9">
        <v>0</v>
      </c>
      <c r="K219" s="21">
        <f t="shared" si="375"/>
        <v>13</v>
      </c>
      <c r="L219" s="21">
        <v>2</v>
      </c>
      <c r="M219" s="21">
        <v>11</v>
      </c>
      <c r="N219" s="42"/>
      <c r="O219" s="19"/>
      <c r="P219" s="19"/>
      <c r="Q219" s="124"/>
      <c r="R219" s="124"/>
      <c r="S219" s="124"/>
      <c r="T219" s="124"/>
      <c r="U219" s="124"/>
      <c r="V219" s="328"/>
      <c r="W219" s="328"/>
      <c r="X219" s="328"/>
      <c r="Y219" s="328"/>
      <c r="Z219" s="124"/>
      <c r="AA219" s="333">
        <v>45940</v>
      </c>
      <c r="AB219" s="124"/>
      <c r="AC219" s="124"/>
      <c r="AD219" s="124"/>
      <c r="AE219" s="124"/>
      <c r="AF219" s="124"/>
      <c r="AG219" s="124"/>
      <c r="AH219" s="124"/>
      <c r="AI219" s="129">
        <f t="shared" si="364"/>
        <v>13</v>
      </c>
      <c r="AJ219" s="129">
        <f t="shared" si="365"/>
        <v>1</v>
      </c>
      <c r="AK219" s="129">
        <f t="shared" si="366"/>
        <v>36.6</v>
      </c>
      <c r="AL219" s="399">
        <f t="shared" si="367"/>
        <v>77</v>
      </c>
      <c r="AM219" s="393">
        <f t="shared" si="368"/>
        <v>70.952318634992309</v>
      </c>
      <c r="AN219" s="393">
        <f t="shared" si="369"/>
        <v>64.213841881281098</v>
      </c>
      <c r="AO219" s="393">
        <f t="shared" si="370"/>
        <v>59.413841881281101</v>
      </c>
      <c r="AP219" s="96">
        <f t="shared" si="371"/>
        <v>55.8138418812811</v>
      </c>
      <c r="AQ219" s="91">
        <f t="shared" si="372"/>
        <v>49.825499990010194</v>
      </c>
      <c r="AR219" s="198"/>
      <c r="AS219" s="81">
        <f>$H$219*月別販売比率!AG25</f>
        <v>9.6</v>
      </c>
      <c r="AT219" s="21"/>
      <c r="AU219" s="81">
        <f>$H$219*月別販売比率!AL25</f>
        <v>6.0476813650076924</v>
      </c>
      <c r="AV219" s="21"/>
      <c r="AW219" s="81">
        <f>$H$219*月別販売比率!AQ25</f>
        <v>6.7384767537112147</v>
      </c>
      <c r="AX219" s="21"/>
      <c r="AY219" s="81">
        <f>$H$219*月別販売比率!AV25</f>
        <v>4.8</v>
      </c>
      <c r="AZ219" s="21"/>
      <c r="BA219" s="81">
        <f>$H$219*月別販売比率!BA25</f>
        <v>3.5999999999999996</v>
      </c>
      <c r="BB219" s="21"/>
      <c r="BC219" s="81">
        <f>$H$219*月別販売比率!BF25</f>
        <v>5.9883418912709043</v>
      </c>
      <c r="BD219" s="21"/>
      <c r="BE219" s="81">
        <f>$H$219*月別販売比率!C25</f>
        <v>8.4</v>
      </c>
      <c r="BF219" s="21"/>
      <c r="BG219" s="81">
        <f>$H$219*月別販売比率!H25</f>
        <v>9.6</v>
      </c>
      <c r="BH219" s="21"/>
      <c r="BI219" s="81">
        <f>$H$219*月別販売比率!M25</f>
        <v>16.8</v>
      </c>
      <c r="BJ219" s="21"/>
      <c r="BK219" s="81">
        <f>$H$219*月別販売比率!R25</f>
        <v>21.599999999999998</v>
      </c>
      <c r="BL219" s="21"/>
      <c r="BM219" s="81">
        <f>$H$219*月別販売比率!W25</f>
        <v>12</v>
      </c>
      <c r="BN219" s="21"/>
      <c r="BO219" s="81">
        <f>$H$219*月別販売比率!AB25</f>
        <v>14.399999999999999</v>
      </c>
      <c r="BP219" s="21"/>
      <c r="BQ219" s="245">
        <f>$H$219*月別販売比率!AG25</f>
        <v>9.6</v>
      </c>
      <c r="BR219" s="241">
        <v>70</v>
      </c>
      <c r="BS219" s="81">
        <f>$H$219*月別販売比率!AL25</f>
        <v>6.0476813650076924</v>
      </c>
      <c r="BT219" s="21"/>
      <c r="BU219" s="245">
        <f>$H$219*月別販売比率!AQ25</f>
        <v>6.7384767537112147</v>
      </c>
      <c r="BV219" s="241">
        <v>50</v>
      </c>
      <c r="BW219" s="81">
        <f>$H$219*月別販売比率!AV25</f>
        <v>4.8</v>
      </c>
      <c r="BX219" s="21"/>
      <c r="BY219" s="81">
        <f>$H$219*月別販売比率!BA25</f>
        <v>3.5999999999999996</v>
      </c>
      <c r="BZ219" s="21"/>
      <c r="CA219" s="81">
        <f>$H$219*月別販売比率!BF25</f>
        <v>5.9883418912709043</v>
      </c>
      <c r="CB219" s="21"/>
      <c r="CC219" s="81">
        <f>H219*月別販売比率!$C$25</f>
        <v>8.4</v>
      </c>
      <c r="CD219" s="21"/>
      <c r="CE219" s="81">
        <f>H219*月別販売比率!$H$25</f>
        <v>9.6</v>
      </c>
      <c r="CF219" s="21"/>
      <c r="CG219" s="81">
        <f>H219*月別販売比率!$M$25</f>
        <v>16.8</v>
      </c>
      <c r="CH219" s="21"/>
      <c r="CI219" s="81">
        <f>J219*月別販売比率!$R$25</f>
        <v>0</v>
      </c>
      <c r="CJ219" s="21"/>
      <c r="CK219" s="81">
        <f>H219*月別販売比率!$W$25</f>
        <v>12</v>
      </c>
      <c r="CL219" s="21"/>
      <c r="CM219" s="81">
        <f>H219*月別販売比率!$AB$25</f>
        <v>14.399999999999999</v>
      </c>
      <c r="CN219" s="21">
        <v>50</v>
      </c>
      <c r="CO219" s="81">
        <f>H219*月別販売比率!$AG$25</f>
        <v>9.6</v>
      </c>
      <c r="CP219" s="21">
        <v>50</v>
      </c>
      <c r="CQ219" s="81">
        <f>H219*月別販売比率!$AL$25</f>
        <v>6.0476813650076924</v>
      </c>
      <c r="CR219" s="21"/>
      <c r="CS219" s="81">
        <f>H219*月別販売比率!$AQ$25</f>
        <v>6.7384767537112147</v>
      </c>
      <c r="CT219" s="21"/>
      <c r="CU219" s="81">
        <f>H219*月別販売比率!$AV$25</f>
        <v>4.8</v>
      </c>
      <c r="CV219" s="21"/>
      <c r="CW219" s="81">
        <f>H219*月別販売比率!$BA$25</f>
        <v>3.5999999999999996</v>
      </c>
      <c r="CX219" s="21"/>
      <c r="CY219" s="81">
        <f>H219*月別販売比率!$BF$25</f>
        <v>5.9883418912709043</v>
      </c>
      <c r="CZ219" s="21"/>
      <c r="DA219" s="28"/>
      <c r="DB219" s="294"/>
    </row>
    <row r="220" spans="2:106" ht="30.75" customHeight="1">
      <c r="C220" s="457"/>
      <c r="D220" s="441"/>
      <c r="E220" s="119" t="s">
        <v>51</v>
      </c>
      <c r="F220" s="126">
        <v>141</v>
      </c>
      <c r="G220" s="53">
        <f t="shared" si="373"/>
        <v>961620</v>
      </c>
      <c r="H220" s="52">
        <v>160</v>
      </c>
      <c r="I220" s="53">
        <f t="shared" si="374"/>
        <v>1091200</v>
      </c>
      <c r="J220" s="127">
        <v>0</v>
      </c>
      <c r="K220" s="103">
        <f t="shared" si="375"/>
        <v>8</v>
      </c>
      <c r="L220" s="103">
        <v>2</v>
      </c>
      <c r="M220" s="103">
        <v>6</v>
      </c>
      <c r="N220" s="117"/>
      <c r="O220" s="123"/>
      <c r="P220" s="123"/>
      <c r="Q220" s="329"/>
      <c r="R220" s="329"/>
      <c r="S220" s="329"/>
      <c r="T220" s="329"/>
      <c r="U220" s="329"/>
      <c r="V220" s="329"/>
      <c r="W220" s="329"/>
      <c r="X220" s="329"/>
      <c r="Y220" s="329"/>
      <c r="Z220" s="238"/>
      <c r="AA220" s="391">
        <v>45940</v>
      </c>
      <c r="AB220" s="238"/>
      <c r="AC220" s="238"/>
      <c r="AD220" s="238"/>
      <c r="AE220" s="238"/>
      <c r="AF220" s="328"/>
      <c r="AG220" s="124"/>
      <c r="AH220" s="124"/>
      <c r="AI220" s="238">
        <f t="shared" si="364"/>
        <v>8</v>
      </c>
      <c r="AJ220" s="238">
        <f t="shared" si="365"/>
        <v>-8</v>
      </c>
      <c r="AK220" s="238">
        <f>0-CM220+CN220</f>
        <v>40.799999999999997</v>
      </c>
      <c r="AL220" s="401">
        <f t="shared" si="367"/>
        <v>88</v>
      </c>
      <c r="AM220" s="395">
        <f t="shared" si="368"/>
        <v>79.936424846656408</v>
      </c>
      <c r="AN220" s="395">
        <f t="shared" si="369"/>
        <v>70.951789175041455</v>
      </c>
      <c r="AO220" s="395">
        <f t="shared" si="370"/>
        <v>64.551789175041449</v>
      </c>
      <c r="AP220" s="403">
        <f t="shared" si="371"/>
        <v>59.751789175041452</v>
      </c>
      <c r="AQ220" s="90">
        <f t="shared" si="372"/>
        <v>51.767333320013577</v>
      </c>
      <c r="AR220" s="238"/>
      <c r="AS220" s="282">
        <f>$H$220*月別販売比率!AG25</f>
        <v>12.8</v>
      </c>
      <c r="AT220" s="107"/>
      <c r="AU220" s="282">
        <f>$H$220*月別販売比率!AL25</f>
        <v>8.0635751533435887</v>
      </c>
      <c r="AV220" s="103"/>
      <c r="AW220" s="282">
        <f>$H$220*月別販売比率!AQ25</f>
        <v>8.9846356716149529</v>
      </c>
      <c r="AX220" s="103"/>
      <c r="AY220" s="282">
        <f>$H$220*月別販売比率!AV25</f>
        <v>6.4</v>
      </c>
      <c r="AZ220" s="103"/>
      <c r="BA220" s="282">
        <f>$H$220*月別販売比率!BA25</f>
        <v>4.8</v>
      </c>
      <c r="BB220" s="103"/>
      <c r="BC220" s="282">
        <f>$H$220*月別販売比率!BF25</f>
        <v>7.9844558550278721</v>
      </c>
      <c r="BD220" s="103"/>
      <c r="BE220" s="282">
        <f>$H$220*月別販売比率!C25</f>
        <v>11.200000000000001</v>
      </c>
      <c r="BF220" s="103"/>
      <c r="BG220" s="282">
        <f>$H$220*月別販売比率!H25</f>
        <v>12.8</v>
      </c>
      <c r="BH220" s="103"/>
      <c r="BI220" s="282">
        <f>$H$220*月別販売比率!M25</f>
        <v>22.400000000000002</v>
      </c>
      <c r="BJ220" s="103"/>
      <c r="BK220" s="282">
        <f>$H$220*月別販売比率!R25</f>
        <v>28.799999999999997</v>
      </c>
      <c r="BL220" s="103"/>
      <c r="BM220" s="282">
        <f>$H$220*月別販売比率!W25</f>
        <v>16</v>
      </c>
      <c r="BN220" s="103"/>
      <c r="BO220" s="282">
        <f>$H$220*月別販売比率!AB25</f>
        <v>19.2</v>
      </c>
      <c r="BP220" s="103"/>
      <c r="BQ220" s="301">
        <f>$H$220*月別販売比率!AG25</f>
        <v>12.8</v>
      </c>
      <c r="BR220" s="302">
        <v>80</v>
      </c>
      <c r="BS220" s="282">
        <f>$H$220*月別販売比率!AL25</f>
        <v>8.0635751533435887</v>
      </c>
      <c r="BT220" s="103"/>
      <c r="BU220" s="301">
        <f>$H$220*月別販売比率!AQ25</f>
        <v>8.9846356716149529</v>
      </c>
      <c r="BV220" s="302">
        <v>80</v>
      </c>
      <c r="BW220" s="282">
        <f>$H$220*月別販売比率!AV25</f>
        <v>6.4</v>
      </c>
      <c r="BX220" s="103"/>
      <c r="BY220" s="282">
        <f>$H$220*月別販売比率!BA25</f>
        <v>4.8</v>
      </c>
      <c r="BZ220" s="103"/>
      <c r="CA220" s="282">
        <f>$H$220*月別販売比率!BF25</f>
        <v>7.9844558550278721</v>
      </c>
      <c r="CB220" s="103"/>
      <c r="CC220" s="282">
        <f>H220*月別販売比率!$C$25</f>
        <v>11.200000000000001</v>
      </c>
      <c r="CD220" s="103"/>
      <c r="CE220" s="282">
        <f>H220*月別販売比率!$H$25</f>
        <v>12.8</v>
      </c>
      <c r="CF220" s="103"/>
      <c r="CG220" s="282">
        <f>H220*月別販売比率!$M$25</f>
        <v>22.400000000000002</v>
      </c>
      <c r="CH220" s="103"/>
      <c r="CI220" s="282">
        <f>J220*月別販売比率!$R$25</f>
        <v>0</v>
      </c>
      <c r="CJ220" s="103"/>
      <c r="CK220" s="282">
        <f>H220*月別販売比率!$W$25</f>
        <v>16</v>
      </c>
      <c r="CL220" s="103"/>
      <c r="CM220" s="282">
        <f>H220*月別販売比率!$AB$25</f>
        <v>19.2</v>
      </c>
      <c r="CN220" s="103">
        <v>60</v>
      </c>
      <c r="CO220" s="282">
        <f>H220*月別販売比率!$AG$25</f>
        <v>12.8</v>
      </c>
      <c r="CP220" s="103">
        <v>60</v>
      </c>
      <c r="CQ220" s="282">
        <f>H220*月別販売比率!$AL$25</f>
        <v>8.0635751533435887</v>
      </c>
      <c r="CR220" s="103"/>
      <c r="CS220" s="282">
        <f>H220*月別販売比率!$AQ$25</f>
        <v>8.9846356716149529</v>
      </c>
      <c r="CT220" s="103"/>
      <c r="CU220" s="282">
        <f>H220*月別販売比率!$AV$25</f>
        <v>6.4</v>
      </c>
      <c r="CV220" s="103"/>
      <c r="CW220" s="282">
        <f>H220*月別販売比率!$BA$25</f>
        <v>4.8</v>
      </c>
      <c r="CX220" s="103"/>
      <c r="CY220" s="282">
        <f>H220*月別販売比率!$BF$25</f>
        <v>7.9844558550278721</v>
      </c>
      <c r="CZ220" s="103"/>
      <c r="DA220" s="303"/>
      <c r="DB220" s="300"/>
    </row>
    <row r="221" spans="2:106" ht="30.75" customHeight="1">
      <c r="B221" s="2">
        <v>16</v>
      </c>
      <c r="C221" s="435" t="s">
        <v>13</v>
      </c>
      <c r="D221" s="436"/>
      <c r="E221" s="445"/>
      <c r="F221" s="130">
        <f>SUM(F222:F233)</f>
        <v>494</v>
      </c>
      <c r="G221" s="131">
        <f>SUM(G222:G233)</f>
        <v>2445300</v>
      </c>
      <c r="H221" s="130">
        <v>628</v>
      </c>
      <c r="I221" s="131">
        <f t="shared" ref="I221:N221" si="376">SUM(I222:I233)</f>
        <v>3108600.0000000005</v>
      </c>
      <c r="J221" s="133">
        <f t="shared" si="376"/>
        <v>47</v>
      </c>
      <c r="K221" s="134">
        <f t="shared" si="376"/>
        <v>141</v>
      </c>
      <c r="L221" s="134">
        <f t="shared" si="376"/>
        <v>50</v>
      </c>
      <c r="M221" s="134">
        <f t="shared" si="376"/>
        <v>91</v>
      </c>
      <c r="N221" s="135">
        <f t="shared" si="376"/>
        <v>0</v>
      </c>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6">
        <f>SUM(AS222:AS233)</f>
        <v>62.8</v>
      </c>
      <c r="AT221" s="148">
        <f>SUM(AT222:AT233)</f>
        <v>150</v>
      </c>
      <c r="AU221" s="136">
        <f>SUM(AU222:AU233)</f>
        <v>56.519999999999996</v>
      </c>
      <c r="AV221" s="134"/>
      <c r="AW221" s="136">
        <f>SUM(AW222:AW233)</f>
        <v>62.8</v>
      </c>
      <c r="AX221" s="134"/>
      <c r="AY221" s="136">
        <f>SUM(AY222:AY233)</f>
        <v>38.241667813696459</v>
      </c>
      <c r="AZ221" s="134"/>
      <c r="BA221" s="136">
        <f>SUM(BA222:BA233)</f>
        <v>34.931319802769693</v>
      </c>
      <c r="BB221" s="327">
        <f>SUM(BB222:BB233)</f>
        <v>181</v>
      </c>
      <c r="BC221" s="136">
        <f>SUM(BC222:BC233)</f>
        <v>50.24</v>
      </c>
      <c r="BD221" s="134"/>
      <c r="BE221" s="136">
        <f>SUM(BE222:BE233)</f>
        <v>44.502749700747643</v>
      </c>
      <c r="BF221" s="134"/>
      <c r="BG221" s="136">
        <f>SUM(BG222:BG233)</f>
        <v>43.960000000000008</v>
      </c>
      <c r="BH221" s="134"/>
      <c r="BI221" s="136">
        <f>SUM(BI222:BI233)</f>
        <v>63.467996769654711</v>
      </c>
      <c r="BJ221" s="134"/>
      <c r="BK221" s="136">
        <f>SUM(BK222:BK233)</f>
        <v>50.24</v>
      </c>
      <c r="BL221" s="134"/>
      <c r="BM221" s="136">
        <f>SUM(BM222:BM233)</f>
        <v>47.832700366260973</v>
      </c>
      <c r="BN221" s="134"/>
      <c r="BO221" s="136">
        <f t="shared" ref="BO221:BW221" si="377">SUM(BO222:BO233)</f>
        <v>75.36</v>
      </c>
      <c r="BP221" s="136">
        <f t="shared" si="377"/>
        <v>312</v>
      </c>
      <c r="BQ221" s="136">
        <f t="shared" si="377"/>
        <v>62.8</v>
      </c>
      <c r="BR221" s="136">
        <f t="shared" si="377"/>
        <v>0</v>
      </c>
      <c r="BS221" s="136">
        <f t="shared" si="377"/>
        <v>56.519999999999996</v>
      </c>
      <c r="BT221" s="136">
        <f t="shared" si="377"/>
        <v>0</v>
      </c>
      <c r="BU221" s="136">
        <f t="shared" si="377"/>
        <v>62.8</v>
      </c>
      <c r="BV221" s="136">
        <f t="shared" si="377"/>
        <v>110</v>
      </c>
      <c r="BW221" s="136">
        <f t="shared" si="377"/>
        <v>38.241667813696459</v>
      </c>
      <c r="BX221" s="134"/>
      <c r="BY221" s="136">
        <f>SUM(BY222:BY233)</f>
        <v>34.931319802769693</v>
      </c>
      <c r="BZ221" s="134"/>
      <c r="CA221" s="136">
        <f>SUM(CA222:CA233)</f>
        <v>50.24</v>
      </c>
      <c r="CB221" s="134"/>
      <c r="CC221" s="136">
        <f>SUM(CC222:CC233)</f>
        <v>44.502749700747643</v>
      </c>
      <c r="CD221" s="134"/>
      <c r="CE221" s="136">
        <f>SUM(CE222:CE233)</f>
        <v>43.960000000000008</v>
      </c>
      <c r="CF221" s="134"/>
      <c r="CG221" s="136">
        <f>SUM(CG222:CG233)</f>
        <v>63.467996769654711</v>
      </c>
      <c r="CH221" s="134"/>
      <c r="CI221" s="136">
        <f>SUM(CI222:CI233)</f>
        <v>50.24</v>
      </c>
      <c r="CJ221" s="134">
        <f>SUM(CJ222:CJ233)</f>
        <v>368</v>
      </c>
      <c r="CK221" s="136">
        <f>SUM(CK222:CK233)</f>
        <v>47.832700366260973</v>
      </c>
      <c r="CL221" s="134"/>
      <c r="CM221" s="136">
        <f>SUM(CM222:CM233)</f>
        <v>75.36</v>
      </c>
      <c r="CN221" s="134"/>
      <c r="CO221" s="136">
        <f>SUM(CO222:CO233)</f>
        <v>62.8</v>
      </c>
      <c r="CP221" s="134"/>
      <c r="CQ221" s="136">
        <f>SUM(CQ222:CQ233)</f>
        <v>56.519999999999996</v>
      </c>
      <c r="CR221" s="134"/>
      <c r="CS221" s="136">
        <f>SUM(CS222:CS233)</f>
        <v>62.8</v>
      </c>
      <c r="CT221" s="134"/>
      <c r="CU221" s="136">
        <v>38.241667813696459</v>
      </c>
      <c r="CV221" s="134"/>
      <c r="CW221" s="136">
        <f>SUM(CW222:CW233)</f>
        <v>34.931319802769693</v>
      </c>
      <c r="CX221" s="136">
        <f>SUM(CX222:CX233)</f>
        <v>0</v>
      </c>
      <c r="CY221" s="136">
        <f>SUM(CY222:CY233)</f>
        <v>50.24</v>
      </c>
      <c r="CZ221" s="136">
        <f>SUM(CZ222:CZ233)</f>
        <v>0</v>
      </c>
      <c r="DA221" s="141"/>
      <c r="DB221" s="293"/>
    </row>
    <row r="222" spans="2:106" ht="30.75" customHeight="1">
      <c r="C222" s="446" t="s">
        <v>355</v>
      </c>
      <c r="D222" s="443">
        <v>1</v>
      </c>
      <c r="E222" s="99" t="s">
        <v>47</v>
      </c>
      <c r="F222" s="56">
        <v>66</v>
      </c>
      <c r="G222" s="46">
        <f>F222*4950</f>
        <v>326700</v>
      </c>
      <c r="H222" s="45">
        <f>F222*($H$221/$F$221)</f>
        <v>83.902834008097173</v>
      </c>
      <c r="I222" s="46">
        <f>H222*4950</f>
        <v>415319.02834008099</v>
      </c>
      <c r="J222" s="49">
        <v>0</v>
      </c>
      <c r="K222" s="39">
        <f t="shared" ref="K222:K233" si="378">SUM(L222:N222)</f>
        <v>6</v>
      </c>
      <c r="L222" s="39">
        <v>0</v>
      </c>
      <c r="M222" s="39">
        <v>6</v>
      </c>
      <c r="N222" s="42"/>
      <c r="O222" s="19"/>
      <c r="P222" s="19"/>
      <c r="Q222" s="124"/>
      <c r="R222" s="124"/>
      <c r="S222" s="124"/>
      <c r="T222" s="124"/>
      <c r="U222" s="124"/>
      <c r="V222" s="124"/>
      <c r="W222" s="124"/>
      <c r="X222" s="328"/>
      <c r="Y222" s="328"/>
      <c r="Z222" s="124"/>
      <c r="AA222" s="124"/>
      <c r="AB222" s="124"/>
      <c r="AC222" s="124"/>
      <c r="AD222" s="124"/>
      <c r="AE222" s="124"/>
      <c r="AF222" s="124"/>
      <c r="AG222" s="124"/>
      <c r="AH222" s="124"/>
      <c r="AI222" s="129">
        <f t="shared" ref="AI222:AI233" si="379">SUM(J222:K222)-CI222+CJ222</f>
        <v>67.287773279352223</v>
      </c>
      <c r="AJ222" s="129">
        <f t="shared" ref="AJ222:AJ233" si="380">AI222-CK222+CL222</f>
        <v>60.897169586693877</v>
      </c>
      <c r="AK222" s="129">
        <f t="shared" ref="AK222:AK233" si="381">AJ222-CM222+CN222</f>
        <v>50.828829505722219</v>
      </c>
      <c r="AL222" s="399">
        <f t="shared" ref="AL222:AL233" si="382">AK222-CO222+CP222</f>
        <v>42.438546104912504</v>
      </c>
      <c r="AM222" s="393">
        <f t="shared" ref="AM222:AM233" si="383">AL222-CQ222+CR222</f>
        <v>34.887291044183762</v>
      </c>
      <c r="AN222" s="393">
        <f t="shared" ref="AN222:AN233" si="384">AM222-CS222+CT222</f>
        <v>26.497007643374044</v>
      </c>
      <c r="AO222" s="393">
        <f t="shared" ref="AO222:AO233" si="385">AN222-CU222+CV222</f>
        <v>21.387796963811361</v>
      </c>
      <c r="AP222" s="96">
        <f t="shared" ref="AP222:AP233" si="386">AO222-CW222+CX222</f>
        <v>16.720859500283424</v>
      </c>
      <c r="AQ222" s="91">
        <f t="shared" ref="AQ222:AQ233" si="387">AP222-CY222+CZ222</f>
        <v>10.008632779635651</v>
      </c>
      <c r="AR222" s="198"/>
      <c r="AS222" s="245">
        <f>$H$222*月別販売比率!AG5</f>
        <v>8.390283400809718</v>
      </c>
      <c r="AT222" s="280">
        <v>60</v>
      </c>
      <c r="AU222" s="81">
        <f>$H$222*月別販売比率!AL5</f>
        <v>7.551255060728745</v>
      </c>
      <c r="AV222" s="39"/>
      <c r="AW222" s="81">
        <f>$H$222*月別販売比率!AQ5</f>
        <v>8.390283400809718</v>
      </c>
      <c r="AX222" s="39"/>
      <c r="AY222" s="81">
        <f>$H$222*月別販売比率!AV5</f>
        <v>5.1092106795626844</v>
      </c>
      <c r="AZ222" s="39"/>
      <c r="BA222" s="245">
        <f>$H$222*月別販売比率!BA5</f>
        <v>4.666937463527935</v>
      </c>
      <c r="BB222" s="280"/>
      <c r="BC222" s="81">
        <f>$H$222*月別販売比率!BF5</f>
        <v>6.7122267206477737</v>
      </c>
      <c r="BD222" s="39"/>
      <c r="BE222" s="81">
        <f>$H$222*月別販売比率!C21</f>
        <v>5.9457114984804553</v>
      </c>
      <c r="BF222" s="39"/>
      <c r="BG222" s="81">
        <f>$H$222*月別販売比率!H21</f>
        <v>5.8731983805668024</v>
      </c>
      <c r="BH222" s="39"/>
      <c r="BI222" s="81">
        <f>$H$222*月別販売比率!M21</f>
        <v>8.4795299327878766</v>
      </c>
      <c r="BJ222" s="39"/>
      <c r="BK222" s="81">
        <f>$H$222*月別販売比率!R21</f>
        <v>6.7122267206477737</v>
      </c>
      <c r="BL222" s="39"/>
      <c r="BM222" s="81">
        <f>$H$222*月別販売比率!W21</f>
        <v>6.390603692658348</v>
      </c>
      <c r="BN222" s="39"/>
      <c r="BO222" s="245">
        <f>$H$222*月別販売比率!AB21</f>
        <v>10.068340080971661</v>
      </c>
      <c r="BP222" s="280">
        <v>70</v>
      </c>
      <c r="BQ222" s="81">
        <f>$H$222*月別販売比率!AG21</f>
        <v>8.390283400809718</v>
      </c>
      <c r="BR222" s="39"/>
      <c r="BS222" s="81">
        <f>$H$222*月別販売比率!AL21</f>
        <v>7.551255060728745</v>
      </c>
      <c r="BT222" s="39"/>
      <c r="BU222" s="245">
        <f>$H$222*月別販売比率!AQ21</f>
        <v>8.390283400809718</v>
      </c>
      <c r="BV222" s="280"/>
      <c r="BW222" s="81">
        <f>$H$222*月別販売比率!AV21</f>
        <v>5.1092106795626844</v>
      </c>
      <c r="BX222" s="39"/>
      <c r="BY222" s="81">
        <f>$H$222*月別販売比率!BA21</f>
        <v>4.666937463527935</v>
      </c>
      <c r="BZ222" s="39"/>
      <c r="CA222" s="81">
        <f>$H$222*月別販売比率!BF21</f>
        <v>6.7122267206477737</v>
      </c>
      <c r="CB222" s="39"/>
      <c r="CC222" s="81">
        <f>H222*月別販売比率!$C$21</f>
        <v>5.9457114984804553</v>
      </c>
      <c r="CD222" s="39"/>
      <c r="CE222" s="81">
        <f>H222*月別販売比率!$H$21</f>
        <v>5.8731983805668024</v>
      </c>
      <c r="CF222" s="39"/>
      <c r="CG222" s="81">
        <f>H222*月別販売比率!$M$21</f>
        <v>8.4795299327878766</v>
      </c>
      <c r="CH222" s="39"/>
      <c r="CI222" s="81">
        <f>H222*月別販売比率!$R$21</f>
        <v>6.7122267206477737</v>
      </c>
      <c r="CJ222" s="39">
        <v>68</v>
      </c>
      <c r="CK222" s="81">
        <f>H222*月別販売比率!$W$21</f>
        <v>6.390603692658348</v>
      </c>
      <c r="CL222" s="39"/>
      <c r="CM222" s="81">
        <f>H222*月別販売比率!$AB$21</f>
        <v>10.068340080971661</v>
      </c>
      <c r="CN222" s="39"/>
      <c r="CO222" s="81">
        <f>H222*月別販売比率!$AG$21</f>
        <v>8.390283400809718</v>
      </c>
      <c r="CP222" s="39"/>
      <c r="CQ222" s="81">
        <f>H222*月別販売比率!$AL$21</f>
        <v>7.551255060728745</v>
      </c>
      <c r="CR222" s="39"/>
      <c r="CS222" s="81">
        <f>H222*月別販売比率!$AQ$21</f>
        <v>8.390283400809718</v>
      </c>
      <c r="CT222" s="39"/>
      <c r="CU222" s="81">
        <f>H222*月別販売比率!$AV$21</f>
        <v>5.1092106795626844</v>
      </c>
      <c r="CV222" s="39"/>
      <c r="CW222" s="81">
        <f>H222*月別販売比率!$BA$21</f>
        <v>4.666937463527935</v>
      </c>
      <c r="CX222" s="39"/>
      <c r="CY222" s="81">
        <f>H222*月別販売比率!$BF$21</f>
        <v>6.7122267206477737</v>
      </c>
      <c r="CZ222" s="39"/>
      <c r="DA222" s="28"/>
      <c r="DB222" s="294"/>
    </row>
    <row r="223" spans="2:106" ht="30.75" customHeight="1">
      <c r="C223" s="457"/>
      <c r="D223" s="441"/>
      <c r="E223" s="94" t="s">
        <v>51</v>
      </c>
      <c r="F223" s="57">
        <v>37</v>
      </c>
      <c r="G223" s="46">
        <f t="shared" ref="G223:G233" si="388">F223*4950</f>
        <v>183150</v>
      </c>
      <c r="H223" s="45">
        <f t="shared" ref="H223:H233" si="389">F223*($H$221/$F$221)</f>
        <v>47.036437246963565</v>
      </c>
      <c r="I223" s="46">
        <f t="shared" ref="I223:I233" si="390">H223*4950</f>
        <v>232830.36437246966</v>
      </c>
      <c r="J223" s="9">
        <v>0</v>
      </c>
      <c r="K223" s="21">
        <f t="shared" si="378"/>
        <v>13</v>
      </c>
      <c r="L223" s="21">
        <v>6</v>
      </c>
      <c r="M223" s="21">
        <v>7</v>
      </c>
      <c r="N223" s="42"/>
      <c r="O223" s="19"/>
      <c r="P223" s="19"/>
      <c r="Q223" s="124"/>
      <c r="R223" s="124"/>
      <c r="S223" s="124"/>
      <c r="T223" s="124"/>
      <c r="U223" s="124"/>
      <c r="V223" s="124"/>
      <c r="W223" s="124"/>
      <c r="X223" s="124"/>
      <c r="Y223" s="124"/>
      <c r="Z223" s="124"/>
      <c r="AA223" s="124"/>
      <c r="AB223" s="124"/>
      <c r="AC223" s="124"/>
      <c r="AD223" s="124"/>
      <c r="AE223" s="124"/>
      <c r="AF223" s="124"/>
      <c r="AG223" s="124"/>
      <c r="AH223" s="124"/>
      <c r="AI223" s="129">
        <f t="shared" si="379"/>
        <v>9.2370850202429153</v>
      </c>
      <c r="AJ223" s="129">
        <f t="shared" si="380"/>
        <v>5.6544738592071742</v>
      </c>
      <c r="AK223" s="129">
        <f t="shared" si="381"/>
        <v>1.0101389571546271E-2</v>
      </c>
      <c r="AL223" s="399">
        <f t="shared" si="382"/>
        <v>-4.6935423351248104</v>
      </c>
      <c r="AM223" s="393">
        <f>0-CQ223+CR223</f>
        <v>15.76672064777328</v>
      </c>
      <c r="AN223" s="393">
        <f t="shared" si="384"/>
        <v>11.063076923076924</v>
      </c>
      <c r="AO223" s="393">
        <f t="shared" si="385"/>
        <v>8.1988224512008738</v>
      </c>
      <c r="AP223" s="96">
        <f t="shared" si="386"/>
        <v>5.5825090246776377</v>
      </c>
      <c r="AQ223" s="91">
        <f t="shared" si="387"/>
        <v>1.8195940449205525</v>
      </c>
      <c r="AR223" s="198"/>
      <c r="AS223" s="245">
        <f>$H$223*月別販売比率!AG5</f>
        <v>4.7036437246963567</v>
      </c>
      <c r="AT223" s="241"/>
      <c r="AU223" s="81">
        <f>$H$223*月別販売比率!AL5</f>
        <v>4.2332793522267211</v>
      </c>
      <c r="AV223" s="21"/>
      <c r="AW223" s="81">
        <f>$H$223*月別販売比率!AQ5</f>
        <v>4.7036437246963567</v>
      </c>
      <c r="AX223" s="21"/>
      <c r="AY223" s="81">
        <f>$H$223*月別販売比率!AV5</f>
        <v>2.8642544718760501</v>
      </c>
      <c r="AZ223" s="21"/>
      <c r="BA223" s="245">
        <f>$H$223*月別販売比率!BA5</f>
        <v>2.6163134265232362</v>
      </c>
      <c r="BB223" s="241"/>
      <c r="BC223" s="81">
        <f>$H$223*月別販売比率!BF5</f>
        <v>3.7629149797570851</v>
      </c>
      <c r="BD223" s="21"/>
      <c r="BE223" s="81">
        <f>$H$223*月別販売比率!C21</f>
        <v>3.3332019006632856</v>
      </c>
      <c r="BF223" s="21"/>
      <c r="BG223" s="81">
        <f>$H$223*月別販売比率!H21</f>
        <v>3.29255060728745</v>
      </c>
      <c r="BH223" s="21"/>
      <c r="BI223" s="81">
        <f>$H$223*月別販売比率!M21</f>
        <v>4.753675871411386</v>
      </c>
      <c r="BJ223" s="21"/>
      <c r="BK223" s="81">
        <f>$H$223*月別販売比率!R21</f>
        <v>3.7629149797570851</v>
      </c>
      <c r="BL223" s="21"/>
      <c r="BM223" s="81">
        <f>$H$223*月別販売比率!W21</f>
        <v>3.5826111610357407</v>
      </c>
      <c r="BN223" s="21"/>
      <c r="BO223" s="245">
        <f>$H$223*月別販売比率!AB21</f>
        <v>5.6443724696356279</v>
      </c>
      <c r="BP223" s="241">
        <v>18</v>
      </c>
      <c r="BQ223" s="81">
        <f>$H$223*月別販売比率!AG21</f>
        <v>4.7036437246963567</v>
      </c>
      <c r="BR223" s="21"/>
      <c r="BS223" s="81">
        <f>$H$223*月別販売比率!AL21</f>
        <v>4.2332793522267211</v>
      </c>
      <c r="BT223" s="21"/>
      <c r="BU223" s="245">
        <f>$H$223*月別販売比率!AQ21</f>
        <v>4.7036437246963567</v>
      </c>
      <c r="BV223" s="241"/>
      <c r="BW223" s="81">
        <f>$H$223*月別販売比率!AV21</f>
        <v>2.8642544718760501</v>
      </c>
      <c r="BX223" s="21"/>
      <c r="BY223" s="81">
        <f>$H$223*月別販売比率!BA21</f>
        <v>2.6163134265232362</v>
      </c>
      <c r="BZ223" s="21"/>
      <c r="CA223" s="81">
        <f>$H$223*月別販売比率!BF21</f>
        <v>3.7629149797570851</v>
      </c>
      <c r="CB223" s="21"/>
      <c r="CC223" s="81">
        <f>H223*月別販売比率!$C$21</f>
        <v>3.3332019006632856</v>
      </c>
      <c r="CD223" s="21"/>
      <c r="CE223" s="81">
        <f>H223*月別販売比率!$H$21</f>
        <v>3.29255060728745</v>
      </c>
      <c r="CF223" s="21"/>
      <c r="CG223" s="81">
        <f>H223*月別販売比率!$M$21</f>
        <v>4.753675871411386</v>
      </c>
      <c r="CH223" s="21"/>
      <c r="CI223" s="81">
        <f>H223*月別販売比率!$R$21</f>
        <v>3.7629149797570851</v>
      </c>
      <c r="CJ223" s="21"/>
      <c r="CK223" s="81">
        <f>H223*月別販売比率!$W$21</f>
        <v>3.5826111610357407</v>
      </c>
      <c r="CL223" s="21"/>
      <c r="CM223" s="81">
        <f>H223*月別販売比率!$AB$21</f>
        <v>5.6443724696356279</v>
      </c>
      <c r="CN223" s="21"/>
      <c r="CO223" s="81">
        <f>H223*月別販売比率!$AG$21</f>
        <v>4.7036437246963567</v>
      </c>
      <c r="CP223" s="21"/>
      <c r="CQ223" s="81">
        <f>H223*月別販売比率!$AL$21</f>
        <v>4.2332793522267211</v>
      </c>
      <c r="CR223" s="21">
        <v>20</v>
      </c>
      <c r="CS223" s="81">
        <f>H223*月別販売比率!$AQ$21</f>
        <v>4.7036437246963567</v>
      </c>
      <c r="CT223" s="21"/>
      <c r="CU223" s="81">
        <f>H223*月別販売比率!$AV$21</f>
        <v>2.8642544718760501</v>
      </c>
      <c r="CV223" s="21"/>
      <c r="CW223" s="81">
        <f>H223*月別販売比率!$BA$21</f>
        <v>2.6163134265232362</v>
      </c>
      <c r="CX223" s="21"/>
      <c r="CY223" s="81">
        <f>H223*月別販売比率!$BF$21</f>
        <v>3.7629149797570851</v>
      </c>
      <c r="CZ223" s="21"/>
      <c r="DA223" s="28"/>
      <c r="DB223" s="294"/>
    </row>
    <row r="224" spans="2:106" ht="30.75" customHeight="1">
      <c r="C224" s="457"/>
      <c r="D224" s="441"/>
      <c r="E224" s="94" t="s">
        <v>49</v>
      </c>
      <c r="F224" s="57">
        <v>19</v>
      </c>
      <c r="G224" s="46">
        <f t="shared" si="388"/>
        <v>94050</v>
      </c>
      <c r="H224" s="45">
        <f t="shared" si="389"/>
        <v>24.153846153846153</v>
      </c>
      <c r="I224" s="46">
        <f t="shared" si="390"/>
        <v>119561.53846153845</v>
      </c>
      <c r="J224" s="9">
        <v>17</v>
      </c>
      <c r="K224" s="21">
        <f t="shared" si="378"/>
        <v>30</v>
      </c>
      <c r="L224" s="21">
        <v>10</v>
      </c>
      <c r="M224" s="21">
        <v>20</v>
      </c>
      <c r="N224" s="42"/>
      <c r="O224" s="19"/>
      <c r="P224" s="19"/>
      <c r="Q224" s="124"/>
      <c r="R224" s="124"/>
      <c r="S224" s="124"/>
      <c r="T224" s="124"/>
      <c r="U224" s="124"/>
      <c r="V224" s="124"/>
      <c r="W224" s="124"/>
      <c r="X224" s="328"/>
      <c r="Y224" s="328"/>
      <c r="Z224" s="124"/>
      <c r="AA224" s="124"/>
      <c r="AB224" s="124"/>
      <c r="AC224" s="124"/>
      <c r="AD224" s="124"/>
      <c r="AE224" s="124"/>
      <c r="AF224" s="124"/>
      <c r="AG224" s="124"/>
      <c r="AH224" s="124"/>
      <c r="AI224" s="129">
        <f t="shared" si="379"/>
        <v>45.067692307692305</v>
      </c>
      <c r="AJ224" s="129">
        <f t="shared" si="380"/>
        <v>43.227973062836114</v>
      </c>
      <c r="AK224" s="129">
        <f t="shared" si="381"/>
        <v>40.329511524374574</v>
      </c>
      <c r="AL224" s="399">
        <f t="shared" si="382"/>
        <v>37.914126908989957</v>
      </c>
      <c r="AM224" s="393">
        <f t="shared" si="383"/>
        <v>35.7402807551438</v>
      </c>
      <c r="AN224" s="393">
        <f t="shared" si="384"/>
        <v>33.324896139759183</v>
      </c>
      <c r="AO224" s="393">
        <f t="shared" si="385"/>
        <v>31.854062762309319</v>
      </c>
      <c r="AP224" s="96">
        <f t="shared" si="386"/>
        <v>30.510550462202794</v>
      </c>
      <c r="AQ224" s="91">
        <f t="shared" si="387"/>
        <v>28.578242769895102</v>
      </c>
      <c r="AR224" s="198"/>
      <c r="AS224" s="245">
        <f>$H$224*月別販売比率!AG5</f>
        <v>2.4153846153846157</v>
      </c>
      <c r="AT224" s="241">
        <v>10</v>
      </c>
      <c r="AU224" s="81">
        <f>$H$224*月別販売比率!AL5</f>
        <v>2.1738461538461538</v>
      </c>
      <c r="AV224" s="21"/>
      <c r="AW224" s="81">
        <f>$H$224*月別販売比率!AQ5</f>
        <v>2.4153846153846157</v>
      </c>
      <c r="AX224" s="21"/>
      <c r="AY224" s="81">
        <f>$H$224*月別販売比率!AV5</f>
        <v>1.4708333774498634</v>
      </c>
      <c r="AZ224" s="21"/>
      <c r="BA224" s="245">
        <f>$H$224*月別販売比率!BA5</f>
        <v>1.3435123001065266</v>
      </c>
      <c r="BB224" s="241"/>
      <c r="BC224" s="81">
        <f>$H$224*月別販売比率!BF5</f>
        <v>1.9323076923076923</v>
      </c>
      <c r="BD224" s="21"/>
      <c r="BE224" s="81">
        <f>$H$224*月別販売比率!C21</f>
        <v>1.7116442192595249</v>
      </c>
      <c r="BF224" s="21"/>
      <c r="BG224" s="81">
        <f>$H$224*月別販売比率!H21</f>
        <v>1.6907692307692308</v>
      </c>
      <c r="BH224" s="21"/>
      <c r="BI224" s="81">
        <f>$H$224*月別販売比率!M21</f>
        <v>2.4410767988328734</v>
      </c>
      <c r="BJ224" s="21"/>
      <c r="BK224" s="81">
        <f>$H$224*月別販売比率!R21</f>
        <v>1.9323076923076923</v>
      </c>
      <c r="BL224" s="21"/>
      <c r="BM224" s="81">
        <f>$H$224*月別販売比率!W21</f>
        <v>1.839719244856191</v>
      </c>
      <c r="BN224" s="21"/>
      <c r="BO224" s="245">
        <f>$H$224*月別販売比率!AB21</f>
        <v>2.8984615384615382</v>
      </c>
      <c r="BP224" s="241">
        <v>36</v>
      </c>
      <c r="BQ224" s="81">
        <f>$H$224*月別販売比率!AG21</f>
        <v>2.4153846153846157</v>
      </c>
      <c r="BR224" s="21"/>
      <c r="BS224" s="81">
        <f>$H$224*月別販売比率!AL21</f>
        <v>2.1738461538461538</v>
      </c>
      <c r="BT224" s="21"/>
      <c r="BU224" s="245">
        <f>$H$224*月別販売比率!AQ21</f>
        <v>2.4153846153846157</v>
      </c>
      <c r="BV224" s="241"/>
      <c r="BW224" s="81">
        <f>$H$224*月別販売比率!AV21</f>
        <v>1.4708333774498634</v>
      </c>
      <c r="BX224" s="21"/>
      <c r="BY224" s="81">
        <f>$H$224*月別販売比率!BA21</f>
        <v>1.3435123001065266</v>
      </c>
      <c r="BZ224" s="21"/>
      <c r="CA224" s="81">
        <f>$H$224*月別販売比率!BF21</f>
        <v>1.9323076923076923</v>
      </c>
      <c r="CB224" s="21"/>
      <c r="CC224" s="81">
        <f>H224*月別販売比率!$C$21</f>
        <v>1.7116442192595249</v>
      </c>
      <c r="CD224" s="21"/>
      <c r="CE224" s="81">
        <f>H224*月別販売比率!$H$21</f>
        <v>1.6907692307692308</v>
      </c>
      <c r="CF224" s="21"/>
      <c r="CG224" s="81">
        <f>H224*月別販売比率!$M$21</f>
        <v>2.4410767988328734</v>
      </c>
      <c r="CH224" s="21"/>
      <c r="CI224" s="81">
        <f>H224*月別販売比率!$R$21</f>
        <v>1.9323076923076923</v>
      </c>
      <c r="CJ224" s="21"/>
      <c r="CK224" s="81">
        <f>H224*月別販売比率!$W$21</f>
        <v>1.839719244856191</v>
      </c>
      <c r="CL224" s="21"/>
      <c r="CM224" s="81">
        <f>H224*月別販売比率!$AB$21</f>
        <v>2.8984615384615382</v>
      </c>
      <c r="CN224" s="21"/>
      <c r="CO224" s="81">
        <f>H224*月別販売比率!$AG$21</f>
        <v>2.4153846153846157</v>
      </c>
      <c r="CP224" s="21"/>
      <c r="CQ224" s="81">
        <f>H224*月別販売比率!$AL$21</f>
        <v>2.1738461538461538</v>
      </c>
      <c r="CR224" s="21"/>
      <c r="CS224" s="81">
        <f>H224*月別販売比率!$AQ$21</f>
        <v>2.4153846153846157</v>
      </c>
      <c r="CT224" s="21"/>
      <c r="CU224" s="81">
        <f>H224*月別販売比率!$AV$21</f>
        <v>1.4708333774498634</v>
      </c>
      <c r="CV224" s="21"/>
      <c r="CW224" s="81">
        <f>H224*月別販売比率!$BA$21</f>
        <v>1.3435123001065266</v>
      </c>
      <c r="CX224" s="21"/>
      <c r="CY224" s="81">
        <f>H224*月別販売比率!$BF$21</f>
        <v>1.9323076923076923</v>
      </c>
      <c r="CZ224" s="21"/>
      <c r="DA224" s="28"/>
      <c r="DB224" s="294"/>
    </row>
    <row r="225" spans="2:106" ht="30.75" customHeight="1">
      <c r="C225" s="457"/>
      <c r="D225" s="442"/>
      <c r="E225" s="94" t="s">
        <v>50</v>
      </c>
      <c r="F225" s="57">
        <v>10</v>
      </c>
      <c r="G225" s="46">
        <f t="shared" si="388"/>
        <v>49500</v>
      </c>
      <c r="H225" s="45">
        <f t="shared" si="389"/>
        <v>12.712550607287449</v>
      </c>
      <c r="I225" s="46">
        <f t="shared" si="390"/>
        <v>62927.125506072873</v>
      </c>
      <c r="J225" s="9">
        <v>19</v>
      </c>
      <c r="K225" s="21">
        <f t="shared" si="378"/>
        <v>34</v>
      </c>
      <c r="L225" s="21">
        <v>12</v>
      </c>
      <c r="M225" s="21">
        <v>22</v>
      </c>
      <c r="N225" s="42"/>
      <c r="O225" s="19"/>
      <c r="P225" s="19"/>
      <c r="Q225" s="124"/>
      <c r="R225" s="124"/>
      <c r="S225" s="124"/>
      <c r="T225" s="124"/>
      <c r="U225" s="124"/>
      <c r="V225" s="124"/>
      <c r="W225" s="124"/>
      <c r="X225" s="124"/>
      <c r="Y225" s="124"/>
      <c r="Z225" s="124"/>
      <c r="AA225" s="124"/>
      <c r="AB225" s="124"/>
      <c r="AC225" s="124"/>
      <c r="AD225" s="124"/>
      <c r="AE225" s="124"/>
      <c r="AF225" s="124"/>
      <c r="AG225" s="124"/>
      <c r="AH225" s="124"/>
      <c r="AI225" s="129">
        <f t="shared" si="379"/>
        <v>51.982995951417003</v>
      </c>
      <c r="AJ225" s="129">
        <f t="shared" si="380"/>
        <v>51.014722664650584</v>
      </c>
      <c r="AK225" s="129">
        <f t="shared" si="381"/>
        <v>49.489216591776092</v>
      </c>
      <c r="AL225" s="399">
        <f t="shared" si="382"/>
        <v>48.217961531047344</v>
      </c>
      <c r="AM225" s="393">
        <f t="shared" si="383"/>
        <v>47.073831976391475</v>
      </c>
      <c r="AN225" s="393">
        <f t="shared" si="384"/>
        <v>45.802576915662726</v>
      </c>
      <c r="AO225" s="393">
        <f t="shared" si="385"/>
        <v>45.028454085425956</v>
      </c>
      <c r="AP225" s="96">
        <f t="shared" si="386"/>
        <v>44.321342348527786</v>
      </c>
      <c r="AQ225" s="91">
        <f t="shared" si="387"/>
        <v>43.304338299944789</v>
      </c>
      <c r="AR225" s="198"/>
      <c r="AS225" s="245">
        <f>$H$225*月別販売比率!AG5</f>
        <v>1.2712550607287449</v>
      </c>
      <c r="AT225" s="241"/>
      <c r="AU225" s="81">
        <f>$H$225*月別販売比率!AL5</f>
        <v>1.1441295546558703</v>
      </c>
      <c r="AV225" s="21"/>
      <c r="AW225" s="81">
        <f>$H$225*月別販売比率!AQ5</f>
        <v>1.2712550607287449</v>
      </c>
      <c r="AX225" s="21"/>
      <c r="AY225" s="81">
        <f>$H$225*月別販売比率!AV5</f>
        <v>0.77412283023677031</v>
      </c>
      <c r="AZ225" s="21"/>
      <c r="BA225" s="245">
        <f>$H$225*月別販売比率!BA5</f>
        <v>0.70711173689817186</v>
      </c>
      <c r="BB225" s="241"/>
      <c r="BC225" s="81">
        <f>$H$225*月別販売比率!BF5</f>
        <v>1.0170040485829959</v>
      </c>
      <c r="BD225" s="21"/>
      <c r="BE225" s="81">
        <f>$H$225*月別販売比率!C21</f>
        <v>0.90086537855764459</v>
      </c>
      <c r="BF225" s="21"/>
      <c r="BG225" s="81">
        <f>$H$225*月別販売比率!H21</f>
        <v>0.88987854251012155</v>
      </c>
      <c r="BH225" s="21"/>
      <c r="BI225" s="81">
        <f>$H$225*月別販売比率!M21</f>
        <v>1.2847772625436176</v>
      </c>
      <c r="BJ225" s="21"/>
      <c r="BK225" s="81">
        <f>$H$225*月別販売比率!R21</f>
        <v>1.0170040485829959</v>
      </c>
      <c r="BL225" s="21"/>
      <c r="BM225" s="81">
        <f>$H$225*月別販売比率!W21</f>
        <v>0.96827328676641633</v>
      </c>
      <c r="BN225" s="21"/>
      <c r="BO225" s="245">
        <f>$H$225*月別販売比率!AB21</f>
        <v>1.5255060728744938</v>
      </c>
      <c r="BP225" s="241"/>
      <c r="BQ225" s="81">
        <f>$H$225*月別販売比率!AG21</f>
        <v>1.2712550607287449</v>
      </c>
      <c r="BR225" s="21"/>
      <c r="BS225" s="81">
        <f>$H$225*月別販売比率!AL21</f>
        <v>1.1441295546558703</v>
      </c>
      <c r="BT225" s="21"/>
      <c r="BU225" s="245">
        <f>$H$225*月別販売比率!AQ21</f>
        <v>1.2712550607287449</v>
      </c>
      <c r="BV225" s="241"/>
      <c r="BW225" s="81">
        <f>$H$225*月別販売比率!AV21</f>
        <v>0.77412283023677031</v>
      </c>
      <c r="BX225" s="21"/>
      <c r="BY225" s="81">
        <f>$H$225*月別販売比率!BA21</f>
        <v>0.70711173689817186</v>
      </c>
      <c r="BZ225" s="21"/>
      <c r="CA225" s="81">
        <f>$H$225*月別販売比率!BF21</f>
        <v>1.0170040485829959</v>
      </c>
      <c r="CB225" s="21"/>
      <c r="CC225" s="81">
        <f>H225*月別販売比率!$C$21</f>
        <v>0.90086537855764459</v>
      </c>
      <c r="CD225" s="21"/>
      <c r="CE225" s="81">
        <f>H225*月別販売比率!$H$21</f>
        <v>0.88987854251012155</v>
      </c>
      <c r="CF225" s="21"/>
      <c r="CG225" s="81">
        <f>H225*月別販売比率!$M$21</f>
        <v>1.2847772625436176</v>
      </c>
      <c r="CH225" s="21"/>
      <c r="CI225" s="81">
        <f>H225*月別販売比率!$R$21</f>
        <v>1.0170040485829959</v>
      </c>
      <c r="CJ225" s="21"/>
      <c r="CK225" s="81">
        <f>H225*月別販売比率!$W$21</f>
        <v>0.96827328676641633</v>
      </c>
      <c r="CL225" s="21"/>
      <c r="CM225" s="81">
        <f>H225*月別販売比率!$AB$21</f>
        <v>1.5255060728744938</v>
      </c>
      <c r="CN225" s="21"/>
      <c r="CO225" s="81">
        <f>H225*月別販売比率!$AG$21</f>
        <v>1.2712550607287449</v>
      </c>
      <c r="CP225" s="21"/>
      <c r="CQ225" s="81">
        <f>H225*月別販売比率!$AL$21</f>
        <v>1.1441295546558703</v>
      </c>
      <c r="CR225" s="21"/>
      <c r="CS225" s="81">
        <f>H225*月別販売比率!$AQ$21</f>
        <v>1.2712550607287449</v>
      </c>
      <c r="CT225" s="21"/>
      <c r="CU225" s="81">
        <f>H225*月別販売比率!$AV$21</f>
        <v>0.77412283023677031</v>
      </c>
      <c r="CV225" s="21"/>
      <c r="CW225" s="81">
        <f>H225*月別販売比率!$BA$21</f>
        <v>0.70711173689817186</v>
      </c>
      <c r="CX225" s="21"/>
      <c r="CY225" s="81">
        <f>H225*月別販売比率!$BF$21</f>
        <v>1.0170040485829959</v>
      </c>
      <c r="CZ225" s="21"/>
      <c r="DA225" s="28"/>
      <c r="DB225" s="294"/>
    </row>
    <row r="226" spans="2:106" ht="30.75" customHeight="1">
      <c r="B226" s="25"/>
      <c r="C226" s="457"/>
      <c r="D226" s="441">
        <v>2</v>
      </c>
      <c r="E226" s="94" t="s">
        <v>47</v>
      </c>
      <c r="F226" s="57">
        <v>87</v>
      </c>
      <c r="G226" s="46">
        <f t="shared" si="388"/>
        <v>430650</v>
      </c>
      <c r="H226" s="45">
        <f t="shared" si="389"/>
        <v>110.59919028340082</v>
      </c>
      <c r="I226" s="46">
        <f t="shared" si="390"/>
        <v>547465.99190283404</v>
      </c>
      <c r="J226" s="9">
        <v>0</v>
      </c>
      <c r="K226" s="21">
        <f t="shared" si="378"/>
        <v>0</v>
      </c>
      <c r="L226" s="21">
        <v>0</v>
      </c>
      <c r="M226" s="21">
        <v>0</v>
      </c>
      <c r="N226" s="42"/>
      <c r="O226" s="19"/>
      <c r="P226" s="19"/>
      <c r="Q226" s="124"/>
      <c r="R226" s="124"/>
      <c r="S226" s="328"/>
      <c r="T226" s="328"/>
      <c r="U226" s="328"/>
      <c r="V226" s="328"/>
      <c r="W226" s="328"/>
      <c r="X226" s="328"/>
      <c r="Y226" s="328"/>
      <c r="Z226" s="124"/>
      <c r="AA226" s="124"/>
      <c r="AB226" s="124"/>
      <c r="AC226" s="124"/>
      <c r="AD226" s="124"/>
      <c r="AE226" s="124"/>
      <c r="AF226" s="124"/>
      <c r="AG226" s="331"/>
      <c r="AH226" s="331"/>
      <c r="AI226" s="129">
        <f t="shared" si="379"/>
        <v>63.152064777327936</v>
      </c>
      <c r="AJ226" s="129">
        <f t="shared" si="380"/>
        <v>54.728087182460115</v>
      </c>
      <c r="AK226" s="129">
        <f t="shared" si="381"/>
        <v>41.45618434845202</v>
      </c>
      <c r="AL226" s="399">
        <f t="shared" si="382"/>
        <v>30.396265320111937</v>
      </c>
      <c r="AM226" s="393">
        <f t="shared" si="383"/>
        <v>40.442338194605867</v>
      </c>
      <c r="AN226" s="393">
        <f t="shared" si="384"/>
        <v>29.382419166265784</v>
      </c>
      <c r="AO226" s="393">
        <f t="shared" si="385"/>
        <v>22.647550543205881</v>
      </c>
      <c r="AP226" s="96">
        <f t="shared" si="386"/>
        <v>16.495678432191784</v>
      </c>
      <c r="AQ226" s="91">
        <f t="shared" si="387"/>
        <v>7.6477432095197191</v>
      </c>
      <c r="AR226" s="198"/>
      <c r="AS226" s="245">
        <f>$H$226*月別販売比率!AG5</f>
        <v>11.059919028340083</v>
      </c>
      <c r="AT226" s="241"/>
      <c r="AU226" s="81">
        <f>$H$226*月別販売比率!AL5</f>
        <v>9.9539271255060733</v>
      </c>
      <c r="AV226" s="21"/>
      <c r="AW226" s="81">
        <f>$H$226*月別販売比率!AQ5</f>
        <v>11.059919028340083</v>
      </c>
      <c r="AX226" s="21"/>
      <c r="AY226" s="81">
        <f>$H$226*月別販売比率!AV5</f>
        <v>6.734868623059902</v>
      </c>
      <c r="AZ226" s="21"/>
      <c r="BA226" s="245">
        <f>$H$226*月別販売比率!BA5</f>
        <v>6.1518721110140966</v>
      </c>
      <c r="BB226" s="241">
        <v>50</v>
      </c>
      <c r="BC226" s="81">
        <f>$H$226*月別販売比率!BF5</f>
        <v>8.8479352226720653</v>
      </c>
      <c r="BD226" s="21"/>
      <c r="BE226" s="81">
        <f>$H$226*月別販売比率!C21</f>
        <v>7.8375287934515088</v>
      </c>
      <c r="BF226" s="21"/>
      <c r="BG226" s="81">
        <f>$H$226*月別販売比率!H21</f>
        <v>7.7419433198380583</v>
      </c>
      <c r="BH226" s="21"/>
      <c r="BI226" s="81">
        <f>$H$226*月別販売比率!M21</f>
        <v>11.177562184129474</v>
      </c>
      <c r="BJ226" s="21"/>
      <c r="BK226" s="81">
        <f>$H$226*月別販売比率!R21</f>
        <v>8.8479352226720653</v>
      </c>
      <c r="BL226" s="21"/>
      <c r="BM226" s="81">
        <f>$H$226*月別販売比率!W21</f>
        <v>8.4239775948678233</v>
      </c>
      <c r="BN226" s="21"/>
      <c r="BO226" s="245">
        <f>$H$226*月別販売比率!AB21</f>
        <v>13.271902834008097</v>
      </c>
      <c r="BP226" s="241">
        <v>70</v>
      </c>
      <c r="BQ226" s="81">
        <f>$H$226*月別販売比率!AG21</f>
        <v>11.059919028340083</v>
      </c>
      <c r="BR226" s="21"/>
      <c r="BS226" s="81">
        <f>$H$226*月別販売比率!AL21</f>
        <v>9.9539271255060733</v>
      </c>
      <c r="BT226" s="21"/>
      <c r="BU226" s="245">
        <f>$H$226*月別販売比率!AQ21</f>
        <v>11.059919028340083</v>
      </c>
      <c r="BV226" s="241"/>
      <c r="BW226" s="81">
        <f>$H$226*月別販売比率!AV21</f>
        <v>6.734868623059902</v>
      </c>
      <c r="BX226" s="21"/>
      <c r="BY226" s="81">
        <f>$H$226*月別販売比率!BA21</f>
        <v>6.1518721110140966</v>
      </c>
      <c r="BZ226" s="21"/>
      <c r="CA226" s="81">
        <f>$H$226*月別販売比率!BF21</f>
        <v>8.8479352226720653</v>
      </c>
      <c r="CB226" s="21"/>
      <c r="CC226" s="81">
        <f>H226*月別販売比率!$C$21</f>
        <v>7.8375287934515088</v>
      </c>
      <c r="CD226" s="21"/>
      <c r="CE226" s="81">
        <f>H226*月別販売比率!$H$21</f>
        <v>7.7419433198380583</v>
      </c>
      <c r="CF226" s="21"/>
      <c r="CG226" s="81">
        <f>H226*月別販売比率!$M$21</f>
        <v>11.177562184129474</v>
      </c>
      <c r="CH226" s="21"/>
      <c r="CI226" s="81">
        <f>H226*月別販売比率!$R$21</f>
        <v>8.8479352226720653</v>
      </c>
      <c r="CJ226" s="21">
        <v>72</v>
      </c>
      <c r="CK226" s="81">
        <f>H226*月別販売比率!$W$21</f>
        <v>8.4239775948678233</v>
      </c>
      <c r="CL226" s="21"/>
      <c r="CM226" s="81">
        <f>H226*月別販売比率!$AB$21</f>
        <v>13.271902834008097</v>
      </c>
      <c r="CN226" s="21"/>
      <c r="CO226" s="81">
        <f>H226*月別販売比率!$AG$21</f>
        <v>11.059919028340083</v>
      </c>
      <c r="CP226" s="21"/>
      <c r="CQ226" s="81">
        <f>H226*月別販売比率!$AL$21</f>
        <v>9.9539271255060733</v>
      </c>
      <c r="CR226" s="21">
        <v>20</v>
      </c>
      <c r="CS226" s="81">
        <f>H226*月別販売比率!$AQ$21</f>
        <v>11.059919028340083</v>
      </c>
      <c r="CT226" s="21"/>
      <c r="CU226" s="81">
        <f>H226*月別販売比率!$AV$21</f>
        <v>6.734868623059902</v>
      </c>
      <c r="CV226" s="21"/>
      <c r="CW226" s="81">
        <f>H226*月別販売比率!$BA$21</f>
        <v>6.1518721110140966</v>
      </c>
      <c r="CX226" s="21"/>
      <c r="CY226" s="81">
        <f>H226*月別販売比率!$BF$21</f>
        <v>8.8479352226720653</v>
      </c>
      <c r="CZ226" s="21"/>
      <c r="DA226" s="28"/>
      <c r="DB226" s="294"/>
    </row>
    <row r="227" spans="2:106" ht="30.75" customHeight="1">
      <c r="B227" s="25"/>
      <c r="C227" s="457"/>
      <c r="D227" s="441"/>
      <c r="E227" s="94" t="s">
        <v>51</v>
      </c>
      <c r="F227" s="57">
        <v>58</v>
      </c>
      <c r="G227" s="46">
        <f t="shared" si="388"/>
        <v>287100</v>
      </c>
      <c r="H227" s="45">
        <f t="shared" si="389"/>
        <v>73.732793522267201</v>
      </c>
      <c r="I227" s="46">
        <f t="shared" si="390"/>
        <v>364977.32793522265</v>
      </c>
      <c r="J227" s="9">
        <v>0</v>
      </c>
      <c r="K227" s="21">
        <f t="shared" si="378"/>
        <v>0</v>
      </c>
      <c r="L227" s="21">
        <v>0</v>
      </c>
      <c r="M227" s="21">
        <v>0</v>
      </c>
      <c r="N227" s="42"/>
      <c r="O227" s="19"/>
      <c r="P227" s="19"/>
      <c r="Q227" s="124"/>
      <c r="R227" s="124"/>
      <c r="S227" s="124"/>
      <c r="T227" s="124"/>
      <c r="U227" s="124"/>
      <c r="V227" s="124"/>
      <c r="W227" s="124"/>
      <c r="X227" s="124"/>
      <c r="Y227" s="124"/>
      <c r="Z227" s="124"/>
      <c r="AA227" s="124"/>
      <c r="AB227" s="124"/>
      <c r="AC227" s="124"/>
      <c r="AD227" s="124"/>
      <c r="AE227" s="124"/>
      <c r="AF227" s="124"/>
      <c r="AG227" s="124"/>
      <c r="AH227" s="124"/>
      <c r="AI227" s="129">
        <f t="shared" si="379"/>
        <v>7.1013765182186237</v>
      </c>
      <c r="AJ227" s="129">
        <f t="shared" si="380"/>
        <v>1.4853914549734091</v>
      </c>
      <c r="AK227" s="129">
        <f t="shared" si="381"/>
        <v>-7.3625437676986545</v>
      </c>
      <c r="AL227" s="399">
        <f t="shared" si="382"/>
        <v>-14.735823119925374</v>
      </c>
      <c r="AM227" s="393">
        <f>0-CQ227+CR227</f>
        <v>43.364048582995949</v>
      </c>
      <c r="AN227" s="393">
        <f t="shared" si="384"/>
        <v>35.990769230769232</v>
      </c>
      <c r="AO227" s="393">
        <f t="shared" si="385"/>
        <v>31.500856815395963</v>
      </c>
      <c r="AP227" s="96">
        <f t="shared" si="386"/>
        <v>27.399608741386565</v>
      </c>
      <c r="AQ227" s="91">
        <f t="shared" si="387"/>
        <v>21.500985259605187</v>
      </c>
      <c r="AR227" s="198"/>
      <c r="AS227" s="245">
        <f>$H$227*月別販売比率!AG5</f>
        <v>7.3732793522267208</v>
      </c>
      <c r="AT227" s="241"/>
      <c r="AU227" s="81">
        <f>$H$227*月別販売比率!AL5</f>
        <v>6.6359514170040477</v>
      </c>
      <c r="AV227" s="21"/>
      <c r="AW227" s="81">
        <f>$H$227*月別販売比率!AQ5</f>
        <v>7.3732793522267208</v>
      </c>
      <c r="AX227" s="21"/>
      <c r="AY227" s="81">
        <f>$H$227*月別販売比率!AV5</f>
        <v>4.4899124153732677</v>
      </c>
      <c r="AZ227" s="21"/>
      <c r="BA227" s="245">
        <f>$H$227*月別販売比率!BA5</f>
        <v>4.1012480740093968</v>
      </c>
      <c r="BB227" s="241">
        <v>15</v>
      </c>
      <c r="BC227" s="81">
        <f>$H$227*月別販売比率!BF5</f>
        <v>5.8986234817813763</v>
      </c>
      <c r="BD227" s="21"/>
      <c r="BE227" s="81">
        <f>$H$227*月別販売比率!C21</f>
        <v>5.2250191956343386</v>
      </c>
      <c r="BF227" s="21"/>
      <c r="BG227" s="81">
        <f>$H$227*月別販売比率!H21</f>
        <v>5.1612955465587049</v>
      </c>
      <c r="BH227" s="21"/>
      <c r="BI227" s="81">
        <f>$H$227*月別販売比率!M21</f>
        <v>7.451708122752982</v>
      </c>
      <c r="BJ227" s="21"/>
      <c r="BK227" s="81">
        <f>$H$227*月別販売比率!R21</f>
        <v>5.8986234817813763</v>
      </c>
      <c r="BL227" s="21"/>
      <c r="BM227" s="81">
        <f>$H$227*月別販売比率!W21</f>
        <v>5.6159850632452146</v>
      </c>
      <c r="BN227" s="21"/>
      <c r="BO227" s="245">
        <f>$H$227*月別販売比率!AB21</f>
        <v>8.8479352226720636</v>
      </c>
      <c r="BP227" s="241">
        <v>10</v>
      </c>
      <c r="BQ227" s="81">
        <f>$H$227*月別販売比率!AG21</f>
        <v>7.3732793522267208</v>
      </c>
      <c r="BR227" s="21"/>
      <c r="BS227" s="81">
        <f>$H$227*月別販売比率!AL21</f>
        <v>6.6359514170040477</v>
      </c>
      <c r="BT227" s="21"/>
      <c r="BU227" s="245">
        <f>$H$227*月別販売比率!AQ21</f>
        <v>7.3732793522267208</v>
      </c>
      <c r="BV227" s="241">
        <v>30</v>
      </c>
      <c r="BW227" s="81">
        <f>$H$227*月別販売比率!AV21</f>
        <v>4.4899124153732677</v>
      </c>
      <c r="BX227" s="21"/>
      <c r="BY227" s="81">
        <f>$H$227*月別販売比率!BA21</f>
        <v>4.1012480740093968</v>
      </c>
      <c r="BZ227" s="21"/>
      <c r="CA227" s="81">
        <f>$H$227*月別販売比率!BF21</f>
        <v>5.8986234817813763</v>
      </c>
      <c r="CB227" s="21"/>
      <c r="CC227" s="81">
        <f>H227*月別販売比率!$C$21</f>
        <v>5.2250191956343386</v>
      </c>
      <c r="CD227" s="21"/>
      <c r="CE227" s="81">
        <f>H227*月別販売比率!$H$21</f>
        <v>5.1612955465587049</v>
      </c>
      <c r="CF227" s="21"/>
      <c r="CG227" s="81">
        <f>H227*月別販売比率!$M$21</f>
        <v>7.451708122752982</v>
      </c>
      <c r="CH227" s="21"/>
      <c r="CI227" s="81">
        <f>H227*月別販売比率!$R$21</f>
        <v>5.8986234817813763</v>
      </c>
      <c r="CJ227" s="21">
        <v>13</v>
      </c>
      <c r="CK227" s="81">
        <f>H227*月別販売比率!$W$21</f>
        <v>5.6159850632452146</v>
      </c>
      <c r="CL227" s="21"/>
      <c r="CM227" s="81">
        <f>H227*月別販売比率!$AB$21</f>
        <v>8.8479352226720636</v>
      </c>
      <c r="CN227" s="21"/>
      <c r="CO227" s="81">
        <f>H227*月別販売比率!$AG$21</f>
        <v>7.3732793522267208</v>
      </c>
      <c r="CP227" s="21"/>
      <c r="CQ227" s="81">
        <f>H227*月別販売比率!$AL$21</f>
        <v>6.6359514170040477</v>
      </c>
      <c r="CR227" s="21">
        <v>50</v>
      </c>
      <c r="CS227" s="81">
        <f>H227*月別販売比率!$AQ$21</f>
        <v>7.3732793522267208</v>
      </c>
      <c r="CT227" s="21"/>
      <c r="CU227" s="81">
        <f>H227*月別販売比率!$AV$21</f>
        <v>4.4899124153732677</v>
      </c>
      <c r="CV227" s="21"/>
      <c r="CW227" s="81">
        <f>H227*月別販売比率!$BA$21</f>
        <v>4.1012480740093968</v>
      </c>
      <c r="CX227" s="21"/>
      <c r="CY227" s="81">
        <f>H227*月別販売比率!$BF$21</f>
        <v>5.8986234817813763</v>
      </c>
      <c r="CZ227" s="21"/>
      <c r="DA227" s="28"/>
      <c r="DB227" s="294"/>
    </row>
    <row r="228" spans="2:106" ht="30.75" customHeight="1">
      <c r="B228" s="25"/>
      <c r="C228" s="457"/>
      <c r="D228" s="441"/>
      <c r="E228" s="94" t="s">
        <v>49</v>
      </c>
      <c r="F228" s="57">
        <v>15</v>
      </c>
      <c r="G228" s="46">
        <f t="shared" si="388"/>
        <v>74250</v>
      </c>
      <c r="H228" s="45">
        <f t="shared" si="389"/>
        <v>19.068825910931174</v>
      </c>
      <c r="I228" s="46">
        <f t="shared" si="390"/>
        <v>94390.688259109316</v>
      </c>
      <c r="J228" s="9">
        <v>1</v>
      </c>
      <c r="K228" s="21">
        <f t="shared" si="378"/>
        <v>24</v>
      </c>
      <c r="L228" s="21">
        <v>6</v>
      </c>
      <c r="M228" s="21">
        <v>18</v>
      </c>
      <c r="N228" s="42"/>
      <c r="O228" s="19"/>
      <c r="P228" s="19"/>
      <c r="Q228" s="124"/>
      <c r="R228" s="124"/>
      <c r="S228" s="328"/>
      <c r="T228" s="328"/>
      <c r="U228" s="328"/>
      <c r="V228" s="328"/>
      <c r="W228" s="328"/>
      <c r="X228" s="328"/>
      <c r="Y228" s="328"/>
      <c r="Z228" s="124"/>
      <c r="AA228" s="124"/>
      <c r="AB228" s="124"/>
      <c r="AC228" s="124"/>
      <c r="AD228" s="124"/>
      <c r="AE228" s="124"/>
      <c r="AF228" s="124"/>
      <c r="AG228" s="124"/>
      <c r="AH228" s="124"/>
      <c r="AI228" s="129">
        <f t="shared" si="379"/>
        <v>23.474493927125508</v>
      </c>
      <c r="AJ228" s="129">
        <f t="shared" si="380"/>
        <v>22.022083996975883</v>
      </c>
      <c r="AK228" s="129">
        <f t="shared" si="381"/>
        <v>19.733824887664142</v>
      </c>
      <c r="AL228" s="399">
        <f t="shared" si="382"/>
        <v>17.826942296571023</v>
      </c>
      <c r="AM228" s="393">
        <f t="shared" si="383"/>
        <v>16.110747964587219</v>
      </c>
      <c r="AN228" s="393">
        <f t="shared" si="384"/>
        <v>14.203865373494102</v>
      </c>
      <c r="AO228" s="393">
        <f t="shared" si="385"/>
        <v>13.042681128138947</v>
      </c>
      <c r="AP228" s="96">
        <f t="shared" si="386"/>
        <v>11.982013522791689</v>
      </c>
      <c r="AQ228" s="91">
        <f t="shared" si="387"/>
        <v>10.456507449917195</v>
      </c>
      <c r="AR228" s="198"/>
      <c r="AS228" s="245">
        <f>$H$228*月別販売比率!AG5</f>
        <v>1.9068825910931175</v>
      </c>
      <c r="AT228" s="241"/>
      <c r="AU228" s="81">
        <f>$H$228*月別販売比率!AL5</f>
        <v>1.7161943319838056</v>
      </c>
      <c r="AV228" s="21"/>
      <c r="AW228" s="81">
        <f>$H$228*月別販売比率!AQ5</f>
        <v>1.9068825910931175</v>
      </c>
      <c r="AX228" s="21"/>
      <c r="AY228" s="81">
        <f>$H$228*月別販売比率!AV5</f>
        <v>1.1611842453551555</v>
      </c>
      <c r="AZ228" s="21"/>
      <c r="BA228" s="245">
        <f>$H$228*月別販売比率!BA5</f>
        <v>1.0606676053472579</v>
      </c>
      <c r="BB228" s="241">
        <v>5</v>
      </c>
      <c r="BC228" s="81">
        <f>$H$228*月別販売比率!BF5</f>
        <v>1.525506072874494</v>
      </c>
      <c r="BD228" s="21"/>
      <c r="BE228" s="81">
        <f>$H$228*月別販売比率!C21</f>
        <v>1.351298067836467</v>
      </c>
      <c r="BF228" s="21"/>
      <c r="BG228" s="81">
        <f>$H$228*月別販売比率!H21</f>
        <v>1.3348178137651823</v>
      </c>
      <c r="BH228" s="21"/>
      <c r="BI228" s="81">
        <f>$H$228*月別販売比率!M21</f>
        <v>1.9271658938154266</v>
      </c>
      <c r="BJ228" s="21"/>
      <c r="BK228" s="81">
        <f>$H$228*月別販売比率!R21</f>
        <v>1.525506072874494</v>
      </c>
      <c r="BL228" s="21"/>
      <c r="BM228" s="81">
        <f>$H$228*月別販売比率!W21</f>
        <v>1.4524099301496245</v>
      </c>
      <c r="BN228" s="21"/>
      <c r="BO228" s="245">
        <f>$H$228*月別販売比率!AB21</f>
        <v>2.288259109311741</v>
      </c>
      <c r="BP228" s="241">
        <v>3</v>
      </c>
      <c r="BQ228" s="81">
        <f>$H$228*月別販売比率!AG21</f>
        <v>1.9068825910931175</v>
      </c>
      <c r="BR228" s="21"/>
      <c r="BS228" s="81">
        <f>$H$228*月別販売比率!AL21</f>
        <v>1.7161943319838056</v>
      </c>
      <c r="BT228" s="21"/>
      <c r="BU228" s="245">
        <f>$H$228*月別販売比率!AQ21</f>
        <v>1.9068825910931175</v>
      </c>
      <c r="BV228" s="241"/>
      <c r="BW228" s="81">
        <f>$H$228*月別販売比率!AV21</f>
        <v>1.1611842453551555</v>
      </c>
      <c r="BX228" s="21"/>
      <c r="BY228" s="81">
        <f>$H$228*月別販売比率!BA21</f>
        <v>1.0606676053472579</v>
      </c>
      <c r="BZ228" s="21"/>
      <c r="CA228" s="81">
        <f>$H$228*月別販売比率!BF21</f>
        <v>1.525506072874494</v>
      </c>
      <c r="CB228" s="21"/>
      <c r="CC228" s="81">
        <f>H228*月別販売比率!$C$21</f>
        <v>1.351298067836467</v>
      </c>
      <c r="CD228" s="21"/>
      <c r="CE228" s="81">
        <f>H228*月別販売比率!$H$21</f>
        <v>1.3348178137651823</v>
      </c>
      <c r="CF228" s="21"/>
      <c r="CG228" s="81">
        <f>H228*月別販売比率!$M$21</f>
        <v>1.9271658938154266</v>
      </c>
      <c r="CH228" s="21"/>
      <c r="CI228" s="81">
        <f>H228*月別販売比率!$R$21</f>
        <v>1.525506072874494</v>
      </c>
      <c r="CJ228" s="21"/>
      <c r="CK228" s="81">
        <f>H228*月別販売比率!$W$21</f>
        <v>1.4524099301496245</v>
      </c>
      <c r="CL228" s="21"/>
      <c r="CM228" s="81">
        <f>H228*月別販売比率!$AB$21</f>
        <v>2.288259109311741</v>
      </c>
      <c r="CN228" s="21"/>
      <c r="CO228" s="81">
        <f>H228*月別販売比率!$AG$21</f>
        <v>1.9068825910931175</v>
      </c>
      <c r="CP228" s="21"/>
      <c r="CQ228" s="81">
        <f>H228*月別販売比率!$AL$21</f>
        <v>1.7161943319838056</v>
      </c>
      <c r="CR228" s="21"/>
      <c r="CS228" s="81">
        <f>H228*月別販売比率!$AQ$21</f>
        <v>1.9068825910931175</v>
      </c>
      <c r="CT228" s="21"/>
      <c r="CU228" s="81">
        <f>H228*月別販売比率!$AV$21</f>
        <v>1.1611842453551555</v>
      </c>
      <c r="CV228" s="21"/>
      <c r="CW228" s="81">
        <f>H228*月別販売比率!$BA$21</f>
        <v>1.0606676053472579</v>
      </c>
      <c r="CX228" s="21"/>
      <c r="CY228" s="81">
        <f>H228*月別販売比率!$BF$21</f>
        <v>1.525506072874494</v>
      </c>
      <c r="CZ228" s="21"/>
      <c r="DA228" s="28"/>
      <c r="DB228" s="294"/>
    </row>
    <row r="229" spans="2:106" ht="30.75" customHeight="1">
      <c r="B229" s="25"/>
      <c r="C229" s="457"/>
      <c r="D229" s="442"/>
      <c r="E229" s="94" t="s">
        <v>50</v>
      </c>
      <c r="F229" s="57">
        <v>12</v>
      </c>
      <c r="G229" s="46">
        <f t="shared" si="388"/>
        <v>59400</v>
      </c>
      <c r="H229" s="45">
        <f t="shared" si="389"/>
        <v>15.25506072874494</v>
      </c>
      <c r="I229" s="46">
        <f t="shared" si="390"/>
        <v>75512.550607287456</v>
      </c>
      <c r="J229" s="9">
        <v>10</v>
      </c>
      <c r="K229" s="21">
        <f t="shared" si="378"/>
        <v>22</v>
      </c>
      <c r="L229" s="21">
        <v>9</v>
      </c>
      <c r="M229" s="21">
        <v>13</v>
      </c>
      <c r="N229" s="42"/>
      <c r="O229" s="19"/>
      <c r="P229" s="19"/>
      <c r="Q229" s="124"/>
      <c r="R229" s="124"/>
      <c r="S229" s="124"/>
      <c r="T229" s="124"/>
      <c r="U229" s="124"/>
      <c r="V229" s="124"/>
      <c r="W229" s="124"/>
      <c r="X229" s="124"/>
      <c r="Y229" s="124"/>
      <c r="Z229" s="124"/>
      <c r="AA229" s="124"/>
      <c r="AB229" s="124"/>
      <c r="AC229" s="124"/>
      <c r="AD229" s="124"/>
      <c r="AE229" s="124"/>
      <c r="AF229" s="124"/>
      <c r="AG229" s="124"/>
      <c r="AH229" s="124"/>
      <c r="AI229" s="129">
        <f t="shared" si="379"/>
        <v>30.779595141700405</v>
      </c>
      <c r="AJ229" s="129">
        <f t="shared" si="380"/>
        <v>29.617667197580705</v>
      </c>
      <c r="AK229" s="129">
        <f t="shared" si="381"/>
        <v>27.787059910131312</v>
      </c>
      <c r="AL229" s="399">
        <f t="shared" si="382"/>
        <v>26.26155383725682</v>
      </c>
      <c r="AM229" s="393">
        <f t="shared" si="383"/>
        <v>24.888598371669776</v>
      </c>
      <c r="AN229" s="393">
        <f t="shared" si="384"/>
        <v>23.36309229879528</v>
      </c>
      <c r="AO229" s="393">
        <f t="shared" si="385"/>
        <v>22.434144902511157</v>
      </c>
      <c r="AP229" s="96">
        <f t="shared" si="386"/>
        <v>21.585610818233352</v>
      </c>
      <c r="AQ229" s="91">
        <f t="shared" si="387"/>
        <v>20.365205959933757</v>
      </c>
      <c r="AR229" s="198"/>
      <c r="AS229" s="245">
        <f>$H$229*月別販売比率!AG5</f>
        <v>1.525506072874494</v>
      </c>
      <c r="AT229" s="241"/>
      <c r="AU229" s="81">
        <f>$H$229*月別販売比率!AL5</f>
        <v>1.3729554655870446</v>
      </c>
      <c r="AV229" s="21"/>
      <c r="AW229" s="81">
        <f>$H$229*月別販売比率!AQ5</f>
        <v>1.525506072874494</v>
      </c>
      <c r="AX229" s="21"/>
      <c r="AY229" s="81">
        <f>$H$229*月別販売比率!AV5</f>
        <v>0.92894739628412437</v>
      </c>
      <c r="AZ229" s="21"/>
      <c r="BA229" s="245">
        <f>$H$229*月別販売比率!BA5</f>
        <v>0.84853408427780641</v>
      </c>
      <c r="BB229" s="241"/>
      <c r="BC229" s="81">
        <f>$H$229*月別販売比率!BF5</f>
        <v>1.2204048582995952</v>
      </c>
      <c r="BD229" s="21"/>
      <c r="BE229" s="81">
        <f>$H$229*月別販売比率!C21</f>
        <v>1.0810384542691738</v>
      </c>
      <c r="BF229" s="21"/>
      <c r="BG229" s="81">
        <f>$H$229*月別販売比率!H21</f>
        <v>1.0678542510121458</v>
      </c>
      <c r="BH229" s="21"/>
      <c r="BI229" s="81">
        <f>$H$229*月別販売比率!M21</f>
        <v>1.5417327150523412</v>
      </c>
      <c r="BJ229" s="21"/>
      <c r="BK229" s="81">
        <f>$H$229*月別販売比率!R21</f>
        <v>1.2204048582995952</v>
      </c>
      <c r="BL229" s="21"/>
      <c r="BM229" s="81">
        <f>$H$229*月別販売比率!W21</f>
        <v>1.1619279441196997</v>
      </c>
      <c r="BN229" s="21"/>
      <c r="BO229" s="245">
        <f>$H$229*月別販売比率!AB21</f>
        <v>1.8306072874493928</v>
      </c>
      <c r="BP229" s="241"/>
      <c r="BQ229" s="81">
        <f>$H$229*月別販売比率!AG21</f>
        <v>1.525506072874494</v>
      </c>
      <c r="BR229" s="21"/>
      <c r="BS229" s="81">
        <f>$H$229*月別販売比率!AL21</f>
        <v>1.3729554655870446</v>
      </c>
      <c r="BT229" s="21"/>
      <c r="BU229" s="245">
        <f>$H$229*月別販売比率!AQ21</f>
        <v>1.525506072874494</v>
      </c>
      <c r="BV229" s="241"/>
      <c r="BW229" s="81">
        <f>$H$229*月別販売比率!AV21</f>
        <v>0.92894739628412437</v>
      </c>
      <c r="BX229" s="21"/>
      <c r="BY229" s="81">
        <f>$H$229*月別販売比率!BA21</f>
        <v>0.84853408427780641</v>
      </c>
      <c r="BZ229" s="21"/>
      <c r="CA229" s="81">
        <f>$H$229*月別販売比率!BF21</f>
        <v>1.2204048582995952</v>
      </c>
      <c r="CB229" s="21"/>
      <c r="CC229" s="81">
        <f>H229*月別販売比率!$C$21</f>
        <v>1.0810384542691738</v>
      </c>
      <c r="CD229" s="21"/>
      <c r="CE229" s="81">
        <f>H229*月別販売比率!$H$21</f>
        <v>1.0678542510121458</v>
      </c>
      <c r="CF229" s="21"/>
      <c r="CG229" s="81">
        <f>H229*月別販売比率!$M$21</f>
        <v>1.5417327150523412</v>
      </c>
      <c r="CH229" s="21"/>
      <c r="CI229" s="81">
        <f>H229*月別販売比率!$R$21</f>
        <v>1.2204048582995952</v>
      </c>
      <c r="CJ229" s="21"/>
      <c r="CK229" s="81">
        <f>H229*月別販売比率!$W$21</f>
        <v>1.1619279441196997</v>
      </c>
      <c r="CL229" s="21"/>
      <c r="CM229" s="81">
        <f>H229*月別販売比率!$AB$21</f>
        <v>1.8306072874493928</v>
      </c>
      <c r="CN229" s="21"/>
      <c r="CO229" s="81">
        <f>H229*月別販売比率!$AG$21</f>
        <v>1.525506072874494</v>
      </c>
      <c r="CP229" s="21"/>
      <c r="CQ229" s="81">
        <f>H229*月別販売比率!$AL$21</f>
        <v>1.3729554655870446</v>
      </c>
      <c r="CR229" s="21"/>
      <c r="CS229" s="81">
        <f>H229*月別販売比率!$AQ$21</f>
        <v>1.525506072874494</v>
      </c>
      <c r="CT229" s="21"/>
      <c r="CU229" s="81">
        <f>H229*月別販売比率!$AV$21</f>
        <v>0.92894739628412437</v>
      </c>
      <c r="CV229" s="21"/>
      <c r="CW229" s="81">
        <f>H229*月別販売比率!$BA$21</f>
        <v>0.84853408427780641</v>
      </c>
      <c r="CX229" s="21"/>
      <c r="CY229" s="81">
        <f>H229*月別販売比率!$BF$21</f>
        <v>1.2204048582995952</v>
      </c>
      <c r="CZ229" s="21"/>
      <c r="DA229" s="28"/>
      <c r="DB229" s="294"/>
    </row>
    <row r="230" spans="2:106" ht="30.75" customHeight="1">
      <c r="C230" s="457"/>
      <c r="D230" s="441">
        <v>3</v>
      </c>
      <c r="E230" s="94" t="s">
        <v>47</v>
      </c>
      <c r="F230" s="57">
        <v>59</v>
      </c>
      <c r="G230" s="46">
        <f t="shared" si="388"/>
        <v>292050</v>
      </c>
      <c r="H230" s="45">
        <f t="shared" si="389"/>
        <v>75.004048582995949</v>
      </c>
      <c r="I230" s="46">
        <f t="shared" si="390"/>
        <v>371270.04048582993</v>
      </c>
      <c r="J230" s="9">
        <v>0</v>
      </c>
      <c r="K230" s="21">
        <f t="shared" si="378"/>
        <v>0</v>
      </c>
      <c r="L230" s="21">
        <v>0</v>
      </c>
      <c r="M230" s="21">
        <v>0</v>
      </c>
      <c r="N230" s="42"/>
      <c r="O230" s="320">
        <v>45583</v>
      </c>
      <c r="P230" s="289"/>
      <c r="Q230" s="328"/>
      <c r="R230" s="328"/>
      <c r="S230" s="328"/>
      <c r="T230" s="328"/>
      <c r="U230" s="328"/>
      <c r="V230" s="328"/>
      <c r="W230" s="328"/>
      <c r="X230" s="328"/>
      <c r="Y230" s="328"/>
      <c r="Z230" s="124"/>
      <c r="AA230" s="124"/>
      <c r="AB230" s="328"/>
      <c r="AC230" s="331">
        <v>46006</v>
      </c>
      <c r="AD230" s="328"/>
      <c r="AE230" s="328"/>
      <c r="AF230" s="328"/>
      <c r="AG230" s="331"/>
      <c r="AH230" s="331"/>
      <c r="AI230" s="129">
        <f t="shared" si="379"/>
        <v>63.999676113360323</v>
      </c>
      <c r="AJ230" s="129">
        <f t="shared" si="380"/>
        <v>58.286863721438465</v>
      </c>
      <c r="AK230" s="129">
        <f t="shared" si="381"/>
        <v>49.286377891478949</v>
      </c>
      <c r="AL230" s="399">
        <f t="shared" si="382"/>
        <v>41.785973033179353</v>
      </c>
      <c r="AM230" s="393">
        <f t="shared" si="383"/>
        <v>35.03560866070972</v>
      </c>
      <c r="AN230" s="393">
        <f t="shared" si="384"/>
        <v>27.535203802410123</v>
      </c>
      <c r="AO230" s="393">
        <f t="shared" si="385"/>
        <v>22.967879104013178</v>
      </c>
      <c r="AP230" s="96">
        <f t="shared" si="386"/>
        <v>18.795919856313965</v>
      </c>
      <c r="AQ230" s="91">
        <f t="shared" si="387"/>
        <v>12.795595969674288</v>
      </c>
      <c r="AR230" s="198"/>
      <c r="AS230" s="245">
        <f>$H$230*月別販売比率!AG5</f>
        <v>7.5004048582995955</v>
      </c>
      <c r="AT230" s="241">
        <v>35</v>
      </c>
      <c r="AU230" s="81">
        <f>$H$230*月別販売比率!AL5</f>
        <v>6.7503643724696349</v>
      </c>
      <c r="AV230" s="21"/>
      <c r="AW230" s="81">
        <f>$H$230*月別販売比率!AQ5</f>
        <v>7.5004048582995955</v>
      </c>
      <c r="AX230" s="21"/>
      <c r="AY230" s="81">
        <f>$H$230*月別販売比率!AV5</f>
        <v>4.5673246983969449</v>
      </c>
      <c r="AZ230" s="21"/>
      <c r="BA230" s="245">
        <f>$H$230*月別販売比率!BA5</f>
        <v>4.1719592476992142</v>
      </c>
      <c r="BB230" s="241">
        <v>41</v>
      </c>
      <c r="BC230" s="81">
        <f>$H$230*月別販売比率!BF5</f>
        <v>6.0003238866396762</v>
      </c>
      <c r="BD230" s="21"/>
      <c r="BE230" s="81">
        <f>$H$230*月別販売比率!C21</f>
        <v>5.3151057334901033</v>
      </c>
      <c r="BF230" s="21"/>
      <c r="BG230" s="81">
        <f>$H$230*月別販売比率!H21</f>
        <v>5.2502834008097166</v>
      </c>
      <c r="BH230" s="21"/>
      <c r="BI230" s="81">
        <f>$H$230*月別販売比率!M21</f>
        <v>7.5801858490073437</v>
      </c>
      <c r="BJ230" s="21"/>
      <c r="BK230" s="81">
        <f>$H$230*月別販売比率!R21</f>
        <v>6.0003238866396762</v>
      </c>
      <c r="BL230" s="21"/>
      <c r="BM230" s="81">
        <f>$H$230*月別販売比率!W21</f>
        <v>5.7128123919218563</v>
      </c>
      <c r="BN230" s="21"/>
      <c r="BO230" s="245">
        <f>$H$230*月別販売比率!AB21</f>
        <v>9.0004858299595139</v>
      </c>
      <c r="BP230" s="241">
        <v>35</v>
      </c>
      <c r="BQ230" s="81">
        <f>$H$230*月別販売比率!AG21</f>
        <v>7.5004048582995955</v>
      </c>
      <c r="BR230" s="21"/>
      <c r="BS230" s="81">
        <f>$H$230*月別販売比率!AL21</f>
        <v>6.7503643724696349</v>
      </c>
      <c r="BT230" s="21"/>
      <c r="BU230" s="245">
        <f>$H$230*月別販売比率!AQ21</f>
        <v>7.5004048582995955</v>
      </c>
      <c r="BV230" s="241">
        <v>35</v>
      </c>
      <c r="BW230" s="81">
        <f>$H$230*月別販売比率!AV21</f>
        <v>4.5673246983969449</v>
      </c>
      <c r="BX230" s="21"/>
      <c r="BY230" s="81">
        <f>$H$230*月別販売比率!BA21</f>
        <v>4.1719592476992142</v>
      </c>
      <c r="BZ230" s="21"/>
      <c r="CA230" s="81">
        <f>$H$230*月別販売比率!BF21</f>
        <v>6.0003238866396762</v>
      </c>
      <c r="CB230" s="21"/>
      <c r="CC230" s="81">
        <f>H230*月別販売比率!$C$21</f>
        <v>5.3151057334901033</v>
      </c>
      <c r="CD230" s="21"/>
      <c r="CE230" s="81">
        <f>H230*月別販売比率!$H$21</f>
        <v>5.2502834008097166</v>
      </c>
      <c r="CF230" s="21"/>
      <c r="CG230" s="81">
        <f>H230*月別販売比率!$M$21</f>
        <v>7.5801858490073437</v>
      </c>
      <c r="CH230" s="21"/>
      <c r="CI230" s="81">
        <f>H230*月別販売比率!$R$21</f>
        <v>6.0003238866396762</v>
      </c>
      <c r="CJ230" s="21">
        <v>70</v>
      </c>
      <c r="CK230" s="81">
        <f>H230*月別販売比率!$W$21</f>
        <v>5.7128123919218563</v>
      </c>
      <c r="CL230" s="21"/>
      <c r="CM230" s="81">
        <f>H230*月別販売比率!$AB$21</f>
        <v>9.0004858299595139</v>
      </c>
      <c r="CN230" s="21"/>
      <c r="CO230" s="81">
        <f>H230*月別販売比率!$AG$21</f>
        <v>7.5004048582995955</v>
      </c>
      <c r="CP230" s="21"/>
      <c r="CQ230" s="81">
        <f>H230*月別販売比率!$AL$21</f>
        <v>6.7503643724696349</v>
      </c>
      <c r="CR230" s="21"/>
      <c r="CS230" s="81">
        <f>H230*月別販売比率!$AQ$21</f>
        <v>7.5004048582995955</v>
      </c>
      <c r="CT230" s="21"/>
      <c r="CU230" s="81">
        <f>H230*月別販売比率!$AV$21</f>
        <v>4.5673246983969449</v>
      </c>
      <c r="CV230" s="21"/>
      <c r="CW230" s="81">
        <f>H230*月別販売比率!$BA$21</f>
        <v>4.1719592476992142</v>
      </c>
      <c r="CX230" s="21"/>
      <c r="CY230" s="81">
        <f>H230*月別販売比率!$BF$21</f>
        <v>6.0003238866396762</v>
      </c>
      <c r="CZ230" s="21"/>
      <c r="DA230" s="28"/>
      <c r="DB230" s="294"/>
    </row>
    <row r="231" spans="2:106" ht="30.75" customHeight="1">
      <c r="C231" s="457"/>
      <c r="D231" s="441"/>
      <c r="E231" s="94" t="s">
        <v>51</v>
      </c>
      <c r="F231" s="57">
        <v>71</v>
      </c>
      <c r="G231" s="46">
        <f t="shared" si="388"/>
        <v>351450</v>
      </c>
      <c r="H231" s="45">
        <f t="shared" si="389"/>
        <v>90.259109311740886</v>
      </c>
      <c r="I231" s="46">
        <f t="shared" si="390"/>
        <v>446782.59109311737</v>
      </c>
      <c r="J231" s="9">
        <v>0</v>
      </c>
      <c r="K231" s="21">
        <f t="shared" si="378"/>
        <v>0</v>
      </c>
      <c r="L231" s="21">
        <v>0</v>
      </c>
      <c r="M231" s="21">
        <v>0</v>
      </c>
      <c r="N231" s="42"/>
      <c r="O231" s="321"/>
      <c r="P231" s="19"/>
      <c r="Q231" s="124"/>
      <c r="R231" s="124"/>
      <c r="S231" s="328"/>
      <c r="T231" s="328"/>
      <c r="U231" s="328"/>
      <c r="V231" s="328"/>
      <c r="W231" s="328"/>
      <c r="X231" s="328"/>
      <c r="Y231" s="328"/>
      <c r="Z231" s="124"/>
      <c r="AA231" s="124"/>
      <c r="AB231" s="328"/>
      <c r="AC231" s="331">
        <v>46006</v>
      </c>
      <c r="AD231" s="330"/>
      <c r="AE231" s="330"/>
      <c r="AF231" s="328"/>
      <c r="AG231" s="331"/>
      <c r="AH231" s="331"/>
      <c r="AI231" s="129">
        <f t="shared" si="379"/>
        <v>72.779271255060735</v>
      </c>
      <c r="AJ231" s="129">
        <f t="shared" si="380"/>
        <v>65.90453091901918</v>
      </c>
      <c r="AK231" s="129">
        <f t="shared" si="381"/>
        <v>55.073437801610275</v>
      </c>
      <c r="AL231" s="399">
        <f t="shared" si="382"/>
        <v>46.047526870436187</v>
      </c>
      <c r="AM231" s="393">
        <f t="shared" si="383"/>
        <v>37.924207032379506</v>
      </c>
      <c r="AN231" s="393">
        <f t="shared" si="384"/>
        <v>28.898296101205418</v>
      </c>
      <c r="AO231" s="393">
        <f t="shared" si="385"/>
        <v>23.40202400652435</v>
      </c>
      <c r="AP231" s="96">
        <f t="shared" si="386"/>
        <v>18.381530674547328</v>
      </c>
      <c r="AQ231" s="91">
        <f t="shared" si="387"/>
        <v>11.160801929608056</v>
      </c>
      <c r="AR231" s="198"/>
      <c r="AS231" s="245">
        <f>$H$231*月別販売比率!AG5</f>
        <v>9.0259109311740886</v>
      </c>
      <c r="AT231" s="241"/>
      <c r="AU231" s="81">
        <f>$H$231*月別販売比率!AL5</f>
        <v>8.1233198380566787</v>
      </c>
      <c r="AV231" s="21"/>
      <c r="AW231" s="81">
        <f>$H$231*月別販売比率!AQ5</f>
        <v>9.0259109311740886</v>
      </c>
      <c r="AX231" s="21"/>
      <c r="AY231" s="81">
        <f>$H$231*月別販売比率!AV5</f>
        <v>5.4962720946810686</v>
      </c>
      <c r="AZ231" s="21"/>
      <c r="BA231" s="245">
        <f>$H$231*月別販売比率!BA5</f>
        <v>5.0204933319770202</v>
      </c>
      <c r="BB231" s="241">
        <v>45</v>
      </c>
      <c r="BC231" s="81">
        <f>$H$231*月別販売比率!BF5</f>
        <v>7.2207287449392714</v>
      </c>
      <c r="BD231" s="21"/>
      <c r="BE231" s="81">
        <f>$H$231*月別販売比率!C21</f>
        <v>6.3961441877592771</v>
      </c>
      <c r="BF231" s="21"/>
      <c r="BG231" s="81">
        <f>$H$231*月別販売比率!H21</f>
        <v>6.3181376518218624</v>
      </c>
      <c r="BH231" s="21"/>
      <c r="BI231" s="81">
        <f>$H$231*月別販売比率!M21</f>
        <v>9.1219185640596852</v>
      </c>
      <c r="BJ231" s="21"/>
      <c r="BK231" s="81">
        <f>$H$231*月別販売比率!R21</f>
        <v>7.2207287449392714</v>
      </c>
      <c r="BL231" s="21"/>
      <c r="BM231" s="81">
        <f>$H$231*月別販売比率!W21</f>
        <v>6.8747403360415555</v>
      </c>
      <c r="BN231" s="21"/>
      <c r="BO231" s="245">
        <f>$H$231*月別販売比率!AB21</f>
        <v>10.831093117408907</v>
      </c>
      <c r="BP231" s="241">
        <v>45</v>
      </c>
      <c r="BQ231" s="81">
        <f>$H$231*月別販売比率!AG21</f>
        <v>9.0259109311740886</v>
      </c>
      <c r="BR231" s="21"/>
      <c r="BS231" s="81">
        <f>$H$231*月別販売比率!AL21</f>
        <v>8.1233198380566787</v>
      </c>
      <c r="BT231" s="21"/>
      <c r="BU231" s="245">
        <f>$H$231*月別販売比率!AQ21</f>
        <v>9.0259109311740886</v>
      </c>
      <c r="BV231" s="241">
        <v>25</v>
      </c>
      <c r="BW231" s="81">
        <f>$H$231*月別販売比率!AV21</f>
        <v>5.4962720946810686</v>
      </c>
      <c r="BX231" s="21"/>
      <c r="BY231" s="81">
        <f>$H$231*月別販売比率!BA21</f>
        <v>5.0204933319770202</v>
      </c>
      <c r="BZ231" s="21"/>
      <c r="CA231" s="81">
        <f>$H$231*月別販売比率!BF21</f>
        <v>7.2207287449392714</v>
      </c>
      <c r="CB231" s="21"/>
      <c r="CC231" s="81">
        <f>H231*月別販売比率!$C$21</f>
        <v>6.3961441877592771</v>
      </c>
      <c r="CD231" s="21"/>
      <c r="CE231" s="81">
        <f>H231*月別販売比率!$H$21</f>
        <v>6.3181376518218624</v>
      </c>
      <c r="CF231" s="21"/>
      <c r="CG231" s="81">
        <f>H231*月別販売比率!$M$21</f>
        <v>9.1219185640596852</v>
      </c>
      <c r="CH231" s="21"/>
      <c r="CI231" s="81">
        <f>H231*月別販売比率!$R$21</f>
        <v>7.2207287449392714</v>
      </c>
      <c r="CJ231" s="21">
        <v>80</v>
      </c>
      <c r="CK231" s="81">
        <f>H231*月別販売比率!$W$21</f>
        <v>6.8747403360415555</v>
      </c>
      <c r="CL231" s="21"/>
      <c r="CM231" s="81">
        <f>H231*月別販売比率!$AB$21</f>
        <v>10.831093117408907</v>
      </c>
      <c r="CN231" s="21"/>
      <c r="CO231" s="81">
        <f>H231*月別販売比率!$AG$21</f>
        <v>9.0259109311740886</v>
      </c>
      <c r="CP231" s="21"/>
      <c r="CQ231" s="81">
        <f>H231*月別販売比率!$AL$21</f>
        <v>8.1233198380566787</v>
      </c>
      <c r="CR231" s="21"/>
      <c r="CS231" s="81">
        <f>H231*月別販売比率!$AQ$21</f>
        <v>9.0259109311740886</v>
      </c>
      <c r="CT231" s="21"/>
      <c r="CU231" s="81">
        <f>H231*月別販売比率!$AV$21</f>
        <v>5.4962720946810686</v>
      </c>
      <c r="CV231" s="21"/>
      <c r="CW231" s="81">
        <f>H231*月別販売比率!$BA$21</f>
        <v>5.0204933319770202</v>
      </c>
      <c r="CX231" s="21"/>
      <c r="CY231" s="81">
        <f>H231*月別販売比率!$BF$21</f>
        <v>7.2207287449392714</v>
      </c>
      <c r="CZ231" s="21"/>
      <c r="DA231" s="28"/>
      <c r="DB231" s="294"/>
    </row>
    <row r="232" spans="2:106" ht="30.75" customHeight="1">
      <c r="C232" s="457"/>
      <c r="D232" s="441"/>
      <c r="E232" s="94" t="s">
        <v>49</v>
      </c>
      <c r="F232" s="56">
        <v>45</v>
      </c>
      <c r="G232" s="46">
        <f t="shared" si="388"/>
        <v>222750</v>
      </c>
      <c r="H232" s="45">
        <f t="shared" si="389"/>
        <v>57.206477732793523</v>
      </c>
      <c r="I232" s="46">
        <f t="shared" si="390"/>
        <v>283172.06477732793</v>
      </c>
      <c r="J232" s="49">
        <v>0</v>
      </c>
      <c r="K232" s="21">
        <f t="shared" si="378"/>
        <v>0</v>
      </c>
      <c r="L232" s="21">
        <v>0</v>
      </c>
      <c r="M232" s="21">
        <v>0</v>
      </c>
      <c r="N232" s="42"/>
      <c r="O232" s="322" t="s">
        <v>326</v>
      </c>
      <c r="P232" s="19"/>
      <c r="Q232" s="124"/>
      <c r="R232" s="124"/>
      <c r="S232" s="328"/>
      <c r="T232" s="328"/>
      <c r="U232" s="328"/>
      <c r="V232" s="328"/>
      <c r="W232" s="328"/>
      <c r="X232" s="328"/>
      <c r="Y232" s="328"/>
      <c r="Z232" s="124"/>
      <c r="AA232" s="124"/>
      <c r="AB232" s="328"/>
      <c r="AC232" s="331">
        <v>46006</v>
      </c>
      <c r="AD232" s="330"/>
      <c r="AE232" s="328"/>
      <c r="AF232" s="328"/>
      <c r="AG232" s="331"/>
      <c r="AH232" s="331"/>
      <c r="AI232" s="129">
        <f t="shared" si="379"/>
        <v>50.423481781376516</v>
      </c>
      <c r="AJ232" s="129">
        <f t="shared" si="380"/>
        <v>46.06625199092764</v>
      </c>
      <c r="AK232" s="129">
        <f t="shared" si="381"/>
        <v>39.201474662992418</v>
      </c>
      <c r="AL232" s="399">
        <f t="shared" si="382"/>
        <v>33.480826889713065</v>
      </c>
      <c r="AM232" s="393">
        <f t="shared" si="383"/>
        <v>28.33224389376165</v>
      </c>
      <c r="AN232" s="393">
        <f t="shared" si="384"/>
        <v>22.611596120482297</v>
      </c>
      <c r="AO232" s="393">
        <f t="shared" si="385"/>
        <v>19.128043384416831</v>
      </c>
      <c r="AP232" s="96">
        <f t="shared" si="386"/>
        <v>15.946040568375057</v>
      </c>
      <c r="AQ232" s="91">
        <f t="shared" si="387"/>
        <v>11.369522349751575</v>
      </c>
      <c r="AR232" s="198"/>
      <c r="AS232" s="245">
        <f>$H$232*月別販売比率!AG5</f>
        <v>5.720647773279353</v>
      </c>
      <c r="AT232" s="241">
        <v>45</v>
      </c>
      <c r="AU232" s="81">
        <f>$H$232*月別販売比率!AL5</f>
        <v>5.1485829959514167</v>
      </c>
      <c r="AV232" s="21"/>
      <c r="AW232" s="81">
        <f>$H$232*月別販売比率!AQ5</f>
        <v>5.720647773279353</v>
      </c>
      <c r="AX232" s="21"/>
      <c r="AY232" s="81">
        <f>$H$232*月別販売比率!AV5</f>
        <v>3.4835527360654663</v>
      </c>
      <c r="AZ232" s="21"/>
      <c r="BA232" s="245">
        <f>$H$232*月別販売比率!BA5</f>
        <v>3.1820028160417739</v>
      </c>
      <c r="BB232" s="241">
        <v>25</v>
      </c>
      <c r="BC232" s="81">
        <f>$H$232*月別販売比率!BF5</f>
        <v>4.5765182186234821</v>
      </c>
      <c r="BD232" s="21"/>
      <c r="BE232" s="81">
        <f>$H$232*月別販売比率!C21</f>
        <v>4.053894203509401</v>
      </c>
      <c r="BF232" s="21"/>
      <c r="BG232" s="81">
        <f>$H$232*月別販売比率!H21</f>
        <v>4.0044534412955466</v>
      </c>
      <c r="BH232" s="21"/>
      <c r="BI232" s="81">
        <f>$H$232*月別販売比率!M21</f>
        <v>5.7814976814462797</v>
      </c>
      <c r="BJ232" s="21"/>
      <c r="BK232" s="81">
        <f>$H$232*月別販売比率!R21</f>
        <v>4.5765182186234821</v>
      </c>
      <c r="BL232" s="21"/>
      <c r="BM232" s="81">
        <f>$H$232*月別販売比率!W21</f>
        <v>4.3572297904488737</v>
      </c>
      <c r="BN232" s="21"/>
      <c r="BO232" s="245">
        <f>$H$232*月別販売比率!AB21</f>
        <v>6.8647773279352222</v>
      </c>
      <c r="BP232" s="241">
        <v>15</v>
      </c>
      <c r="BQ232" s="81">
        <f>$H$232*月別販売比率!AG21</f>
        <v>5.720647773279353</v>
      </c>
      <c r="BR232" s="21"/>
      <c r="BS232" s="81">
        <f>$H$232*月別販売比率!AL21</f>
        <v>5.1485829959514167</v>
      </c>
      <c r="BT232" s="21"/>
      <c r="BU232" s="245">
        <f>$H$232*月別販売比率!AQ21</f>
        <v>5.720647773279353</v>
      </c>
      <c r="BV232" s="241">
        <v>10</v>
      </c>
      <c r="BW232" s="81">
        <f>$H$232*月別販売比率!AV21</f>
        <v>3.4835527360654663</v>
      </c>
      <c r="BX232" s="21"/>
      <c r="BY232" s="81">
        <f>$H$232*月別販売比率!BA21</f>
        <v>3.1820028160417739</v>
      </c>
      <c r="BZ232" s="21"/>
      <c r="CA232" s="81">
        <f>$H$232*月別販売比率!BF21</f>
        <v>4.5765182186234821</v>
      </c>
      <c r="CB232" s="21"/>
      <c r="CC232" s="81">
        <f>H232*月別販売比率!$C$21</f>
        <v>4.053894203509401</v>
      </c>
      <c r="CD232" s="21"/>
      <c r="CE232" s="81">
        <f>H232*月別販売比率!$H$21</f>
        <v>4.0044534412955466</v>
      </c>
      <c r="CF232" s="21"/>
      <c r="CG232" s="81">
        <f>H232*月別販売比率!$M$21</f>
        <v>5.7814976814462797</v>
      </c>
      <c r="CH232" s="21"/>
      <c r="CI232" s="81">
        <f>H232*月別販売比率!$R$21</f>
        <v>4.5765182186234821</v>
      </c>
      <c r="CJ232" s="21">
        <v>55</v>
      </c>
      <c r="CK232" s="81">
        <f>H232*月別販売比率!$W$21</f>
        <v>4.3572297904488737</v>
      </c>
      <c r="CL232" s="21"/>
      <c r="CM232" s="81">
        <f>H232*月別販売比率!$AB$21</f>
        <v>6.8647773279352222</v>
      </c>
      <c r="CN232" s="21"/>
      <c r="CO232" s="81">
        <f>H232*月別販売比率!$AG$21</f>
        <v>5.720647773279353</v>
      </c>
      <c r="CP232" s="21"/>
      <c r="CQ232" s="81">
        <f>H232*月別販売比率!$AL$21</f>
        <v>5.1485829959514167</v>
      </c>
      <c r="CR232" s="21"/>
      <c r="CS232" s="81">
        <f>H232*月別販売比率!$AQ$21</f>
        <v>5.720647773279353</v>
      </c>
      <c r="CT232" s="21"/>
      <c r="CU232" s="81">
        <f>H232*月別販売比率!$AV$21</f>
        <v>3.4835527360654663</v>
      </c>
      <c r="CV232" s="21"/>
      <c r="CW232" s="81">
        <f>H232*月別販売比率!$BA$21</f>
        <v>3.1820028160417739</v>
      </c>
      <c r="CX232" s="21"/>
      <c r="CY232" s="81">
        <f>H232*月別販売比率!$BF$21</f>
        <v>4.5765182186234821</v>
      </c>
      <c r="CZ232" s="21"/>
      <c r="DA232" s="28"/>
      <c r="DB232" s="294"/>
    </row>
    <row r="233" spans="2:106" ht="30.75" customHeight="1">
      <c r="C233" s="457"/>
      <c r="D233" s="441"/>
      <c r="E233" s="119" t="s">
        <v>50</v>
      </c>
      <c r="F233" s="58">
        <v>15</v>
      </c>
      <c r="G233" s="53">
        <f t="shared" si="388"/>
        <v>74250</v>
      </c>
      <c r="H233" s="52">
        <f t="shared" si="389"/>
        <v>19.068825910931174</v>
      </c>
      <c r="I233" s="53">
        <f t="shared" si="390"/>
        <v>94390.688259109316</v>
      </c>
      <c r="J233" s="113">
        <v>0</v>
      </c>
      <c r="K233" s="79">
        <f t="shared" si="378"/>
        <v>12</v>
      </c>
      <c r="L233" s="107">
        <v>7</v>
      </c>
      <c r="M233" s="107">
        <v>5</v>
      </c>
      <c r="N233" s="44"/>
      <c r="O233" s="313"/>
      <c r="P233" s="123"/>
      <c r="Q233" s="238"/>
      <c r="R233" s="238"/>
      <c r="S233" s="238"/>
      <c r="T233" s="238"/>
      <c r="U233" s="238"/>
      <c r="V233" s="238"/>
      <c r="W233" s="238"/>
      <c r="X233" s="238"/>
      <c r="Y233" s="238"/>
      <c r="Z233" s="238"/>
      <c r="AA233" s="238"/>
      <c r="AB233" s="329"/>
      <c r="AC233" s="331">
        <v>46006</v>
      </c>
      <c r="AD233" s="330"/>
      <c r="AE233" s="330"/>
      <c r="AF233" s="330"/>
      <c r="AG233" s="330"/>
      <c r="AH233" s="330"/>
      <c r="AI233" s="238">
        <f t="shared" si="379"/>
        <v>20.474493927125508</v>
      </c>
      <c r="AJ233" s="238">
        <f t="shared" si="380"/>
        <v>19.022083996975883</v>
      </c>
      <c r="AK233" s="238">
        <f t="shared" si="381"/>
        <v>16.733824887664142</v>
      </c>
      <c r="AL233" s="401">
        <f t="shared" si="382"/>
        <v>14.826942296571024</v>
      </c>
      <c r="AM233" s="395">
        <f t="shared" si="383"/>
        <v>13.110747964587219</v>
      </c>
      <c r="AN233" s="395">
        <f t="shared" si="384"/>
        <v>11.203865373494102</v>
      </c>
      <c r="AO233" s="395">
        <f t="shared" si="385"/>
        <v>10.042681128138947</v>
      </c>
      <c r="AP233" s="403">
        <f t="shared" si="386"/>
        <v>8.9820135227916893</v>
      </c>
      <c r="AQ233" s="90">
        <f t="shared" si="387"/>
        <v>7.4565074499171953</v>
      </c>
      <c r="AR233" s="238"/>
      <c r="AS233" s="301">
        <f>$H$233*月別販売比率!AG5</f>
        <v>1.9068825910931175</v>
      </c>
      <c r="AT233" s="302"/>
      <c r="AU233" s="282">
        <f>$H$233*月別販売比率!AL5</f>
        <v>1.7161943319838056</v>
      </c>
      <c r="AV233" s="103"/>
      <c r="AW233" s="282">
        <f>$H$233*月別販売比率!AQ5</f>
        <v>1.9068825910931175</v>
      </c>
      <c r="AX233" s="103"/>
      <c r="AY233" s="282">
        <f>$H$233*月別販売比率!AV5</f>
        <v>1.1611842453551555</v>
      </c>
      <c r="AZ233" s="103"/>
      <c r="BA233" s="301">
        <f>$H$233*月別販売比率!BA5</f>
        <v>1.0606676053472579</v>
      </c>
      <c r="BB233" s="302"/>
      <c r="BC233" s="282">
        <f>$H$233*月別販売比率!BF5</f>
        <v>1.525506072874494</v>
      </c>
      <c r="BD233" s="103"/>
      <c r="BE233" s="282">
        <f>$H$233*月別販売比率!C21</f>
        <v>1.351298067836467</v>
      </c>
      <c r="BF233" s="103"/>
      <c r="BG233" s="282">
        <f>$H$233*月別販売比率!H21</f>
        <v>1.3348178137651823</v>
      </c>
      <c r="BH233" s="103"/>
      <c r="BI233" s="282">
        <f>$H$233*月別販売比率!M21</f>
        <v>1.9271658938154266</v>
      </c>
      <c r="BJ233" s="117"/>
      <c r="BK233" s="282">
        <f>$H$233*月別販売比率!R21</f>
        <v>1.525506072874494</v>
      </c>
      <c r="BL233" s="103"/>
      <c r="BM233" s="282">
        <f>$H$233*月別販売比率!W21</f>
        <v>1.4524099301496245</v>
      </c>
      <c r="BN233" s="103"/>
      <c r="BO233" s="301">
        <f>$H$233*月別販売比率!AB21</f>
        <v>2.288259109311741</v>
      </c>
      <c r="BP233" s="302">
        <v>10</v>
      </c>
      <c r="BQ233" s="282">
        <f>$H$233*月別販売比率!AG21</f>
        <v>1.9068825910931175</v>
      </c>
      <c r="BR233" s="103"/>
      <c r="BS233" s="282">
        <f>$H$233*月別販売比率!AL21</f>
        <v>1.7161943319838056</v>
      </c>
      <c r="BT233" s="103"/>
      <c r="BU233" s="301">
        <f>$H$233*月別販売比率!AQ21</f>
        <v>1.9068825910931175</v>
      </c>
      <c r="BV233" s="302">
        <v>10</v>
      </c>
      <c r="BW233" s="282">
        <f>$H$233*月別販売比率!AV21</f>
        <v>1.1611842453551555</v>
      </c>
      <c r="BX233" s="103"/>
      <c r="BY233" s="282">
        <f>$H$233*月別販売比率!BA21</f>
        <v>1.0606676053472579</v>
      </c>
      <c r="BZ233" s="103"/>
      <c r="CA233" s="282">
        <f>$H$233*月別販売比率!BF21</f>
        <v>1.525506072874494</v>
      </c>
      <c r="CB233" s="103"/>
      <c r="CC233" s="282">
        <f>H233*月別販売比率!$C$21</f>
        <v>1.351298067836467</v>
      </c>
      <c r="CD233" s="103"/>
      <c r="CE233" s="282">
        <f>H233*月別販売比率!$H$21</f>
        <v>1.3348178137651823</v>
      </c>
      <c r="CF233" s="103"/>
      <c r="CG233" s="282">
        <f>H233*月別販売比率!$M$21</f>
        <v>1.9271658938154266</v>
      </c>
      <c r="CH233" s="103"/>
      <c r="CI233" s="282">
        <f>H233*月別販売比率!$R$21</f>
        <v>1.525506072874494</v>
      </c>
      <c r="CJ233" s="103">
        <v>10</v>
      </c>
      <c r="CK233" s="282">
        <f>H233*月別販売比率!$W$21</f>
        <v>1.4524099301496245</v>
      </c>
      <c r="CL233" s="103"/>
      <c r="CM233" s="282">
        <f>H233*月別販売比率!$AB$21</f>
        <v>2.288259109311741</v>
      </c>
      <c r="CN233" s="103"/>
      <c r="CO233" s="282">
        <f>H233*月別販売比率!$AG$21</f>
        <v>1.9068825910931175</v>
      </c>
      <c r="CP233" s="103"/>
      <c r="CQ233" s="282">
        <f>H233*月別販売比率!$AL$21</f>
        <v>1.7161943319838056</v>
      </c>
      <c r="CR233" s="103"/>
      <c r="CS233" s="282">
        <f>H233*月別販売比率!$AQ$21</f>
        <v>1.9068825910931175</v>
      </c>
      <c r="CT233" s="103"/>
      <c r="CU233" s="282">
        <f>H233*月別販売比率!$AV$21</f>
        <v>1.1611842453551555</v>
      </c>
      <c r="CV233" s="103"/>
      <c r="CW233" s="282">
        <f>H233*月別販売比率!$BA$21</f>
        <v>1.0606676053472579</v>
      </c>
      <c r="CX233" s="103"/>
      <c r="CY233" s="282">
        <f>H233*月別販売比率!$BF$21</f>
        <v>1.525506072874494</v>
      </c>
      <c r="CZ233" s="103"/>
      <c r="DA233" s="303"/>
      <c r="DB233" s="300"/>
    </row>
    <row r="234" spans="2:106" ht="30.75" customHeight="1">
      <c r="B234" s="2">
        <v>17</v>
      </c>
      <c r="C234" s="435" t="s">
        <v>492</v>
      </c>
      <c r="D234" s="436"/>
      <c r="E234" s="445"/>
      <c r="F234" s="130">
        <f>SUM(F235:F242)</f>
        <v>801</v>
      </c>
      <c r="G234" s="131">
        <f>SUM(G235:G242)</f>
        <v>5110380</v>
      </c>
      <c r="H234" s="130">
        <v>801</v>
      </c>
      <c r="I234" s="131">
        <f t="shared" ref="I234:N234" si="391">SUM(I235:I242)</f>
        <v>5110380</v>
      </c>
      <c r="J234" s="133">
        <f t="shared" si="391"/>
        <v>482</v>
      </c>
      <c r="K234" s="148">
        <f t="shared" si="391"/>
        <v>201</v>
      </c>
      <c r="L234" s="148">
        <f t="shared" si="391"/>
        <v>100</v>
      </c>
      <c r="M234" s="148">
        <f t="shared" si="391"/>
        <v>101</v>
      </c>
      <c r="N234" s="149">
        <f t="shared" si="391"/>
        <v>0</v>
      </c>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311">
        <f t="shared" ref="AS234:CB234" si="392">SUM(AS235:AS242)</f>
        <v>80.099999999999994</v>
      </c>
      <c r="AT234" s="134">
        <f t="shared" si="392"/>
        <v>0</v>
      </c>
      <c r="AU234" s="311">
        <f t="shared" si="392"/>
        <v>72.09</v>
      </c>
      <c r="AV234" s="312">
        <f t="shared" si="392"/>
        <v>0</v>
      </c>
      <c r="AW234" s="311">
        <f t="shared" si="392"/>
        <v>80.099999999999994</v>
      </c>
      <c r="AX234" s="312">
        <f t="shared" si="392"/>
        <v>0</v>
      </c>
      <c r="AY234" s="311">
        <f t="shared" si="392"/>
        <v>48.776394775112827</v>
      </c>
      <c r="AZ234" s="312">
        <f t="shared" si="392"/>
        <v>0</v>
      </c>
      <c r="BA234" s="311">
        <f t="shared" si="392"/>
        <v>44.554119684742872</v>
      </c>
      <c r="BB234" s="312">
        <f t="shared" si="392"/>
        <v>0</v>
      </c>
      <c r="BC234" s="311">
        <f t="shared" si="392"/>
        <v>64.08</v>
      </c>
      <c r="BD234" s="134">
        <f t="shared" si="392"/>
        <v>0</v>
      </c>
      <c r="BE234" s="311">
        <f t="shared" si="392"/>
        <v>56.762265143788007</v>
      </c>
      <c r="BF234" s="134">
        <f t="shared" si="392"/>
        <v>0</v>
      </c>
      <c r="BG234" s="311">
        <f t="shared" si="392"/>
        <v>56.070000000000007</v>
      </c>
      <c r="BH234" s="134">
        <f t="shared" si="392"/>
        <v>200</v>
      </c>
      <c r="BI234" s="311">
        <f t="shared" si="392"/>
        <v>80.952014988046869</v>
      </c>
      <c r="BJ234" s="312">
        <f t="shared" si="392"/>
        <v>0</v>
      </c>
      <c r="BK234" s="311">
        <f t="shared" si="392"/>
        <v>64.08</v>
      </c>
      <c r="BL234" s="312">
        <f t="shared" si="392"/>
        <v>364</v>
      </c>
      <c r="BM234" s="311">
        <f t="shared" si="392"/>
        <v>61.009542983081268</v>
      </c>
      <c r="BN234" s="134">
        <f t="shared" si="392"/>
        <v>36</v>
      </c>
      <c r="BO234" s="311">
        <f t="shared" si="392"/>
        <v>96.11999999999999</v>
      </c>
      <c r="BP234" s="134">
        <f t="shared" si="392"/>
        <v>0</v>
      </c>
      <c r="BQ234" s="311">
        <f t="shared" si="392"/>
        <v>80.099999999999994</v>
      </c>
      <c r="BR234" s="134">
        <f t="shared" si="392"/>
        <v>0</v>
      </c>
      <c r="BS234" s="311">
        <f t="shared" si="392"/>
        <v>72.09</v>
      </c>
      <c r="BT234" s="312">
        <f t="shared" si="392"/>
        <v>0</v>
      </c>
      <c r="BU234" s="311">
        <f t="shared" si="392"/>
        <v>80.099999999999994</v>
      </c>
      <c r="BV234" s="312">
        <f t="shared" si="392"/>
        <v>0</v>
      </c>
      <c r="BW234" s="311">
        <f t="shared" si="392"/>
        <v>48.776394775112827</v>
      </c>
      <c r="BX234" s="134">
        <f t="shared" si="392"/>
        <v>0</v>
      </c>
      <c r="BY234" s="311">
        <f t="shared" si="392"/>
        <v>44.554119684742872</v>
      </c>
      <c r="BZ234" s="134">
        <f t="shared" si="392"/>
        <v>0</v>
      </c>
      <c r="CA234" s="311">
        <f t="shared" si="392"/>
        <v>64.08</v>
      </c>
      <c r="CB234" s="134">
        <f t="shared" si="392"/>
        <v>0</v>
      </c>
      <c r="CC234" s="311">
        <f t="shared" ref="CC234:CD234" si="393">SUM(CC235:CC242)</f>
        <v>56.762265143788007</v>
      </c>
      <c r="CD234" s="134">
        <f t="shared" si="393"/>
        <v>0</v>
      </c>
      <c r="CE234" s="311">
        <f t="shared" ref="CE234:CF234" si="394">SUM(CE235:CE242)</f>
        <v>56.070000000000007</v>
      </c>
      <c r="CF234" s="134">
        <f t="shared" si="394"/>
        <v>0</v>
      </c>
      <c r="CG234" s="311">
        <f t="shared" ref="CG234:CJ234" si="395">SUM(CG235:CG242)</f>
        <v>80.952014988046869</v>
      </c>
      <c r="CH234" s="134">
        <f t="shared" si="395"/>
        <v>0</v>
      </c>
      <c r="CI234" s="311">
        <f t="shared" si="395"/>
        <v>64.08</v>
      </c>
      <c r="CJ234" s="134">
        <f t="shared" si="395"/>
        <v>0</v>
      </c>
      <c r="CK234" s="311">
        <f t="shared" ref="CK234:CN234" si="396">SUM(CK235:CK242)</f>
        <v>61.009542983081268</v>
      </c>
      <c r="CL234" s="134">
        <f t="shared" si="396"/>
        <v>0</v>
      </c>
      <c r="CM234" s="311">
        <f t="shared" si="396"/>
        <v>96.11999999999999</v>
      </c>
      <c r="CN234" s="134">
        <f t="shared" si="396"/>
        <v>0</v>
      </c>
      <c r="CO234" s="311">
        <f t="shared" ref="CO234:CR234" si="397">SUM(CO235:CO242)</f>
        <v>80.099999999999994</v>
      </c>
      <c r="CP234" s="134">
        <f t="shared" si="397"/>
        <v>0</v>
      </c>
      <c r="CQ234" s="311">
        <f t="shared" si="397"/>
        <v>72.09</v>
      </c>
      <c r="CR234" s="134">
        <f t="shared" si="397"/>
        <v>0</v>
      </c>
      <c r="CS234" s="311">
        <f t="shared" ref="CS234:CX234" si="398">SUM(CS235:CS242)</f>
        <v>80.099999999999994</v>
      </c>
      <c r="CT234" s="134">
        <f t="shared" si="398"/>
        <v>0</v>
      </c>
      <c r="CU234" s="311">
        <v>48.776394775112827</v>
      </c>
      <c r="CV234" s="134">
        <f t="shared" si="398"/>
        <v>0</v>
      </c>
      <c r="CW234" s="311">
        <f t="shared" si="398"/>
        <v>44.554119684742872</v>
      </c>
      <c r="CX234" s="134">
        <f t="shared" si="398"/>
        <v>0</v>
      </c>
      <c r="CY234" s="311">
        <f t="shared" ref="CY234:CZ234" si="399">SUM(CY235:CY242)</f>
        <v>64.08</v>
      </c>
      <c r="CZ234" s="134">
        <f t="shared" si="399"/>
        <v>0</v>
      </c>
      <c r="DA234" s="141"/>
      <c r="DB234" s="293"/>
    </row>
    <row r="235" spans="2:106" ht="30.75" customHeight="1">
      <c r="C235" s="479" t="s">
        <v>482</v>
      </c>
      <c r="D235" s="443">
        <v>1</v>
      </c>
      <c r="E235" s="99" t="s">
        <v>46</v>
      </c>
      <c r="F235" s="56">
        <v>175</v>
      </c>
      <c r="G235" s="46">
        <f t="shared" ref="G235:I242" si="400">F235*6380</f>
        <v>1116500</v>
      </c>
      <c r="H235" s="7">
        <f>F235*($H$234/$F$234)</f>
        <v>175</v>
      </c>
      <c r="I235" s="46">
        <f t="shared" si="400"/>
        <v>1116500</v>
      </c>
      <c r="J235" s="49">
        <v>114</v>
      </c>
      <c r="K235" s="21">
        <f t="shared" ref="K235:K280" si="401">SUM(L235:N235)</f>
        <v>26</v>
      </c>
      <c r="L235" s="39">
        <v>11</v>
      </c>
      <c r="M235" s="39">
        <v>15</v>
      </c>
      <c r="N235" s="42"/>
      <c r="O235" s="19"/>
      <c r="P235" s="19"/>
      <c r="Q235" s="124"/>
      <c r="R235" s="124"/>
      <c r="S235" s="124"/>
      <c r="T235" s="124"/>
      <c r="U235" s="124"/>
      <c r="V235" s="124"/>
      <c r="W235" s="124"/>
      <c r="X235" s="124"/>
      <c r="Y235" s="124"/>
      <c r="Z235" s="124"/>
      <c r="AA235" s="328"/>
      <c r="AB235" s="328"/>
      <c r="AC235" s="328"/>
      <c r="AD235" s="328"/>
      <c r="AE235" s="328"/>
      <c r="AF235" s="328"/>
      <c r="AG235" s="124"/>
      <c r="AH235" s="124"/>
      <c r="AI235" s="129">
        <f t="shared" ref="AI235:AI242" si="402">SUM(J235:K235)-CI235+CJ235</f>
        <v>126</v>
      </c>
      <c r="AJ235" s="129">
        <f t="shared" ref="AJ235:AJ242" si="403">AI235-CK235+CL235</f>
        <v>112.67082394252282</v>
      </c>
      <c r="AK235" s="129">
        <f t="shared" ref="AK235:AK242" si="404">AJ235-CM235+CN235</f>
        <v>91.670823942522816</v>
      </c>
      <c r="AL235" s="399">
        <f t="shared" ref="AL235:AL242" si="405">AK235-CO235+CP235</f>
        <v>74.170823942522816</v>
      </c>
      <c r="AM235" s="393">
        <f t="shared" ref="AM235:AM242" si="406">AL235-CQ235+CR235</f>
        <v>58.420823942522816</v>
      </c>
      <c r="AN235" s="393">
        <f t="shared" ref="AN235:AN242" si="407">AM235-CS235+CT235</f>
        <v>40.920823942522816</v>
      </c>
      <c r="AO235" s="393">
        <f t="shared" ref="AO235:AO242" si="408">AN235-CU235+CV235</f>
        <v>30.264308230107403</v>
      </c>
      <c r="AP235" s="96">
        <f t="shared" ref="AP235:AP242" si="409">AO235-CW235+CX235</f>
        <v>20.53026210672413</v>
      </c>
      <c r="AQ235" s="91">
        <f t="shared" ref="AQ235:AQ242" si="410">AP235-CY235+CZ235</f>
        <v>6.5302621067241304</v>
      </c>
      <c r="AR235" s="198"/>
      <c r="AS235" s="81">
        <f>$H$235*月別販売比率!AG5</f>
        <v>17.5</v>
      </c>
      <c r="AT235" s="39"/>
      <c r="AU235" s="81">
        <f>$H$235*月別販売比率!AL5</f>
        <v>15.75</v>
      </c>
      <c r="AV235" s="39"/>
      <c r="AW235" s="81">
        <f>$H$235*月別販売比率!AQ5</f>
        <v>17.5</v>
      </c>
      <c r="AX235" s="39"/>
      <c r="AY235" s="81">
        <f>$H$235*月別販売比率!AV5</f>
        <v>10.656515712415413</v>
      </c>
      <c r="AZ235" s="39"/>
      <c r="BA235" s="81">
        <f>$H$235*月別販売比率!BA5</f>
        <v>9.7340461233832745</v>
      </c>
      <c r="BB235" s="39"/>
      <c r="BC235" s="81">
        <f>$H$235*月別販売比率!BF5</f>
        <v>14</v>
      </c>
      <c r="BD235" s="39"/>
      <c r="BE235" s="81">
        <f>$H$235*月別販売比率!C21</f>
        <v>12.401243945272036</v>
      </c>
      <c r="BF235" s="39"/>
      <c r="BG235" s="245">
        <f>$H$235*月別販売比率!H21</f>
        <v>12.250000000000002</v>
      </c>
      <c r="BH235" s="280"/>
      <c r="BI235" s="81">
        <f>$H$235*月別販売比率!M21</f>
        <v>17.686145596639449</v>
      </c>
      <c r="BJ235" s="39"/>
      <c r="BK235" s="245">
        <f>$H$235*月別販売比率!R21</f>
        <v>14</v>
      </c>
      <c r="BL235" s="280">
        <v>120</v>
      </c>
      <c r="BM235" s="245">
        <f>$H$235*月別販売比率!W21</f>
        <v>13.329176057477181</v>
      </c>
      <c r="BN235" s="280"/>
      <c r="BO235" s="81">
        <f>$H$235*月別販売比率!AB21</f>
        <v>21</v>
      </c>
      <c r="BP235" s="39"/>
      <c r="BQ235" s="81">
        <f>$H$235*月別販売比率!AG21</f>
        <v>17.5</v>
      </c>
      <c r="BR235" s="39"/>
      <c r="BS235" s="81">
        <f>$H$235*月別販売比率!AL21</f>
        <v>15.75</v>
      </c>
      <c r="BT235" s="39"/>
      <c r="BU235" s="81">
        <f>$H$235*月別販売比率!AQ21</f>
        <v>17.5</v>
      </c>
      <c r="BV235" s="39"/>
      <c r="BW235" s="81">
        <f>$H$235*月別販売比率!AV21</f>
        <v>10.656515712415413</v>
      </c>
      <c r="BX235" s="39"/>
      <c r="BY235" s="81">
        <f>$H$235*月別販売比率!BA21</f>
        <v>9.7340461233832745</v>
      </c>
      <c r="BZ235" s="39"/>
      <c r="CA235" s="81">
        <f>$H$235*月別販売比率!BF21</f>
        <v>14</v>
      </c>
      <c r="CB235" s="39"/>
      <c r="CC235" s="81">
        <f>H235*月別販売比率!$C$21</f>
        <v>12.401243945272036</v>
      </c>
      <c r="CD235" s="39"/>
      <c r="CE235" s="81">
        <f>H235*月別販売比率!$H$21</f>
        <v>12.250000000000002</v>
      </c>
      <c r="CF235" s="39"/>
      <c r="CG235" s="81">
        <f>H235*月別販売比率!$M$21</f>
        <v>17.686145596639449</v>
      </c>
      <c r="CH235" s="39"/>
      <c r="CI235" s="81">
        <f>H235*月別販売比率!$R$21</f>
        <v>14</v>
      </c>
      <c r="CJ235" s="39"/>
      <c r="CK235" s="81">
        <f>H235*月別販売比率!$W$21</f>
        <v>13.329176057477181</v>
      </c>
      <c r="CL235" s="39"/>
      <c r="CM235" s="81">
        <f>H235*月別販売比率!$AB$21</f>
        <v>21</v>
      </c>
      <c r="CN235" s="39"/>
      <c r="CO235" s="81">
        <f>H235*月別販売比率!$AG$21</f>
        <v>17.5</v>
      </c>
      <c r="CP235" s="39"/>
      <c r="CQ235" s="81">
        <f>H235*月別販売比率!$AL$21</f>
        <v>15.75</v>
      </c>
      <c r="CR235" s="39"/>
      <c r="CS235" s="81">
        <f>H235*月別販売比率!$AQ$21</f>
        <v>17.5</v>
      </c>
      <c r="CT235" s="39"/>
      <c r="CU235" s="81">
        <f>H235*月別販売比率!$AV$21</f>
        <v>10.656515712415413</v>
      </c>
      <c r="CV235" s="39"/>
      <c r="CW235" s="81">
        <f>H235*月別販売比率!$BA$21</f>
        <v>9.7340461233832745</v>
      </c>
      <c r="CX235" s="39"/>
      <c r="CY235" s="81">
        <f>H235*月別販売比率!$BF$21</f>
        <v>14</v>
      </c>
      <c r="CZ235" s="39"/>
      <c r="DA235" s="28"/>
      <c r="DB235" s="294"/>
    </row>
    <row r="236" spans="2:106" ht="30.75" customHeight="1">
      <c r="C236" s="480"/>
      <c r="D236" s="441"/>
      <c r="E236" s="94" t="s">
        <v>47</v>
      </c>
      <c r="F236" s="57">
        <v>150</v>
      </c>
      <c r="G236" s="5">
        <f t="shared" si="400"/>
        <v>957000</v>
      </c>
      <c r="H236" s="7">
        <f t="shared" ref="H236:H242" si="411">F236*($H$234/$F$234)</f>
        <v>150</v>
      </c>
      <c r="I236" s="5">
        <f t="shared" si="400"/>
        <v>957000</v>
      </c>
      <c r="J236" s="9">
        <v>96</v>
      </c>
      <c r="K236" s="21">
        <f t="shared" si="401"/>
        <v>16</v>
      </c>
      <c r="L236" s="21">
        <v>8</v>
      </c>
      <c r="M236" s="21">
        <v>8</v>
      </c>
      <c r="N236" s="42"/>
      <c r="O236" s="19"/>
      <c r="P236" s="19"/>
      <c r="Q236" s="124"/>
      <c r="R236" s="124"/>
      <c r="S236" s="124"/>
      <c r="T236" s="124"/>
      <c r="U236" s="124"/>
      <c r="V236" s="124"/>
      <c r="W236" s="124"/>
      <c r="X236" s="124"/>
      <c r="Y236" s="124"/>
      <c r="Z236" s="124"/>
      <c r="AA236" s="328"/>
      <c r="AB236" s="328"/>
      <c r="AC236" s="328"/>
      <c r="AD236" s="328"/>
      <c r="AE236" s="328"/>
      <c r="AF236" s="328"/>
      <c r="AG236" s="124"/>
      <c r="AH236" s="124"/>
      <c r="AI236" s="129">
        <f t="shared" si="402"/>
        <v>100</v>
      </c>
      <c r="AJ236" s="129">
        <f t="shared" si="403"/>
        <v>88.574991950733846</v>
      </c>
      <c r="AK236" s="129">
        <f t="shared" si="404"/>
        <v>70.574991950733846</v>
      </c>
      <c r="AL236" s="399">
        <f t="shared" si="405"/>
        <v>55.574991950733846</v>
      </c>
      <c r="AM236" s="393">
        <f t="shared" si="406"/>
        <v>42.074991950733846</v>
      </c>
      <c r="AN236" s="393">
        <f t="shared" si="407"/>
        <v>27.074991950733846</v>
      </c>
      <c r="AO236" s="393">
        <f t="shared" si="408"/>
        <v>17.940835625806351</v>
      </c>
      <c r="AP236" s="96">
        <f t="shared" si="409"/>
        <v>9.597367520049259</v>
      </c>
      <c r="AQ236" s="91">
        <f t="shared" si="410"/>
        <v>-2.402632479950741</v>
      </c>
      <c r="AR236" s="198"/>
      <c r="AS236" s="81">
        <f>$H$236*月別販売比率!AG5</f>
        <v>15</v>
      </c>
      <c r="AT236" s="21"/>
      <c r="AU236" s="81">
        <f>$H$236*月別販売比率!AL5</f>
        <v>13.5</v>
      </c>
      <c r="AV236" s="21"/>
      <c r="AW236" s="81">
        <f>$H$236*月別販売比率!AQ5</f>
        <v>15</v>
      </c>
      <c r="AX236" s="21"/>
      <c r="AY236" s="81">
        <f>$H$236*月別販売比率!AV5</f>
        <v>9.1341563249274973</v>
      </c>
      <c r="AZ236" s="21"/>
      <c r="BA236" s="81">
        <f>$H$236*月別販売比率!BA5</f>
        <v>8.3434681057570916</v>
      </c>
      <c r="BB236" s="21"/>
      <c r="BC236" s="81">
        <f>$H$236*月別販売比率!BF5</f>
        <v>12</v>
      </c>
      <c r="BD236" s="21"/>
      <c r="BE236" s="81">
        <f>$H$236*月別販売比率!C21</f>
        <v>10.629637667376031</v>
      </c>
      <c r="BF236" s="21"/>
      <c r="BG236" s="245">
        <f>$H$236*月別販売比率!H21</f>
        <v>10.500000000000002</v>
      </c>
      <c r="BH236" s="241"/>
      <c r="BI236" s="81">
        <f>$H$236*月別販売比率!M21</f>
        <v>15.159553368548099</v>
      </c>
      <c r="BJ236" s="21"/>
      <c r="BK236" s="245">
        <f>$H$236*月別販売比率!R21</f>
        <v>12</v>
      </c>
      <c r="BL236" s="241">
        <v>75</v>
      </c>
      <c r="BM236" s="245">
        <f>$H$236*月別販売比率!W21</f>
        <v>11.425008049266154</v>
      </c>
      <c r="BN236" s="241"/>
      <c r="BO236" s="81">
        <f>$H$236*月別販売比率!AB21</f>
        <v>18</v>
      </c>
      <c r="BP236" s="21"/>
      <c r="BQ236" s="81">
        <f>$H$236*月別販売比率!AG21</f>
        <v>15</v>
      </c>
      <c r="BR236" s="21"/>
      <c r="BS236" s="81">
        <f>$H$236*月別販売比率!AL21</f>
        <v>13.5</v>
      </c>
      <c r="BT236" s="21"/>
      <c r="BU236" s="81">
        <f>$H$236*月別販売比率!AQ21</f>
        <v>15</v>
      </c>
      <c r="BV236" s="21"/>
      <c r="BW236" s="81">
        <f>$H$236*月別販売比率!AV21</f>
        <v>9.1341563249274973</v>
      </c>
      <c r="BX236" s="21"/>
      <c r="BY236" s="81">
        <f>$H$236*月別販売比率!BA21</f>
        <v>8.3434681057570916</v>
      </c>
      <c r="BZ236" s="21"/>
      <c r="CA236" s="81">
        <f>$H$236*月別販売比率!BF21</f>
        <v>12</v>
      </c>
      <c r="CB236" s="21"/>
      <c r="CC236" s="81">
        <f>H236*月別販売比率!$C$21</f>
        <v>10.629637667376031</v>
      </c>
      <c r="CD236" s="21"/>
      <c r="CE236" s="81">
        <f>H236*月別販売比率!$H$21</f>
        <v>10.500000000000002</v>
      </c>
      <c r="CF236" s="21"/>
      <c r="CG236" s="81">
        <f>H236*月別販売比率!$M$21</f>
        <v>15.159553368548099</v>
      </c>
      <c r="CH236" s="21"/>
      <c r="CI236" s="81">
        <f>H236*月別販売比率!$R$21</f>
        <v>12</v>
      </c>
      <c r="CJ236" s="21"/>
      <c r="CK236" s="81">
        <f>H236*月別販売比率!$W$21</f>
        <v>11.425008049266154</v>
      </c>
      <c r="CL236" s="21"/>
      <c r="CM236" s="81">
        <f>H236*月別販売比率!$AB$21</f>
        <v>18</v>
      </c>
      <c r="CN236" s="21"/>
      <c r="CO236" s="81">
        <f>H236*月別販売比率!$AG$21</f>
        <v>15</v>
      </c>
      <c r="CP236" s="21"/>
      <c r="CQ236" s="81">
        <f>H236*月別販売比率!$AL$21</f>
        <v>13.5</v>
      </c>
      <c r="CR236" s="21"/>
      <c r="CS236" s="81">
        <f>H236*月別販売比率!$AQ$21</f>
        <v>15</v>
      </c>
      <c r="CT236" s="21"/>
      <c r="CU236" s="81">
        <f>H236*月別販売比率!$AV$21</f>
        <v>9.1341563249274973</v>
      </c>
      <c r="CV236" s="21"/>
      <c r="CW236" s="81">
        <f>H236*月別販売比率!$BA$21</f>
        <v>8.3434681057570916</v>
      </c>
      <c r="CX236" s="21"/>
      <c r="CY236" s="81">
        <f>H236*月別販売比率!$BF$21</f>
        <v>12</v>
      </c>
      <c r="CZ236" s="21"/>
      <c r="DA236" s="28"/>
      <c r="DB236" s="294"/>
    </row>
    <row r="237" spans="2:106" ht="30.75" customHeight="1">
      <c r="C237" s="480"/>
      <c r="D237" s="441"/>
      <c r="E237" s="94" t="s">
        <v>48</v>
      </c>
      <c r="F237" s="57">
        <v>99</v>
      </c>
      <c r="G237" s="5">
        <f t="shared" si="400"/>
        <v>631620</v>
      </c>
      <c r="H237" s="7">
        <f t="shared" si="411"/>
        <v>99</v>
      </c>
      <c r="I237" s="5">
        <f t="shared" si="400"/>
        <v>631620</v>
      </c>
      <c r="J237" s="9">
        <v>70</v>
      </c>
      <c r="K237" s="21">
        <f t="shared" si="401"/>
        <v>22</v>
      </c>
      <c r="L237" s="21">
        <v>10</v>
      </c>
      <c r="M237" s="21">
        <v>12</v>
      </c>
      <c r="N237" s="42"/>
      <c r="O237" s="19"/>
      <c r="P237" s="19"/>
      <c r="Q237" s="124"/>
      <c r="R237" s="124"/>
      <c r="S237" s="124"/>
      <c r="T237" s="124"/>
      <c r="U237" s="124"/>
      <c r="V237" s="124"/>
      <c r="W237" s="124"/>
      <c r="X237" s="328"/>
      <c r="Y237" s="328"/>
      <c r="Z237" s="124"/>
      <c r="AA237" s="328"/>
      <c r="AB237" s="328"/>
      <c r="AC237" s="328"/>
      <c r="AD237" s="328"/>
      <c r="AE237" s="328"/>
      <c r="AF237" s="328"/>
      <c r="AG237" s="124"/>
      <c r="AH237" s="124"/>
      <c r="AI237" s="129">
        <f t="shared" si="402"/>
        <v>84.08</v>
      </c>
      <c r="AJ237" s="129">
        <f t="shared" si="403"/>
        <v>76.539494687484336</v>
      </c>
      <c r="AK237" s="129">
        <f t="shared" si="404"/>
        <v>64.65949468748434</v>
      </c>
      <c r="AL237" s="399">
        <f t="shared" si="405"/>
        <v>54.759494687484342</v>
      </c>
      <c r="AM237" s="393">
        <f t="shared" si="406"/>
        <v>45.849494687484338</v>
      </c>
      <c r="AN237" s="393">
        <f t="shared" si="407"/>
        <v>35.949494687484339</v>
      </c>
      <c r="AO237" s="393">
        <f t="shared" si="408"/>
        <v>29.920951513032193</v>
      </c>
      <c r="AP237" s="96">
        <f t="shared" si="409"/>
        <v>24.414262563232512</v>
      </c>
      <c r="AQ237" s="91">
        <f t="shared" si="410"/>
        <v>16.49426256323251</v>
      </c>
      <c r="AR237" s="198"/>
      <c r="AS237" s="81">
        <f>$H$237*月別販売比率!AG5</f>
        <v>9.9</v>
      </c>
      <c r="AT237" s="21"/>
      <c r="AU237" s="81">
        <f>$H$237*月別販売比率!AL5</f>
        <v>8.91</v>
      </c>
      <c r="AV237" s="21"/>
      <c r="AW237" s="81">
        <f>$H$237*月別販売比率!AQ5</f>
        <v>9.9</v>
      </c>
      <c r="AX237" s="21"/>
      <c r="AY237" s="81">
        <f>$H$237*月別販売比率!AV5</f>
        <v>6.0285431744521478</v>
      </c>
      <c r="AZ237" s="21"/>
      <c r="BA237" s="81">
        <f>$H$237*月別販売比率!BA5</f>
        <v>5.5066889497996812</v>
      </c>
      <c r="BB237" s="21"/>
      <c r="BC237" s="81">
        <f>$H$237*月別販売比率!BF5</f>
        <v>7.92</v>
      </c>
      <c r="BD237" s="21"/>
      <c r="BE237" s="81">
        <f>$H$237*月別販売比率!C21</f>
        <v>7.0155608604681801</v>
      </c>
      <c r="BF237" s="21"/>
      <c r="BG237" s="245">
        <f>$H$237*月別販売比率!H21</f>
        <v>6.9300000000000006</v>
      </c>
      <c r="BH237" s="241"/>
      <c r="BI237" s="81">
        <f>$H$237*月別販売比率!M21</f>
        <v>10.005305223241747</v>
      </c>
      <c r="BJ237" s="21"/>
      <c r="BK237" s="245">
        <f>$H$237*月別販売比率!R21</f>
        <v>7.92</v>
      </c>
      <c r="BL237" s="241">
        <v>5</v>
      </c>
      <c r="BM237" s="245">
        <f>$H$237*月別販売比率!W21</f>
        <v>7.5405053125156618</v>
      </c>
      <c r="BN237" s="241"/>
      <c r="BO237" s="81">
        <f>$H$237*月別販売比率!AB21</f>
        <v>11.879999999999999</v>
      </c>
      <c r="BP237" s="21"/>
      <c r="BQ237" s="81">
        <f>$H$237*月別販売比率!AG21</f>
        <v>9.9</v>
      </c>
      <c r="BR237" s="21"/>
      <c r="BS237" s="81">
        <f>$H$237*月別販売比率!AL21</f>
        <v>8.91</v>
      </c>
      <c r="BT237" s="21"/>
      <c r="BU237" s="81">
        <f>$H$237*月別販売比率!AQ21</f>
        <v>9.9</v>
      </c>
      <c r="BV237" s="21"/>
      <c r="BW237" s="81">
        <f>$H$237*月別販売比率!AV21</f>
        <v>6.0285431744521478</v>
      </c>
      <c r="BX237" s="21"/>
      <c r="BY237" s="81">
        <f>$H$237*月別販売比率!BA21</f>
        <v>5.5066889497996812</v>
      </c>
      <c r="BZ237" s="21"/>
      <c r="CA237" s="81">
        <f>$H$237*月別販売比率!BF21</f>
        <v>7.92</v>
      </c>
      <c r="CB237" s="21"/>
      <c r="CC237" s="81">
        <f>H237*月別販売比率!$C$21</f>
        <v>7.0155608604681801</v>
      </c>
      <c r="CD237" s="21"/>
      <c r="CE237" s="81">
        <f>H237*月別販売比率!$H$21</f>
        <v>6.9300000000000006</v>
      </c>
      <c r="CF237" s="21"/>
      <c r="CG237" s="81">
        <f>H237*月別販売比率!$M$21</f>
        <v>10.005305223241747</v>
      </c>
      <c r="CH237" s="21"/>
      <c r="CI237" s="81">
        <f>H237*月別販売比率!$R$21</f>
        <v>7.92</v>
      </c>
      <c r="CJ237" s="21"/>
      <c r="CK237" s="81">
        <f>H237*月別販売比率!$W$21</f>
        <v>7.5405053125156618</v>
      </c>
      <c r="CL237" s="21"/>
      <c r="CM237" s="81">
        <f>H237*月別販売比率!$AB$21</f>
        <v>11.879999999999999</v>
      </c>
      <c r="CN237" s="21"/>
      <c r="CO237" s="81">
        <f>H237*月別販売比率!$AG$21</f>
        <v>9.9</v>
      </c>
      <c r="CP237" s="21"/>
      <c r="CQ237" s="81">
        <f>H237*月別販売比率!$AL$21</f>
        <v>8.91</v>
      </c>
      <c r="CR237" s="21"/>
      <c r="CS237" s="81">
        <f>H237*月別販売比率!$AQ$21</f>
        <v>9.9</v>
      </c>
      <c r="CT237" s="21"/>
      <c r="CU237" s="81">
        <f>H237*月別販売比率!$AV$21</f>
        <v>6.0285431744521478</v>
      </c>
      <c r="CV237" s="21"/>
      <c r="CW237" s="81">
        <f>H237*月別販売比率!$BA$21</f>
        <v>5.5066889497996812</v>
      </c>
      <c r="CX237" s="21"/>
      <c r="CY237" s="81">
        <f>H237*月別販売比率!$BF$21</f>
        <v>7.92</v>
      </c>
      <c r="CZ237" s="21"/>
      <c r="DA237" s="28"/>
      <c r="DB237" s="294"/>
    </row>
    <row r="238" spans="2:106" ht="30.75" customHeight="1">
      <c r="C238" s="480"/>
      <c r="D238" s="441"/>
      <c r="E238" s="94" t="s">
        <v>49</v>
      </c>
      <c r="F238" s="57">
        <v>32</v>
      </c>
      <c r="G238" s="5">
        <f t="shared" si="400"/>
        <v>204160</v>
      </c>
      <c r="H238" s="7">
        <f t="shared" si="411"/>
        <v>32</v>
      </c>
      <c r="I238" s="5">
        <f t="shared" si="400"/>
        <v>204160</v>
      </c>
      <c r="J238" s="9">
        <v>52</v>
      </c>
      <c r="K238" s="21">
        <f t="shared" si="401"/>
        <v>32</v>
      </c>
      <c r="L238" s="21">
        <v>17</v>
      </c>
      <c r="M238" s="21">
        <v>15</v>
      </c>
      <c r="N238" s="42"/>
      <c r="O238" s="19"/>
      <c r="P238" s="19"/>
      <c r="Q238" s="124"/>
      <c r="R238" s="124"/>
      <c r="S238" s="124"/>
      <c r="T238" s="124"/>
      <c r="U238" s="124"/>
      <c r="V238" s="124"/>
      <c r="W238" s="124"/>
      <c r="X238" s="124"/>
      <c r="Y238" s="124"/>
      <c r="Z238" s="124"/>
      <c r="AA238" s="328"/>
      <c r="AB238" s="328"/>
      <c r="AC238" s="328"/>
      <c r="AD238" s="328"/>
      <c r="AE238" s="328"/>
      <c r="AF238" s="328"/>
      <c r="AG238" s="124"/>
      <c r="AH238" s="124"/>
      <c r="AI238" s="129">
        <f t="shared" si="402"/>
        <v>81.44</v>
      </c>
      <c r="AJ238" s="129">
        <f t="shared" si="403"/>
        <v>79.002664949489883</v>
      </c>
      <c r="AK238" s="129">
        <f t="shared" si="404"/>
        <v>75.16266494948988</v>
      </c>
      <c r="AL238" s="399">
        <f t="shared" si="405"/>
        <v>71.962664949489877</v>
      </c>
      <c r="AM238" s="393">
        <f t="shared" si="406"/>
        <v>69.082664949489882</v>
      </c>
      <c r="AN238" s="393">
        <f t="shared" si="407"/>
        <v>65.882664949489879</v>
      </c>
      <c r="AO238" s="393">
        <f t="shared" si="408"/>
        <v>63.934044933505348</v>
      </c>
      <c r="AP238" s="96">
        <f t="shared" si="409"/>
        <v>62.154105070943835</v>
      </c>
      <c r="AQ238" s="91">
        <f t="shared" si="410"/>
        <v>59.594105070943833</v>
      </c>
      <c r="AR238" s="198"/>
      <c r="AS238" s="81">
        <f>$H$238*月別販売比率!AG5</f>
        <v>3.2</v>
      </c>
      <c r="AT238" s="21"/>
      <c r="AU238" s="81">
        <f>$H$238*月別販売比率!AL5</f>
        <v>2.88</v>
      </c>
      <c r="AV238" s="21"/>
      <c r="AW238" s="81">
        <f>$H$238*月別販売比率!AQ5</f>
        <v>3.2</v>
      </c>
      <c r="AX238" s="21"/>
      <c r="AY238" s="81">
        <f>$H$238*月別販売比率!AV5</f>
        <v>1.9486200159845326</v>
      </c>
      <c r="AZ238" s="21"/>
      <c r="BA238" s="81">
        <f>$H$238*月別販売比率!BA5</f>
        <v>1.779939862561513</v>
      </c>
      <c r="BB238" s="21"/>
      <c r="BC238" s="81">
        <f>$H$238*月別販売比率!BF5</f>
        <v>2.56</v>
      </c>
      <c r="BD238" s="21"/>
      <c r="BE238" s="81">
        <f>$H$238*月別販売比率!C21</f>
        <v>2.2676560357068865</v>
      </c>
      <c r="BF238" s="21"/>
      <c r="BG238" s="245">
        <f>$H$238*月別販売比率!H21</f>
        <v>2.2400000000000002</v>
      </c>
      <c r="BH238" s="241"/>
      <c r="BI238" s="81">
        <f>$H$238*月別販売比率!M21</f>
        <v>3.2340380519569281</v>
      </c>
      <c r="BJ238" s="21"/>
      <c r="BK238" s="245">
        <f>$H$238*月別販売比率!R21</f>
        <v>2.56</v>
      </c>
      <c r="BL238" s="241"/>
      <c r="BM238" s="245">
        <f>$H$238*月別販売比率!W21</f>
        <v>2.437335050510113</v>
      </c>
      <c r="BN238" s="241"/>
      <c r="BO238" s="81">
        <f>$H$238*月別販売比率!AB21</f>
        <v>3.84</v>
      </c>
      <c r="BP238" s="21"/>
      <c r="BQ238" s="81">
        <f>$H$238*月別販売比率!AG21</f>
        <v>3.2</v>
      </c>
      <c r="BR238" s="21"/>
      <c r="BS238" s="81">
        <f>$H$238*月別販売比率!AL21</f>
        <v>2.88</v>
      </c>
      <c r="BT238" s="21"/>
      <c r="BU238" s="81">
        <f>$H$238*月別販売比率!AQ21</f>
        <v>3.2</v>
      </c>
      <c r="BV238" s="21"/>
      <c r="BW238" s="81">
        <f>$H$238*月別販売比率!AV21</f>
        <v>1.9486200159845326</v>
      </c>
      <c r="BX238" s="21"/>
      <c r="BY238" s="81">
        <f>$H$238*月別販売比率!BA21</f>
        <v>1.779939862561513</v>
      </c>
      <c r="BZ238" s="21"/>
      <c r="CA238" s="81">
        <f>$H$238*月別販売比率!BF21</f>
        <v>2.56</v>
      </c>
      <c r="CB238" s="21"/>
      <c r="CC238" s="81">
        <f>H238*月別販売比率!$C$21</f>
        <v>2.2676560357068865</v>
      </c>
      <c r="CD238" s="21"/>
      <c r="CE238" s="81">
        <f>H238*月別販売比率!$H$21</f>
        <v>2.2400000000000002</v>
      </c>
      <c r="CF238" s="21"/>
      <c r="CG238" s="81">
        <f>H238*月別販売比率!$M$21</f>
        <v>3.2340380519569281</v>
      </c>
      <c r="CH238" s="21"/>
      <c r="CI238" s="81">
        <f>H238*月別販売比率!$R$21</f>
        <v>2.56</v>
      </c>
      <c r="CJ238" s="21"/>
      <c r="CK238" s="81">
        <f>H238*月別販売比率!$W$21</f>
        <v>2.437335050510113</v>
      </c>
      <c r="CL238" s="21"/>
      <c r="CM238" s="81">
        <f>H238*月別販売比率!$AB$21</f>
        <v>3.84</v>
      </c>
      <c r="CN238" s="21"/>
      <c r="CO238" s="81">
        <f>H238*月別販売比率!$AG$21</f>
        <v>3.2</v>
      </c>
      <c r="CP238" s="21"/>
      <c r="CQ238" s="81">
        <f>H238*月別販売比率!$AL$21</f>
        <v>2.88</v>
      </c>
      <c r="CR238" s="21"/>
      <c r="CS238" s="81">
        <f>H238*月別販売比率!$AQ$21</f>
        <v>3.2</v>
      </c>
      <c r="CT238" s="21"/>
      <c r="CU238" s="81">
        <f>H238*月別販売比率!$AV$21</f>
        <v>1.9486200159845326</v>
      </c>
      <c r="CV238" s="21"/>
      <c r="CW238" s="81">
        <f>H238*月別販売比率!$BA$21</f>
        <v>1.779939862561513</v>
      </c>
      <c r="CX238" s="21"/>
      <c r="CY238" s="81">
        <f>H238*月別販売比率!$BF$21</f>
        <v>2.56</v>
      </c>
      <c r="CZ238" s="21"/>
      <c r="DA238" s="28"/>
      <c r="DB238" s="294"/>
    </row>
    <row r="239" spans="2:106" ht="30.75" customHeight="1">
      <c r="C239" s="480"/>
      <c r="D239" s="443">
        <v>2</v>
      </c>
      <c r="E239" s="99" t="s">
        <v>46</v>
      </c>
      <c r="F239" s="56">
        <v>127</v>
      </c>
      <c r="G239" s="46">
        <f t="shared" si="400"/>
        <v>810260</v>
      </c>
      <c r="H239" s="7">
        <f t="shared" si="411"/>
        <v>127</v>
      </c>
      <c r="I239" s="46">
        <f t="shared" si="400"/>
        <v>810260</v>
      </c>
      <c r="J239" s="49">
        <v>65</v>
      </c>
      <c r="K239" s="39">
        <f t="shared" si="401"/>
        <v>26</v>
      </c>
      <c r="L239" s="21">
        <v>14</v>
      </c>
      <c r="M239" s="21">
        <v>12</v>
      </c>
      <c r="N239" s="42"/>
      <c r="O239" s="19"/>
      <c r="P239" s="19"/>
      <c r="Q239" s="328"/>
      <c r="R239" s="328"/>
      <c r="S239" s="328"/>
      <c r="T239" s="328"/>
      <c r="U239" s="328"/>
      <c r="V239" s="328"/>
      <c r="W239" s="328"/>
      <c r="X239" s="331">
        <v>45863</v>
      </c>
      <c r="Y239" s="124"/>
      <c r="Z239" s="124"/>
      <c r="AA239" s="328"/>
      <c r="AB239" s="328"/>
      <c r="AC239" s="328"/>
      <c r="AD239" s="328"/>
      <c r="AE239" s="328"/>
      <c r="AF239" s="328"/>
      <c r="AG239" s="124"/>
      <c r="AH239" s="124"/>
      <c r="AI239" s="129">
        <f t="shared" si="402"/>
        <v>80.84</v>
      </c>
      <c r="AJ239" s="129">
        <f t="shared" si="403"/>
        <v>71.166826518287991</v>
      </c>
      <c r="AK239" s="129">
        <f t="shared" si="404"/>
        <v>55.926826518287989</v>
      </c>
      <c r="AL239" s="399">
        <f t="shared" si="405"/>
        <v>43.226826518287986</v>
      </c>
      <c r="AM239" s="393">
        <f t="shared" si="406"/>
        <v>31.796826518287986</v>
      </c>
      <c r="AN239" s="393">
        <f t="shared" si="407"/>
        <v>19.096826518287983</v>
      </c>
      <c r="AO239" s="393">
        <f t="shared" si="408"/>
        <v>11.363240829849371</v>
      </c>
      <c r="AP239" s="96">
        <f t="shared" si="409"/>
        <v>4.2991045003083661</v>
      </c>
      <c r="AQ239" s="91">
        <f t="shared" si="410"/>
        <v>-5.860895499691634</v>
      </c>
      <c r="AR239" s="198"/>
      <c r="AS239" s="81">
        <f>$H$239*月別販売比率!AG5</f>
        <v>12.700000000000001</v>
      </c>
      <c r="AT239" s="39"/>
      <c r="AU239" s="81">
        <f>$H$239*月別販売比率!AL5</f>
        <v>11.43</v>
      </c>
      <c r="AV239" s="39"/>
      <c r="AW239" s="81">
        <f>$H$239*月別販売比率!AQ5</f>
        <v>12.700000000000001</v>
      </c>
      <c r="AX239" s="39"/>
      <c r="AY239" s="81">
        <f>$H$239*月別販売比率!AV5</f>
        <v>7.7335856884386134</v>
      </c>
      <c r="AZ239" s="39"/>
      <c r="BA239" s="81">
        <f>$H$239*月別販売比率!BA5</f>
        <v>7.0641363295410047</v>
      </c>
      <c r="BB239" s="39"/>
      <c r="BC239" s="81">
        <f>$H$239*月別販売比率!BF5</f>
        <v>10.16</v>
      </c>
      <c r="BD239" s="39"/>
      <c r="BE239" s="81">
        <f>$H$239*月別販売比率!C21</f>
        <v>8.9997598917117063</v>
      </c>
      <c r="BF239" s="39"/>
      <c r="BG239" s="245">
        <f>$H$239*月別販売比率!H21</f>
        <v>8.89</v>
      </c>
      <c r="BH239" s="280">
        <v>75</v>
      </c>
      <c r="BI239" s="81">
        <f>$H$239*月別販売比率!M21</f>
        <v>12.835088518704058</v>
      </c>
      <c r="BJ239" s="39"/>
      <c r="BK239" s="245">
        <f>$H$239*月別販売比率!R21</f>
        <v>10.16</v>
      </c>
      <c r="BL239" s="280">
        <v>70</v>
      </c>
      <c r="BM239" s="245">
        <f>$H$239*月別販売比率!W21</f>
        <v>9.673173481712011</v>
      </c>
      <c r="BN239" s="280"/>
      <c r="BO239" s="81">
        <f>$H$239*月別販売比率!AB21</f>
        <v>15.24</v>
      </c>
      <c r="BP239" s="39"/>
      <c r="BQ239" s="81">
        <f>$H$239*月別販売比率!AG21</f>
        <v>12.700000000000001</v>
      </c>
      <c r="BR239" s="39"/>
      <c r="BS239" s="81">
        <f>$H$239*月別販売比率!AL21</f>
        <v>11.43</v>
      </c>
      <c r="BT239" s="39"/>
      <c r="BU239" s="81">
        <f>$H$239*月別販売比率!AQ21</f>
        <v>12.700000000000001</v>
      </c>
      <c r="BV239" s="39"/>
      <c r="BW239" s="81">
        <f>$H$239*月別販売比率!AV21</f>
        <v>7.7335856884386134</v>
      </c>
      <c r="BX239" s="39"/>
      <c r="BY239" s="81">
        <f>$H$239*月別販売比率!BA21</f>
        <v>7.0641363295410047</v>
      </c>
      <c r="BZ239" s="39"/>
      <c r="CA239" s="81">
        <f>$H$239*月別販売比率!BF21</f>
        <v>10.16</v>
      </c>
      <c r="CB239" s="39"/>
      <c r="CC239" s="81">
        <f>H239*月別販売比率!$C$21</f>
        <v>8.9997598917117063</v>
      </c>
      <c r="CD239" s="39"/>
      <c r="CE239" s="81">
        <f>H239*月別販売比率!$H$21</f>
        <v>8.89</v>
      </c>
      <c r="CF239" s="39"/>
      <c r="CG239" s="81">
        <f>H239*月別販売比率!$M$21</f>
        <v>12.835088518704058</v>
      </c>
      <c r="CH239" s="39"/>
      <c r="CI239" s="81">
        <f>H239*月別販売比率!$R$21</f>
        <v>10.16</v>
      </c>
      <c r="CJ239" s="39"/>
      <c r="CK239" s="81">
        <f>H239*月別販売比率!$W$21</f>
        <v>9.673173481712011</v>
      </c>
      <c r="CL239" s="39"/>
      <c r="CM239" s="81">
        <f>H239*月別販売比率!$AB$21</f>
        <v>15.24</v>
      </c>
      <c r="CN239" s="39"/>
      <c r="CO239" s="81">
        <f>H239*月別販売比率!$AG$21</f>
        <v>12.700000000000001</v>
      </c>
      <c r="CP239" s="39"/>
      <c r="CQ239" s="81">
        <f>H239*月別販売比率!$AL$21</f>
        <v>11.43</v>
      </c>
      <c r="CR239" s="39"/>
      <c r="CS239" s="81">
        <f>H239*月別販売比率!$AQ$21</f>
        <v>12.700000000000001</v>
      </c>
      <c r="CT239" s="39"/>
      <c r="CU239" s="81">
        <f>H239*月別販売比率!$AV$21</f>
        <v>7.7335856884386134</v>
      </c>
      <c r="CV239" s="39"/>
      <c r="CW239" s="81">
        <f>H239*月別販売比率!$BA$21</f>
        <v>7.0641363295410047</v>
      </c>
      <c r="CX239" s="39"/>
      <c r="CY239" s="81">
        <f>H239*月別販売比率!$BF$21</f>
        <v>10.16</v>
      </c>
      <c r="CZ239" s="39"/>
      <c r="DA239" s="28"/>
      <c r="DB239" s="294"/>
    </row>
    <row r="240" spans="2:106" ht="30.75" customHeight="1">
      <c r="C240" s="480"/>
      <c r="D240" s="441"/>
      <c r="E240" s="94" t="s">
        <v>47</v>
      </c>
      <c r="F240" s="57">
        <v>109</v>
      </c>
      <c r="G240" s="5">
        <f t="shared" si="400"/>
        <v>695420</v>
      </c>
      <c r="H240" s="7">
        <f t="shared" si="411"/>
        <v>109</v>
      </c>
      <c r="I240" s="5">
        <f t="shared" si="400"/>
        <v>695420</v>
      </c>
      <c r="J240" s="9">
        <v>50</v>
      </c>
      <c r="K240" s="21">
        <f t="shared" si="401"/>
        <v>21</v>
      </c>
      <c r="L240" s="21">
        <v>9</v>
      </c>
      <c r="M240" s="21">
        <v>12</v>
      </c>
      <c r="N240" s="42"/>
      <c r="O240" s="19"/>
      <c r="P240" s="19"/>
      <c r="Q240" s="328"/>
      <c r="R240" s="328"/>
      <c r="S240" s="124"/>
      <c r="T240" s="124"/>
      <c r="U240" s="124"/>
      <c r="V240" s="124"/>
      <c r="W240" s="124"/>
      <c r="X240" s="124"/>
      <c r="Y240" s="124"/>
      <c r="Z240" s="124"/>
      <c r="AA240" s="328"/>
      <c r="AB240" s="328"/>
      <c r="AC240" s="328"/>
      <c r="AD240" s="328"/>
      <c r="AE240" s="328"/>
      <c r="AF240" s="328"/>
      <c r="AG240" s="124"/>
      <c r="AH240" s="124"/>
      <c r="AI240" s="129">
        <f t="shared" si="402"/>
        <v>62.28</v>
      </c>
      <c r="AJ240" s="129">
        <f t="shared" si="403"/>
        <v>53.977827484199928</v>
      </c>
      <c r="AK240" s="129">
        <f t="shared" si="404"/>
        <v>40.897827484199929</v>
      </c>
      <c r="AL240" s="399">
        <f t="shared" si="405"/>
        <v>29.997827484199931</v>
      </c>
      <c r="AM240" s="393">
        <f t="shared" si="406"/>
        <v>20.187827484199929</v>
      </c>
      <c r="AN240" s="393">
        <f t="shared" si="407"/>
        <v>9.2878274841999282</v>
      </c>
      <c r="AO240" s="393">
        <f t="shared" si="408"/>
        <v>2.6503405547526144</v>
      </c>
      <c r="AP240" s="96">
        <f t="shared" si="409"/>
        <v>-3.412579602097539</v>
      </c>
      <c r="AQ240" s="91">
        <f t="shared" si="410"/>
        <v>-12.13257960209754</v>
      </c>
      <c r="AR240" s="198"/>
      <c r="AS240" s="81">
        <f>$H$240*月別販売比率!AG5</f>
        <v>10.9</v>
      </c>
      <c r="AT240" s="21"/>
      <c r="AU240" s="81">
        <f>$H$240*月別販売比率!AL5</f>
        <v>9.81</v>
      </c>
      <c r="AV240" s="21"/>
      <c r="AW240" s="81">
        <f>$H$240*月別販売比率!AQ5</f>
        <v>10.9</v>
      </c>
      <c r="AX240" s="21"/>
      <c r="AY240" s="81">
        <f>$H$240*月別販売比率!AV5</f>
        <v>6.6374869294473138</v>
      </c>
      <c r="AZ240" s="21"/>
      <c r="BA240" s="81">
        <f>$H$240*月別販売比率!BA5</f>
        <v>6.0629201568501534</v>
      </c>
      <c r="BB240" s="21"/>
      <c r="BC240" s="81">
        <f>$H$240*月別販売比率!BF5</f>
        <v>8.7200000000000006</v>
      </c>
      <c r="BD240" s="21"/>
      <c r="BE240" s="81">
        <f>$H$240*月別販売比率!C21</f>
        <v>7.7242033716265821</v>
      </c>
      <c r="BF240" s="21"/>
      <c r="BG240" s="245">
        <f>$H$240*月別販売比率!H21</f>
        <v>7.6300000000000008</v>
      </c>
      <c r="BH240" s="241">
        <v>65</v>
      </c>
      <c r="BI240" s="81">
        <f>$H$240*月別販売比率!M21</f>
        <v>11.015942114478285</v>
      </c>
      <c r="BJ240" s="21"/>
      <c r="BK240" s="245">
        <f>$H$240*月別販売比率!R21</f>
        <v>8.7200000000000006</v>
      </c>
      <c r="BL240" s="241">
        <v>24</v>
      </c>
      <c r="BM240" s="245">
        <f>$H$240*月別販売比率!W21</f>
        <v>8.3021725158000717</v>
      </c>
      <c r="BN240" s="241">
        <v>36</v>
      </c>
      <c r="BO240" s="81">
        <f>$H$240*月別販売比率!AB21</f>
        <v>13.08</v>
      </c>
      <c r="BP240" s="21"/>
      <c r="BQ240" s="81">
        <f>$H$240*月別販売比率!AG21</f>
        <v>10.9</v>
      </c>
      <c r="BR240" s="21"/>
      <c r="BS240" s="81">
        <f>$H$240*月別販売比率!AL21</f>
        <v>9.81</v>
      </c>
      <c r="BT240" s="21"/>
      <c r="BU240" s="81">
        <f>$H$240*月別販売比率!AQ21</f>
        <v>10.9</v>
      </c>
      <c r="BV240" s="21"/>
      <c r="BW240" s="81">
        <f>$H$240*月別販売比率!AV21</f>
        <v>6.6374869294473138</v>
      </c>
      <c r="BX240" s="21"/>
      <c r="BY240" s="81">
        <f>$H$240*月別販売比率!BA21</f>
        <v>6.0629201568501534</v>
      </c>
      <c r="BZ240" s="21"/>
      <c r="CA240" s="81">
        <f>$H$240*月別販売比率!BF21</f>
        <v>8.7200000000000006</v>
      </c>
      <c r="CB240" s="21"/>
      <c r="CC240" s="81">
        <f>H240*月別販売比率!$C$21</f>
        <v>7.7242033716265821</v>
      </c>
      <c r="CD240" s="21"/>
      <c r="CE240" s="81">
        <f>H240*月別販売比率!$H$21</f>
        <v>7.6300000000000008</v>
      </c>
      <c r="CF240" s="21"/>
      <c r="CG240" s="81">
        <f>H240*月別販売比率!$M$21</f>
        <v>11.015942114478285</v>
      </c>
      <c r="CH240" s="21"/>
      <c r="CI240" s="81">
        <f>H240*月別販売比率!$R$21</f>
        <v>8.7200000000000006</v>
      </c>
      <c r="CJ240" s="21"/>
      <c r="CK240" s="81">
        <f>H240*月別販売比率!$W$21</f>
        <v>8.3021725158000717</v>
      </c>
      <c r="CL240" s="21"/>
      <c r="CM240" s="81">
        <f>H240*月別販売比率!$AB$21</f>
        <v>13.08</v>
      </c>
      <c r="CN240" s="21"/>
      <c r="CO240" s="81">
        <f>H240*月別販売比率!$AG$21</f>
        <v>10.9</v>
      </c>
      <c r="CP240" s="21"/>
      <c r="CQ240" s="81">
        <f>H240*月別販売比率!$AL$21</f>
        <v>9.81</v>
      </c>
      <c r="CR240" s="21"/>
      <c r="CS240" s="81">
        <f>H240*月別販売比率!$AQ$21</f>
        <v>10.9</v>
      </c>
      <c r="CT240" s="21"/>
      <c r="CU240" s="81">
        <f>H240*月別販売比率!$AV$21</f>
        <v>6.6374869294473138</v>
      </c>
      <c r="CV240" s="21"/>
      <c r="CW240" s="81">
        <f>H240*月別販売比率!$BA$21</f>
        <v>6.0629201568501534</v>
      </c>
      <c r="CX240" s="21"/>
      <c r="CY240" s="81">
        <f>H240*月別販売比率!$BF$21</f>
        <v>8.7200000000000006</v>
      </c>
      <c r="CZ240" s="21"/>
      <c r="DA240" s="28"/>
      <c r="DB240" s="294"/>
    </row>
    <row r="241" spans="2:106" ht="30.75" customHeight="1">
      <c r="C241" s="480"/>
      <c r="D241" s="441"/>
      <c r="E241" s="99" t="s">
        <v>48</v>
      </c>
      <c r="F241" s="56">
        <v>83</v>
      </c>
      <c r="G241" s="46">
        <f t="shared" si="400"/>
        <v>529540</v>
      </c>
      <c r="H241" s="45">
        <f t="shared" si="411"/>
        <v>83</v>
      </c>
      <c r="I241" s="46">
        <f t="shared" si="400"/>
        <v>529540</v>
      </c>
      <c r="J241" s="9">
        <v>33</v>
      </c>
      <c r="K241" s="21">
        <f t="shared" si="401"/>
        <v>27</v>
      </c>
      <c r="L241" s="21">
        <v>15</v>
      </c>
      <c r="M241" s="21">
        <v>12</v>
      </c>
      <c r="N241" s="42"/>
      <c r="O241" s="19"/>
      <c r="P241" s="19"/>
      <c r="Q241" s="124"/>
      <c r="R241" s="124"/>
      <c r="S241" s="124"/>
      <c r="T241" s="124"/>
      <c r="U241" s="124"/>
      <c r="V241" s="124"/>
      <c r="W241" s="124"/>
      <c r="X241" s="124"/>
      <c r="Y241" s="124"/>
      <c r="Z241" s="124"/>
      <c r="AA241" s="328"/>
      <c r="AB241" s="328"/>
      <c r="AC241" s="328"/>
      <c r="AD241" s="328"/>
      <c r="AE241" s="328"/>
      <c r="AF241" s="328"/>
      <c r="AG241" s="124"/>
      <c r="AH241" s="124"/>
      <c r="AI241" s="129">
        <f t="shared" si="402"/>
        <v>53.36</v>
      </c>
      <c r="AJ241" s="129">
        <f t="shared" si="403"/>
        <v>47.038162212739394</v>
      </c>
      <c r="AK241" s="129">
        <f t="shared" si="404"/>
        <v>37.078162212739393</v>
      </c>
      <c r="AL241" s="399">
        <f t="shared" si="405"/>
        <v>28.778162212739392</v>
      </c>
      <c r="AM241" s="393">
        <f t="shared" si="406"/>
        <v>21.308162212739393</v>
      </c>
      <c r="AN241" s="393">
        <f t="shared" si="407"/>
        <v>13.008162212739393</v>
      </c>
      <c r="AO241" s="393">
        <f t="shared" si="408"/>
        <v>7.9539290462795114</v>
      </c>
      <c r="AP241" s="96">
        <f t="shared" si="409"/>
        <v>3.3372100277605865</v>
      </c>
      <c r="AQ241" s="91">
        <f t="shared" si="410"/>
        <v>-3.3027899722394141</v>
      </c>
      <c r="AR241" s="198"/>
      <c r="AS241" s="81">
        <f>$H$241*月別販売比率!AG5</f>
        <v>8.3000000000000007</v>
      </c>
      <c r="AT241" s="39"/>
      <c r="AU241" s="81">
        <f>$H$241*月別販売比率!AL5</f>
        <v>7.47</v>
      </c>
      <c r="AV241" s="39"/>
      <c r="AW241" s="81">
        <f>$H$241*月別販売比率!AQ5</f>
        <v>8.3000000000000007</v>
      </c>
      <c r="AX241" s="39"/>
      <c r="AY241" s="81">
        <f>$H$241*月別販売比率!AV5</f>
        <v>5.0542331664598814</v>
      </c>
      <c r="AZ241" s="39"/>
      <c r="BA241" s="81">
        <f>$H$241*月別販売比率!BA5</f>
        <v>4.6167190185189249</v>
      </c>
      <c r="BB241" s="39"/>
      <c r="BC241" s="81">
        <f>$H$241*月別販売比率!BF5</f>
        <v>6.6400000000000006</v>
      </c>
      <c r="BD241" s="39"/>
      <c r="BE241" s="81">
        <f>$H$241*月別販売比率!C21</f>
        <v>5.8817328426147366</v>
      </c>
      <c r="BF241" s="39"/>
      <c r="BG241" s="245">
        <f>$H$241*月別販売比率!H21</f>
        <v>5.8100000000000005</v>
      </c>
      <c r="BH241" s="280">
        <v>50</v>
      </c>
      <c r="BI241" s="81">
        <f>$H$241*月別販売比率!M21</f>
        <v>8.3882861972632821</v>
      </c>
      <c r="BJ241" s="39"/>
      <c r="BK241" s="245">
        <f>$H$241*月別販売比率!R21</f>
        <v>6.6400000000000006</v>
      </c>
      <c r="BL241" s="280">
        <v>45</v>
      </c>
      <c r="BM241" s="245">
        <f>$H$241*月別販売比率!W21</f>
        <v>6.3218377872606055</v>
      </c>
      <c r="BN241" s="280"/>
      <c r="BO241" s="81">
        <f>$H$241*月別販売比率!AB21</f>
        <v>9.9599999999999991</v>
      </c>
      <c r="BP241" s="39"/>
      <c r="BQ241" s="81">
        <f>$H$241*月別販売比率!AG21</f>
        <v>8.3000000000000007</v>
      </c>
      <c r="BR241" s="39"/>
      <c r="BS241" s="81">
        <f>$H$241*月別販売比率!AL21</f>
        <v>7.47</v>
      </c>
      <c r="BT241" s="39"/>
      <c r="BU241" s="81">
        <f>$H$241*月別販売比率!AQ21</f>
        <v>8.3000000000000007</v>
      </c>
      <c r="BV241" s="39"/>
      <c r="BW241" s="81">
        <f>$H$241*月別販売比率!AV21</f>
        <v>5.0542331664598814</v>
      </c>
      <c r="BX241" s="39"/>
      <c r="BY241" s="81">
        <f>$H$241*月別販売比率!BA21</f>
        <v>4.6167190185189249</v>
      </c>
      <c r="BZ241" s="39"/>
      <c r="CA241" s="81">
        <f>$H$241*月別販売比率!BF21</f>
        <v>6.6400000000000006</v>
      </c>
      <c r="CB241" s="39"/>
      <c r="CC241" s="81">
        <f>H241*月別販売比率!$C$21</f>
        <v>5.8817328426147366</v>
      </c>
      <c r="CD241" s="39"/>
      <c r="CE241" s="81">
        <f>H241*月別販売比率!$H$21</f>
        <v>5.8100000000000005</v>
      </c>
      <c r="CF241" s="39"/>
      <c r="CG241" s="81">
        <f>H241*月別販売比率!$M$21</f>
        <v>8.3882861972632821</v>
      </c>
      <c r="CH241" s="39"/>
      <c r="CI241" s="81">
        <f>H241*月別販売比率!$R$21</f>
        <v>6.6400000000000006</v>
      </c>
      <c r="CJ241" s="39"/>
      <c r="CK241" s="81">
        <f>H241*月別販売比率!$W$21</f>
        <v>6.3218377872606055</v>
      </c>
      <c r="CL241" s="39"/>
      <c r="CM241" s="81">
        <f>H241*月別販売比率!$AB$21</f>
        <v>9.9599999999999991</v>
      </c>
      <c r="CN241" s="39"/>
      <c r="CO241" s="81">
        <f>H241*月別販売比率!$AG$21</f>
        <v>8.3000000000000007</v>
      </c>
      <c r="CP241" s="39"/>
      <c r="CQ241" s="81">
        <f>H241*月別販売比率!$AL$21</f>
        <v>7.47</v>
      </c>
      <c r="CR241" s="39"/>
      <c r="CS241" s="81">
        <f>H241*月別販売比率!$AQ$21</f>
        <v>8.3000000000000007</v>
      </c>
      <c r="CT241" s="39"/>
      <c r="CU241" s="81">
        <f>H241*月別販売比率!$AV$21</f>
        <v>5.0542331664598814</v>
      </c>
      <c r="CV241" s="39"/>
      <c r="CW241" s="81">
        <f>H241*月別販売比率!$BA$21</f>
        <v>4.6167190185189249</v>
      </c>
      <c r="CX241" s="39"/>
      <c r="CY241" s="81">
        <f>H241*月別販売比率!$BF$21</f>
        <v>6.6400000000000006</v>
      </c>
      <c r="CZ241" s="39"/>
      <c r="DA241" s="28"/>
      <c r="DB241" s="294"/>
    </row>
    <row r="242" spans="2:106" ht="30.75" customHeight="1">
      <c r="C242" s="481"/>
      <c r="D242" s="444"/>
      <c r="E242" s="101" t="s">
        <v>49</v>
      </c>
      <c r="F242" s="58">
        <v>26</v>
      </c>
      <c r="G242" s="35">
        <f t="shared" si="400"/>
        <v>165880</v>
      </c>
      <c r="H242" s="181">
        <f t="shared" si="411"/>
        <v>26</v>
      </c>
      <c r="I242" s="35">
        <f t="shared" si="400"/>
        <v>165880</v>
      </c>
      <c r="J242" s="113">
        <v>2</v>
      </c>
      <c r="K242" s="103">
        <f t="shared" si="401"/>
        <v>31</v>
      </c>
      <c r="L242" s="104">
        <v>16</v>
      </c>
      <c r="M242" s="104">
        <v>15</v>
      </c>
      <c r="N242" s="117"/>
      <c r="O242" s="123"/>
      <c r="P242" s="123"/>
      <c r="Q242" s="329"/>
      <c r="R242" s="329"/>
      <c r="S242" s="329"/>
      <c r="T242" s="329"/>
      <c r="U242" s="329"/>
      <c r="V242" s="291"/>
      <c r="W242" s="291"/>
      <c r="X242" s="334">
        <v>45863</v>
      </c>
      <c r="Y242" s="238"/>
      <c r="Z242" s="238"/>
      <c r="AA242" s="329"/>
      <c r="AB242" s="329"/>
      <c r="AC242" s="329"/>
      <c r="AD242" s="329"/>
      <c r="AE242" s="329"/>
      <c r="AF242" s="329"/>
      <c r="AG242" s="238"/>
      <c r="AH242" s="238"/>
      <c r="AI242" s="238">
        <f t="shared" si="402"/>
        <v>30.92</v>
      </c>
      <c r="AJ242" s="238">
        <f t="shared" si="403"/>
        <v>28.939665271460534</v>
      </c>
      <c r="AK242" s="238">
        <f t="shared" si="404"/>
        <v>25.819665271460533</v>
      </c>
      <c r="AL242" s="401">
        <f t="shared" si="405"/>
        <v>23.219665271460531</v>
      </c>
      <c r="AM242" s="395">
        <f t="shared" si="406"/>
        <v>20.879665271460532</v>
      </c>
      <c r="AN242" s="395">
        <f t="shared" si="407"/>
        <v>18.27966527146053</v>
      </c>
      <c r="AO242" s="395">
        <f t="shared" si="408"/>
        <v>16.696411508473098</v>
      </c>
      <c r="AP242" s="403">
        <f t="shared" si="409"/>
        <v>15.250210370141868</v>
      </c>
      <c r="AQ242" s="90">
        <f t="shared" si="410"/>
        <v>13.170210370141868</v>
      </c>
      <c r="AR242" s="238"/>
      <c r="AS242" s="282">
        <f>$H$242*月別販売比率!AG5</f>
        <v>2.6</v>
      </c>
      <c r="AT242" s="104"/>
      <c r="AU242" s="282">
        <f>$H$242*月別販売比率!AL5</f>
        <v>2.34</v>
      </c>
      <c r="AV242" s="104"/>
      <c r="AW242" s="282">
        <f>$H$242*月別販売比率!AQ5</f>
        <v>2.6</v>
      </c>
      <c r="AX242" s="104"/>
      <c r="AY242" s="282">
        <f>$H$242*月別販売比率!AV5</f>
        <v>1.5832537629874328</v>
      </c>
      <c r="AZ242" s="104"/>
      <c r="BA242" s="282">
        <f>$H$242*月別販売比率!BA5</f>
        <v>1.4462011383312294</v>
      </c>
      <c r="BB242" s="104"/>
      <c r="BC242" s="282">
        <f>$H$242*月別販売比率!BF5</f>
        <v>2.08</v>
      </c>
      <c r="BD242" s="104"/>
      <c r="BE242" s="282">
        <f>$H$242*月別販売比率!C21</f>
        <v>1.8424705290118453</v>
      </c>
      <c r="BF242" s="104"/>
      <c r="BG242" s="301">
        <f>$H$242*月別販売比率!H21</f>
        <v>1.8200000000000003</v>
      </c>
      <c r="BH242" s="339">
        <v>10</v>
      </c>
      <c r="BI242" s="282">
        <f>$H$242*月別販売比率!M21</f>
        <v>2.6276559172150042</v>
      </c>
      <c r="BJ242" s="104"/>
      <c r="BK242" s="301">
        <f>$H$242*月別販売比率!R21</f>
        <v>2.08</v>
      </c>
      <c r="BL242" s="339">
        <v>25</v>
      </c>
      <c r="BM242" s="301">
        <f>$H$242*月別販売比率!W21</f>
        <v>1.9803347285394668</v>
      </c>
      <c r="BN242" s="339"/>
      <c r="BO242" s="282">
        <f>$H$242*月別販売比率!AB21</f>
        <v>3.12</v>
      </c>
      <c r="BP242" s="104"/>
      <c r="BQ242" s="282">
        <f>$H$242*月別販売比率!AG21</f>
        <v>2.6</v>
      </c>
      <c r="BR242" s="104"/>
      <c r="BS242" s="282">
        <f>$H$242*月別販売比率!AL21</f>
        <v>2.34</v>
      </c>
      <c r="BT242" s="103"/>
      <c r="BU242" s="282">
        <f>$H$242*月別販売比率!AQ21</f>
        <v>2.6</v>
      </c>
      <c r="BV242" s="103"/>
      <c r="BW242" s="282">
        <f>$H$242*月別販売比率!AV21</f>
        <v>1.5832537629874328</v>
      </c>
      <c r="BX242" s="103"/>
      <c r="BY242" s="282">
        <f>$H$242*月別販売比率!BA21</f>
        <v>1.4462011383312294</v>
      </c>
      <c r="BZ242" s="103"/>
      <c r="CA242" s="282">
        <f>$H$242*月別販売比率!BF21</f>
        <v>2.08</v>
      </c>
      <c r="CB242" s="117"/>
      <c r="CC242" s="282">
        <f>H242*月別販売比率!$C$21</f>
        <v>1.8424705290118453</v>
      </c>
      <c r="CD242" s="117"/>
      <c r="CE242" s="282">
        <f>H242*月別販売比率!$H$21</f>
        <v>1.8200000000000003</v>
      </c>
      <c r="CF242" s="117"/>
      <c r="CG242" s="282">
        <f>H242*月別販売比率!$M$21</f>
        <v>2.6276559172150042</v>
      </c>
      <c r="CH242" s="117"/>
      <c r="CI242" s="282">
        <f>H242*月別販売比率!$R$21</f>
        <v>2.08</v>
      </c>
      <c r="CJ242" s="117"/>
      <c r="CK242" s="282">
        <f>H242*月別販売比率!$W$21</f>
        <v>1.9803347285394668</v>
      </c>
      <c r="CL242" s="117"/>
      <c r="CM242" s="282">
        <f>H242*月別販売比率!$AB$21</f>
        <v>3.12</v>
      </c>
      <c r="CN242" s="117"/>
      <c r="CO242" s="282">
        <f>H242*月別販売比率!$AG$21</f>
        <v>2.6</v>
      </c>
      <c r="CP242" s="117"/>
      <c r="CQ242" s="282">
        <f>H242*月別販売比率!$AL$21</f>
        <v>2.34</v>
      </c>
      <c r="CR242" s="117"/>
      <c r="CS242" s="282">
        <f>H242*月別販売比率!$AQ$21</f>
        <v>2.6</v>
      </c>
      <c r="CT242" s="117"/>
      <c r="CU242" s="282">
        <f>H242*月別販売比率!$AV$21</f>
        <v>1.5832537629874328</v>
      </c>
      <c r="CV242" s="103"/>
      <c r="CW242" s="282">
        <f>H242*月別販売比率!$BA$21</f>
        <v>1.4462011383312294</v>
      </c>
      <c r="CX242" s="103"/>
      <c r="CY242" s="282">
        <f>H242*月別販売比率!$BF$21</f>
        <v>2.08</v>
      </c>
      <c r="CZ242" s="103"/>
      <c r="DA242" s="303"/>
      <c r="DB242" s="300"/>
    </row>
    <row r="243" spans="2:106" ht="30.75" customHeight="1">
      <c r="B243" s="2">
        <v>18</v>
      </c>
      <c r="C243" s="435" t="s">
        <v>493</v>
      </c>
      <c r="D243" s="436"/>
      <c r="E243" s="437"/>
      <c r="F243" s="130">
        <f>SUM(F244:F251)</f>
        <v>801.00000000000011</v>
      </c>
      <c r="G243" s="131">
        <f>SUM(G244:G251)</f>
        <v>5110380.0000000009</v>
      </c>
      <c r="H243" s="130">
        <v>801</v>
      </c>
      <c r="I243" s="131">
        <f t="shared" ref="I243:N243" si="412">SUM(I244:I251)</f>
        <v>5110380</v>
      </c>
      <c r="J243" s="147">
        <f t="shared" si="412"/>
        <v>621</v>
      </c>
      <c r="K243" s="148">
        <f t="shared" si="412"/>
        <v>207</v>
      </c>
      <c r="L243" s="148">
        <f t="shared" si="412"/>
        <v>121</v>
      </c>
      <c r="M243" s="148">
        <f t="shared" si="412"/>
        <v>86</v>
      </c>
      <c r="N243" s="149">
        <f t="shared" si="412"/>
        <v>0</v>
      </c>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311">
        <f>SUM(AS244:AS251)</f>
        <v>80.100000000000009</v>
      </c>
      <c r="AT243" s="134">
        <f>SUM(AT244:AT251)</f>
        <v>0</v>
      </c>
      <c r="AU243" s="311">
        <f>SUM(AU244:AU251)</f>
        <v>72.089999999999989</v>
      </c>
      <c r="AV243" s="312"/>
      <c r="AW243" s="311">
        <f>SUM(AW244:AW251)</f>
        <v>80.100000000000009</v>
      </c>
      <c r="AX243" s="312"/>
      <c r="AY243" s="311">
        <f>SUM(AY244:AY251)</f>
        <v>48.776394775112827</v>
      </c>
      <c r="AZ243" s="312"/>
      <c r="BA243" s="311">
        <f>SUM(BA244:BA251)</f>
        <v>44.554119684742858</v>
      </c>
      <c r="BB243" s="312"/>
      <c r="BC243" s="311">
        <f>SUM(BC244:BC251)</f>
        <v>64.079999999999984</v>
      </c>
      <c r="BD243" s="134"/>
      <c r="BE243" s="311">
        <f>SUM(BE244:BE251)</f>
        <v>56.762265143787992</v>
      </c>
      <c r="BF243" s="134"/>
      <c r="BG243" s="311">
        <f>SUM(BG244:BG251)</f>
        <v>56.07</v>
      </c>
      <c r="BH243" s="134"/>
      <c r="BI243" s="311">
        <f>SUM(BI244:BI251)</f>
        <v>80.952014988046841</v>
      </c>
      <c r="BJ243" s="312"/>
      <c r="BK243" s="311">
        <f>SUM(BK244:BK251)</f>
        <v>64.079999999999984</v>
      </c>
      <c r="BL243" s="312">
        <f>SUM(BL244:BL251)</f>
        <v>500</v>
      </c>
      <c r="BM243" s="311">
        <f>SUM(BM244:BM251)</f>
        <v>61.009542983081261</v>
      </c>
      <c r="BN243" s="134"/>
      <c r="BO243" s="311">
        <f>SUM(BO244:BO251)</f>
        <v>96.11999999999999</v>
      </c>
      <c r="BP243" s="134"/>
      <c r="BQ243" s="311">
        <f>SUM(BQ244:BQ251)</f>
        <v>80.100000000000009</v>
      </c>
      <c r="BR243" s="134"/>
      <c r="BS243" s="311">
        <f>SUM(BS244:BS251)</f>
        <v>72.089999999999989</v>
      </c>
      <c r="BT243" s="312"/>
      <c r="BU243" s="311">
        <f>SUM(BU244:BU251)</f>
        <v>80.100000000000009</v>
      </c>
      <c r="BV243" s="312"/>
      <c r="BW243" s="311">
        <f>SUM(BW244:BW251)</f>
        <v>48.776394775112827</v>
      </c>
      <c r="BX243" s="134"/>
      <c r="BY243" s="311">
        <f>SUM(BY244:BY251)</f>
        <v>44.554119684742858</v>
      </c>
      <c r="BZ243" s="134"/>
      <c r="CA243" s="311">
        <f>SUM(CA244:CA251)</f>
        <v>64.079999999999984</v>
      </c>
      <c r="CB243" s="134"/>
      <c r="CC243" s="311">
        <f>SUM(CC244:CC251)</f>
        <v>56.762265143787992</v>
      </c>
      <c r="CD243" s="134"/>
      <c r="CE243" s="311">
        <f>SUM(CE244:CE251)</f>
        <v>56.07</v>
      </c>
      <c r="CF243" s="134"/>
      <c r="CG243" s="311">
        <f>SUM(CG244:CG251)</f>
        <v>80.952014988046841</v>
      </c>
      <c r="CH243" s="134"/>
      <c r="CI243" s="311">
        <f>SUM(CI244:CI251)</f>
        <v>64.079999999999984</v>
      </c>
      <c r="CJ243" s="134"/>
      <c r="CK243" s="311">
        <f>SUM(CK244:CK251)</f>
        <v>61.009542983081261</v>
      </c>
      <c r="CL243" s="134"/>
      <c r="CM243" s="311">
        <f>SUM(CM244:CM251)</f>
        <v>96.11999999999999</v>
      </c>
      <c r="CN243" s="134"/>
      <c r="CO243" s="311">
        <f>SUM(CO244:CO251)</f>
        <v>80.100000000000009</v>
      </c>
      <c r="CP243" s="134"/>
      <c r="CQ243" s="311">
        <f>SUM(CQ244:CQ251)</f>
        <v>72.089999999999989</v>
      </c>
      <c r="CR243" s="134"/>
      <c r="CS243" s="311">
        <f>SUM(CS244:CS251)</f>
        <v>80.100000000000009</v>
      </c>
      <c r="CT243" s="134"/>
      <c r="CU243" s="311">
        <v>48.776394775112827</v>
      </c>
      <c r="CV243" s="134"/>
      <c r="CW243" s="311">
        <f>SUM(CW244:CW251)</f>
        <v>44.554119684742858</v>
      </c>
      <c r="CX243" s="134"/>
      <c r="CY243" s="311">
        <f>SUM(CY244:CY251)</f>
        <v>64.079999999999984</v>
      </c>
      <c r="CZ243" s="134"/>
      <c r="DA243" s="141"/>
      <c r="DB243" s="293"/>
    </row>
    <row r="244" spans="2:106" ht="30.75" customHeight="1">
      <c r="C244" s="446" t="s">
        <v>483</v>
      </c>
      <c r="D244" s="443">
        <v>1</v>
      </c>
      <c r="E244" s="99" t="s">
        <v>46</v>
      </c>
      <c r="F244" s="56">
        <v>173.05555555555557</v>
      </c>
      <c r="G244" s="46">
        <f t="shared" ref="G244:G251" si="413">F244*6380</f>
        <v>1104094.4444444445</v>
      </c>
      <c r="H244" s="7">
        <f>F244*($H$243/$F$243)</f>
        <v>173.05555555555554</v>
      </c>
      <c r="I244" s="46">
        <f t="shared" ref="I244:I251" si="414">H244*6380</f>
        <v>1104094.4444444443</v>
      </c>
      <c r="J244" s="49">
        <v>118</v>
      </c>
      <c r="K244" s="21">
        <f t="shared" ref="K244:K251" si="415">SUM(L244:N244)</f>
        <v>22</v>
      </c>
      <c r="L244" s="39">
        <v>12</v>
      </c>
      <c r="M244" s="39">
        <v>10</v>
      </c>
      <c r="N244" s="42"/>
      <c r="O244" s="19"/>
      <c r="P244" s="19"/>
      <c r="Q244" s="124"/>
      <c r="R244" s="124"/>
      <c r="S244" s="124"/>
      <c r="T244" s="124"/>
      <c r="U244" s="124"/>
      <c r="V244" s="124"/>
      <c r="W244" s="124"/>
      <c r="X244" s="124"/>
      <c r="Y244" s="124"/>
      <c r="Z244" s="124"/>
      <c r="AA244" s="328"/>
      <c r="AB244" s="328"/>
      <c r="AC244" s="328"/>
      <c r="AD244" s="328"/>
      <c r="AE244" s="328"/>
      <c r="AF244" s="328"/>
      <c r="AG244" s="124"/>
      <c r="AH244" s="124"/>
      <c r="AI244" s="129">
        <f t="shared" ref="AI244:AI251" si="416">SUM(J244:K244)-CI244+CJ244</f>
        <v>126.15555555555555</v>
      </c>
      <c r="AJ244" s="129">
        <f t="shared" ref="AJ244:AJ251" si="417">AI244-CK244+CL244</f>
        <v>112.97448145427256</v>
      </c>
      <c r="AK244" s="129">
        <f t="shared" ref="AK244:AK251" si="418">AJ244-CM244+CN244</f>
        <v>92.207814787605898</v>
      </c>
      <c r="AL244" s="129">
        <f t="shared" ref="AL244:AL251" si="419">AK244-CO244+CP244</f>
        <v>74.902259232050341</v>
      </c>
      <c r="AM244" s="129">
        <f t="shared" ref="AM244:AM251" si="420">AL244-CQ244+CR244</f>
        <v>59.327259232050345</v>
      </c>
      <c r="AN244" s="399">
        <f t="shared" ref="AN244:AN251" si="421">AM244-CS244+CT244</f>
        <v>42.021703676494795</v>
      </c>
      <c r="AO244" s="393">
        <f t="shared" ref="AO244:AO251" si="422">AN244-CU244+CV244</f>
        <v>31.483593694217333</v>
      </c>
      <c r="AP244" s="96">
        <f t="shared" ref="AP244:AP251" si="423">AO244-CW244+CX244</f>
        <v>21.857703638871651</v>
      </c>
      <c r="AQ244" s="91">
        <f t="shared" ref="AQ244:AQ251" si="424">AP244-CY244+CZ244</f>
        <v>8.0132591944272082</v>
      </c>
      <c r="AR244" s="198"/>
      <c r="AS244" s="81">
        <f>$H$244*月別販売比率!AG5</f>
        <v>17.305555555555554</v>
      </c>
      <c r="AT244" s="39"/>
      <c r="AU244" s="81">
        <f>$H$244*月別販売比率!AL5</f>
        <v>15.574999999999998</v>
      </c>
      <c r="AV244" s="39"/>
      <c r="AW244" s="81">
        <f>$H$244*月別販売比率!AQ5</f>
        <v>17.305555555555554</v>
      </c>
      <c r="AX244" s="39"/>
      <c r="AY244" s="81">
        <f>$H$244*月別販売比率!AV5</f>
        <v>10.538109982277463</v>
      </c>
      <c r="AZ244" s="39"/>
      <c r="BA244" s="81">
        <f>$H$244*月別販売比率!BA5</f>
        <v>9.6258900553456819</v>
      </c>
      <c r="BB244" s="39"/>
      <c r="BC244" s="81">
        <f>$H$244*月別販売比率!BF5</f>
        <v>13.844444444444443</v>
      </c>
      <c r="BD244" s="39"/>
      <c r="BE244" s="81">
        <f>$H$244*月別販売比率!C5</f>
        <v>12.263452345880124</v>
      </c>
      <c r="BF244" s="39"/>
      <c r="BG244" s="81">
        <f>$H$244*月別販売比率!H5</f>
        <v>12.113888888888889</v>
      </c>
      <c r="BH244" s="39"/>
      <c r="BI244" s="81">
        <f>$H$244*月別販売比率!M5</f>
        <v>17.4896328677879</v>
      </c>
      <c r="BJ244" s="39"/>
      <c r="BK244" s="245">
        <f>$H$244*月別販売比率!R5</f>
        <v>13.844444444444443</v>
      </c>
      <c r="BL244" s="280">
        <v>150</v>
      </c>
      <c r="BM244" s="81">
        <f>$H$244*月別販売比率!W5</f>
        <v>13.181074101282988</v>
      </c>
      <c r="BN244" s="39"/>
      <c r="BO244" s="81">
        <f>$H$244*月別販売比率!AB5</f>
        <v>20.766666666666666</v>
      </c>
      <c r="BP244" s="39"/>
      <c r="BQ244" s="81">
        <f>$H$244*月別販売比率!AG5</f>
        <v>17.305555555555554</v>
      </c>
      <c r="BR244" s="39"/>
      <c r="BS244" s="81">
        <f>$H$244*月別販売比率!AL5</f>
        <v>15.574999999999998</v>
      </c>
      <c r="BT244" s="39"/>
      <c r="BU244" s="81">
        <f>$H$244*月別販売比率!AQ5</f>
        <v>17.305555555555554</v>
      </c>
      <c r="BV244" s="39"/>
      <c r="BW244" s="81">
        <f>$H$244*月別販売比率!AV5</f>
        <v>10.538109982277463</v>
      </c>
      <c r="BX244" s="39"/>
      <c r="BY244" s="81">
        <f>$H$244*月別販売比率!BA5</f>
        <v>9.6258900553456819</v>
      </c>
      <c r="BZ244" s="39"/>
      <c r="CA244" s="81">
        <f>$H$244*月別販売比率!BF5</f>
        <v>13.844444444444443</v>
      </c>
      <c r="CB244" s="39"/>
      <c r="CC244" s="81">
        <f>H244*月別販売比率!$C$21</f>
        <v>12.263452345880124</v>
      </c>
      <c r="CD244" s="39"/>
      <c r="CE244" s="81">
        <f>H244*月別販売比率!$H$21</f>
        <v>12.113888888888889</v>
      </c>
      <c r="CF244" s="39"/>
      <c r="CG244" s="81">
        <f>H244*月別販売比率!$M$21</f>
        <v>17.4896328677879</v>
      </c>
      <c r="CH244" s="39"/>
      <c r="CI244" s="81">
        <f>H244*月別販売比率!$R$21</f>
        <v>13.844444444444443</v>
      </c>
      <c r="CJ244" s="39"/>
      <c r="CK244" s="81">
        <f>H244*月別販売比率!$W$21</f>
        <v>13.181074101282988</v>
      </c>
      <c r="CL244" s="39"/>
      <c r="CM244" s="81">
        <f>H244*月別販売比率!$AB$21</f>
        <v>20.766666666666666</v>
      </c>
      <c r="CN244" s="39"/>
      <c r="CO244" s="81">
        <f>H244*月別販売比率!$AG$21</f>
        <v>17.305555555555554</v>
      </c>
      <c r="CP244" s="39"/>
      <c r="CQ244" s="81">
        <f>H244*月別販売比率!$AL$21</f>
        <v>15.574999999999998</v>
      </c>
      <c r="CR244" s="39"/>
      <c r="CS244" s="81">
        <f>H244*月別販売比率!$AQ$21</f>
        <v>17.305555555555554</v>
      </c>
      <c r="CT244" s="39"/>
      <c r="CU244" s="81">
        <f>H244*月別販売比率!$AV$21</f>
        <v>10.538109982277463</v>
      </c>
      <c r="CV244" s="39"/>
      <c r="CW244" s="81">
        <f>H244*月別販売比率!$BA$21</f>
        <v>9.6258900553456819</v>
      </c>
      <c r="CX244" s="39"/>
      <c r="CY244" s="81">
        <f>H244*月別販売比率!$BF$21</f>
        <v>13.844444444444443</v>
      </c>
      <c r="CZ244" s="39"/>
      <c r="DA244" s="28"/>
      <c r="DB244" s="294"/>
    </row>
    <row r="245" spans="2:106" ht="30.75" customHeight="1">
      <c r="C245" s="457"/>
      <c r="D245" s="441"/>
      <c r="E245" s="94" t="s">
        <v>47</v>
      </c>
      <c r="F245" s="57">
        <v>205.19444444444446</v>
      </c>
      <c r="G245" s="5">
        <f t="shared" si="413"/>
        <v>1309140.5555555557</v>
      </c>
      <c r="H245" s="7">
        <f t="shared" ref="H245:H251" si="425">F245*($H$243/$F$243)</f>
        <v>205.19444444444443</v>
      </c>
      <c r="I245" s="5">
        <f t="shared" si="414"/>
        <v>1309140.5555555555</v>
      </c>
      <c r="J245" s="9">
        <v>152</v>
      </c>
      <c r="K245" s="21">
        <f t="shared" si="415"/>
        <v>11</v>
      </c>
      <c r="L245" s="21">
        <v>9</v>
      </c>
      <c r="M245" s="21">
        <v>2</v>
      </c>
      <c r="N245" s="42"/>
      <c r="O245" s="19"/>
      <c r="P245" s="19"/>
      <c r="Q245" s="124"/>
      <c r="R245" s="124"/>
      <c r="S245" s="124"/>
      <c r="T245" s="124"/>
      <c r="U245" s="124"/>
      <c r="V245" s="124"/>
      <c r="W245" s="124"/>
      <c r="X245" s="124"/>
      <c r="Y245" s="124"/>
      <c r="Z245" s="124"/>
      <c r="AA245" s="328"/>
      <c r="AB245" s="328"/>
      <c r="AC245" s="328"/>
      <c r="AD245" s="328"/>
      <c r="AE245" s="328"/>
      <c r="AF245" s="328"/>
      <c r="AG245" s="124"/>
      <c r="AH245" s="124"/>
      <c r="AI245" s="129">
        <f t="shared" si="416"/>
        <v>146.58444444444444</v>
      </c>
      <c r="AJ245" s="129">
        <f t="shared" si="417"/>
        <v>130.95545658149462</v>
      </c>
      <c r="AK245" s="129">
        <f t="shared" si="418"/>
        <v>106.33212324816128</v>
      </c>
      <c r="AL245" s="129">
        <f t="shared" si="419"/>
        <v>85.812678803716835</v>
      </c>
      <c r="AM245" s="129">
        <f t="shared" si="420"/>
        <v>67.345178803716834</v>
      </c>
      <c r="AN245" s="399">
        <f t="shared" si="421"/>
        <v>46.825734359272388</v>
      </c>
      <c r="AO245" s="393">
        <f t="shared" si="422"/>
        <v>34.330546808857683</v>
      </c>
      <c r="AP245" s="96">
        <f t="shared" si="423"/>
        <v>22.916991457519231</v>
      </c>
      <c r="AQ245" s="91">
        <f t="shared" si="424"/>
        <v>6.5014359019636778</v>
      </c>
      <c r="AR245" s="198"/>
      <c r="AS245" s="81">
        <f>$H$245*月別販売比率!AG5</f>
        <v>20.519444444444446</v>
      </c>
      <c r="AT245" s="21"/>
      <c r="AU245" s="81">
        <f>$H$245*月別販売比率!AL5</f>
        <v>18.467499999999998</v>
      </c>
      <c r="AV245" s="21"/>
      <c r="AW245" s="81">
        <f>$H$245*月別販売比率!AQ5</f>
        <v>20.519444444444446</v>
      </c>
      <c r="AX245" s="21"/>
      <c r="AY245" s="81">
        <f>$H$245*月別販売比率!AV5</f>
        <v>12.495187550414705</v>
      </c>
      <c r="AZ245" s="21"/>
      <c r="BA245" s="81">
        <f>$H$245*月別販売比率!BA5</f>
        <v>11.41355535133845</v>
      </c>
      <c r="BB245" s="21"/>
      <c r="BC245" s="81">
        <f>$H$245*月別販売比率!BF5</f>
        <v>16.415555555555553</v>
      </c>
      <c r="BD245" s="21"/>
      <c r="BE245" s="81">
        <f>$H$245*月別販売比率!C5</f>
        <v>14.540950638686432</v>
      </c>
      <c r="BF245" s="21"/>
      <c r="BG245" s="81">
        <f>$H$245*月別販売比率!H5</f>
        <v>14.363611111111112</v>
      </c>
      <c r="BH245" s="21"/>
      <c r="BI245" s="81">
        <f>$H$245*月別販売比率!M5</f>
        <v>20.737707543234222</v>
      </c>
      <c r="BJ245" s="21"/>
      <c r="BK245" s="245">
        <f>$H$245*月別販売比率!R5</f>
        <v>16.415555555555553</v>
      </c>
      <c r="BL245" s="241">
        <v>145</v>
      </c>
      <c r="BM245" s="81">
        <f>$H$245*月別販売比率!W5</f>
        <v>15.628987862949829</v>
      </c>
      <c r="BN245" s="21"/>
      <c r="BO245" s="81">
        <f>$H$245*月別販売比率!AB5</f>
        <v>24.623333333333331</v>
      </c>
      <c r="BP245" s="21"/>
      <c r="BQ245" s="81">
        <f>$H$245*月別販売比率!AG5</f>
        <v>20.519444444444446</v>
      </c>
      <c r="BR245" s="21"/>
      <c r="BS245" s="81">
        <f>$H$245*月別販売比率!AL5</f>
        <v>18.467499999999998</v>
      </c>
      <c r="BT245" s="21"/>
      <c r="BU245" s="81">
        <f>$H$245*月別販売比率!AQ5</f>
        <v>20.519444444444446</v>
      </c>
      <c r="BV245" s="21"/>
      <c r="BW245" s="81">
        <f>$H$245*月別販売比率!AV5</f>
        <v>12.495187550414705</v>
      </c>
      <c r="BX245" s="21"/>
      <c r="BY245" s="81">
        <f>$H$245*月別販売比率!BA5</f>
        <v>11.41355535133845</v>
      </c>
      <c r="BZ245" s="21"/>
      <c r="CA245" s="81">
        <f>$H$245*月別販売比率!BF5</f>
        <v>16.415555555555553</v>
      </c>
      <c r="CB245" s="21"/>
      <c r="CC245" s="81">
        <f>H245*月別販売比率!$C$21</f>
        <v>14.540950638686432</v>
      </c>
      <c r="CD245" s="21"/>
      <c r="CE245" s="81">
        <f>H245*月別販売比率!$H$21</f>
        <v>14.363611111111112</v>
      </c>
      <c r="CF245" s="21"/>
      <c r="CG245" s="81">
        <f>H245*月別販売比率!$M$21</f>
        <v>20.737707543234222</v>
      </c>
      <c r="CH245" s="21"/>
      <c r="CI245" s="81">
        <f>H245*月別販売比率!$R$21</f>
        <v>16.415555555555553</v>
      </c>
      <c r="CJ245" s="21"/>
      <c r="CK245" s="81">
        <f>H245*月別販売比率!$W$21</f>
        <v>15.628987862949829</v>
      </c>
      <c r="CL245" s="21"/>
      <c r="CM245" s="81">
        <f>H245*月別販売比率!$AB$21</f>
        <v>24.623333333333331</v>
      </c>
      <c r="CN245" s="21"/>
      <c r="CO245" s="81">
        <f>H245*月別販売比率!$AG$21</f>
        <v>20.519444444444446</v>
      </c>
      <c r="CP245" s="21"/>
      <c r="CQ245" s="81">
        <f>H245*月別販売比率!$AL$21</f>
        <v>18.467499999999998</v>
      </c>
      <c r="CR245" s="21"/>
      <c r="CS245" s="81">
        <f>H245*月別販売比率!$AQ$21</f>
        <v>20.519444444444446</v>
      </c>
      <c r="CT245" s="21"/>
      <c r="CU245" s="81">
        <f>H245*月別販売比率!$AV$21</f>
        <v>12.495187550414705</v>
      </c>
      <c r="CV245" s="21"/>
      <c r="CW245" s="81">
        <f>H245*月別販売比率!$BA$21</f>
        <v>11.41355535133845</v>
      </c>
      <c r="CX245" s="21"/>
      <c r="CY245" s="81">
        <f>H245*月別販売比率!$BF$21</f>
        <v>16.415555555555553</v>
      </c>
      <c r="CZ245" s="21"/>
      <c r="DA245" s="28"/>
      <c r="DB245" s="294"/>
    </row>
    <row r="246" spans="2:106" ht="30.75" customHeight="1">
      <c r="C246" s="457"/>
      <c r="D246" s="441"/>
      <c r="E246" s="94" t="s">
        <v>48</v>
      </c>
      <c r="F246" s="57">
        <v>92.708333333333343</v>
      </c>
      <c r="G246" s="5">
        <f t="shared" si="413"/>
        <v>591479.16666666674</v>
      </c>
      <c r="H246" s="7">
        <f t="shared" si="425"/>
        <v>92.708333333333329</v>
      </c>
      <c r="I246" s="5">
        <f t="shared" si="414"/>
        <v>591479.16666666663</v>
      </c>
      <c r="J246" s="9">
        <v>44</v>
      </c>
      <c r="K246" s="21">
        <f t="shared" si="415"/>
        <v>26</v>
      </c>
      <c r="L246" s="21">
        <v>13</v>
      </c>
      <c r="M246" s="21">
        <v>13</v>
      </c>
      <c r="N246" s="42"/>
      <c r="O246" s="19"/>
      <c r="P246" s="19"/>
      <c r="Q246" s="124"/>
      <c r="R246" s="124"/>
      <c r="S246" s="124"/>
      <c r="T246" s="124"/>
      <c r="U246" s="124"/>
      <c r="V246" s="124"/>
      <c r="W246" s="124"/>
      <c r="X246" s="124"/>
      <c r="Y246" s="124"/>
      <c r="Z246" s="124"/>
      <c r="AA246" s="328"/>
      <c r="AB246" s="328"/>
      <c r="AC246" s="328"/>
      <c r="AD246" s="328"/>
      <c r="AE246" s="328"/>
      <c r="AF246" s="328"/>
      <c r="AG246" s="124"/>
      <c r="AH246" s="124"/>
      <c r="AI246" s="129">
        <f t="shared" si="416"/>
        <v>62.583333333333336</v>
      </c>
      <c r="AJ246" s="129">
        <f t="shared" si="417"/>
        <v>55.522043636217447</v>
      </c>
      <c r="AK246" s="129">
        <f t="shared" si="418"/>
        <v>44.397043636217447</v>
      </c>
      <c r="AL246" s="129">
        <f t="shared" si="419"/>
        <v>35.126210302884111</v>
      </c>
      <c r="AM246" s="129">
        <f t="shared" si="420"/>
        <v>26.782460302884111</v>
      </c>
      <c r="AN246" s="399">
        <f t="shared" si="421"/>
        <v>17.511626969550775</v>
      </c>
      <c r="AO246" s="393">
        <f t="shared" si="422"/>
        <v>11.86621090761642</v>
      </c>
      <c r="AP246" s="96">
        <f t="shared" si="423"/>
        <v>6.7094840922526613</v>
      </c>
      <c r="AQ246" s="91">
        <f t="shared" si="424"/>
        <v>-0.70718257441400478</v>
      </c>
      <c r="AR246" s="198"/>
      <c r="AS246" s="81">
        <f>$H$246*月別販売比率!AG5</f>
        <v>9.2708333333333339</v>
      </c>
      <c r="AT246" s="21"/>
      <c r="AU246" s="81">
        <f>$H$246*月別販売比率!AL5</f>
        <v>8.34375</v>
      </c>
      <c r="AV246" s="21"/>
      <c r="AW246" s="81">
        <f>$H$246*月別販売比率!AQ5</f>
        <v>9.2708333333333339</v>
      </c>
      <c r="AX246" s="21"/>
      <c r="AY246" s="81">
        <f>$H$246*月別販売比率!AV5</f>
        <v>5.6454160619343554</v>
      </c>
      <c r="AZ246" s="21"/>
      <c r="BA246" s="81">
        <f>$H$246*月別販売比率!BA5</f>
        <v>5.1567268153637587</v>
      </c>
      <c r="BB246" s="21"/>
      <c r="BC246" s="81">
        <f>$H$246*月別販売比率!BF5</f>
        <v>7.4166666666666661</v>
      </c>
      <c r="BD246" s="21"/>
      <c r="BE246" s="81">
        <f>$H$246*月別販売比率!C5</f>
        <v>6.5697066138643514</v>
      </c>
      <c r="BF246" s="21"/>
      <c r="BG246" s="81">
        <f>$H$246*月別販売比率!H5</f>
        <v>6.4895833333333339</v>
      </c>
      <c r="BH246" s="21"/>
      <c r="BI246" s="81">
        <f>$H$246*月別販売比率!M5</f>
        <v>9.3694461791720887</v>
      </c>
      <c r="BJ246" s="21"/>
      <c r="BK246" s="245">
        <f>$H$246*月別販売比率!R5</f>
        <v>7.4166666666666661</v>
      </c>
      <c r="BL246" s="241">
        <v>75</v>
      </c>
      <c r="BM246" s="81">
        <f>$H$246*月別販売比率!W5</f>
        <v>7.0612896971158872</v>
      </c>
      <c r="BN246" s="21"/>
      <c r="BO246" s="81">
        <f>$H$246*月別販売比率!AB5</f>
        <v>11.124999999999998</v>
      </c>
      <c r="BP246" s="21"/>
      <c r="BQ246" s="81">
        <f>$H$246*月別販売比率!AG5</f>
        <v>9.2708333333333339</v>
      </c>
      <c r="BR246" s="21"/>
      <c r="BS246" s="81">
        <f>$H$246*月別販売比率!AL5</f>
        <v>8.34375</v>
      </c>
      <c r="BT246" s="21"/>
      <c r="BU246" s="81">
        <f>$H$246*月別販売比率!AQ5</f>
        <v>9.2708333333333339</v>
      </c>
      <c r="BV246" s="21"/>
      <c r="BW246" s="81">
        <f>$H$246*月別販売比率!AV5</f>
        <v>5.6454160619343554</v>
      </c>
      <c r="BX246" s="21"/>
      <c r="BY246" s="81">
        <f>$H$246*月別販売比率!BA5</f>
        <v>5.1567268153637587</v>
      </c>
      <c r="BZ246" s="21"/>
      <c r="CA246" s="81">
        <f>$H$246*月別販売比率!BF5</f>
        <v>7.4166666666666661</v>
      </c>
      <c r="CB246" s="21"/>
      <c r="CC246" s="81">
        <f>H246*月別販売比率!$C$21</f>
        <v>6.5697066138643514</v>
      </c>
      <c r="CD246" s="21"/>
      <c r="CE246" s="81">
        <f>H246*月別販売比率!$H$21</f>
        <v>6.4895833333333339</v>
      </c>
      <c r="CF246" s="21"/>
      <c r="CG246" s="81">
        <f>H246*月別販売比率!$M$21</f>
        <v>9.3694461791720887</v>
      </c>
      <c r="CH246" s="21"/>
      <c r="CI246" s="81">
        <f>H246*月別販売比率!$R$21</f>
        <v>7.4166666666666661</v>
      </c>
      <c r="CJ246" s="21"/>
      <c r="CK246" s="81">
        <f>H246*月別販売比率!$W$21</f>
        <v>7.0612896971158872</v>
      </c>
      <c r="CL246" s="21"/>
      <c r="CM246" s="81">
        <f>H246*月別販売比率!$AB$21</f>
        <v>11.124999999999998</v>
      </c>
      <c r="CN246" s="21"/>
      <c r="CO246" s="81">
        <f>H246*月別販売比率!$AG$21</f>
        <v>9.2708333333333339</v>
      </c>
      <c r="CP246" s="21"/>
      <c r="CQ246" s="81">
        <f>H246*月別販売比率!$AL$21</f>
        <v>8.34375</v>
      </c>
      <c r="CR246" s="21"/>
      <c r="CS246" s="81">
        <f>H246*月別販売比率!$AQ$21</f>
        <v>9.2708333333333339</v>
      </c>
      <c r="CT246" s="21"/>
      <c r="CU246" s="81">
        <f>H246*月別販売比率!$AV$21</f>
        <v>5.6454160619343554</v>
      </c>
      <c r="CV246" s="21"/>
      <c r="CW246" s="81">
        <f>H246*月別販売比率!$BA$21</f>
        <v>5.1567268153637587</v>
      </c>
      <c r="CX246" s="21"/>
      <c r="CY246" s="81">
        <f>H246*月別販売比率!$BF$21</f>
        <v>7.4166666666666661</v>
      </c>
      <c r="CZ246" s="21"/>
      <c r="DA246" s="28"/>
      <c r="DB246" s="294"/>
    </row>
    <row r="247" spans="2:106" ht="30.75" customHeight="1">
      <c r="C247" s="457"/>
      <c r="D247" s="441"/>
      <c r="E247" s="94" t="s">
        <v>49</v>
      </c>
      <c r="F247" s="57">
        <v>43.263888888888893</v>
      </c>
      <c r="G247" s="5">
        <f t="shared" si="413"/>
        <v>276023.61111111112</v>
      </c>
      <c r="H247" s="7">
        <f t="shared" si="425"/>
        <v>43.263888888888886</v>
      </c>
      <c r="I247" s="5">
        <f t="shared" si="414"/>
        <v>276023.61111111107</v>
      </c>
      <c r="J247" s="9">
        <v>5</v>
      </c>
      <c r="K247" s="21">
        <f t="shared" si="415"/>
        <v>32</v>
      </c>
      <c r="L247" s="21">
        <v>20</v>
      </c>
      <c r="M247" s="21">
        <v>12</v>
      </c>
      <c r="N247" s="42"/>
      <c r="O247" s="19"/>
      <c r="P247" s="19"/>
      <c r="Q247" s="124"/>
      <c r="R247" s="124"/>
      <c r="S247" s="124"/>
      <c r="T247" s="124"/>
      <c r="U247" s="124"/>
      <c r="V247" s="124"/>
      <c r="W247" s="124"/>
      <c r="X247" s="124"/>
      <c r="Y247" s="124"/>
      <c r="Z247" s="124"/>
      <c r="AA247" s="328"/>
      <c r="AB247" s="328"/>
      <c r="AC247" s="328"/>
      <c r="AD247" s="328"/>
      <c r="AE247" s="328"/>
      <c r="AF247" s="328"/>
      <c r="AG247" s="124"/>
      <c r="AH247" s="124"/>
      <c r="AI247" s="129">
        <f t="shared" si="416"/>
        <v>33.538888888888891</v>
      </c>
      <c r="AJ247" s="129">
        <f t="shared" si="417"/>
        <v>30.243620363568144</v>
      </c>
      <c r="AK247" s="129">
        <f t="shared" si="418"/>
        <v>25.051953696901478</v>
      </c>
      <c r="AL247" s="129">
        <f t="shared" si="419"/>
        <v>20.725564808012589</v>
      </c>
      <c r="AM247" s="129">
        <f t="shared" si="420"/>
        <v>16.831814808012588</v>
      </c>
      <c r="AN247" s="399">
        <f t="shared" si="421"/>
        <v>12.505425919123699</v>
      </c>
      <c r="AO247" s="393">
        <f t="shared" si="422"/>
        <v>9.8708984235543333</v>
      </c>
      <c r="AP247" s="96">
        <f t="shared" si="423"/>
        <v>7.4644259097179129</v>
      </c>
      <c r="AQ247" s="91">
        <f t="shared" si="424"/>
        <v>4.0033147986068016</v>
      </c>
      <c r="AR247" s="198"/>
      <c r="AS247" s="81">
        <f>$H$247*月別販売比率!AG5</f>
        <v>4.3263888888888884</v>
      </c>
      <c r="AT247" s="21"/>
      <c r="AU247" s="81">
        <f>$H$247*月別販売比率!AL5</f>
        <v>3.8937499999999994</v>
      </c>
      <c r="AV247" s="21"/>
      <c r="AW247" s="81">
        <f>$H$247*月別販売比率!AQ5</f>
        <v>4.3263888888888884</v>
      </c>
      <c r="AX247" s="21"/>
      <c r="AY247" s="81">
        <f>$H$247*月別販売比率!AV5</f>
        <v>2.6345274955693658</v>
      </c>
      <c r="AZ247" s="21"/>
      <c r="BA247" s="81">
        <f>$H$247*月別販売比率!BA5</f>
        <v>2.4064725138364205</v>
      </c>
      <c r="BB247" s="21"/>
      <c r="BC247" s="81">
        <f>$H$247*月別販売比率!BF5</f>
        <v>3.4611111111111108</v>
      </c>
      <c r="BD247" s="21"/>
      <c r="BE247" s="81">
        <f>$H$247*月別販売比率!C5</f>
        <v>3.0658630864700309</v>
      </c>
      <c r="BF247" s="21"/>
      <c r="BG247" s="81">
        <f>$H$247*月別販売比率!H5</f>
        <v>3.0284722222222222</v>
      </c>
      <c r="BH247" s="21"/>
      <c r="BI247" s="81">
        <f>$H$247*月別販売比率!M5</f>
        <v>4.3724082169469751</v>
      </c>
      <c r="BJ247" s="21"/>
      <c r="BK247" s="245">
        <f>$H$247*月別販売比率!R5</f>
        <v>3.4611111111111108</v>
      </c>
      <c r="BL247" s="241">
        <v>30</v>
      </c>
      <c r="BM247" s="81">
        <f>$H$247*月別販売比率!W5</f>
        <v>3.295268525320747</v>
      </c>
      <c r="BN247" s="21"/>
      <c r="BO247" s="81">
        <f>$H$247*月別販売比率!AB5</f>
        <v>5.1916666666666664</v>
      </c>
      <c r="BP247" s="21"/>
      <c r="BQ247" s="81">
        <f>$H$247*月別販売比率!AG5</f>
        <v>4.3263888888888884</v>
      </c>
      <c r="BR247" s="21"/>
      <c r="BS247" s="81">
        <f>$H$247*月別販売比率!AL5</f>
        <v>3.8937499999999994</v>
      </c>
      <c r="BT247" s="21"/>
      <c r="BU247" s="81">
        <f>$H$247*月別販売比率!AQ5</f>
        <v>4.3263888888888884</v>
      </c>
      <c r="BV247" s="21"/>
      <c r="BW247" s="81">
        <f>$H$247*月別販売比率!AV5</f>
        <v>2.6345274955693658</v>
      </c>
      <c r="BX247" s="21"/>
      <c r="BY247" s="81">
        <f>$H$247*月別販売比率!BA5</f>
        <v>2.4064725138364205</v>
      </c>
      <c r="BZ247" s="21"/>
      <c r="CA247" s="81">
        <f>$H$247*月別販売比率!BF5</f>
        <v>3.4611111111111108</v>
      </c>
      <c r="CB247" s="21"/>
      <c r="CC247" s="81">
        <f>H247*月別販売比率!$C$21</f>
        <v>3.0658630864700309</v>
      </c>
      <c r="CD247" s="21"/>
      <c r="CE247" s="81">
        <f>H247*月別販売比率!$H$21</f>
        <v>3.0284722222222222</v>
      </c>
      <c r="CF247" s="21"/>
      <c r="CG247" s="81">
        <f>H247*月別販売比率!$M$21</f>
        <v>4.3724082169469751</v>
      </c>
      <c r="CH247" s="21"/>
      <c r="CI247" s="81">
        <f>H247*月別販売比率!$R$21</f>
        <v>3.4611111111111108</v>
      </c>
      <c r="CJ247" s="21"/>
      <c r="CK247" s="81">
        <f>H247*月別販売比率!$W$21</f>
        <v>3.295268525320747</v>
      </c>
      <c r="CL247" s="21"/>
      <c r="CM247" s="81">
        <f>H247*月別販売比率!$AB$21</f>
        <v>5.1916666666666664</v>
      </c>
      <c r="CN247" s="21"/>
      <c r="CO247" s="81">
        <f>H247*月別販売比率!$AG$21</f>
        <v>4.3263888888888884</v>
      </c>
      <c r="CP247" s="21"/>
      <c r="CQ247" s="81">
        <f>H247*月別販売比率!$AL$21</f>
        <v>3.8937499999999994</v>
      </c>
      <c r="CR247" s="21"/>
      <c r="CS247" s="81">
        <f>H247*月別販売比率!$AQ$21</f>
        <v>4.3263888888888884</v>
      </c>
      <c r="CT247" s="21"/>
      <c r="CU247" s="81">
        <f>H247*月別販売比率!$AV$21</f>
        <v>2.6345274955693658</v>
      </c>
      <c r="CV247" s="21"/>
      <c r="CW247" s="81">
        <f>H247*月別販売比率!$BA$21</f>
        <v>2.4064725138364205</v>
      </c>
      <c r="CX247" s="21"/>
      <c r="CY247" s="81">
        <f>H247*月別販売比率!$BF$21</f>
        <v>3.4611111111111108</v>
      </c>
      <c r="CZ247" s="21"/>
      <c r="DA247" s="28"/>
      <c r="DB247" s="294"/>
    </row>
    <row r="248" spans="2:106" ht="30.75" customHeight="1">
      <c r="C248" s="457"/>
      <c r="D248" s="443">
        <v>2</v>
      </c>
      <c r="E248" s="99" t="s">
        <v>46</v>
      </c>
      <c r="F248" s="56">
        <v>89</v>
      </c>
      <c r="G248" s="46">
        <f t="shared" si="413"/>
        <v>567820</v>
      </c>
      <c r="H248" s="7">
        <f t="shared" si="425"/>
        <v>88.999999999999986</v>
      </c>
      <c r="I248" s="46">
        <f t="shared" si="414"/>
        <v>567819.99999999988</v>
      </c>
      <c r="J248" s="49">
        <v>129</v>
      </c>
      <c r="K248" s="39">
        <f t="shared" si="415"/>
        <v>29</v>
      </c>
      <c r="L248" s="39">
        <v>16</v>
      </c>
      <c r="M248" s="39">
        <v>13</v>
      </c>
      <c r="N248" s="42"/>
      <c r="O248" s="19"/>
      <c r="P248" s="19"/>
      <c r="Q248" s="124"/>
      <c r="R248" s="124"/>
      <c r="S248" s="124"/>
      <c r="T248" s="124"/>
      <c r="U248" s="124"/>
      <c r="V248" s="124"/>
      <c r="W248" s="124"/>
      <c r="X248" s="124"/>
      <c r="Y248" s="124"/>
      <c r="Z248" s="124"/>
      <c r="AA248" s="328"/>
      <c r="AB248" s="328"/>
      <c r="AC248" s="328"/>
      <c r="AD248" s="328"/>
      <c r="AE248" s="328"/>
      <c r="AF248" s="328"/>
      <c r="AG248" s="124"/>
      <c r="AH248" s="124"/>
      <c r="AI248" s="129">
        <f t="shared" si="416"/>
        <v>150.88</v>
      </c>
      <c r="AJ248" s="129">
        <f t="shared" si="417"/>
        <v>144.10116189076874</v>
      </c>
      <c r="AK248" s="129">
        <f t="shared" si="418"/>
        <v>133.42116189076873</v>
      </c>
      <c r="AL248" s="129">
        <f t="shared" si="419"/>
        <v>124.52116189076872</v>
      </c>
      <c r="AM248" s="129">
        <f t="shared" si="420"/>
        <v>116.51116189076873</v>
      </c>
      <c r="AN248" s="399">
        <f t="shared" si="421"/>
        <v>107.61116189076873</v>
      </c>
      <c r="AO248" s="393">
        <f t="shared" si="422"/>
        <v>102.19156247131174</v>
      </c>
      <c r="AP248" s="96">
        <f t="shared" si="423"/>
        <v>97.241104728562533</v>
      </c>
      <c r="AQ248" s="91">
        <f t="shared" si="424"/>
        <v>90.121104728562528</v>
      </c>
      <c r="AR248" s="198"/>
      <c r="AS248" s="81">
        <f>$H$248*月別販売比率!AG5</f>
        <v>8.8999999999999986</v>
      </c>
      <c r="AT248" s="39"/>
      <c r="AU248" s="81">
        <f>$H$248*月別販売比率!AL5</f>
        <v>8.009999999999998</v>
      </c>
      <c r="AV248" s="39"/>
      <c r="AW248" s="81">
        <f>$H$248*月別販売比率!AQ5</f>
        <v>8.8999999999999986</v>
      </c>
      <c r="AX248" s="39"/>
      <c r="AY248" s="81">
        <f>$H$248*月別販売比率!AV5</f>
        <v>5.4195994194569801</v>
      </c>
      <c r="AZ248" s="39"/>
      <c r="BA248" s="81">
        <f>$H$248*月別販売比率!BA5</f>
        <v>4.9504577427492071</v>
      </c>
      <c r="BB248" s="39"/>
      <c r="BC248" s="81">
        <f>$H$248*月別販売比率!BF5</f>
        <v>7.1199999999999992</v>
      </c>
      <c r="BD248" s="39"/>
      <c r="BE248" s="81">
        <f>$H$248*月別販売比率!C5</f>
        <v>6.3069183493097771</v>
      </c>
      <c r="BF248" s="39"/>
      <c r="BG248" s="81">
        <f>$H$248*月別販売比率!H5</f>
        <v>6.2299999999999995</v>
      </c>
      <c r="BH248" s="39"/>
      <c r="BI248" s="81">
        <f>$H$248*月別販売比率!M5</f>
        <v>8.9946683320052045</v>
      </c>
      <c r="BJ248" s="39"/>
      <c r="BK248" s="245">
        <f>$H$248*月別販売比率!R5</f>
        <v>7.1199999999999992</v>
      </c>
      <c r="BL248" s="280">
        <v>60</v>
      </c>
      <c r="BM248" s="81">
        <f>$H$248*月別販売比率!W5</f>
        <v>6.7788381092312511</v>
      </c>
      <c r="BN248" s="39"/>
      <c r="BO248" s="81">
        <f>$H$248*月別販売比率!AB5</f>
        <v>10.679999999999998</v>
      </c>
      <c r="BP248" s="39"/>
      <c r="BQ248" s="81">
        <f>$H$248*月別販売比率!AG5</f>
        <v>8.8999999999999986</v>
      </c>
      <c r="BR248" s="39"/>
      <c r="BS248" s="81">
        <f>$H$248*月別販売比率!AL5</f>
        <v>8.009999999999998</v>
      </c>
      <c r="BT248" s="39"/>
      <c r="BU248" s="81">
        <f>$H$248*月別販売比率!AQ5</f>
        <v>8.8999999999999986</v>
      </c>
      <c r="BV248" s="39"/>
      <c r="BW248" s="81">
        <f>$H$248*月別販売比率!AV5</f>
        <v>5.4195994194569801</v>
      </c>
      <c r="BX248" s="39"/>
      <c r="BY248" s="81">
        <f>$H$248*月別販売比率!BA5</f>
        <v>4.9504577427492071</v>
      </c>
      <c r="BZ248" s="39"/>
      <c r="CA248" s="81">
        <f>$H$248*月別販売比率!BF5</f>
        <v>7.1199999999999992</v>
      </c>
      <c r="CB248" s="39"/>
      <c r="CC248" s="81">
        <f>H248*月別販売比率!$C$21</f>
        <v>6.3069183493097771</v>
      </c>
      <c r="CD248" s="39"/>
      <c r="CE248" s="81">
        <f>H248*月別販売比率!$H$21</f>
        <v>6.2299999999999995</v>
      </c>
      <c r="CF248" s="39"/>
      <c r="CG248" s="81">
        <f>H248*月別販売比率!$M$21</f>
        <v>8.9946683320052045</v>
      </c>
      <c r="CH248" s="39"/>
      <c r="CI248" s="81">
        <f>H248*月別販売比率!$R$21</f>
        <v>7.1199999999999992</v>
      </c>
      <c r="CJ248" s="39"/>
      <c r="CK248" s="81">
        <f>H248*月別販売比率!$W$21</f>
        <v>6.7788381092312511</v>
      </c>
      <c r="CL248" s="39"/>
      <c r="CM248" s="81">
        <f>H248*月別販売比率!$AB$21</f>
        <v>10.679999999999998</v>
      </c>
      <c r="CN248" s="39"/>
      <c r="CO248" s="81">
        <f>H248*月別販売比率!$AG$21</f>
        <v>8.8999999999999986</v>
      </c>
      <c r="CP248" s="39"/>
      <c r="CQ248" s="81">
        <f>H248*月別販売比率!$AL$21</f>
        <v>8.009999999999998</v>
      </c>
      <c r="CR248" s="39"/>
      <c r="CS248" s="81">
        <f>H248*月別販売比率!$AQ$21</f>
        <v>8.8999999999999986</v>
      </c>
      <c r="CT248" s="39"/>
      <c r="CU248" s="81">
        <f>H248*月別販売比率!$AV$21</f>
        <v>5.4195994194569801</v>
      </c>
      <c r="CV248" s="39"/>
      <c r="CW248" s="81">
        <f>H248*月別販売比率!$BA$21</f>
        <v>4.9504577427492071</v>
      </c>
      <c r="CX248" s="39"/>
      <c r="CY248" s="81">
        <f>H248*月別販売比率!$BF$21</f>
        <v>7.1199999999999992</v>
      </c>
      <c r="CZ248" s="39"/>
      <c r="DA248" s="28"/>
      <c r="DB248" s="294"/>
    </row>
    <row r="249" spans="2:106" ht="30.75" customHeight="1">
      <c r="C249" s="457"/>
      <c r="D249" s="441"/>
      <c r="E249" s="94" t="s">
        <v>47</v>
      </c>
      <c r="F249" s="57">
        <v>113.72222222222223</v>
      </c>
      <c r="G249" s="5">
        <f t="shared" si="413"/>
        <v>725547.77777777787</v>
      </c>
      <c r="H249" s="7">
        <f t="shared" si="425"/>
        <v>113.72222222222221</v>
      </c>
      <c r="I249" s="5">
        <f t="shared" si="414"/>
        <v>725547.77777777775</v>
      </c>
      <c r="J249" s="9">
        <v>130</v>
      </c>
      <c r="K249" s="21">
        <f t="shared" si="415"/>
        <v>26</v>
      </c>
      <c r="L249" s="21">
        <v>15</v>
      </c>
      <c r="M249" s="21">
        <v>11</v>
      </c>
      <c r="N249" s="42"/>
      <c r="O249" s="19"/>
      <c r="P249" s="19"/>
      <c r="Q249" s="124"/>
      <c r="R249" s="124"/>
      <c r="S249" s="124"/>
      <c r="T249" s="124"/>
      <c r="U249" s="124"/>
      <c r="V249" s="124"/>
      <c r="W249" s="124"/>
      <c r="X249" s="124"/>
      <c r="Y249" s="124"/>
      <c r="Z249" s="124"/>
      <c r="AA249" s="328"/>
      <c r="AB249" s="328"/>
      <c r="AC249" s="328"/>
      <c r="AD249" s="328"/>
      <c r="AE249" s="328"/>
      <c r="AF249" s="328"/>
      <c r="AG249" s="124"/>
      <c r="AH249" s="124"/>
      <c r="AI249" s="129">
        <f t="shared" si="416"/>
        <v>146.90222222222224</v>
      </c>
      <c r="AJ249" s="129">
        <f t="shared" si="417"/>
        <v>138.24037352709342</v>
      </c>
      <c r="AK249" s="129">
        <f t="shared" si="418"/>
        <v>124.59370686042676</v>
      </c>
      <c r="AL249" s="129">
        <f t="shared" si="419"/>
        <v>113.22148463820454</v>
      </c>
      <c r="AM249" s="129">
        <f t="shared" si="420"/>
        <v>102.98648463820454</v>
      </c>
      <c r="AN249" s="399">
        <f t="shared" si="421"/>
        <v>91.614262415982324</v>
      </c>
      <c r="AO249" s="393">
        <f t="shared" si="422"/>
        <v>84.689218713342854</v>
      </c>
      <c r="AP249" s="96">
        <f t="shared" si="423"/>
        <v>78.363633819829971</v>
      </c>
      <c r="AQ249" s="91">
        <f t="shared" si="424"/>
        <v>69.265856042052192</v>
      </c>
      <c r="AR249" s="198"/>
      <c r="AS249" s="81">
        <f>$H$249*月別販売比率!AG5</f>
        <v>11.372222222222222</v>
      </c>
      <c r="AT249" s="21"/>
      <c r="AU249" s="81">
        <f>$H$249*月別販売比率!AL5</f>
        <v>10.234999999999999</v>
      </c>
      <c r="AV249" s="21"/>
      <c r="AW249" s="81">
        <f>$H$249*月別販売比率!AQ5</f>
        <v>11.372222222222222</v>
      </c>
      <c r="AX249" s="21"/>
      <c r="AY249" s="81">
        <f>$H$249*月別販売比率!AV5</f>
        <v>6.925043702639476</v>
      </c>
      <c r="AZ249" s="21"/>
      <c r="BA249" s="81">
        <f>$H$249*月別販売比率!BA5</f>
        <v>6.3255848935128762</v>
      </c>
      <c r="BB249" s="21"/>
      <c r="BC249" s="81">
        <f>$H$249*月別販売比率!BF5</f>
        <v>9.0977777777777771</v>
      </c>
      <c r="BD249" s="21"/>
      <c r="BE249" s="81">
        <f>$H$249*月別販売比率!C5</f>
        <v>8.0588401130069371</v>
      </c>
      <c r="BF249" s="21"/>
      <c r="BG249" s="81">
        <f>$H$249*月別販売比率!H5</f>
        <v>7.9605555555555556</v>
      </c>
      <c r="BH249" s="21"/>
      <c r="BI249" s="81">
        <f>$H$249*月別販売比率!M5</f>
        <v>11.493187313117762</v>
      </c>
      <c r="BJ249" s="21"/>
      <c r="BK249" s="245">
        <f>$H$249*月別販売比率!R5</f>
        <v>9.0977777777777771</v>
      </c>
      <c r="BL249" s="241">
        <v>40</v>
      </c>
      <c r="BM249" s="81">
        <f>$H$249*月別販売比率!W5</f>
        <v>8.6618486951288212</v>
      </c>
      <c r="BN249" s="21"/>
      <c r="BO249" s="81">
        <f>$H$249*月別販売比率!AB5</f>
        <v>13.646666666666665</v>
      </c>
      <c r="BP249" s="21"/>
      <c r="BQ249" s="81">
        <f>$H$249*月別販売比率!AG5</f>
        <v>11.372222222222222</v>
      </c>
      <c r="BR249" s="21"/>
      <c r="BS249" s="81">
        <f>$H$249*月別販売比率!AL5</f>
        <v>10.234999999999999</v>
      </c>
      <c r="BT249" s="21"/>
      <c r="BU249" s="81">
        <f>$H$249*月別販売比率!AQ5</f>
        <v>11.372222222222222</v>
      </c>
      <c r="BV249" s="21"/>
      <c r="BW249" s="81">
        <f>$H$249*月別販売比率!AV5</f>
        <v>6.925043702639476</v>
      </c>
      <c r="BX249" s="21"/>
      <c r="BY249" s="81">
        <f>$H$249*月別販売比率!BA5</f>
        <v>6.3255848935128762</v>
      </c>
      <c r="BZ249" s="21"/>
      <c r="CA249" s="81">
        <f>$H$249*月別販売比率!BF5</f>
        <v>9.0977777777777771</v>
      </c>
      <c r="CB249" s="21"/>
      <c r="CC249" s="81">
        <f>H249*月別販売比率!$C$21</f>
        <v>8.0588401130069371</v>
      </c>
      <c r="CD249" s="21"/>
      <c r="CE249" s="81">
        <f>H249*月別販売比率!$H$21</f>
        <v>7.9605555555555556</v>
      </c>
      <c r="CF249" s="21"/>
      <c r="CG249" s="81">
        <f>H249*月別販売比率!$M$21</f>
        <v>11.493187313117762</v>
      </c>
      <c r="CH249" s="21"/>
      <c r="CI249" s="81">
        <f>H249*月別販売比率!$R$21</f>
        <v>9.0977777777777771</v>
      </c>
      <c r="CJ249" s="21"/>
      <c r="CK249" s="81">
        <f>H249*月別販売比率!$W$21</f>
        <v>8.6618486951288212</v>
      </c>
      <c r="CL249" s="21"/>
      <c r="CM249" s="81">
        <f>H249*月別販売比率!$AB$21</f>
        <v>13.646666666666665</v>
      </c>
      <c r="CN249" s="21"/>
      <c r="CO249" s="81">
        <f>H249*月別販売比率!$AG$21</f>
        <v>11.372222222222222</v>
      </c>
      <c r="CP249" s="21"/>
      <c r="CQ249" s="81">
        <f>H249*月別販売比率!$AL$21</f>
        <v>10.234999999999999</v>
      </c>
      <c r="CR249" s="21"/>
      <c r="CS249" s="81">
        <f>H249*月別販売比率!$AQ$21</f>
        <v>11.372222222222222</v>
      </c>
      <c r="CT249" s="21"/>
      <c r="CU249" s="81">
        <f>H249*月別販売比率!$AV$21</f>
        <v>6.925043702639476</v>
      </c>
      <c r="CV249" s="21"/>
      <c r="CW249" s="81">
        <f>H249*月別販売比率!$BA$21</f>
        <v>6.3255848935128762</v>
      </c>
      <c r="CX249" s="21"/>
      <c r="CY249" s="81">
        <f>H249*月別販売比率!$BF$21</f>
        <v>9.0977777777777771</v>
      </c>
      <c r="CZ249" s="21"/>
      <c r="DA249" s="28"/>
      <c r="DB249" s="294"/>
    </row>
    <row r="250" spans="2:106" ht="30.75" customHeight="1">
      <c r="C250" s="457"/>
      <c r="D250" s="441"/>
      <c r="E250" s="94" t="s">
        <v>48</v>
      </c>
      <c r="F250" s="57">
        <v>59.333333333333336</v>
      </c>
      <c r="G250" s="5">
        <f t="shared" si="413"/>
        <v>378546.66666666669</v>
      </c>
      <c r="H250" s="7">
        <f t="shared" si="425"/>
        <v>59.333333333333329</v>
      </c>
      <c r="I250" s="5">
        <f t="shared" si="414"/>
        <v>378546.66666666663</v>
      </c>
      <c r="J250" s="9">
        <v>15</v>
      </c>
      <c r="K250" s="21">
        <f t="shared" si="415"/>
        <v>32</v>
      </c>
      <c r="L250" s="21">
        <v>18</v>
      </c>
      <c r="M250" s="21">
        <v>14</v>
      </c>
      <c r="N250" s="42"/>
      <c r="O250" s="19"/>
      <c r="P250" s="19"/>
      <c r="Q250" s="124"/>
      <c r="R250" s="124"/>
      <c r="S250" s="124"/>
      <c r="T250" s="124"/>
      <c r="U250" s="124"/>
      <c r="V250" s="124"/>
      <c r="W250" s="124"/>
      <c r="X250" s="124"/>
      <c r="Y250" s="124"/>
      <c r="Z250" s="124"/>
      <c r="AA250" s="328"/>
      <c r="AB250" s="328"/>
      <c r="AC250" s="328"/>
      <c r="AD250" s="328"/>
      <c r="AE250" s="328"/>
      <c r="AF250" s="328"/>
      <c r="AG250" s="124"/>
      <c r="AH250" s="124"/>
      <c r="AI250" s="129">
        <f t="shared" si="416"/>
        <v>42.25333333333333</v>
      </c>
      <c r="AJ250" s="129">
        <f t="shared" si="417"/>
        <v>37.73410792717916</v>
      </c>
      <c r="AK250" s="129">
        <f t="shared" si="418"/>
        <v>30.614107927179163</v>
      </c>
      <c r="AL250" s="129">
        <f t="shared" si="419"/>
        <v>24.680774593845829</v>
      </c>
      <c r="AM250" s="129">
        <f t="shared" si="420"/>
        <v>19.340774593845829</v>
      </c>
      <c r="AN250" s="399">
        <f t="shared" si="421"/>
        <v>13.407441260512496</v>
      </c>
      <c r="AO250" s="393">
        <f t="shared" si="422"/>
        <v>9.7943749808745082</v>
      </c>
      <c r="AP250" s="96">
        <f t="shared" si="423"/>
        <v>6.4940698190417034</v>
      </c>
      <c r="AQ250" s="91">
        <f t="shared" si="424"/>
        <v>1.7474031523750373</v>
      </c>
      <c r="AR250" s="198"/>
      <c r="AS250" s="81">
        <f>$H$250*月別販売比率!AG5</f>
        <v>5.9333333333333336</v>
      </c>
      <c r="AT250" s="39"/>
      <c r="AU250" s="81">
        <f>$H$250*月別販売比率!AL5</f>
        <v>5.339999999999999</v>
      </c>
      <c r="AV250" s="39"/>
      <c r="AW250" s="81">
        <f>$H$250*月別販売比率!AQ5</f>
        <v>5.9333333333333336</v>
      </c>
      <c r="AX250" s="39"/>
      <c r="AY250" s="81">
        <f>$H$250*月別販売比率!AV5</f>
        <v>3.6130662796379873</v>
      </c>
      <c r="AZ250" s="39"/>
      <c r="BA250" s="81">
        <f>$H$250*月別販売比率!BA5</f>
        <v>3.3003051618328052</v>
      </c>
      <c r="BB250" s="39"/>
      <c r="BC250" s="81">
        <f>$H$250*月別販売比率!BF5</f>
        <v>4.7466666666666661</v>
      </c>
      <c r="BD250" s="39"/>
      <c r="BE250" s="81">
        <f>$H$250*月別販売比率!C5</f>
        <v>4.2046122328731848</v>
      </c>
      <c r="BF250" s="39"/>
      <c r="BG250" s="81">
        <f>$H$250*月別販売比率!H5</f>
        <v>4.1533333333333333</v>
      </c>
      <c r="BH250" s="39"/>
      <c r="BI250" s="81">
        <f>$H$250*月別販売比率!M5</f>
        <v>5.996445554670137</v>
      </c>
      <c r="BJ250" s="39"/>
      <c r="BK250" s="245">
        <f>$H$250*月別販売比率!R5</f>
        <v>4.7466666666666661</v>
      </c>
      <c r="BL250" s="280"/>
      <c r="BM250" s="81">
        <f>$H$250*月別販売比率!W5</f>
        <v>4.5192254061541677</v>
      </c>
      <c r="BN250" s="39"/>
      <c r="BO250" s="81">
        <f>$H$250*月別販売比率!AB5</f>
        <v>7.1199999999999992</v>
      </c>
      <c r="BP250" s="39"/>
      <c r="BQ250" s="81">
        <f>$H$250*月別販売比率!AG5</f>
        <v>5.9333333333333336</v>
      </c>
      <c r="BR250" s="39"/>
      <c r="BS250" s="81">
        <f>$H$250*月別販売比率!AL5</f>
        <v>5.339999999999999</v>
      </c>
      <c r="BT250" s="39"/>
      <c r="BU250" s="81">
        <f>$H$250*月別販売比率!AQ5</f>
        <v>5.9333333333333336</v>
      </c>
      <c r="BV250" s="39"/>
      <c r="BW250" s="81">
        <f>$H$250*月別販売比率!AV5</f>
        <v>3.6130662796379873</v>
      </c>
      <c r="BX250" s="39"/>
      <c r="BY250" s="81">
        <f>$H$250*月別販売比率!BA5</f>
        <v>3.3003051618328052</v>
      </c>
      <c r="BZ250" s="39"/>
      <c r="CA250" s="81">
        <f>$H$250*月別販売比率!BF5</f>
        <v>4.7466666666666661</v>
      </c>
      <c r="CB250" s="39"/>
      <c r="CC250" s="81">
        <f>H250*月別販売比率!$C$21</f>
        <v>4.2046122328731848</v>
      </c>
      <c r="CD250" s="39"/>
      <c r="CE250" s="81">
        <f>H250*月別販売比率!$H$21</f>
        <v>4.1533333333333333</v>
      </c>
      <c r="CF250" s="39"/>
      <c r="CG250" s="81">
        <f>H250*月別販売比率!$M$21</f>
        <v>5.996445554670137</v>
      </c>
      <c r="CH250" s="39"/>
      <c r="CI250" s="81">
        <f>H250*月別販売比率!$R$21</f>
        <v>4.7466666666666661</v>
      </c>
      <c r="CJ250" s="39"/>
      <c r="CK250" s="81">
        <f>H250*月別販売比率!$W$21</f>
        <v>4.5192254061541677</v>
      </c>
      <c r="CL250" s="39"/>
      <c r="CM250" s="81">
        <f>H250*月別販売比率!$AB$21</f>
        <v>7.1199999999999992</v>
      </c>
      <c r="CN250" s="39"/>
      <c r="CO250" s="81">
        <f>H250*月別販売比率!$AG$21</f>
        <v>5.9333333333333336</v>
      </c>
      <c r="CP250" s="39"/>
      <c r="CQ250" s="81">
        <f>H250*月別販売比率!$AL$21</f>
        <v>5.339999999999999</v>
      </c>
      <c r="CR250" s="39"/>
      <c r="CS250" s="81">
        <f>H250*月別販売比率!$AQ$21</f>
        <v>5.9333333333333336</v>
      </c>
      <c r="CT250" s="39"/>
      <c r="CU250" s="81">
        <f>H250*月別販売比率!$AV$21</f>
        <v>3.6130662796379873</v>
      </c>
      <c r="CV250" s="39"/>
      <c r="CW250" s="81">
        <f>H250*月別販売比率!$BA$21</f>
        <v>3.3003051618328052</v>
      </c>
      <c r="CX250" s="39"/>
      <c r="CY250" s="81">
        <f>H250*月別販売比率!$BF$21</f>
        <v>4.7466666666666661</v>
      </c>
      <c r="CZ250" s="39"/>
      <c r="DA250" s="28"/>
      <c r="DB250" s="294"/>
    </row>
    <row r="251" spans="2:106" ht="30.75" customHeight="1">
      <c r="C251" s="458"/>
      <c r="D251" s="444"/>
      <c r="E251" s="101" t="s">
        <v>49</v>
      </c>
      <c r="F251" s="126">
        <v>24.722222222222221</v>
      </c>
      <c r="G251" s="53">
        <f t="shared" si="413"/>
        <v>157727.77777777778</v>
      </c>
      <c r="H251" s="52">
        <f t="shared" si="425"/>
        <v>24.722222222222218</v>
      </c>
      <c r="I251" s="53">
        <f t="shared" si="414"/>
        <v>157727.77777777775</v>
      </c>
      <c r="J251" s="127">
        <v>28</v>
      </c>
      <c r="K251" s="103">
        <f t="shared" si="415"/>
        <v>29</v>
      </c>
      <c r="L251" s="104">
        <v>18</v>
      </c>
      <c r="M251" s="104">
        <v>11</v>
      </c>
      <c r="N251" s="117"/>
      <c r="O251" s="123"/>
      <c r="P251" s="123"/>
      <c r="Q251" s="238"/>
      <c r="R251" s="238"/>
      <c r="S251" s="238"/>
      <c r="T251" s="238"/>
      <c r="U251" s="238"/>
      <c r="V251" s="238"/>
      <c r="W251" s="238"/>
      <c r="X251" s="238"/>
      <c r="Y251" s="238"/>
      <c r="Z251" s="238"/>
      <c r="AA251" s="329"/>
      <c r="AB251" s="329"/>
      <c r="AC251" s="329"/>
      <c r="AD251" s="329"/>
      <c r="AE251" s="329"/>
      <c r="AF251" s="329"/>
      <c r="AG251" s="238"/>
      <c r="AH251" s="238"/>
      <c r="AI251" s="238">
        <f t="shared" si="416"/>
        <v>55.022222222222226</v>
      </c>
      <c r="AJ251" s="238">
        <f t="shared" si="417"/>
        <v>53.139211636324653</v>
      </c>
      <c r="AK251" s="238">
        <f t="shared" si="418"/>
        <v>50.172544969657984</v>
      </c>
      <c r="AL251" s="238">
        <f t="shared" si="419"/>
        <v>47.700322747435763</v>
      </c>
      <c r="AM251" s="238">
        <f t="shared" si="420"/>
        <v>45.475322747435762</v>
      </c>
      <c r="AN251" s="401">
        <f t="shared" si="421"/>
        <v>43.00310052521354</v>
      </c>
      <c r="AO251" s="395">
        <f t="shared" si="422"/>
        <v>41.497656242031049</v>
      </c>
      <c r="AP251" s="403">
        <f t="shared" si="423"/>
        <v>40.122529091267381</v>
      </c>
      <c r="AQ251" s="90">
        <f t="shared" si="424"/>
        <v>38.144751313489607</v>
      </c>
      <c r="AR251" s="238"/>
      <c r="AS251" s="282">
        <f>$H$251*月別販売比率!AG5</f>
        <v>2.4722222222222219</v>
      </c>
      <c r="AT251" s="103"/>
      <c r="AU251" s="282">
        <f>$H$251*月別販売比率!AL5</f>
        <v>2.2249999999999996</v>
      </c>
      <c r="AV251" s="103"/>
      <c r="AW251" s="282">
        <f>$H$251*月別販売比率!AQ5</f>
        <v>2.4722222222222219</v>
      </c>
      <c r="AX251" s="103"/>
      <c r="AY251" s="282">
        <f>$H$251*月別販売比率!AV5</f>
        <v>1.5054442831824946</v>
      </c>
      <c r="AZ251" s="103"/>
      <c r="BA251" s="282">
        <f>$H$251*月別販売比率!BA5</f>
        <v>1.3751271507636686</v>
      </c>
      <c r="BB251" s="103"/>
      <c r="BC251" s="282">
        <f>$H$251*月別販売比率!BF5</f>
        <v>1.9777777777777774</v>
      </c>
      <c r="BD251" s="103"/>
      <c r="BE251" s="282">
        <f>$H$251*月別販売比率!C5</f>
        <v>1.7519217636971602</v>
      </c>
      <c r="BF251" s="103"/>
      <c r="BG251" s="282">
        <f>$H$251*月別販売比率!H5</f>
        <v>1.7305555555555554</v>
      </c>
      <c r="BH251" s="103"/>
      <c r="BI251" s="282">
        <f>$H$251*月別販売比率!M5</f>
        <v>2.4985189811125568</v>
      </c>
      <c r="BJ251" s="103"/>
      <c r="BK251" s="301">
        <f>$H$251*月別販売比率!R5</f>
        <v>1.9777777777777774</v>
      </c>
      <c r="BL251" s="302"/>
      <c r="BM251" s="282">
        <f>$H$251*月別販売比率!W5</f>
        <v>1.8830105858975696</v>
      </c>
      <c r="BN251" s="103"/>
      <c r="BO251" s="282">
        <f>$H$251*月別販売比率!AB5</f>
        <v>2.9666666666666659</v>
      </c>
      <c r="BP251" s="103"/>
      <c r="BQ251" s="282">
        <f>$H$251*月別販売比率!AG5</f>
        <v>2.4722222222222219</v>
      </c>
      <c r="BR251" s="103"/>
      <c r="BS251" s="282">
        <f>$H$251*月別販売比率!AL5</f>
        <v>2.2249999999999996</v>
      </c>
      <c r="BT251" s="103"/>
      <c r="BU251" s="282">
        <f>$H$251*月別販売比率!AQ5</f>
        <v>2.4722222222222219</v>
      </c>
      <c r="BV251" s="103"/>
      <c r="BW251" s="282">
        <f>$H$251*月別販売比率!AV5</f>
        <v>1.5054442831824946</v>
      </c>
      <c r="BX251" s="103"/>
      <c r="BY251" s="282">
        <f>$H$251*月別販売比率!BA5</f>
        <v>1.3751271507636686</v>
      </c>
      <c r="BZ251" s="103"/>
      <c r="CA251" s="282">
        <f>$H$251*月別販売比率!BF5</f>
        <v>1.9777777777777774</v>
      </c>
      <c r="CB251" s="117"/>
      <c r="CC251" s="282">
        <f>H251*月別販売比率!$C$21</f>
        <v>1.7519217636971602</v>
      </c>
      <c r="CD251" s="117"/>
      <c r="CE251" s="282">
        <f>H251*月別販売比率!$H$21</f>
        <v>1.7305555555555554</v>
      </c>
      <c r="CF251" s="117"/>
      <c r="CG251" s="282">
        <f>H251*月別販売比率!$M$21</f>
        <v>2.4985189811125568</v>
      </c>
      <c r="CH251" s="117"/>
      <c r="CI251" s="282">
        <f>H251*月別販売比率!$R$21</f>
        <v>1.9777777777777774</v>
      </c>
      <c r="CJ251" s="117"/>
      <c r="CK251" s="282">
        <f>H251*月別販売比率!$W$21</f>
        <v>1.8830105858975696</v>
      </c>
      <c r="CL251" s="117"/>
      <c r="CM251" s="282">
        <f>H251*月別販売比率!$AB$21</f>
        <v>2.9666666666666659</v>
      </c>
      <c r="CN251" s="117"/>
      <c r="CO251" s="282">
        <f>H251*月別販売比率!$AG$21</f>
        <v>2.4722222222222219</v>
      </c>
      <c r="CP251" s="117"/>
      <c r="CQ251" s="282">
        <f>H251*月別販売比率!$AL$21</f>
        <v>2.2249999999999996</v>
      </c>
      <c r="CR251" s="117"/>
      <c r="CS251" s="282">
        <f>H251*月別販売比率!$AQ$21</f>
        <v>2.4722222222222219</v>
      </c>
      <c r="CT251" s="117"/>
      <c r="CU251" s="282">
        <f>H251*月別販売比率!$AV$21</f>
        <v>1.5054442831824946</v>
      </c>
      <c r="CV251" s="103"/>
      <c r="CW251" s="282">
        <f>H251*月別販売比率!$BA$21</f>
        <v>1.3751271507636686</v>
      </c>
      <c r="CX251" s="103"/>
      <c r="CY251" s="282">
        <f>H251*月別販売比率!$BF$21</f>
        <v>1.9777777777777774</v>
      </c>
      <c r="CZ251" s="103"/>
      <c r="DA251" s="303"/>
      <c r="DB251" s="300"/>
    </row>
    <row r="252" spans="2:106" ht="30.6" customHeight="1">
      <c r="B252" s="2">
        <v>19</v>
      </c>
      <c r="C252" s="435" t="s">
        <v>494</v>
      </c>
      <c r="D252" s="436"/>
      <c r="E252" s="445"/>
      <c r="F252" s="130">
        <f>SUM(F253:F254)</f>
        <v>955</v>
      </c>
      <c r="G252" s="131">
        <f>SUM(G253:G254)</f>
        <v>2416150</v>
      </c>
      <c r="H252" s="130">
        <v>1550</v>
      </c>
      <c r="I252" s="131">
        <f t="shared" ref="I252:N252" si="426">SUM(I253:I254)</f>
        <v>3921500</v>
      </c>
      <c r="J252" s="133">
        <f t="shared" si="426"/>
        <v>0</v>
      </c>
      <c r="K252" s="134">
        <f t="shared" si="426"/>
        <v>1368</v>
      </c>
      <c r="L252" s="134">
        <f t="shared" si="426"/>
        <v>467</v>
      </c>
      <c r="M252" s="134">
        <f t="shared" si="426"/>
        <v>1</v>
      </c>
      <c r="N252" s="135">
        <f t="shared" si="426"/>
        <v>900</v>
      </c>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6">
        <f t="shared" ref="AS252:CB252" si="427">SUM(AS253:AS254)</f>
        <v>119.24111873305844</v>
      </c>
      <c r="AT252" s="134">
        <f t="shared" si="427"/>
        <v>240</v>
      </c>
      <c r="AU252" s="136">
        <f t="shared" si="427"/>
        <v>86.335265194797941</v>
      </c>
      <c r="AV252" s="134">
        <f t="shared" si="427"/>
        <v>0</v>
      </c>
      <c r="AW252" s="136">
        <f t="shared" si="427"/>
        <v>61.195546153403541</v>
      </c>
      <c r="AX252" s="134">
        <f t="shared" si="427"/>
        <v>300</v>
      </c>
      <c r="AY252" s="136">
        <f t="shared" si="427"/>
        <v>55.218013113668867</v>
      </c>
      <c r="AZ252" s="134">
        <f t="shared" si="427"/>
        <v>0</v>
      </c>
      <c r="BA252" s="136">
        <f t="shared" si="427"/>
        <v>43.164261347222748</v>
      </c>
      <c r="BB252" s="134">
        <f t="shared" si="427"/>
        <v>0</v>
      </c>
      <c r="BC252" s="136">
        <f t="shared" si="427"/>
        <v>51.998469195374525</v>
      </c>
      <c r="BD252" s="134">
        <f t="shared" si="427"/>
        <v>0</v>
      </c>
      <c r="BE252" s="136">
        <f t="shared" si="427"/>
        <v>100.99959050679681</v>
      </c>
      <c r="BF252" s="134">
        <f t="shared" si="427"/>
        <v>0</v>
      </c>
      <c r="BG252" s="136">
        <f t="shared" si="427"/>
        <v>155</v>
      </c>
      <c r="BH252" s="134">
        <f t="shared" si="427"/>
        <v>0</v>
      </c>
      <c r="BI252" s="136">
        <f t="shared" si="427"/>
        <v>155</v>
      </c>
      <c r="BJ252" s="134">
        <f t="shared" si="427"/>
        <v>300</v>
      </c>
      <c r="BK252" s="136">
        <f t="shared" si="427"/>
        <v>334.91409046141837</v>
      </c>
      <c r="BL252" s="134">
        <f t="shared" si="427"/>
        <v>0</v>
      </c>
      <c r="BM252" s="136">
        <f t="shared" si="427"/>
        <v>195.20151474917009</v>
      </c>
      <c r="BN252" s="134">
        <f t="shared" si="427"/>
        <v>0</v>
      </c>
      <c r="BO252" s="136">
        <f t="shared" si="427"/>
        <v>192.72701711982134</v>
      </c>
      <c r="BP252" s="134">
        <f t="shared" si="427"/>
        <v>300</v>
      </c>
      <c r="BQ252" s="136">
        <f t="shared" si="427"/>
        <v>119.24111873305844</v>
      </c>
      <c r="BR252" s="134">
        <f t="shared" si="427"/>
        <v>0</v>
      </c>
      <c r="BS252" s="136">
        <f t="shared" si="427"/>
        <v>86.335265194797941</v>
      </c>
      <c r="BT252" s="134">
        <f t="shared" si="427"/>
        <v>0</v>
      </c>
      <c r="BU252" s="136">
        <f t="shared" si="427"/>
        <v>61.195546153403541</v>
      </c>
      <c r="BV252" s="134">
        <f t="shared" si="427"/>
        <v>600</v>
      </c>
      <c r="BW252" s="136">
        <f t="shared" si="427"/>
        <v>55.218013113668867</v>
      </c>
      <c r="BX252" s="134">
        <f t="shared" si="427"/>
        <v>0</v>
      </c>
      <c r="BY252" s="136">
        <f t="shared" si="427"/>
        <v>43.164261347222748</v>
      </c>
      <c r="BZ252" s="134">
        <f t="shared" si="427"/>
        <v>0</v>
      </c>
      <c r="CA252" s="136">
        <f t="shared" si="427"/>
        <v>51.998469195374525</v>
      </c>
      <c r="CB252" s="134">
        <f t="shared" si="427"/>
        <v>0</v>
      </c>
      <c r="CC252" s="136">
        <f t="shared" ref="CC252:CD252" si="428">SUM(CC253:CC254)</f>
        <v>100.99959050679681</v>
      </c>
      <c r="CD252" s="134">
        <f t="shared" si="428"/>
        <v>0</v>
      </c>
      <c r="CE252" s="136">
        <f t="shared" ref="CE252:CF252" si="429">SUM(CE253:CE254)</f>
        <v>155</v>
      </c>
      <c r="CF252" s="134">
        <f t="shared" si="429"/>
        <v>0</v>
      </c>
      <c r="CG252" s="136">
        <f t="shared" ref="CG252:CJ252" si="430">SUM(CG253:CG254)</f>
        <v>155</v>
      </c>
      <c r="CH252" s="134">
        <f t="shared" si="430"/>
        <v>0</v>
      </c>
      <c r="CI252" s="136">
        <f t="shared" si="430"/>
        <v>334.91409046141837</v>
      </c>
      <c r="CJ252" s="134">
        <f t="shared" si="430"/>
        <v>900</v>
      </c>
      <c r="CK252" s="136">
        <f t="shared" ref="CK252:CN252" si="431">SUM(CK253:CK254)</f>
        <v>195.20151474917009</v>
      </c>
      <c r="CL252" s="134">
        <f t="shared" si="431"/>
        <v>0</v>
      </c>
      <c r="CM252" s="136">
        <f t="shared" si="431"/>
        <v>192.72701711982134</v>
      </c>
      <c r="CN252" s="134">
        <f t="shared" si="431"/>
        <v>0</v>
      </c>
      <c r="CO252" s="136">
        <f t="shared" ref="CO252:CR252" si="432">SUM(CO253:CO254)</f>
        <v>119.24111873305844</v>
      </c>
      <c r="CP252" s="134">
        <f t="shared" si="432"/>
        <v>0</v>
      </c>
      <c r="CQ252" s="136">
        <f t="shared" si="432"/>
        <v>86.335265194797941</v>
      </c>
      <c r="CR252" s="134">
        <f t="shared" si="432"/>
        <v>0</v>
      </c>
      <c r="CS252" s="136">
        <f t="shared" ref="CS252:CX252" si="433">SUM(CS253:CS254)</f>
        <v>61.195546153403541</v>
      </c>
      <c r="CT252" s="134">
        <f t="shared" si="433"/>
        <v>0</v>
      </c>
      <c r="CU252" s="136">
        <v>55.218013113668867</v>
      </c>
      <c r="CV252" s="134">
        <f t="shared" si="433"/>
        <v>0</v>
      </c>
      <c r="CW252" s="136">
        <f t="shared" si="433"/>
        <v>43.164261347222748</v>
      </c>
      <c r="CX252" s="134">
        <f t="shared" si="433"/>
        <v>0</v>
      </c>
      <c r="CY252" s="136">
        <f t="shared" ref="CY252:CZ252" si="434">SUM(CY253:CY254)</f>
        <v>0</v>
      </c>
      <c r="CZ252" s="134">
        <f t="shared" si="434"/>
        <v>0</v>
      </c>
      <c r="DA252" s="141"/>
      <c r="DB252" s="293"/>
    </row>
    <row r="253" spans="2:106" ht="30.75" customHeight="1">
      <c r="C253" s="488" t="s">
        <v>358</v>
      </c>
      <c r="D253" s="98">
        <v>1</v>
      </c>
      <c r="E253" s="111"/>
      <c r="F253" s="56">
        <v>682</v>
      </c>
      <c r="G253" s="46">
        <f>F253*2530</f>
        <v>1725460</v>
      </c>
      <c r="H253" s="7">
        <f>F253*($H$252/$F$252)</f>
        <v>1106.9109947643979</v>
      </c>
      <c r="I253" s="46">
        <f>H253*2530</f>
        <v>2800484.8167539267</v>
      </c>
      <c r="J253" s="388"/>
      <c r="K253" s="39">
        <f>SUM(L253:N253)</f>
        <v>922</v>
      </c>
      <c r="L253" s="39">
        <v>322</v>
      </c>
      <c r="M253" s="39">
        <v>0</v>
      </c>
      <c r="N253" s="42">
        <v>600</v>
      </c>
      <c r="O253" s="310"/>
      <c r="P253" s="43"/>
      <c r="Q253" s="129"/>
      <c r="R253" s="129"/>
      <c r="S253" s="129"/>
      <c r="T253" s="129"/>
      <c r="U253" s="129"/>
      <c r="V253" s="129"/>
      <c r="W253" s="129"/>
      <c r="X253" s="129"/>
      <c r="Y253" s="129"/>
      <c r="Z253" s="129"/>
      <c r="AA253" s="129"/>
      <c r="AB253" s="129"/>
      <c r="AC253" s="129"/>
      <c r="AD253" s="129"/>
      <c r="AE253" s="129"/>
      <c r="AF253" s="129"/>
      <c r="AG253" s="129"/>
      <c r="AH253" s="129"/>
      <c r="AI253" s="129">
        <f>SUM(J253:K253)-CI253+CJ253</f>
        <v>1282.8257490107985</v>
      </c>
      <c r="AJ253" s="129">
        <f t="shared" ref="AJ253:AJ254" si="435">AI253-CK253+CL253</f>
        <v>1143.4252955459463</v>
      </c>
      <c r="AK253" s="129">
        <f t="shared" ref="AK253:AK254" si="436">AJ253-CM253+CN253</f>
        <v>1005.7919702310581</v>
      </c>
      <c r="AL253" s="129">
        <f t="shared" ref="AL253:AL254" si="437">AK253-CO253+CP253</f>
        <v>920.63757968032951</v>
      </c>
      <c r="AM253" s="129">
        <f t="shared" ref="AM253:AM254" si="438">AL253-CQ253+CR253</f>
        <v>858.98244788676698</v>
      </c>
      <c r="AN253" s="399">
        <f t="shared" ref="AN253:AN254" si="439">AM253-CS253+CT253</f>
        <v>815.28049764946729</v>
      </c>
      <c r="AO253" s="393">
        <f t="shared" ref="AO253:AO254" si="440">AN253-CU253+CV253</f>
        <v>775.84731969813515</v>
      </c>
      <c r="AP253" s="96">
        <f t="shared" ref="AP253:AP254" si="441">AO253-CW253+CX253</f>
        <v>745.02216133289335</v>
      </c>
      <c r="AQ253" s="91">
        <f t="shared" ref="AQ253:AQ254" si="442">AP253-CY253+CZ253</f>
        <v>745.02216133289335</v>
      </c>
      <c r="AR253" s="198"/>
      <c r="AS253" s="245">
        <f>$H$253*月別販売比率!AG7</f>
        <v>85.15439055072865</v>
      </c>
      <c r="AT253" s="280">
        <v>240</v>
      </c>
      <c r="AU253" s="81">
        <f>$H$253*月別販売比率!AL7</f>
        <v>61.655131793562511</v>
      </c>
      <c r="AV253" s="39"/>
      <c r="AW253" s="245">
        <f>$H$253*月別販売比率!AQ7</f>
        <v>43.701950237299698</v>
      </c>
      <c r="AX253" s="280"/>
      <c r="AY253" s="81">
        <f>$H$253*月別販売比率!AV7</f>
        <v>39.433177951332112</v>
      </c>
      <c r="AZ253" s="39"/>
      <c r="BA253" s="81">
        <f>$H$253*月別販売比率!BA7</f>
        <v>30.825158365241798</v>
      </c>
      <c r="BB253" s="39"/>
      <c r="BC253" s="81">
        <f>$H$253*月別販売比率!BF7</f>
        <v>37.133985331147045</v>
      </c>
      <c r="BD253" s="39"/>
      <c r="BE253" s="81">
        <f>$H$253*月別販売比率!C23</f>
        <v>72.127456257209872</v>
      </c>
      <c r="BF253" s="39"/>
      <c r="BG253" s="81">
        <f>$H$253*月別販売比率!H23</f>
        <v>110.69109947643979</v>
      </c>
      <c r="BH253" s="39"/>
      <c r="BI253" s="245">
        <f>$H$253*月別販売比率!M23</f>
        <v>110.69109947643979</v>
      </c>
      <c r="BJ253" s="280">
        <v>300</v>
      </c>
      <c r="BK253" s="81">
        <f>$H$253*月別販売比率!R23</f>
        <v>239.1742509892014</v>
      </c>
      <c r="BL253" s="39"/>
      <c r="BM253" s="81">
        <f>$H$253*月別販売比率!W23</f>
        <v>139.40045346485235</v>
      </c>
      <c r="BN253" s="39"/>
      <c r="BO253" s="245">
        <f>$H$253*月別販売比率!AB23</f>
        <v>137.63332531488811</v>
      </c>
      <c r="BP253" s="280">
        <v>300</v>
      </c>
      <c r="BQ253" s="81">
        <f>$H$253*月別販売比率!AG23</f>
        <v>85.15439055072865</v>
      </c>
      <c r="BR253" s="39"/>
      <c r="BS253" s="81">
        <f>$H$253*月別販売比率!AL23</f>
        <v>61.655131793562511</v>
      </c>
      <c r="BT253" s="39"/>
      <c r="BU253" s="245">
        <f>$H$253*月別販売比率!AQ23</f>
        <v>43.701950237299698</v>
      </c>
      <c r="BV253" s="280">
        <v>300</v>
      </c>
      <c r="BW253" s="81">
        <f>$H$253*月別販売比率!AV23</f>
        <v>39.433177951332112</v>
      </c>
      <c r="BX253" s="39"/>
      <c r="BY253" s="81">
        <f>$H$253*月別販売比率!BA23</f>
        <v>30.825158365241798</v>
      </c>
      <c r="BZ253" s="39"/>
      <c r="CA253" s="81">
        <f>$H$253*月別販売比率!BF23</f>
        <v>37.133985331147045</v>
      </c>
      <c r="CB253" s="42"/>
      <c r="CC253" s="81">
        <f>H253*月別販売比率!$C$23</f>
        <v>72.127456257209872</v>
      </c>
      <c r="CD253" s="42"/>
      <c r="CE253" s="81">
        <f>H253*月別販売比率!$H$23</f>
        <v>110.69109947643979</v>
      </c>
      <c r="CF253" s="42"/>
      <c r="CG253" s="81">
        <f>H253*月別販売比率!$M$23</f>
        <v>110.69109947643979</v>
      </c>
      <c r="CH253" s="42"/>
      <c r="CI253" s="81">
        <f>H253*月別販売比率!$R$23</f>
        <v>239.1742509892014</v>
      </c>
      <c r="CJ253" s="243">
        <v>600</v>
      </c>
      <c r="CK253" s="81">
        <f>H253*月別販売比率!$W$23</f>
        <v>139.40045346485235</v>
      </c>
      <c r="CL253" s="42"/>
      <c r="CM253" s="81">
        <f>H253*月別販売比率!$AB$23</f>
        <v>137.63332531488811</v>
      </c>
      <c r="CN253" s="42"/>
      <c r="CO253" s="81">
        <f>H253*月別販売比率!$AG$23</f>
        <v>85.15439055072865</v>
      </c>
      <c r="CP253" s="42"/>
      <c r="CQ253" s="81">
        <f>H253*月別販売比率!$AL$23</f>
        <v>61.655131793562511</v>
      </c>
      <c r="CR253" s="42"/>
      <c r="CS253" s="81">
        <f>H253*月別販売比率!$AQ$23</f>
        <v>43.701950237299698</v>
      </c>
      <c r="CT253" s="42"/>
      <c r="CU253" s="81">
        <f>H253*月別販売比率!$AV$23</f>
        <v>39.433177951332112</v>
      </c>
      <c r="CV253" s="39"/>
      <c r="CW253" s="81">
        <f>H253*月別販売比率!$BA$23</f>
        <v>30.825158365241798</v>
      </c>
      <c r="CX253" s="39"/>
      <c r="CY253" s="81">
        <f>J253*月別販売比率!$BF$23</f>
        <v>0</v>
      </c>
      <c r="CZ253" s="39"/>
      <c r="DA253" s="28"/>
      <c r="DB253" s="294"/>
    </row>
    <row r="254" spans="2:106" ht="30.75" customHeight="1">
      <c r="C254" s="489"/>
      <c r="D254" s="93">
        <v>2</v>
      </c>
      <c r="E254" s="269"/>
      <c r="F254" s="126">
        <v>273</v>
      </c>
      <c r="G254" s="53">
        <f>F254*2530</f>
        <v>690690</v>
      </c>
      <c r="H254" s="52">
        <f>F254*($H$252/$F$252)</f>
        <v>443.08900523560209</v>
      </c>
      <c r="I254" s="53">
        <f>H254*2530</f>
        <v>1121015.1832460733</v>
      </c>
      <c r="J254" s="390"/>
      <c r="K254" s="107">
        <f>SUM(L254:N254)</f>
        <v>446</v>
      </c>
      <c r="L254" s="107">
        <v>145</v>
      </c>
      <c r="M254" s="107">
        <v>1</v>
      </c>
      <c r="N254" s="44">
        <v>300</v>
      </c>
      <c r="O254" s="281"/>
      <c r="P254" s="115"/>
      <c r="Q254" s="305"/>
      <c r="R254" s="305"/>
      <c r="S254" s="238"/>
      <c r="T254" s="238"/>
      <c r="U254" s="238"/>
      <c r="V254" s="238"/>
      <c r="W254" s="238"/>
      <c r="X254" s="238"/>
      <c r="Y254" s="238"/>
      <c r="Z254" s="238"/>
      <c r="AA254" s="238"/>
      <c r="AB254" s="238"/>
      <c r="AC254" s="238"/>
      <c r="AD254" s="238"/>
      <c r="AE254" s="238"/>
      <c r="AF254" s="238"/>
      <c r="AG254" s="238"/>
      <c r="AH254" s="238"/>
      <c r="AI254" s="238">
        <f t="shared" ref="AI254" si="443">SUM(J254:K254)-CI254+CJ254</f>
        <v>650.260160527783</v>
      </c>
      <c r="AJ254" s="238">
        <f t="shared" si="435"/>
        <v>594.45909924346529</v>
      </c>
      <c r="AK254" s="238">
        <f t="shared" si="436"/>
        <v>539.36540743853209</v>
      </c>
      <c r="AL254" s="238">
        <f t="shared" si="437"/>
        <v>505.27867925620228</v>
      </c>
      <c r="AM254" s="238">
        <f t="shared" si="438"/>
        <v>480.59854585496686</v>
      </c>
      <c r="AN254" s="401">
        <f t="shared" si="439"/>
        <v>463.104949938863</v>
      </c>
      <c r="AO254" s="395">
        <f t="shared" si="440"/>
        <v>447.32011477652622</v>
      </c>
      <c r="AP254" s="403">
        <f t="shared" si="441"/>
        <v>434.98101179454528</v>
      </c>
      <c r="AQ254" s="90">
        <f t="shared" si="442"/>
        <v>434.98101179454528</v>
      </c>
      <c r="AR254" s="238"/>
      <c r="AS254" s="301">
        <f>$H$254*月別販売比率!AG7</f>
        <v>34.0867281823298</v>
      </c>
      <c r="AT254" s="302"/>
      <c r="AU254" s="282">
        <f>$H$254*月別販売比率!AL7</f>
        <v>24.680133401235434</v>
      </c>
      <c r="AV254" s="103"/>
      <c r="AW254" s="301">
        <f>$H$254*月別販売比率!AQ7</f>
        <v>17.493595916103839</v>
      </c>
      <c r="AX254" s="302">
        <v>300</v>
      </c>
      <c r="AY254" s="282">
        <f>$H$254*月別販売比率!AV7</f>
        <v>15.784835162336755</v>
      </c>
      <c r="AZ254" s="117"/>
      <c r="BA254" s="282">
        <f>$H$254*月別販売比率!BA7</f>
        <v>12.339102981980954</v>
      </c>
      <c r="BB254" s="103"/>
      <c r="BC254" s="282">
        <f>$H$254*月別販売比率!BF7</f>
        <v>14.864483864227484</v>
      </c>
      <c r="BD254" s="117"/>
      <c r="BE254" s="282">
        <f>$H$254*月別販売比率!C23</f>
        <v>28.872134249586942</v>
      </c>
      <c r="BF254" s="103"/>
      <c r="BG254" s="282">
        <f>$H$254*月別販売比率!H23</f>
        <v>44.308900523560212</v>
      </c>
      <c r="BH254" s="103"/>
      <c r="BI254" s="301">
        <f>$H$254*月別販売比率!M23</f>
        <v>44.308900523560212</v>
      </c>
      <c r="BJ254" s="302"/>
      <c r="BK254" s="282">
        <f>$H$254*月別販売比率!R23</f>
        <v>95.739839472216985</v>
      </c>
      <c r="BL254" s="103"/>
      <c r="BM254" s="282">
        <f>$H$254*月別販売比率!W23</f>
        <v>55.801061284317726</v>
      </c>
      <c r="BN254" s="103"/>
      <c r="BO254" s="301">
        <f>$H$254*月別販売比率!AB23</f>
        <v>55.093691804933222</v>
      </c>
      <c r="BP254" s="302"/>
      <c r="BQ254" s="282">
        <f>$H$254*月別販売比率!AG23</f>
        <v>34.0867281823298</v>
      </c>
      <c r="BR254" s="103"/>
      <c r="BS254" s="282">
        <f>$H$254*月別販売比率!AL23</f>
        <v>24.680133401235434</v>
      </c>
      <c r="BT254" s="103"/>
      <c r="BU254" s="301">
        <f>$H$254*月別販売比率!AQ23</f>
        <v>17.493595916103839</v>
      </c>
      <c r="BV254" s="302">
        <v>300</v>
      </c>
      <c r="BW254" s="282">
        <f>$H$254*月別販売比率!AV23</f>
        <v>15.784835162336755</v>
      </c>
      <c r="BX254" s="103"/>
      <c r="BY254" s="282">
        <f>$H$254*月別販売比率!BA23</f>
        <v>12.339102981980954</v>
      </c>
      <c r="BZ254" s="103"/>
      <c r="CA254" s="282">
        <f>$H$254*月別販売比率!BF23</f>
        <v>14.864483864227484</v>
      </c>
      <c r="CB254" s="117"/>
      <c r="CC254" s="282">
        <f>H254*月別販売比率!$C$23</f>
        <v>28.872134249586942</v>
      </c>
      <c r="CD254" s="117"/>
      <c r="CE254" s="282">
        <f>H254*月別販売比率!$H$23</f>
        <v>44.308900523560212</v>
      </c>
      <c r="CF254" s="117"/>
      <c r="CG254" s="282">
        <f>H254*月別販売比率!$M$23</f>
        <v>44.308900523560212</v>
      </c>
      <c r="CH254" s="117"/>
      <c r="CI254" s="282">
        <f>H254*月別販売比率!$R$23</f>
        <v>95.739839472216985</v>
      </c>
      <c r="CJ254" s="352">
        <v>300</v>
      </c>
      <c r="CK254" s="282">
        <f>H254*月別販売比率!$W$23</f>
        <v>55.801061284317726</v>
      </c>
      <c r="CL254" s="117"/>
      <c r="CM254" s="282">
        <f>H254*月別販売比率!$AB$23</f>
        <v>55.093691804933222</v>
      </c>
      <c r="CN254" s="117"/>
      <c r="CO254" s="282">
        <f>H254*月別販売比率!$AG$23</f>
        <v>34.0867281823298</v>
      </c>
      <c r="CP254" s="117"/>
      <c r="CQ254" s="282">
        <f>H254*月別販売比率!$AL$23</f>
        <v>24.680133401235434</v>
      </c>
      <c r="CR254" s="117"/>
      <c r="CS254" s="282">
        <f>H254*月別販売比率!$AQ$23</f>
        <v>17.493595916103839</v>
      </c>
      <c r="CT254" s="117"/>
      <c r="CU254" s="282">
        <f>H254*月別販売比率!$AV$23</f>
        <v>15.784835162336755</v>
      </c>
      <c r="CV254" s="103"/>
      <c r="CW254" s="282">
        <f>H254*月別販売比率!$BA$23</f>
        <v>12.339102981980954</v>
      </c>
      <c r="CX254" s="103"/>
      <c r="CY254" s="282">
        <f>J254*月別販売比率!$BF$23</f>
        <v>0</v>
      </c>
      <c r="CZ254" s="103"/>
      <c r="DA254" s="303"/>
      <c r="DB254" s="300"/>
    </row>
    <row r="255" spans="2:106" ht="30.6" customHeight="1">
      <c r="B255" s="2">
        <v>20</v>
      </c>
      <c r="C255" s="435" t="s">
        <v>288</v>
      </c>
      <c r="D255" s="436"/>
      <c r="E255" s="445"/>
      <c r="F255" s="130">
        <f>SUM(F256:F257)</f>
        <v>670</v>
      </c>
      <c r="G255" s="131">
        <f>SUM(G256:G257)</f>
        <v>2211000</v>
      </c>
      <c r="H255" s="130">
        <v>1000</v>
      </c>
      <c r="I255" s="131">
        <f>SUM(I256:I258)</f>
        <v>3234000</v>
      </c>
      <c r="J255" s="147">
        <f t="shared" ref="J255:N255" si="444">SUM(J256:J257)</f>
        <v>1</v>
      </c>
      <c r="K255" s="148">
        <f t="shared" si="444"/>
        <v>75</v>
      </c>
      <c r="L255" s="148">
        <f t="shared" si="444"/>
        <v>0</v>
      </c>
      <c r="M255" s="148">
        <f t="shared" si="444"/>
        <v>18</v>
      </c>
      <c r="N255" s="149">
        <f t="shared" si="444"/>
        <v>57</v>
      </c>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6">
        <f t="shared" ref="AS255:CA255" si="445">SUM(AS256:AS257)</f>
        <v>50.004340113863222</v>
      </c>
      <c r="AT255" s="134">
        <f t="shared" si="445"/>
        <v>0</v>
      </c>
      <c r="AU255" s="136">
        <f t="shared" si="445"/>
        <v>36.205111210721718</v>
      </c>
      <c r="AV255" s="134">
        <f t="shared" si="445"/>
        <v>269</v>
      </c>
      <c r="AW255" s="136">
        <f t="shared" si="445"/>
        <v>25.662648386911162</v>
      </c>
      <c r="AX255" s="134">
        <f t="shared" si="445"/>
        <v>0</v>
      </c>
      <c r="AY255" s="136">
        <f t="shared" si="445"/>
        <v>23.15594098315146</v>
      </c>
      <c r="AZ255" s="134">
        <f t="shared" si="445"/>
        <v>0</v>
      </c>
      <c r="BA255" s="136">
        <f t="shared" si="445"/>
        <v>18.101141855286961</v>
      </c>
      <c r="BB255" s="134">
        <f t="shared" si="445"/>
        <v>0</v>
      </c>
      <c r="BC255" s="136">
        <f t="shared" si="445"/>
        <v>21.805809662576415</v>
      </c>
      <c r="BD255" s="134">
        <f t="shared" si="445"/>
        <v>0</v>
      </c>
      <c r="BE255" s="136">
        <f t="shared" si="445"/>
        <v>42.354666986721249</v>
      </c>
      <c r="BF255" s="134">
        <f t="shared" si="445"/>
        <v>170</v>
      </c>
      <c r="BG255" s="136">
        <f t="shared" si="445"/>
        <v>65</v>
      </c>
      <c r="BH255" s="134">
        <f t="shared" si="445"/>
        <v>229</v>
      </c>
      <c r="BI255" s="136">
        <f t="shared" si="445"/>
        <v>65</v>
      </c>
      <c r="BJ255" s="134">
        <f t="shared" si="445"/>
        <v>60</v>
      </c>
      <c r="BK255" s="136">
        <f t="shared" si="445"/>
        <v>140.44784438704642</v>
      </c>
      <c r="BL255" s="134">
        <f t="shared" si="445"/>
        <v>320</v>
      </c>
      <c r="BM255" s="136">
        <f t="shared" si="445"/>
        <v>81.85869973352294</v>
      </c>
      <c r="BN255" s="134">
        <f t="shared" si="445"/>
        <v>0</v>
      </c>
      <c r="BO255" s="136">
        <f t="shared" si="445"/>
        <v>80.821007179279931</v>
      </c>
      <c r="BP255" s="134">
        <f>SUM(BP256:BP258)</f>
        <v>270</v>
      </c>
      <c r="BQ255" s="136">
        <f t="shared" si="445"/>
        <v>50.004340113863222</v>
      </c>
      <c r="BR255" s="134">
        <f>SUM(BR256:BR258)</f>
        <v>40</v>
      </c>
      <c r="BS255" s="136">
        <f t="shared" si="445"/>
        <v>36.205111210721718</v>
      </c>
      <c r="BT255" s="134">
        <f>SUM(BT256:BT258)</f>
        <v>0</v>
      </c>
      <c r="BU255" s="136">
        <f t="shared" si="445"/>
        <v>25.662648386911162</v>
      </c>
      <c r="BV255" s="134">
        <f>SUM(BV256:BV258)</f>
        <v>190</v>
      </c>
      <c r="BW255" s="136">
        <f t="shared" si="445"/>
        <v>23.15594098315146</v>
      </c>
      <c r="BX255" s="134">
        <f>SUM(BX256:BX258)</f>
        <v>0</v>
      </c>
      <c r="BY255" s="136">
        <f t="shared" si="445"/>
        <v>18.101141855286961</v>
      </c>
      <c r="BZ255" s="134">
        <f>SUM(BZ256:BZ258)</f>
        <v>0</v>
      </c>
      <c r="CA255" s="136">
        <f t="shared" si="445"/>
        <v>21.805809662576415</v>
      </c>
      <c r="CB255" s="134">
        <f>SUM(CB256:CB258)</f>
        <v>0</v>
      </c>
      <c r="CC255" s="136">
        <f t="shared" ref="CC255:CE255" si="446">SUM(CC256:CC257)</f>
        <v>42.354666986721249</v>
      </c>
      <c r="CD255" s="134">
        <f>SUM(CD256:CD258)</f>
        <v>395</v>
      </c>
      <c r="CE255" s="136">
        <f t="shared" si="446"/>
        <v>65</v>
      </c>
      <c r="CF255" s="134">
        <f>SUM(CF256:CF258)</f>
        <v>250</v>
      </c>
      <c r="CG255" s="136">
        <f t="shared" ref="CG255" si="447">SUM(CG256:CG257)</f>
        <v>65</v>
      </c>
      <c r="CH255" s="134">
        <f>SUM(CH256:CH258)</f>
        <v>250</v>
      </c>
      <c r="CI255" s="136">
        <f t="shared" ref="CI255" si="448">SUM(CI256:CI257)</f>
        <v>140.44784438704642</v>
      </c>
      <c r="CJ255" s="134">
        <f>SUM(CJ256:CJ258)</f>
        <v>58</v>
      </c>
      <c r="CK255" s="136">
        <f t="shared" ref="CK255" si="449">SUM(CK256:CK257)</f>
        <v>81.85869973352294</v>
      </c>
      <c r="CL255" s="134">
        <f>SUM(CL256:CL258)</f>
        <v>650</v>
      </c>
      <c r="CM255" s="136">
        <f t="shared" ref="CM255" si="450">SUM(CM256:CM257)</f>
        <v>80.821007179279931</v>
      </c>
      <c r="CN255" s="134">
        <f>SUM(CN256:CN258)</f>
        <v>0</v>
      </c>
      <c r="CO255" s="136">
        <f t="shared" ref="CO255" si="451">SUM(CO256:CO257)</f>
        <v>50.004340113863222</v>
      </c>
      <c r="CP255" s="134">
        <f>SUM(CP256:CP258)</f>
        <v>350</v>
      </c>
      <c r="CQ255" s="136">
        <f t="shared" ref="CQ255" si="452">SUM(CQ256:CQ257)</f>
        <v>36.205111210721718</v>
      </c>
      <c r="CR255" s="134">
        <f>SUM(CR256:CR258)</f>
        <v>0</v>
      </c>
      <c r="CS255" s="136">
        <f t="shared" ref="CS255" si="453">SUM(CS256:CS257)</f>
        <v>25.662648386911162</v>
      </c>
      <c r="CT255" s="134">
        <f>SUM(CT256:CT258)</f>
        <v>0</v>
      </c>
      <c r="CU255" s="136">
        <v>23.15594098315146</v>
      </c>
      <c r="CV255" s="134">
        <f>SUM(CV256:CV258)</f>
        <v>0</v>
      </c>
      <c r="CW255" s="136">
        <f t="shared" ref="CW255:CY255" si="454">SUM(CW256:CW257)</f>
        <v>18.101141855286961</v>
      </c>
      <c r="CX255" s="134">
        <f>SUM(CX256:CX258)</f>
        <v>0</v>
      </c>
      <c r="CY255" s="136">
        <f t="shared" si="454"/>
        <v>3.3547399480886794E-2</v>
      </c>
      <c r="CZ255" s="134">
        <f>SUM(CZ256:CZ258)</f>
        <v>0</v>
      </c>
      <c r="DA255" s="141"/>
      <c r="DB255" s="293"/>
    </row>
    <row r="256" spans="2:106" ht="30.75" customHeight="1">
      <c r="B256" s="156"/>
      <c r="C256" s="490" t="s">
        <v>362</v>
      </c>
      <c r="D256" s="98">
        <v>1</v>
      </c>
      <c r="E256" s="111"/>
      <c r="F256" s="56">
        <v>335</v>
      </c>
      <c r="G256" s="46">
        <f>F256*3300</f>
        <v>1105500</v>
      </c>
      <c r="H256" s="7">
        <f>$H$255*0.4</f>
        <v>400</v>
      </c>
      <c r="I256" s="46">
        <f>H256*3300</f>
        <v>1320000</v>
      </c>
      <c r="J256" s="49">
        <v>1</v>
      </c>
      <c r="K256" s="39">
        <f>SUM(L256:N256)</f>
        <v>57</v>
      </c>
      <c r="L256" s="39">
        <v>0</v>
      </c>
      <c r="M256" s="39">
        <v>5</v>
      </c>
      <c r="N256" s="42">
        <v>52</v>
      </c>
      <c r="O256" s="288"/>
      <c r="P256" s="288"/>
      <c r="Q256" s="328"/>
      <c r="R256" s="129"/>
      <c r="S256" s="129"/>
      <c r="T256" s="129"/>
      <c r="U256" s="129"/>
      <c r="V256" s="345"/>
      <c r="W256" s="328"/>
      <c r="X256" s="331">
        <v>45849</v>
      </c>
      <c r="Y256" s="331"/>
      <c r="Z256" s="330"/>
      <c r="AA256" s="330"/>
      <c r="AB256" s="330"/>
      <c r="AC256" s="331">
        <v>46017</v>
      </c>
      <c r="AD256" s="129"/>
      <c r="AE256" s="129"/>
      <c r="AF256" s="328"/>
      <c r="AG256" s="331"/>
      <c r="AH256" s="331"/>
      <c r="AI256" s="129">
        <f t="shared" ref="AI256:AI258" si="455">SUM(J256:K256)-CI256+CJ256</f>
        <v>29.570557300279134</v>
      </c>
      <c r="AJ256" s="129">
        <f t="shared" ref="AJ256" si="456">AI256-CK256+CL256</f>
        <v>204.19597284888039</v>
      </c>
      <c r="AK256" s="129">
        <f t="shared" ref="AK256:AK258" si="457">AJ256-CM256+CN256</f>
        <v>154.45996843086198</v>
      </c>
      <c r="AL256" s="129">
        <f t="shared" ref="AL256:AL258" si="458">AK256-CO256+CP256</f>
        <v>273.68806682233077</v>
      </c>
      <c r="AM256" s="129">
        <f t="shared" ref="AM256:AM258" si="459">AL256-CQ256+CR256</f>
        <v>251.40799838496355</v>
      </c>
      <c r="AN256" s="399">
        <f t="shared" ref="AN256:AN258" si="460">AM256-CS256+CT256</f>
        <v>235.6155993776336</v>
      </c>
      <c r="AO256" s="393">
        <f t="shared" ref="AO256:AO258" si="461">AN256-CU256+CV256</f>
        <v>221.36578954184807</v>
      </c>
      <c r="AP256" s="96">
        <f t="shared" ref="AP256:AP258" si="462">AO256-CW256+CX256</f>
        <v>210.22662532320993</v>
      </c>
      <c r="AQ256" s="91">
        <f t="shared" ref="AQ256:AQ258" si="463">AP256-CY256+CZ256</f>
        <v>210.19307792372905</v>
      </c>
      <c r="AR256" s="198"/>
      <c r="AS256" s="81">
        <f>$H$256*月別販売比率!AG7</f>
        <v>30.771901608531216</v>
      </c>
      <c r="AT256" s="39"/>
      <c r="AU256" s="245">
        <f>$H$256*月別販売比率!AL7</f>
        <v>22.280068437367213</v>
      </c>
      <c r="AV256" s="280">
        <v>111</v>
      </c>
      <c r="AW256" s="81">
        <f>$H$256*月別販売比率!AQ7</f>
        <v>15.792399007329946</v>
      </c>
      <c r="AX256" s="39"/>
      <c r="AY256" s="81">
        <f>$H$256*月別販売比率!AV7</f>
        <v>14.249809835785515</v>
      </c>
      <c r="AZ256" s="39"/>
      <c r="BA256" s="81">
        <f>$H$256*月別販売比率!BA7</f>
        <v>11.139164218638129</v>
      </c>
      <c r="BB256" s="39"/>
      <c r="BC256" s="81">
        <f>$H$256*月別販売比率!BF7</f>
        <v>13.418959792354718</v>
      </c>
      <c r="BD256" s="39"/>
      <c r="BE256" s="245">
        <f>$H$256*月別販売比率!C23</f>
        <v>26.064410453366921</v>
      </c>
      <c r="BF256" s="280">
        <v>70</v>
      </c>
      <c r="BG256" s="245">
        <f>$H$256*月別販売比率!H23</f>
        <v>40</v>
      </c>
      <c r="BH256" s="280">
        <v>79</v>
      </c>
      <c r="BI256" s="245">
        <f>$H$256*月別販売比率!M23</f>
        <v>40</v>
      </c>
      <c r="BJ256" s="280">
        <v>0</v>
      </c>
      <c r="BK256" s="245">
        <f>$H$256*月別販売比率!R23</f>
        <v>86.429442699720866</v>
      </c>
      <c r="BL256" s="280">
        <v>200</v>
      </c>
      <c r="BM256" s="81">
        <f>$H$256*月別販売比率!W23</f>
        <v>50.374584451398732</v>
      </c>
      <c r="BN256" s="39"/>
      <c r="BO256" s="245">
        <f>$H$256*月別販売比率!AB23</f>
        <v>49.736004418018418</v>
      </c>
      <c r="BP256" s="280">
        <v>120</v>
      </c>
      <c r="BQ256" s="245">
        <f>$H$256*月別販売比率!AG23</f>
        <v>30.771901608531216</v>
      </c>
      <c r="BR256" s="280"/>
      <c r="BS256" s="81">
        <f>$H$256*月別販売比率!AL23</f>
        <v>22.280068437367213</v>
      </c>
      <c r="BT256" s="39"/>
      <c r="BU256" s="245">
        <f>$H$256*月別販売比率!AQ23</f>
        <v>15.792399007329946</v>
      </c>
      <c r="BV256" s="280">
        <v>100</v>
      </c>
      <c r="BW256" s="81">
        <f>$H$256*月別販売比率!AV23</f>
        <v>14.249809835785515</v>
      </c>
      <c r="BX256" s="39"/>
      <c r="BY256" s="81">
        <f>$H$256*月別販売比率!BA23</f>
        <v>11.139164218638129</v>
      </c>
      <c r="BZ256" s="39"/>
      <c r="CA256" s="81">
        <f>$H$256*月別販売比率!BF23</f>
        <v>13.418959792354718</v>
      </c>
      <c r="CB256" s="42"/>
      <c r="CC256" s="81">
        <f>H256*月別販売比率!$C$23</f>
        <v>26.064410453366921</v>
      </c>
      <c r="CD256" s="42">
        <v>220</v>
      </c>
      <c r="CE256" s="81">
        <f>H256*月別販売比率!$H$23</f>
        <v>40</v>
      </c>
      <c r="CF256" s="243">
        <v>100</v>
      </c>
      <c r="CG256" s="81">
        <f>H256*月別販売比率!$M$23</f>
        <v>40</v>
      </c>
      <c r="CH256" s="243">
        <v>100</v>
      </c>
      <c r="CI256" s="81">
        <f>H256*月別販売比率!$R$23</f>
        <v>86.429442699720866</v>
      </c>
      <c r="CJ256" s="243">
        <v>58</v>
      </c>
      <c r="CK256" s="81">
        <f>H256*月別販売比率!$W$23</f>
        <v>50.374584451398732</v>
      </c>
      <c r="CL256" s="42">
        <v>225</v>
      </c>
      <c r="CM256" s="81">
        <f>H256*月別販売比率!$AB$23</f>
        <v>49.736004418018418</v>
      </c>
      <c r="CN256" s="42"/>
      <c r="CO256" s="81">
        <f>H256*月別販売比率!$AG$23</f>
        <v>30.771901608531216</v>
      </c>
      <c r="CP256" s="42">
        <v>150</v>
      </c>
      <c r="CQ256" s="81">
        <f>H256*月別販売比率!$AL$23</f>
        <v>22.280068437367213</v>
      </c>
      <c r="CR256" s="42"/>
      <c r="CS256" s="81">
        <f>H256*月別販売比率!$AQ$23</f>
        <v>15.792399007329946</v>
      </c>
      <c r="CT256" s="42"/>
      <c r="CU256" s="81">
        <f>H256*月別販売比率!$AV$23</f>
        <v>14.249809835785515</v>
      </c>
      <c r="CV256" s="39"/>
      <c r="CW256" s="81">
        <f>H256*月別販売比率!$BA$23</f>
        <v>11.139164218638129</v>
      </c>
      <c r="CX256" s="39"/>
      <c r="CY256" s="81">
        <f>J256*月別販売比率!$BF$23</f>
        <v>3.3547399480886794E-2</v>
      </c>
      <c r="CZ256" s="39"/>
      <c r="DA256" s="28"/>
      <c r="DB256" s="294"/>
    </row>
    <row r="257" spans="2:106" ht="30.75" customHeight="1">
      <c r="C257" s="491"/>
      <c r="D257" s="93">
        <v>2</v>
      </c>
      <c r="E257" s="269"/>
      <c r="F257" s="120">
        <v>335</v>
      </c>
      <c r="G257" s="36">
        <f>F257*3300</f>
        <v>1105500</v>
      </c>
      <c r="H257" s="165">
        <v>250</v>
      </c>
      <c r="I257" s="36">
        <f>H257*3300</f>
        <v>825000</v>
      </c>
      <c r="J257" s="102">
        <v>0</v>
      </c>
      <c r="K257" s="39">
        <f>SUM(L257:N257)</f>
        <v>18</v>
      </c>
      <c r="L257" s="107">
        <v>0</v>
      </c>
      <c r="M257" s="107">
        <v>13</v>
      </c>
      <c r="N257" s="44">
        <v>5</v>
      </c>
      <c r="O257" s="357"/>
      <c r="P257" s="292"/>
      <c r="Q257" s="344"/>
      <c r="R257" s="25"/>
      <c r="S257" s="198"/>
      <c r="T257" s="198"/>
      <c r="U257" s="198"/>
      <c r="V257" s="344"/>
      <c r="W257" s="376"/>
      <c r="X257" s="331">
        <v>45849</v>
      </c>
      <c r="Y257" s="129"/>
      <c r="Z257" s="129"/>
      <c r="AA257" s="129"/>
      <c r="AB257" s="129"/>
      <c r="AC257" s="129"/>
      <c r="AD257" s="129"/>
      <c r="AE257" s="129"/>
      <c r="AF257" s="328"/>
      <c r="AG257" s="124"/>
      <c r="AH257" s="331"/>
      <c r="AI257" s="198">
        <f t="shared" si="455"/>
        <v>-36.018401687325543</v>
      </c>
      <c r="AJ257" s="198">
        <f>0-CK257+CL257</f>
        <v>178.51588471787579</v>
      </c>
      <c r="AK257" s="198">
        <f t="shared" si="457"/>
        <v>147.43088195661429</v>
      </c>
      <c r="AL257" s="198">
        <f t="shared" si="458"/>
        <v>228.19844345128229</v>
      </c>
      <c r="AM257" s="198">
        <f t="shared" si="459"/>
        <v>214.27340067792778</v>
      </c>
      <c r="AN257" s="402">
        <f t="shared" si="460"/>
        <v>204.40315129834656</v>
      </c>
      <c r="AO257" s="396">
        <f t="shared" si="461"/>
        <v>195.4970201509806</v>
      </c>
      <c r="AP257" s="199">
        <f t="shared" si="462"/>
        <v>188.53504251433176</v>
      </c>
      <c r="AQ257" s="194">
        <f t="shared" si="463"/>
        <v>188.53504251433176</v>
      </c>
      <c r="AR257" s="198"/>
      <c r="AS257" s="81">
        <f>$H$257*月別販売比率!AG7</f>
        <v>19.232438505332009</v>
      </c>
      <c r="AT257" s="79"/>
      <c r="AU257" s="245">
        <f>$H$257*月別販売比率!AL7</f>
        <v>13.925042773354507</v>
      </c>
      <c r="AV257" s="342">
        <v>158</v>
      </c>
      <c r="AW257" s="81">
        <f>$H$257*月別販売比率!AQ7</f>
        <v>9.8702493795812156</v>
      </c>
      <c r="AX257" s="79"/>
      <c r="AY257" s="81">
        <f>$H$257*月別販売比率!AV7</f>
        <v>8.9061311473659472</v>
      </c>
      <c r="AZ257" s="79"/>
      <c r="BA257" s="81">
        <f>$H$257*月別販売比率!BA7</f>
        <v>6.9619776366488315</v>
      </c>
      <c r="BB257" s="79"/>
      <c r="BC257" s="81">
        <f>$H$257*月別販売比率!BF7</f>
        <v>8.3868498702216989</v>
      </c>
      <c r="BD257" s="44"/>
      <c r="BE257" s="245">
        <f>$H$257*月別販売比率!C23</f>
        <v>16.290256533354327</v>
      </c>
      <c r="BF257" s="342">
        <v>100</v>
      </c>
      <c r="BG257" s="245">
        <f>$H$257*月別販売比率!H23</f>
        <v>25</v>
      </c>
      <c r="BH257" s="364">
        <v>150</v>
      </c>
      <c r="BI257" s="245">
        <f>$H$257*月別販売比率!M23</f>
        <v>25</v>
      </c>
      <c r="BJ257" s="342">
        <v>60</v>
      </c>
      <c r="BK257" s="245">
        <f>$H$257*月別販売比率!R23</f>
        <v>54.018401687325543</v>
      </c>
      <c r="BL257" s="342">
        <v>120</v>
      </c>
      <c r="BM257" s="81">
        <f>$H$257*月別販売比率!W23</f>
        <v>31.484115282124208</v>
      </c>
      <c r="BN257" s="79"/>
      <c r="BO257" s="245">
        <f>$H$257*月別販売比率!AB23</f>
        <v>31.08500276126151</v>
      </c>
      <c r="BP257" s="342">
        <v>70</v>
      </c>
      <c r="BQ257" s="245">
        <f>$H$257*月別販売比率!AG23</f>
        <v>19.232438505332009</v>
      </c>
      <c r="BR257" s="342"/>
      <c r="BS257" s="81">
        <f>$H$257*月別販売比率!AL23</f>
        <v>13.925042773354507</v>
      </c>
      <c r="BT257" s="79"/>
      <c r="BU257" s="245">
        <f>$H$257*月別販売比率!AQ23</f>
        <v>9.8702493795812156</v>
      </c>
      <c r="BV257" s="342">
        <v>30</v>
      </c>
      <c r="BW257" s="81">
        <f>$H$257*月別販売比率!AV23</f>
        <v>8.9061311473659472</v>
      </c>
      <c r="BX257" s="79"/>
      <c r="BY257" s="81">
        <f>$H$257*月別販売比率!BA23</f>
        <v>6.9619776366488315</v>
      </c>
      <c r="BZ257" s="79"/>
      <c r="CA257" s="81">
        <f>$H$257*月別販売比率!BF23</f>
        <v>8.3868498702216989</v>
      </c>
      <c r="CB257" s="44"/>
      <c r="CC257" s="245">
        <f>H257*月別販売比率!$C$23</f>
        <v>16.290256533354327</v>
      </c>
      <c r="CD257" s="364">
        <v>130</v>
      </c>
      <c r="CE257" s="81">
        <f>H257*月別販売比率!$H$23</f>
        <v>25</v>
      </c>
      <c r="CF257" s="364">
        <v>150</v>
      </c>
      <c r="CG257" s="81">
        <f>H257*月別販売比率!$M$23</f>
        <v>25</v>
      </c>
      <c r="CH257" s="364">
        <v>150</v>
      </c>
      <c r="CI257" s="81">
        <f>H257*月別販売比率!$R$23</f>
        <v>54.018401687325543</v>
      </c>
      <c r="CJ257" s="364"/>
      <c r="CK257" s="81">
        <f>H257*月別販売比率!$W$23</f>
        <v>31.484115282124208</v>
      </c>
      <c r="CL257" s="44">
        <v>210</v>
      </c>
      <c r="CM257" s="81">
        <f>H257*月別販売比率!$AB$23</f>
        <v>31.08500276126151</v>
      </c>
      <c r="CN257" s="44"/>
      <c r="CO257" s="81">
        <f>H257*月別販売比率!$AG$23</f>
        <v>19.232438505332009</v>
      </c>
      <c r="CP257" s="44">
        <v>100</v>
      </c>
      <c r="CQ257" s="81">
        <f>H257*月別販売比率!$AL$23</f>
        <v>13.925042773354507</v>
      </c>
      <c r="CR257" s="44"/>
      <c r="CS257" s="81">
        <f>H257*月別販売比率!$AQ$23</f>
        <v>9.8702493795812156</v>
      </c>
      <c r="CT257" s="44"/>
      <c r="CU257" s="81">
        <f>H257*月別販売比率!$AV$23</f>
        <v>8.9061311473659472</v>
      </c>
      <c r="CV257" s="79"/>
      <c r="CW257" s="81">
        <f>H257*月別販売比率!$BA$23</f>
        <v>6.9619776366488315</v>
      </c>
      <c r="CX257" s="79"/>
      <c r="CY257" s="81">
        <f>J257*月別販売比率!$BF$23</f>
        <v>0</v>
      </c>
      <c r="CZ257" s="79"/>
      <c r="DA257" s="77"/>
      <c r="DB257" s="358"/>
    </row>
    <row r="258" spans="2:106" ht="30.75" customHeight="1">
      <c r="C258" s="492"/>
      <c r="D258" s="123">
        <v>12</v>
      </c>
      <c r="E258" s="112"/>
      <c r="F258" s="126"/>
      <c r="G258" s="53"/>
      <c r="H258" s="166">
        <v>330</v>
      </c>
      <c r="I258" s="35">
        <f>H258*3300</f>
        <v>1089000</v>
      </c>
      <c r="J258" s="127">
        <v>52</v>
      </c>
      <c r="K258" s="104">
        <f>SUM(L258:N258)</f>
        <v>10</v>
      </c>
      <c r="L258" s="103">
        <v>0</v>
      </c>
      <c r="M258" s="103">
        <v>10</v>
      </c>
      <c r="N258" s="117"/>
      <c r="O258" s="359"/>
      <c r="P258" s="360"/>
      <c r="Q258" s="361"/>
      <c r="R258" s="361"/>
      <c r="S258" s="361"/>
      <c r="T258" s="361"/>
      <c r="U258" s="361"/>
      <c r="V258" s="238"/>
      <c r="W258" s="305"/>
      <c r="X258" s="356"/>
      <c r="Y258" s="356"/>
      <c r="Z258" s="305"/>
      <c r="AA258" s="305"/>
      <c r="AB258" s="305"/>
      <c r="AC258" s="305"/>
      <c r="AD258" s="328"/>
      <c r="AE258" s="328"/>
      <c r="AF258" s="328"/>
      <c r="AG258" s="331"/>
      <c r="AH258" s="331"/>
      <c r="AI258" s="238">
        <f t="shared" si="455"/>
        <v>-9.3042902272697177</v>
      </c>
      <c r="AJ258" s="238">
        <f>0-CK258+CL258</f>
        <v>173.44096782759604</v>
      </c>
      <c r="AK258" s="238">
        <f t="shared" si="457"/>
        <v>132.40876418273086</v>
      </c>
      <c r="AL258" s="238">
        <f t="shared" si="458"/>
        <v>207.02194535569259</v>
      </c>
      <c r="AM258" s="238">
        <f t="shared" si="459"/>
        <v>188.64088889486464</v>
      </c>
      <c r="AN258" s="401">
        <f t="shared" si="460"/>
        <v>175.61215971381745</v>
      </c>
      <c r="AO258" s="395">
        <f t="shared" si="461"/>
        <v>163.85606659929439</v>
      </c>
      <c r="AP258" s="403">
        <f t="shared" si="462"/>
        <v>154.66625611891794</v>
      </c>
      <c r="AQ258" s="90">
        <f t="shared" si="463"/>
        <v>152.92179134591183</v>
      </c>
      <c r="AR258" s="238"/>
      <c r="AS258" s="282"/>
      <c r="AT258" s="103"/>
      <c r="AU258" s="301"/>
      <c r="AV258" s="302"/>
      <c r="AW258" s="282"/>
      <c r="AX258" s="103"/>
      <c r="AY258" s="282"/>
      <c r="AZ258" s="103"/>
      <c r="BA258" s="282"/>
      <c r="BB258" s="103"/>
      <c r="BC258" s="282"/>
      <c r="BD258" s="108"/>
      <c r="BE258" s="301">
        <f>$H$258*月別販売比率!C23</f>
        <v>21.503138624027709</v>
      </c>
      <c r="BF258" s="302"/>
      <c r="BG258" s="301">
        <f>$H$258*月別販売比率!H23</f>
        <v>33</v>
      </c>
      <c r="BH258" s="363">
        <v>75</v>
      </c>
      <c r="BI258" s="301">
        <f>$H$258*月別販売比率!M23</f>
        <v>33</v>
      </c>
      <c r="BJ258" s="302"/>
      <c r="BK258" s="301">
        <f>$H$258*月別販売比率!R23</f>
        <v>71.304290227269718</v>
      </c>
      <c r="BL258" s="302">
        <v>20</v>
      </c>
      <c r="BM258" s="282">
        <f>$H$258*月別販売比率!W23</f>
        <v>41.559032172403953</v>
      </c>
      <c r="BN258" s="103"/>
      <c r="BO258" s="301">
        <f>$H$258*月別販売比率!AB23</f>
        <v>41.032203644865191</v>
      </c>
      <c r="BP258" s="302">
        <v>80</v>
      </c>
      <c r="BQ258" s="301">
        <f>$H$258*月別販売比率!AG23</f>
        <v>25.386818827038255</v>
      </c>
      <c r="BR258" s="302">
        <v>40</v>
      </c>
      <c r="BS258" s="282">
        <f>$H$258*月別販売比率!AL23</f>
        <v>18.381056460827949</v>
      </c>
      <c r="BT258" s="103"/>
      <c r="BU258" s="301">
        <f>$H$258*月別販売比率!AQ23</f>
        <v>13.028729181047206</v>
      </c>
      <c r="BV258" s="302">
        <v>60</v>
      </c>
      <c r="BW258" s="282">
        <f>$H$258*月別販売比率!AV23</f>
        <v>11.756093114523051</v>
      </c>
      <c r="BX258" s="103"/>
      <c r="BY258" s="282">
        <f>$H$258*月別販売比率!BA23</f>
        <v>9.1898104803764564</v>
      </c>
      <c r="BZ258" s="103"/>
      <c r="CA258" s="282">
        <f>$H$258*月別販売比率!BF23</f>
        <v>11.070641828692642</v>
      </c>
      <c r="CB258" s="108"/>
      <c r="CC258" s="301">
        <f>H258*月別販売比率!$C$23</f>
        <v>21.503138624027709</v>
      </c>
      <c r="CD258" s="363">
        <v>45</v>
      </c>
      <c r="CE258" s="282">
        <f>H258*月別販売比率!$H$23</f>
        <v>33</v>
      </c>
      <c r="CF258" s="363"/>
      <c r="CG258" s="282">
        <f>H258*月別販売比率!$M$23</f>
        <v>33</v>
      </c>
      <c r="CH258" s="363"/>
      <c r="CI258" s="282">
        <f>H258*月別販売比率!$R$23</f>
        <v>71.304290227269718</v>
      </c>
      <c r="CJ258" s="363"/>
      <c r="CK258" s="282">
        <f>H258*月別販売比率!$W$23</f>
        <v>41.559032172403953</v>
      </c>
      <c r="CL258" s="108">
        <v>215</v>
      </c>
      <c r="CM258" s="282">
        <f>H258*月別販売比率!$AB$23</f>
        <v>41.032203644865191</v>
      </c>
      <c r="CN258" s="108"/>
      <c r="CO258" s="282">
        <f>H258*月別販売比率!$AG$23</f>
        <v>25.386818827038255</v>
      </c>
      <c r="CP258" s="108">
        <v>100</v>
      </c>
      <c r="CQ258" s="282">
        <f>H258*月別販売比率!$AL$23</f>
        <v>18.381056460827949</v>
      </c>
      <c r="CR258" s="108"/>
      <c r="CS258" s="282">
        <f>H258*月別販売比率!$AQ$23</f>
        <v>13.028729181047206</v>
      </c>
      <c r="CT258" s="108"/>
      <c r="CU258" s="282">
        <f>H258*月別販売比率!$AV$23</f>
        <v>11.756093114523051</v>
      </c>
      <c r="CV258" s="103"/>
      <c r="CW258" s="282">
        <f>H258*月別販売比率!$BA$23</f>
        <v>9.1898104803764564</v>
      </c>
      <c r="CX258" s="103"/>
      <c r="CY258" s="282">
        <f>J258*月別販売比率!$BF$23</f>
        <v>1.7444647730061134</v>
      </c>
      <c r="CZ258" s="103"/>
      <c r="DA258" s="303"/>
      <c r="DB258" s="300"/>
    </row>
    <row r="259" spans="2:106" ht="30.75" customHeight="1">
      <c r="B259" s="2">
        <v>21</v>
      </c>
      <c r="C259" s="435" t="s">
        <v>495</v>
      </c>
      <c r="D259" s="472"/>
      <c r="E259" s="437"/>
      <c r="F259" s="130">
        <f>SUM(F260:F271)</f>
        <v>426</v>
      </c>
      <c r="G259" s="131">
        <f>SUM(G260:G271)</f>
        <v>2108700</v>
      </c>
      <c r="H259" s="130">
        <v>426</v>
      </c>
      <c r="I259" s="131">
        <f t="shared" ref="I259:N259" si="464">SUM(I260:I271)</f>
        <v>2871000</v>
      </c>
      <c r="J259" s="133">
        <f t="shared" si="464"/>
        <v>1</v>
      </c>
      <c r="K259" s="134">
        <f t="shared" si="464"/>
        <v>139</v>
      </c>
      <c r="L259" s="134">
        <f t="shared" si="464"/>
        <v>42</v>
      </c>
      <c r="M259" s="134">
        <f t="shared" si="464"/>
        <v>97</v>
      </c>
      <c r="N259" s="135">
        <f t="shared" si="464"/>
        <v>0</v>
      </c>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6">
        <f t="shared" ref="AS259:CB259" si="465">SUM(AS260:AS271)</f>
        <v>58</v>
      </c>
      <c r="AT259" s="134">
        <f t="shared" si="465"/>
        <v>0</v>
      </c>
      <c r="AU259" s="136">
        <f t="shared" si="465"/>
        <v>52.199999999999996</v>
      </c>
      <c r="AV259" s="134">
        <f t="shared" si="465"/>
        <v>0</v>
      </c>
      <c r="AW259" s="136">
        <f t="shared" si="465"/>
        <v>58</v>
      </c>
      <c r="AX259" s="134">
        <f t="shared" si="465"/>
        <v>0</v>
      </c>
      <c r="AY259" s="136">
        <f t="shared" si="465"/>
        <v>35.318737789719663</v>
      </c>
      <c r="AZ259" s="134">
        <f t="shared" si="465"/>
        <v>0</v>
      </c>
      <c r="BA259" s="136">
        <f t="shared" si="465"/>
        <v>32.26141000892742</v>
      </c>
      <c r="BB259" s="134">
        <f t="shared" si="465"/>
        <v>0</v>
      </c>
      <c r="BC259" s="136">
        <f t="shared" si="465"/>
        <v>46.4</v>
      </c>
      <c r="BD259" s="134">
        <f t="shared" si="465"/>
        <v>0</v>
      </c>
      <c r="BE259" s="136">
        <f t="shared" si="465"/>
        <v>41.101265647187311</v>
      </c>
      <c r="BF259" s="134">
        <f t="shared" si="465"/>
        <v>225</v>
      </c>
      <c r="BG259" s="136">
        <f t="shared" si="465"/>
        <v>40.6</v>
      </c>
      <c r="BH259" s="134">
        <f t="shared" si="465"/>
        <v>0</v>
      </c>
      <c r="BI259" s="136">
        <f t="shared" si="465"/>
        <v>58.616939691719324</v>
      </c>
      <c r="BJ259" s="134">
        <f t="shared" si="465"/>
        <v>0</v>
      </c>
      <c r="BK259" s="136">
        <f t="shared" si="465"/>
        <v>46.4</v>
      </c>
      <c r="BL259" s="134">
        <f t="shared" si="465"/>
        <v>0</v>
      </c>
      <c r="BM259" s="136">
        <f t="shared" si="465"/>
        <v>44.176697790495787</v>
      </c>
      <c r="BN259" s="134">
        <f t="shared" si="465"/>
        <v>0</v>
      </c>
      <c r="BO259" s="136">
        <f t="shared" si="465"/>
        <v>69.600000000000009</v>
      </c>
      <c r="BP259" s="134">
        <f t="shared" si="465"/>
        <v>0</v>
      </c>
      <c r="BQ259" s="136">
        <f t="shared" si="465"/>
        <v>58</v>
      </c>
      <c r="BR259" s="134">
        <f t="shared" si="465"/>
        <v>405</v>
      </c>
      <c r="BS259" s="136">
        <f t="shared" si="465"/>
        <v>52.199999999999996</v>
      </c>
      <c r="BT259" s="134">
        <f t="shared" si="465"/>
        <v>0</v>
      </c>
      <c r="BU259" s="136">
        <f t="shared" si="465"/>
        <v>58</v>
      </c>
      <c r="BV259" s="134">
        <f t="shared" si="465"/>
        <v>0</v>
      </c>
      <c r="BW259" s="136">
        <f t="shared" si="465"/>
        <v>35.318737789719663</v>
      </c>
      <c r="BX259" s="134">
        <f t="shared" si="465"/>
        <v>0</v>
      </c>
      <c r="BY259" s="136">
        <f t="shared" si="465"/>
        <v>32.26141000892742</v>
      </c>
      <c r="BZ259" s="134">
        <f t="shared" si="465"/>
        <v>0</v>
      </c>
      <c r="CA259" s="136">
        <f t="shared" si="465"/>
        <v>46.4</v>
      </c>
      <c r="CB259" s="134">
        <f t="shared" si="465"/>
        <v>0</v>
      </c>
      <c r="CC259" s="136">
        <f t="shared" ref="CC259:CD259" si="466">SUM(CC260:CC271)</f>
        <v>41.101265647187311</v>
      </c>
      <c r="CD259" s="134">
        <f t="shared" si="466"/>
        <v>0</v>
      </c>
      <c r="CE259" s="136">
        <f t="shared" ref="CE259:CF259" si="467">SUM(CE260:CE271)</f>
        <v>40.6</v>
      </c>
      <c r="CF259" s="134">
        <f t="shared" si="467"/>
        <v>0</v>
      </c>
      <c r="CG259" s="136">
        <f t="shared" ref="CG259:CJ259" si="468">SUM(CG260:CG271)</f>
        <v>58.616939691719324</v>
      </c>
      <c r="CH259" s="134">
        <f t="shared" si="468"/>
        <v>0</v>
      </c>
      <c r="CI259" s="136">
        <f t="shared" si="468"/>
        <v>46.4</v>
      </c>
      <c r="CJ259" s="134">
        <f t="shared" si="468"/>
        <v>400</v>
      </c>
      <c r="CK259" s="136">
        <f t="shared" ref="CK259:CN259" si="469">SUM(CK260:CK271)</f>
        <v>44.176697790495787</v>
      </c>
      <c r="CL259" s="134">
        <f t="shared" si="469"/>
        <v>0</v>
      </c>
      <c r="CM259" s="136">
        <f t="shared" si="469"/>
        <v>69.600000000000009</v>
      </c>
      <c r="CN259" s="134">
        <f t="shared" si="469"/>
        <v>0</v>
      </c>
      <c r="CO259" s="136">
        <f t="shared" ref="CO259:CR259" si="470">SUM(CO260:CO271)</f>
        <v>58</v>
      </c>
      <c r="CP259" s="134">
        <f t="shared" si="470"/>
        <v>0</v>
      </c>
      <c r="CQ259" s="136">
        <f t="shared" si="470"/>
        <v>52.199999999999996</v>
      </c>
      <c r="CR259" s="134">
        <f t="shared" si="470"/>
        <v>0</v>
      </c>
      <c r="CS259" s="136">
        <f t="shared" ref="CS259:CX259" si="471">SUM(CS260:CS271)</f>
        <v>58</v>
      </c>
      <c r="CT259" s="134">
        <f t="shared" si="471"/>
        <v>0</v>
      </c>
      <c r="CU259" s="136">
        <v>35.318737789719663</v>
      </c>
      <c r="CV259" s="134">
        <f t="shared" si="471"/>
        <v>0</v>
      </c>
      <c r="CW259" s="136">
        <f t="shared" si="471"/>
        <v>32.26141000892742</v>
      </c>
      <c r="CX259" s="134">
        <f t="shared" si="471"/>
        <v>0</v>
      </c>
      <c r="CY259" s="136">
        <f t="shared" ref="CY259:CZ259" si="472">SUM(CY260:CY271)</f>
        <v>46.4</v>
      </c>
      <c r="CZ259" s="134">
        <f t="shared" si="472"/>
        <v>0</v>
      </c>
      <c r="DA259" s="141"/>
      <c r="DB259" s="293"/>
    </row>
    <row r="260" spans="2:106" ht="30.75" customHeight="1">
      <c r="C260" s="446" t="s">
        <v>357</v>
      </c>
      <c r="D260" s="443">
        <v>1</v>
      </c>
      <c r="E260" s="99" t="s">
        <v>47</v>
      </c>
      <c r="F260" s="56">
        <v>55</v>
      </c>
      <c r="G260" s="46">
        <f>F260*4950</f>
        <v>272250</v>
      </c>
      <c r="H260" s="164">
        <v>120</v>
      </c>
      <c r="I260" s="46">
        <f>H260*4950</f>
        <v>594000</v>
      </c>
      <c r="J260" s="49">
        <v>0</v>
      </c>
      <c r="K260" s="39">
        <f t="shared" ref="K260:K271" si="473">SUM(L260:N260)</f>
        <v>0</v>
      </c>
      <c r="L260" s="39">
        <v>0</v>
      </c>
      <c r="M260" s="39">
        <v>0</v>
      </c>
      <c r="N260" s="42"/>
      <c r="O260" s="288"/>
      <c r="P260" s="288"/>
      <c r="Q260" s="328"/>
      <c r="R260" s="328"/>
      <c r="S260" s="328"/>
      <c r="T260" s="328"/>
      <c r="U260" s="331">
        <v>45770</v>
      </c>
      <c r="V260" s="328"/>
      <c r="W260" s="328"/>
      <c r="X260" s="328"/>
      <c r="Y260" s="328"/>
      <c r="Z260" s="124"/>
      <c r="AA260" s="124"/>
      <c r="AB260" s="124"/>
      <c r="AC260" s="124"/>
      <c r="AD260" s="124"/>
      <c r="AE260" s="124"/>
      <c r="AF260" s="328"/>
      <c r="AG260" s="331"/>
      <c r="AH260" s="331"/>
      <c r="AI260" s="129">
        <f t="shared" ref="AI260:AI271" si="474">SUM(J260:K260)-CI260+CJ260</f>
        <v>80.400000000000006</v>
      </c>
      <c r="AJ260" s="129">
        <f t="shared" ref="AJ260:AJ271" si="475">AI260-CK260+CL260</f>
        <v>71.259993560587077</v>
      </c>
      <c r="AK260" s="129">
        <f t="shared" ref="AK260:AK271" si="476">AJ260-CM260+CN260</f>
        <v>56.859993560587078</v>
      </c>
      <c r="AL260" s="129">
        <f t="shared" ref="AL260:AL271" si="477">AK260-CO260+CP260</f>
        <v>44.859993560587078</v>
      </c>
      <c r="AM260" s="129">
        <f t="shared" ref="AM260:AM271" si="478">AL260-CQ260+CR260</f>
        <v>34.059993560587081</v>
      </c>
      <c r="AN260" s="399">
        <f t="shared" ref="AN260:AN271" si="479">AM260-CS260+CT260</f>
        <v>22.059993560587081</v>
      </c>
      <c r="AO260" s="393">
        <f t="shared" ref="AO260:AO271" si="480">AN260-CU260+CV260</f>
        <v>14.752668500645083</v>
      </c>
      <c r="AP260" s="96">
        <f t="shared" ref="AP260:AP271" si="481">AO260-CW260+CX260</f>
        <v>8.0778940160394086</v>
      </c>
      <c r="AQ260" s="91">
        <f t="shared" ref="AQ260:AQ271" si="482">AP260-CY260+CZ260</f>
        <v>-1.522105983960591</v>
      </c>
      <c r="AR260" s="198"/>
      <c r="AS260" s="81">
        <f>$H$260*月別販売比率!AG5</f>
        <v>12</v>
      </c>
      <c r="AT260" s="39"/>
      <c r="AU260" s="81">
        <f>$H$260*月別販売比率!AL5</f>
        <v>10.799999999999999</v>
      </c>
      <c r="AV260" s="39"/>
      <c r="AW260" s="81">
        <f>$H$260*月別販売比率!AQ5</f>
        <v>12</v>
      </c>
      <c r="AX260" s="39"/>
      <c r="AY260" s="81">
        <f>$H$260*月別販売比率!AV5</f>
        <v>7.3073250599419977</v>
      </c>
      <c r="AZ260" s="39"/>
      <c r="BA260" s="81">
        <f>$H$260*月別販売比率!BA5</f>
        <v>6.674774484605674</v>
      </c>
      <c r="BB260" s="39"/>
      <c r="BC260" s="81">
        <f>$H$260*月別販売比率!BF5</f>
        <v>9.6</v>
      </c>
      <c r="BD260" s="39"/>
      <c r="BE260" s="245">
        <f>$H$260*月別販売比率!C5</f>
        <v>8.5037101339008245</v>
      </c>
      <c r="BF260" s="280">
        <v>38</v>
      </c>
      <c r="BG260" s="81">
        <f>$H$260*月別販売比率!H5</f>
        <v>8.4</v>
      </c>
      <c r="BH260" s="39"/>
      <c r="BI260" s="81">
        <f>$H$260*月別販売比率!M5</f>
        <v>12.12764269483848</v>
      </c>
      <c r="BJ260" s="39"/>
      <c r="BK260" s="81">
        <f>$H$260*月別販売比率!R5</f>
        <v>9.6</v>
      </c>
      <c r="BL260" s="39"/>
      <c r="BM260" s="81">
        <f>$H$260*月別販売比率!W5</f>
        <v>9.1400064394129235</v>
      </c>
      <c r="BN260" s="39"/>
      <c r="BO260" s="81">
        <f>$H$260*月別販売比率!AB5</f>
        <v>14.399999999999999</v>
      </c>
      <c r="BP260" s="39"/>
      <c r="BQ260" s="245">
        <f>$H$260*月別販売比率!AG5</f>
        <v>12</v>
      </c>
      <c r="BR260" s="280">
        <v>40</v>
      </c>
      <c r="BS260" s="81">
        <f>$H$260*月別販売比率!AL5</f>
        <v>10.799999999999999</v>
      </c>
      <c r="BT260" s="39"/>
      <c r="BU260" s="81">
        <f>$H$260*月別販売比率!AQ5</f>
        <v>12</v>
      </c>
      <c r="BV260" s="39"/>
      <c r="BW260" s="81">
        <f>$H$260*月別販売比率!AV5</f>
        <v>7.3073250599419977</v>
      </c>
      <c r="BX260" s="39"/>
      <c r="BY260" s="81">
        <f>$H$260*月別販売比率!BA5</f>
        <v>6.674774484605674</v>
      </c>
      <c r="BZ260" s="39"/>
      <c r="CA260" s="81">
        <f>$H$260*月別販売比率!BF5</f>
        <v>9.6</v>
      </c>
      <c r="CB260" s="39"/>
      <c r="CC260" s="81">
        <f>H260*月別販売比率!$C$21</f>
        <v>8.5037101339008245</v>
      </c>
      <c r="CD260" s="39"/>
      <c r="CE260" s="81">
        <f>H260*月別販売比率!$H$21</f>
        <v>8.4</v>
      </c>
      <c r="CF260" s="39"/>
      <c r="CG260" s="81">
        <f>H260*月別販売比率!$M$21</f>
        <v>12.12764269483848</v>
      </c>
      <c r="CH260" s="39"/>
      <c r="CI260" s="81">
        <f>H260*月別販売比率!$R$21</f>
        <v>9.6</v>
      </c>
      <c r="CJ260" s="39">
        <v>90</v>
      </c>
      <c r="CK260" s="81">
        <f>H260*月別販売比率!$W$21</f>
        <v>9.1400064394129235</v>
      </c>
      <c r="CL260" s="39"/>
      <c r="CM260" s="81">
        <f>H260*月別販売比率!$AB$21</f>
        <v>14.399999999999999</v>
      </c>
      <c r="CN260" s="39"/>
      <c r="CO260" s="81">
        <f>H260*月別販売比率!$AG$21</f>
        <v>12</v>
      </c>
      <c r="CP260" s="39"/>
      <c r="CQ260" s="81">
        <f>H260*月別販売比率!$AL$21</f>
        <v>10.799999999999999</v>
      </c>
      <c r="CR260" s="39"/>
      <c r="CS260" s="81">
        <f>H260*月別販売比率!$AQ$21</f>
        <v>12</v>
      </c>
      <c r="CT260" s="39"/>
      <c r="CU260" s="81">
        <f>H260*月別販売比率!$AV$21</f>
        <v>7.3073250599419977</v>
      </c>
      <c r="CV260" s="39"/>
      <c r="CW260" s="81">
        <f>H260*月別販売比率!$BA$21</f>
        <v>6.674774484605674</v>
      </c>
      <c r="CX260" s="39"/>
      <c r="CY260" s="81">
        <f>H260*月別販売比率!$BF$21</f>
        <v>9.6</v>
      </c>
      <c r="CZ260" s="39"/>
      <c r="DA260" s="28"/>
      <c r="DB260" s="294"/>
    </row>
    <row r="261" spans="2:106" ht="30.75" customHeight="1">
      <c r="C261" s="457"/>
      <c r="D261" s="441"/>
      <c r="E261" s="94" t="s">
        <v>51</v>
      </c>
      <c r="F261" s="57">
        <v>43</v>
      </c>
      <c r="G261" s="46">
        <f t="shared" ref="G261:G271" si="483">F261*4950</f>
        <v>212850</v>
      </c>
      <c r="H261" s="45">
        <f t="shared" ref="H261:H271" si="484">F261*($H$259/$F$259)</f>
        <v>43</v>
      </c>
      <c r="I261" s="46">
        <f t="shared" ref="I261:I271" si="485">H261*4950</f>
        <v>212850</v>
      </c>
      <c r="J261" s="9">
        <v>0</v>
      </c>
      <c r="K261" s="21">
        <f t="shared" si="473"/>
        <v>24</v>
      </c>
      <c r="L261" s="21">
        <v>4</v>
      </c>
      <c r="M261" s="21">
        <v>20</v>
      </c>
      <c r="N261" s="42"/>
      <c r="O261" s="288"/>
      <c r="P261" s="288"/>
      <c r="Q261" s="328"/>
      <c r="R261" s="328"/>
      <c r="S261" s="328"/>
      <c r="T261" s="328"/>
      <c r="U261" s="331">
        <v>45770</v>
      </c>
      <c r="V261" s="328"/>
      <c r="W261" s="328"/>
      <c r="X261" s="328"/>
      <c r="Y261" s="328"/>
      <c r="Z261" s="124"/>
      <c r="AA261" s="331">
        <v>45958</v>
      </c>
      <c r="AB261" s="124"/>
      <c r="AC261" s="124"/>
      <c r="AD261" s="124"/>
      <c r="AE261" s="124"/>
      <c r="AF261" s="124"/>
      <c r="AG261" s="124"/>
      <c r="AH261" s="124"/>
      <c r="AI261" s="129">
        <f t="shared" si="474"/>
        <v>30.56</v>
      </c>
      <c r="AJ261" s="129">
        <f t="shared" si="475"/>
        <v>27.284831025877033</v>
      </c>
      <c r="AK261" s="129">
        <f t="shared" si="476"/>
        <v>22.124831025877032</v>
      </c>
      <c r="AL261" s="129">
        <f t="shared" si="477"/>
        <v>17.824831025877032</v>
      </c>
      <c r="AM261" s="129">
        <f t="shared" si="478"/>
        <v>13.954831025877033</v>
      </c>
      <c r="AN261" s="399">
        <f t="shared" si="479"/>
        <v>9.6548310258770336</v>
      </c>
      <c r="AO261" s="393">
        <f t="shared" si="480"/>
        <v>7.0363728793978177</v>
      </c>
      <c r="AP261" s="96">
        <f t="shared" si="481"/>
        <v>4.6445786890807845</v>
      </c>
      <c r="AQ261" s="91">
        <f t="shared" si="482"/>
        <v>1.2045786890807846</v>
      </c>
      <c r="AR261" s="198"/>
      <c r="AS261" s="81">
        <f>$H$261*月別販売比率!AG5</f>
        <v>4.3</v>
      </c>
      <c r="AT261" s="21"/>
      <c r="AU261" s="81">
        <f>$H$261*月別販売比率!AL5</f>
        <v>3.8699999999999997</v>
      </c>
      <c r="AV261" s="21"/>
      <c r="AW261" s="81">
        <f>$H$261*月別販売比率!AQ5</f>
        <v>4.3</v>
      </c>
      <c r="AX261" s="21"/>
      <c r="AY261" s="81">
        <f>$H$261*月別販売比率!AV5</f>
        <v>2.6184581464792158</v>
      </c>
      <c r="AZ261" s="21"/>
      <c r="BA261" s="81">
        <f>$H$261*月別販売比率!BA5</f>
        <v>2.3917941903170332</v>
      </c>
      <c r="BB261" s="21"/>
      <c r="BC261" s="81">
        <f>$H$261*月別販売比率!BF5</f>
        <v>3.44</v>
      </c>
      <c r="BD261" s="21"/>
      <c r="BE261" s="245">
        <f>$H$261*月別販売比率!C5</f>
        <v>3.0471627979811289</v>
      </c>
      <c r="BF261" s="241">
        <v>27</v>
      </c>
      <c r="BG261" s="81">
        <f>$H$261*月別販売比率!H5</f>
        <v>3.0100000000000002</v>
      </c>
      <c r="BH261" s="21"/>
      <c r="BI261" s="81">
        <f>$H$261*月別販売比率!M5</f>
        <v>4.3457386323171221</v>
      </c>
      <c r="BJ261" s="21"/>
      <c r="BK261" s="81">
        <f>$H$261*月別販売比率!R5</f>
        <v>3.44</v>
      </c>
      <c r="BL261" s="21"/>
      <c r="BM261" s="81">
        <f>$H$261*月別販売比率!W5</f>
        <v>3.2751689741229644</v>
      </c>
      <c r="BN261" s="21"/>
      <c r="BO261" s="81">
        <f>$H$261*月別販売比率!AB5</f>
        <v>5.16</v>
      </c>
      <c r="BP261" s="21"/>
      <c r="BQ261" s="245">
        <f>$H$261*月別販売比率!AG5</f>
        <v>4.3</v>
      </c>
      <c r="BR261" s="241">
        <v>40</v>
      </c>
      <c r="BS261" s="81">
        <f>$H$261*月別販売比率!AL5</f>
        <v>3.8699999999999997</v>
      </c>
      <c r="BT261" s="21"/>
      <c r="BU261" s="81">
        <f>$H$261*月別販売比率!AQ5</f>
        <v>4.3</v>
      </c>
      <c r="BV261" s="21"/>
      <c r="BW261" s="81">
        <f>$H$261*月別販売比率!AV5</f>
        <v>2.6184581464792158</v>
      </c>
      <c r="BX261" s="21"/>
      <c r="BY261" s="81">
        <f>$H$261*月別販売比率!BA5</f>
        <v>2.3917941903170332</v>
      </c>
      <c r="BZ261" s="21"/>
      <c r="CA261" s="81">
        <f>$H$261*月別販売比率!BF5</f>
        <v>3.44</v>
      </c>
      <c r="CB261" s="21"/>
      <c r="CC261" s="81">
        <f>H261*月別販売比率!$C$21</f>
        <v>3.0471627979811289</v>
      </c>
      <c r="CD261" s="21"/>
      <c r="CE261" s="81">
        <f>H261*月別販売比率!$H$21</f>
        <v>3.0100000000000002</v>
      </c>
      <c r="CF261" s="21"/>
      <c r="CG261" s="81">
        <f>H261*月別販売比率!$M$21</f>
        <v>4.3457386323171221</v>
      </c>
      <c r="CH261" s="21"/>
      <c r="CI261" s="81">
        <f>H261*月別販売比率!$R$21</f>
        <v>3.44</v>
      </c>
      <c r="CJ261" s="21">
        <v>10</v>
      </c>
      <c r="CK261" s="81">
        <f>H261*月別販売比率!$W$21</f>
        <v>3.2751689741229644</v>
      </c>
      <c r="CL261" s="21"/>
      <c r="CM261" s="81">
        <f>H261*月別販売比率!$AB$21</f>
        <v>5.16</v>
      </c>
      <c r="CN261" s="21"/>
      <c r="CO261" s="81">
        <f>H261*月別販売比率!$AG$21</f>
        <v>4.3</v>
      </c>
      <c r="CP261" s="21"/>
      <c r="CQ261" s="81">
        <f>H261*月別販売比率!$AL$21</f>
        <v>3.8699999999999997</v>
      </c>
      <c r="CR261" s="21"/>
      <c r="CS261" s="81">
        <f>H261*月別販売比率!$AQ$21</f>
        <v>4.3</v>
      </c>
      <c r="CT261" s="21"/>
      <c r="CU261" s="81">
        <f>H261*月別販売比率!$AV$21</f>
        <v>2.6184581464792158</v>
      </c>
      <c r="CV261" s="21"/>
      <c r="CW261" s="81">
        <f>H261*月別販売比率!$BA$21</f>
        <v>2.3917941903170332</v>
      </c>
      <c r="CX261" s="21"/>
      <c r="CY261" s="81">
        <f>H261*月別販売比率!$BF$21</f>
        <v>3.44</v>
      </c>
      <c r="CZ261" s="21"/>
      <c r="DA261" s="28"/>
      <c r="DB261" s="294"/>
    </row>
    <row r="262" spans="2:106" ht="30.75" customHeight="1">
      <c r="C262" s="457"/>
      <c r="D262" s="441"/>
      <c r="E262" s="94" t="s">
        <v>49</v>
      </c>
      <c r="F262" s="57">
        <v>19</v>
      </c>
      <c r="G262" s="46">
        <f t="shared" si="483"/>
        <v>94050</v>
      </c>
      <c r="H262" s="164">
        <v>55</v>
      </c>
      <c r="I262" s="46">
        <f t="shared" si="485"/>
        <v>272250</v>
      </c>
      <c r="J262" s="9">
        <v>0</v>
      </c>
      <c r="K262" s="21">
        <f t="shared" si="473"/>
        <v>20</v>
      </c>
      <c r="L262" s="21">
        <v>10</v>
      </c>
      <c r="M262" s="21">
        <v>10</v>
      </c>
      <c r="N262" s="42"/>
      <c r="O262" s="288"/>
      <c r="P262" s="288"/>
      <c r="Q262" s="328"/>
      <c r="R262" s="328"/>
      <c r="S262" s="328"/>
      <c r="T262" s="328"/>
      <c r="U262" s="331">
        <v>45770</v>
      </c>
      <c r="V262" s="124"/>
      <c r="W262" s="124"/>
      <c r="X262" s="124"/>
      <c r="Y262" s="124"/>
      <c r="Z262" s="124"/>
      <c r="AA262" s="331">
        <v>45958</v>
      </c>
      <c r="AB262" s="124"/>
      <c r="AC262" s="124"/>
      <c r="AD262" s="124"/>
      <c r="AE262" s="124"/>
      <c r="AF262" s="124"/>
      <c r="AG262" s="124"/>
      <c r="AH262" s="124"/>
      <c r="AI262" s="129">
        <f t="shared" si="474"/>
        <v>55.6</v>
      </c>
      <c r="AJ262" s="129">
        <f t="shared" si="475"/>
        <v>51.410830381935746</v>
      </c>
      <c r="AK262" s="129">
        <f t="shared" si="476"/>
        <v>44.810830381935745</v>
      </c>
      <c r="AL262" s="129">
        <f t="shared" si="477"/>
        <v>39.310830381935745</v>
      </c>
      <c r="AM262" s="129">
        <f t="shared" si="478"/>
        <v>34.360830381935742</v>
      </c>
      <c r="AN262" s="399">
        <f t="shared" si="479"/>
        <v>28.860830381935742</v>
      </c>
      <c r="AO262" s="393">
        <f t="shared" si="480"/>
        <v>25.511639729462328</v>
      </c>
      <c r="AP262" s="96">
        <f t="shared" si="481"/>
        <v>22.452368090684729</v>
      </c>
      <c r="AQ262" s="91">
        <f t="shared" si="482"/>
        <v>18.05236809068473</v>
      </c>
      <c r="AR262" s="198"/>
      <c r="AS262" s="81">
        <f>$H$262*月別販売比率!AG5</f>
        <v>5.5</v>
      </c>
      <c r="AT262" s="21"/>
      <c r="AU262" s="81">
        <f>$H$262*月別販売比率!AL5</f>
        <v>4.95</v>
      </c>
      <c r="AV262" s="21"/>
      <c r="AW262" s="81">
        <f>$H$262*月別販売比率!AQ5</f>
        <v>5.5</v>
      </c>
      <c r="AX262" s="21"/>
      <c r="AY262" s="81">
        <f>$H$262*月別販売比率!AV5</f>
        <v>3.3491906524734154</v>
      </c>
      <c r="AZ262" s="21"/>
      <c r="BA262" s="81">
        <f>$H$262*月別販売比率!BA5</f>
        <v>3.0592716387776004</v>
      </c>
      <c r="BB262" s="21"/>
      <c r="BC262" s="81">
        <f>$H$262*月別販売比率!BF5</f>
        <v>4.4000000000000004</v>
      </c>
      <c r="BD262" s="21"/>
      <c r="BE262" s="245">
        <f>$H$262*月別販売比率!C5</f>
        <v>3.8975338113712112</v>
      </c>
      <c r="BF262" s="241">
        <v>10</v>
      </c>
      <c r="BG262" s="81">
        <f>$H$262*月別販売比率!H5</f>
        <v>3.8500000000000005</v>
      </c>
      <c r="BH262" s="21"/>
      <c r="BI262" s="81">
        <f>$H$262*月別販売比率!M5</f>
        <v>5.5585029018009697</v>
      </c>
      <c r="BJ262" s="21"/>
      <c r="BK262" s="81">
        <f>$H$262*月別販売比率!R5</f>
        <v>4.4000000000000004</v>
      </c>
      <c r="BL262" s="21"/>
      <c r="BM262" s="81">
        <f>$H$262*月別販売比率!W5</f>
        <v>4.1891696180642564</v>
      </c>
      <c r="BN262" s="21"/>
      <c r="BO262" s="81">
        <f>$H$262*月別販売比率!AB5</f>
        <v>6.6</v>
      </c>
      <c r="BP262" s="21"/>
      <c r="BQ262" s="245">
        <f>$H$262*月別販売比率!AG5</f>
        <v>5.5</v>
      </c>
      <c r="BR262" s="241">
        <v>25</v>
      </c>
      <c r="BS262" s="81">
        <f>$H$262*月別販売比率!AL5</f>
        <v>4.95</v>
      </c>
      <c r="BT262" s="21"/>
      <c r="BU262" s="81">
        <f>$H$262*月別販売比率!AQ5</f>
        <v>5.5</v>
      </c>
      <c r="BV262" s="21"/>
      <c r="BW262" s="81">
        <f>$H$262*月別販売比率!AV5</f>
        <v>3.3491906524734154</v>
      </c>
      <c r="BX262" s="21"/>
      <c r="BY262" s="81">
        <f>$H$262*月別販売比率!BA5</f>
        <v>3.0592716387776004</v>
      </c>
      <c r="BZ262" s="21"/>
      <c r="CA262" s="81">
        <f>$H$262*月別販売比率!BF5</f>
        <v>4.4000000000000004</v>
      </c>
      <c r="CB262" s="21"/>
      <c r="CC262" s="81">
        <f>H262*月別販売比率!$C$21</f>
        <v>3.8975338113712112</v>
      </c>
      <c r="CD262" s="21"/>
      <c r="CE262" s="81">
        <f>H262*月別販売比率!$H$21</f>
        <v>3.8500000000000005</v>
      </c>
      <c r="CF262" s="21"/>
      <c r="CG262" s="81">
        <f>H262*月別販売比率!$M$21</f>
        <v>5.5585029018009697</v>
      </c>
      <c r="CH262" s="21"/>
      <c r="CI262" s="81">
        <f>H262*月別販売比率!$R$21</f>
        <v>4.4000000000000004</v>
      </c>
      <c r="CJ262" s="21">
        <v>40</v>
      </c>
      <c r="CK262" s="81">
        <f>H262*月別販売比率!$W$21</f>
        <v>4.1891696180642564</v>
      </c>
      <c r="CL262" s="21"/>
      <c r="CM262" s="81">
        <f>H262*月別販売比率!$AB$21</f>
        <v>6.6</v>
      </c>
      <c r="CN262" s="21"/>
      <c r="CO262" s="81">
        <f>H262*月別販売比率!$AG$21</f>
        <v>5.5</v>
      </c>
      <c r="CP262" s="21"/>
      <c r="CQ262" s="81">
        <f>H262*月別販売比率!$AL$21</f>
        <v>4.95</v>
      </c>
      <c r="CR262" s="21"/>
      <c r="CS262" s="81">
        <f>H262*月別販売比率!$AQ$21</f>
        <v>5.5</v>
      </c>
      <c r="CT262" s="21"/>
      <c r="CU262" s="81">
        <f>H262*月別販売比率!$AV$21</f>
        <v>3.3491906524734154</v>
      </c>
      <c r="CV262" s="21"/>
      <c r="CW262" s="81">
        <f>H262*月別販売比率!$BA$21</f>
        <v>3.0592716387776004</v>
      </c>
      <c r="CX262" s="21"/>
      <c r="CY262" s="81">
        <f>H262*月別販売比率!$BF$21</f>
        <v>4.4000000000000004</v>
      </c>
      <c r="CZ262" s="21"/>
      <c r="DA262" s="28"/>
      <c r="DB262" s="294"/>
    </row>
    <row r="263" spans="2:106" ht="30.75" customHeight="1">
      <c r="C263" s="457"/>
      <c r="D263" s="442"/>
      <c r="E263" s="94" t="s">
        <v>50</v>
      </c>
      <c r="F263" s="57">
        <v>13</v>
      </c>
      <c r="G263" s="46">
        <f t="shared" si="483"/>
        <v>64350</v>
      </c>
      <c r="H263" s="45">
        <f t="shared" si="484"/>
        <v>13</v>
      </c>
      <c r="I263" s="46">
        <f t="shared" si="485"/>
        <v>64350</v>
      </c>
      <c r="J263" s="9">
        <v>0</v>
      </c>
      <c r="K263" s="21">
        <f t="shared" si="473"/>
        <v>18</v>
      </c>
      <c r="L263" s="21">
        <v>10</v>
      </c>
      <c r="M263" s="21">
        <v>8</v>
      </c>
      <c r="N263" s="42"/>
      <c r="O263" s="19"/>
      <c r="P263" s="19"/>
      <c r="Q263" s="124"/>
      <c r="R263" s="328"/>
      <c r="S263" s="124"/>
      <c r="T263" s="124"/>
      <c r="U263" s="124"/>
      <c r="V263" s="124"/>
      <c r="W263" s="124"/>
      <c r="X263" s="124"/>
      <c r="Y263" s="124"/>
      <c r="Z263" s="124"/>
      <c r="AA263" s="124"/>
      <c r="AB263" s="124"/>
      <c r="AC263" s="124"/>
      <c r="AD263" s="124"/>
      <c r="AE263" s="124"/>
      <c r="AF263" s="124"/>
      <c r="AG263" s="124"/>
      <c r="AH263" s="124"/>
      <c r="AI263" s="129">
        <f t="shared" si="474"/>
        <v>16.96</v>
      </c>
      <c r="AJ263" s="129">
        <f t="shared" si="475"/>
        <v>15.969832635730267</v>
      </c>
      <c r="AK263" s="129">
        <f t="shared" si="476"/>
        <v>14.409832635730266</v>
      </c>
      <c r="AL263" s="129">
        <f t="shared" si="477"/>
        <v>13.109832635730266</v>
      </c>
      <c r="AM263" s="129">
        <f t="shared" si="478"/>
        <v>11.939832635730266</v>
      </c>
      <c r="AN263" s="399">
        <f t="shared" si="479"/>
        <v>10.639832635730265</v>
      </c>
      <c r="AO263" s="393">
        <f t="shared" si="480"/>
        <v>9.8482057542365489</v>
      </c>
      <c r="AP263" s="96">
        <f t="shared" si="481"/>
        <v>9.1251051850709342</v>
      </c>
      <c r="AQ263" s="91">
        <f t="shared" si="482"/>
        <v>8.0851051850709332</v>
      </c>
      <c r="AR263" s="198"/>
      <c r="AS263" s="81">
        <f>$H$263*月別販売比率!AG5</f>
        <v>1.3</v>
      </c>
      <c r="AT263" s="21"/>
      <c r="AU263" s="81">
        <f>$H$263*月別販売比率!AL5</f>
        <v>1.17</v>
      </c>
      <c r="AV263" s="21"/>
      <c r="AW263" s="81">
        <f>$H$263*月別販売比率!AQ5</f>
        <v>1.3</v>
      </c>
      <c r="AX263" s="21"/>
      <c r="AY263" s="81">
        <f>$H$263*月別販売比率!AV5</f>
        <v>0.79162688149371641</v>
      </c>
      <c r="AZ263" s="21"/>
      <c r="BA263" s="81">
        <f>$H$263*月別販売比率!BA5</f>
        <v>0.72310056916561471</v>
      </c>
      <c r="BB263" s="21"/>
      <c r="BC263" s="81">
        <f>$H$263*月別販売比率!BF5</f>
        <v>1.04</v>
      </c>
      <c r="BD263" s="21"/>
      <c r="BE263" s="245">
        <f>$H$263*月別販売比率!C5</f>
        <v>0.92123526450592264</v>
      </c>
      <c r="BF263" s="241"/>
      <c r="BG263" s="81">
        <f>$H$263*月別販売比率!H5</f>
        <v>0.91000000000000014</v>
      </c>
      <c r="BH263" s="21"/>
      <c r="BI263" s="81">
        <f>$H$263*月別販売比率!M5</f>
        <v>1.3138279586075021</v>
      </c>
      <c r="BJ263" s="21"/>
      <c r="BK263" s="81">
        <f>$H$263*月別販売比率!R5</f>
        <v>1.04</v>
      </c>
      <c r="BL263" s="21"/>
      <c r="BM263" s="81">
        <f>$H$263*月別販売比率!W5</f>
        <v>0.9901673642697334</v>
      </c>
      <c r="BN263" s="21"/>
      <c r="BO263" s="81">
        <f>$H$263*月別販売比率!AB5</f>
        <v>1.56</v>
      </c>
      <c r="BP263" s="21"/>
      <c r="BQ263" s="245">
        <f>$H$263*月別販売比率!AG5</f>
        <v>1.3</v>
      </c>
      <c r="BR263" s="241">
        <v>5</v>
      </c>
      <c r="BS263" s="81">
        <f>$H$263*月別販売比率!AL5</f>
        <v>1.17</v>
      </c>
      <c r="BT263" s="21"/>
      <c r="BU263" s="81">
        <f>$H$263*月別販売比率!AQ5</f>
        <v>1.3</v>
      </c>
      <c r="BV263" s="21"/>
      <c r="BW263" s="81">
        <f>$H$263*月別販売比率!AV5</f>
        <v>0.79162688149371641</v>
      </c>
      <c r="BX263" s="21"/>
      <c r="BY263" s="81">
        <f>$H$263*月別販売比率!BA5</f>
        <v>0.72310056916561471</v>
      </c>
      <c r="BZ263" s="21"/>
      <c r="CA263" s="81">
        <f>$H$263*月別販売比率!BF5</f>
        <v>1.04</v>
      </c>
      <c r="CB263" s="21"/>
      <c r="CC263" s="81">
        <f>H263*月別販売比率!$C$21</f>
        <v>0.92123526450592264</v>
      </c>
      <c r="CD263" s="21"/>
      <c r="CE263" s="81">
        <f>H263*月別販売比率!$H$21</f>
        <v>0.91000000000000014</v>
      </c>
      <c r="CF263" s="21"/>
      <c r="CG263" s="81">
        <f>H263*月別販売比率!$M$21</f>
        <v>1.3138279586075021</v>
      </c>
      <c r="CH263" s="21"/>
      <c r="CI263" s="81">
        <f>H263*月別販売比率!$R$21</f>
        <v>1.04</v>
      </c>
      <c r="CJ263" s="21"/>
      <c r="CK263" s="81">
        <f>H263*月別販売比率!$W$21</f>
        <v>0.9901673642697334</v>
      </c>
      <c r="CL263" s="21"/>
      <c r="CM263" s="81">
        <f>H263*月別販売比率!$AB$21</f>
        <v>1.56</v>
      </c>
      <c r="CN263" s="21"/>
      <c r="CO263" s="81">
        <f>H263*月別販売比率!$AG$21</f>
        <v>1.3</v>
      </c>
      <c r="CP263" s="21"/>
      <c r="CQ263" s="81">
        <f>H263*月別販売比率!$AL$21</f>
        <v>1.17</v>
      </c>
      <c r="CR263" s="21"/>
      <c r="CS263" s="81">
        <f>H263*月別販売比率!$AQ$21</f>
        <v>1.3</v>
      </c>
      <c r="CT263" s="21"/>
      <c r="CU263" s="81">
        <f>H263*月別販売比率!$AV$21</f>
        <v>0.79162688149371641</v>
      </c>
      <c r="CV263" s="21"/>
      <c r="CW263" s="81">
        <f>H263*月別販売比率!$BA$21</f>
        <v>0.72310056916561471</v>
      </c>
      <c r="CX263" s="21"/>
      <c r="CY263" s="81">
        <f>H263*月別販売比率!$BF$21</f>
        <v>1.04</v>
      </c>
      <c r="CZ263" s="21"/>
      <c r="DA263" s="28"/>
      <c r="DB263" s="294"/>
    </row>
    <row r="264" spans="2:106" ht="30.75" customHeight="1">
      <c r="B264" s="25"/>
      <c r="C264" s="457"/>
      <c r="D264" s="441">
        <v>2</v>
      </c>
      <c r="E264" s="94" t="s">
        <v>47</v>
      </c>
      <c r="F264" s="57">
        <v>81</v>
      </c>
      <c r="G264" s="46">
        <f t="shared" si="483"/>
        <v>400950</v>
      </c>
      <c r="H264" s="45">
        <f t="shared" si="484"/>
        <v>81</v>
      </c>
      <c r="I264" s="46">
        <f t="shared" si="485"/>
        <v>400950</v>
      </c>
      <c r="J264" s="9">
        <v>0</v>
      </c>
      <c r="K264" s="21">
        <f t="shared" si="473"/>
        <v>0</v>
      </c>
      <c r="L264" s="21">
        <v>0</v>
      </c>
      <c r="M264" s="21">
        <v>0</v>
      </c>
      <c r="N264" s="42"/>
      <c r="O264" s="288"/>
      <c r="P264" s="288"/>
      <c r="Q264" s="328"/>
      <c r="R264" s="328"/>
      <c r="S264" s="328"/>
      <c r="T264" s="328"/>
      <c r="U264" s="331">
        <v>45770</v>
      </c>
      <c r="V264" s="328"/>
      <c r="W264" s="328"/>
      <c r="X264" s="328"/>
      <c r="Y264" s="328"/>
      <c r="Z264" s="124"/>
      <c r="AA264" s="331">
        <v>45958</v>
      </c>
      <c r="AB264" s="124"/>
      <c r="AC264" s="124"/>
      <c r="AD264" s="124"/>
      <c r="AE264" s="124"/>
      <c r="AF264" s="328"/>
      <c r="AG264" s="331"/>
      <c r="AH264" s="331"/>
      <c r="AI264" s="129">
        <f t="shared" si="474"/>
        <v>53.519999999999996</v>
      </c>
      <c r="AJ264" s="129">
        <f t="shared" si="475"/>
        <v>47.350495653396273</v>
      </c>
      <c r="AK264" s="129">
        <f t="shared" si="476"/>
        <v>37.630495653396274</v>
      </c>
      <c r="AL264" s="129">
        <f t="shared" si="477"/>
        <v>29.530495653396272</v>
      </c>
      <c r="AM264" s="129">
        <f t="shared" si="478"/>
        <v>22.240495653396273</v>
      </c>
      <c r="AN264" s="399">
        <f t="shared" si="479"/>
        <v>14.140495653396274</v>
      </c>
      <c r="AO264" s="393">
        <f t="shared" si="480"/>
        <v>9.2080512379354253</v>
      </c>
      <c r="AP264" s="96">
        <f t="shared" si="481"/>
        <v>4.7025784608265955</v>
      </c>
      <c r="AQ264" s="91">
        <f t="shared" si="482"/>
        <v>-1.777421539173405</v>
      </c>
      <c r="AR264" s="198"/>
      <c r="AS264" s="81">
        <f>$H$264*月別販売比率!AG5</f>
        <v>8.1</v>
      </c>
      <c r="AT264" s="21"/>
      <c r="AU264" s="81">
        <f>$H$264*月別販売比率!AL5</f>
        <v>7.29</v>
      </c>
      <c r="AV264" s="21"/>
      <c r="AW264" s="81">
        <f>$H$264*月別販売比率!AQ5</f>
        <v>8.1</v>
      </c>
      <c r="AX264" s="21"/>
      <c r="AY264" s="81">
        <f>$H$264*月別販売比率!AV5</f>
        <v>4.9324444154608482</v>
      </c>
      <c r="AZ264" s="21"/>
      <c r="BA264" s="81">
        <f>$H$264*月別販売比率!BA5</f>
        <v>4.5054727771088299</v>
      </c>
      <c r="BB264" s="21"/>
      <c r="BC264" s="81">
        <f>$H$264*月別販売比率!BF5</f>
        <v>6.48</v>
      </c>
      <c r="BD264" s="21"/>
      <c r="BE264" s="245">
        <f>$H$264*月別販売比率!C5</f>
        <v>5.7400043403830567</v>
      </c>
      <c r="BF264" s="241">
        <v>34</v>
      </c>
      <c r="BG264" s="81">
        <f>$H$264*月別販売比率!H5</f>
        <v>5.6700000000000008</v>
      </c>
      <c r="BH264" s="21"/>
      <c r="BI264" s="81">
        <f>$H$264*月別販売比率!M5</f>
        <v>8.186158819015974</v>
      </c>
      <c r="BJ264" s="21"/>
      <c r="BK264" s="81">
        <f>$H$264*月別販売比率!R5</f>
        <v>6.48</v>
      </c>
      <c r="BL264" s="21"/>
      <c r="BM264" s="81">
        <f>$H$264*月別販売比率!W5</f>
        <v>6.1695043466037234</v>
      </c>
      <c r="BN264" s="21"/>
      <c r="BO264" s="81">
        <f>$H$264*月別販売比率!AB5</f>
        <v>9.7199999999999989</v>
      </c>
      <c r="BP264" s="21"/>
      <c r="BQ264" s="245">
        <f>$H$264*月別販売比率!AG5</f>
        <v>8.1</v>
      </c>
      <c r="BR264" s="241">
        <v>75</v>
      </c>
      <c r="BS264" s="81">
        <f>$H$264*月別販売比率!AL5</f>
        <v>7.29</v>
      </c>
      <c r="BT264" s="21"/>
      <c r="BU264" s="81">
        <f>$H$264*月別販売比率!AQ5</f>
        <v>8.1</v>
      </c>
      <c r="BV264" s="21"/>
      <c r="BW264" s="81">
        <f>$H$264*月別販売比率!AV5</f>
        <v>4.9324444154608482</v>
      </c>
      <c r="BX264" s="21"/>
      <c r="BY264" s="81">
        <f>$H$264*月別販売比率!BA5</f>
        <v>4.5054727771088299</v>
      </c>
      <c r="BZ264" s="21"/>
      <c r="CA264" s="81">
        <f>$H$264*月別販売比率!BF5</f>
        <v>6.48</v>
      </c>
      <c r="CB264" s="21"/>
      <c r="CC264" s="81">
        <f>H264*月別販売比率!$C$21</f>
        <v>5.7400043403830567</v>
      </c>
      <c r="CD264" s="21"/>
      <c r="CE264" s="81">
        <f>H264*月別販売比率!$H$21</f>
        <v>5.6700000000000008</v>
      </c>
      <c r="CF264" s="21"/>
      <c r="CG264" s="81">
        <f>H264*月別販売比率!$M$21</f>
        <v>8.186158819015974</v>
      </c>
      <c r="CH264" s="21"/>
      <c r="CI264" s="81">
        <f>H264*月別販売比率!$R$21</f>
        <v>6.48</v>
      </c>
      <c r="CJ264" s="21">
        <v>60</v>
      </c>
      <c r="CK264" s="81">
        <f>H264*月別販売比率!$W$21</f>
        <v>6.1695043466037234</v>
      </c>
      <c r="CL264" s="21"/>
      <c r="CM264" s="81">
        <f>H264*月別販売比率!$AB$21</f>
        <v>9.7199999999999989</v>
      </c>
      <c r="CN264" s="21"/>
      <c r="CO264" s="81">
        <f>H264*月別販売比率!$AG$21</f>
        <v>8.1</v>
      </c>
      <c r="CP264" s="21"/>
      <c r="CQ264" s="81">
        <f>H264*月別販売比率!$AL$21</f>
        <v>7.29</v>
      </c>
      <c r="CR264" s="21"/>
      <c r="CS264" s="81">
        <f>H264*月別販売比率!$AQ$21</f>
        <v>8.1</v>
      </c>
      <c r="CT264" s="21"/>
      <c r="CU264" s="81">
        <f>H264*月別販売比率!$AV$21</f>
        <v>4.9324444154608482</v>
      </c>
      <c r="CV264" s="21"/>
      <c r="CW264" s="81">
        <f>H264*月別販売比率!$BA$21</f>
        <v>4.5054727771088299</v>
      </c>
      <c r="CX264" s="21"/>
      <c r="CY264" s="81">
        <f>H264*月別販売比率!$BF$21</f>
        <v>6.48</v>
      </c>
      <c r="CZ264" s="21"/>
      <c r="DA264" s="28"/>
      <c r="DB264" s="294"/>
    </row>
    <row r="265" spans="2:106" ht="30.75" customHeight="1">
      <c r="B265" s="25"/>
      <c r="C265" s="457"/>
      <c r="D265" s="441"/>
      <c r="E265" s="94" t="s">
        <v>51</v>
      </c>
      <c r="F265" s="57">
        <v>77</v>
      </c>
      <c r="G265" s="46">
        <f t="shared" si="483"/>
        <v>381150</v>
      </c>
      <c r="H265" s="45">
        <f t="shared" si="484"/>
        <v>77</v>
      </c>
      <c r="I265" s="46">
        <f t="shared" si="485"/>
        <v>381150</v>
      </c>
      <c r="J265" s="9">
        <v>0</v>
      </c>
      <c r="K265" s="21">
        <f t="shared" si="473"/>
        <v>0</v>
      </c>
      <c r="L265" s="21">
        <v>0</v>
      </c>
      <c r="M265" s="21">
        <v>0</v>
      </c>
      <c r="N265" s="42"/>
      <c r="O265" s="19"/>
      <c r="P265" s="288"/>
      <c r="Q265" s="328"/>
      <c r="R265" s="328"/>
      <c r="S265" s="328"/>
      <c r="T265" s="328"/>
      <c r="U265" s="331">
        <v>45770</v>
      </c>
      <c r="V265" s="328"/>
      <c r="W265" s="328"/>
      <c r="X265" s="328"/>
      <c r="Y265" s="328"/>
      <c r="Z265" s="124"/>
      <c r="AA265" s="331">
        <v>45958</v>
      </c>
      <c r="AB265" s="124"/>
      <c r="AC265" s="124"/>
      <c r="AD265" s="124"/>
      <c r="AE265" s="124"/>
      <c r="AF265" s="124"/>
      <c r="AG265" s="331"/>
      <c r="AH265" s="331"/>
      <c r="AI265" s="129">
        <f t="shared" si="474"/>
        <v>53.84</v>
      </c>
      <c r="AJ265" s="129">
        <f t="shared" si="475"/>
        <v>47.975162534710044</v>
      </c>
      <c r="AK265" s="129">
        <f t="shared" si="476"/>
        <v>38.735162534710042</v>
      </c>
      <c r="AL265" s="129">
        <f t="shared" si="477"/>
        <v>31.035162534710043</v>
      </c>
      <c r="AM265" s="129">
        <f t="shared" si="478"/>
        <v>24.105162534710043</v>
      </c>
      <c r="AN265" s="399">
        <f t="shared" si="479"/>
        <v>16.405162534710044</v>
      </c>
      <c r="AO265" s="393">
        <f t="shared" si="480"/>
        <v>11.716295621247262</v>
      </c>
      <c r="AP265" s="96">
        <f t="shared" si="481"/>
        <v>7.4333153269586214</v>
      </c>
      <c r="AQ265" s="91">
        <f t="shared" si="482"/>
        <v>1.2733153269586213</v>
      </c>
      <c r="AR265" s="198"/>
      <c r="AS265" s="81">
        <f>$H$265*月別販売比率!AG5</f>
        <v>7.7</v>
      </c>
      <c r="AT265" s="21"/>
      <c r="AU265" s="81">
        <f>$H$265*月別販売比率!AL5</f>
        <v>6.93</v>
      </c>
      <c r="AV265" s="21"/>
      <c r="AW265" s="81">
        <f>$H$265*月別販売比率!AQ5</f>
        <v>7.7</v>
      </c>
      <c r="AX265" s="21"/>
      <c r="AY265" s="81">
        <f>$H$265*月別販売比率!AV5</f>
        <v>4.6888669134627818</v>
      </c>
      <c r="AZ265" s="21"/>
      <c r="BA265" s="81">
        <f>$H$265*月別販売比率!BA5</f>
        <v>4.2829802942886408</v>
      </c>
      <c r="BB265" s="21"/>
      <c r="BC265" s="81">
        <f>$H$265*月別販売比率!BF5</f>
        <v>6.16</v>
      </c>
      <c r="BD265" s="21"/>
      <c r="BE265" s="245">
        <f>$H$265*月別販売比率!C5</f>
        <v>5.4565473359196952</v>
      </c>
      <c r="BF265" s="241">
        <v>28</v>
      </c>
      <c r="BG265" s="81">
        <f>$H$265*月別販売比率!H5</f>
        <v>5.3900000000000006</v>
      </c>
      <c r="BH265" s="21"/>
      <c r="BI265" s="81">
        <f>$H$265*月別販売比率!M5</f>
        <v>7.7819040625213578</v>
      </c>
      <c r="BJ265" s="21"/>
      <c r="BK265" s="81">
        <f>$H$265*月別販売比率!R5</f>
        <v>6.16</v>
      </c>
      <c r="BL265" s="21"/>
      <c r="BM265" s="81">
        <f>$H$265*月別販売比率!W5</f>
        <v>5.8648374652899591</v>
      </c>
      <c r="BN265" s="21"/>
      <c r="BO265" s="81">
        <f>$H$265*月別販売比率!AB5</f>
        <v>9.24</v>
      </c>
      <c r="BP265" s="21"/>
      <c r="BQ265" s="245">
        <f>$H$265*月別販売比率!AG5</f>
        <v>7.7</v>
      </c>
      <c r="BR265" s="241">
        <v>75</v>
      </c>
      <c r="BS265" s="81">
        <f>$H$265*月別販売比率!AL5</f>
        <v>6.93</v>
      </c>
      <c r="BT265" s="21"/>
      <c r="BU265" s="81">
        <f>$H$265*月別販売比率!AQ5</f>
        <v>7.7</v>
      </c>
      <c r="BV265" s="21"/>
      <c r="BW265" s="81">
        <f>$H$265*月別販売比率!AV5</f>
        <v>4.6888669134627818</v>
      </c>
      <c r="BX265" s="21"/>
      <c r="BY265" s="81">
        <f>$H$265*月別販売比率!BA5</f>
        <v>4.2829802942886408</v>
      </c>
      <c r="BZ265" s="21"/>
      <c r="CA265" s="81">
        <f>$H$265*月別販売比率!BF5</f>
        <v>6.16</v>
      </c>
      <c r="CB265" s="21"/>
      <c r="CC265" s="81">
        <f>H265*月別販売比率!$C$21</f>
        <v>5.4565473359196952</v>
      </c>
      <c r="CD265" s="21"/>
      <c r="CE265" s="81">
        <f>H265*月別販売比率!$H$21</f>
        <v>5.3900000000000006</v>
      </c>
      <c r="CF265" s="21"/>
      <c r="CG265" s="81">
        <f>H265*月別販売比率!$M$21</f>
        <v>7.7819040625213578</v>
      </c>
      <c r="CH265" s="21"/>
      <c r="CI265" s="81">
        <f>H265*月別販売比率!$R$21</f>
        <v>6.16</v>
      </c>
      <c r="CJ265" s="21">
        <v>60</v>
      </c>
      <c r="CK265" s="81">
        <f>H265*月別販売比率!$W$21</f>
        <v>5.8648374652899591</v>
      </c>
      <c r="CL265" s="21"/>
      <c r="CM265" s="81">
        <f>H265*月別販売比率!$AB$21</f>
        <v>9.24</v>
      </c>
      <c r="CN265" s="21"/>
      <c r="CO265" s="81">
        <f>H265*月別販売比率!$AG$21</f>
        <v>7.7</v>
      </c>
      <c r="CP265" s="21"/>
      <c r="CQ265" s="81">
        <f>H265*月別販売比率!$AL$21</f>
        <v>6.93</v>
      </c>
      <c r="CR265" s="21"/>
      <c r="CS265" s="81">
        <f>H265*月別販売比率!$AQ$21</f>
        <v>7.7</v>
      </c>
      <c r="CT265" s="21"/>
      <c r="CU265" s="81">
        <f>H265*月別販売比率!$AV$21</f>
        <v>4.6888669134627818</v>
      </c>
      <c r="CV265" s="21"/>
      <c r="CW265" s="81">
        <f>H265*月別販売比率!$BA$21</f>
        <v>4.2829802942886408</v>
      </c>
      <c r="CX265" s="21"/>
      <c r="CY265" s="81">
        <f>H265*月別販売比率!$BF$21</f>
        <v>6.16</v>
      </c>
      <c r="CZ265" s="21"/>
      <c r="DA265" s="28"/>
      <c r="DB265" s="294"/>
    </row>
    <row r="266" spans="2:106" ht="30.75" customHeight="1">
      <c r="B266" s="25"/>
      <c r="C266" s="457"/>
      <c r="D266" s="441"/>
      <c r="E266" s="94" t="s">
        <v>49</v>
      </c>
      <c r="F266" s="57">
        <v>37</v>
      </c>
      <c r="G266" s="46">
        <f t="shared" si="483"/>
        <v>183150</v>
      </c>
      <c r="H266" s="45">
        <f t="shared" si="484"/>
        <v>37</v>
      </c>
      <c r="I266" s="46">
        <f t="shared" si="485"/>
        <v>183150</v>
      </c>
      <c r="J266" s="9">
        <v>0</v>
      </c>
      <c r="K266" s="21">
        <f t="shared" si="473"/>
        <v>5</v>
      </c>
      <c r="L266" s="21">
        <v>0</v>
      </c>
      <c r="M266" s="21">
        <v>5</v>
      </c>
      <c r="N266" s="42"/>
      <c r="O266" s="288"/>
      <c r="P266" s="288"/>
      <c r="Q266" s="328"/>
      <c r="R266" s="328"/>
      <c r="S266" s="328"/>
      <c r="T266" s="328"/>
      <c r="U266" s="331">
        <v>45770</v>
      </c>
      <c r="V266" s="328"/>
      <c r="W266" s="328"/>
      <c r="X266" s="328"/>
      <c r="Y266" s="328"/>
      <c r="Z266" s="124"/>
      <c r="AA266" s="331">
        <v>45958</v>
      </c>
      <c r="AB266" s="124"/>
      <c r="AC266" s="124"/>
      <c r="AD266" s="124"/>
      <c r="AE266" s="124"/>
      <c r="AF266" s="124"/>
      <c r="AG266" s="331"/>
      <c r="AH266" s="331"/>
      <c r="AI266" s="129">
        <f t="shared" si="474"/>
        <v>32.04</v>
      </c>
      <c r="AJ266" s="129">
        <f t="shared" si="475"/>
        <v>29.221831347847679</v>
      </c>
      <c r="AK266" s="129">
        <f t="shared" si="476"/>
        <v>24.781831347847678</v>
      </c>
      <c r="AL266" s="129">
        <f t="shared" si="477"/>
        <v>21.081831347847679</v>
      </c>
      <c r="AM266" s="129">
        <f t="shared" si="478"/>
        <v>17.751831347847677</v>
      </c>
      <c r="AN266" s="399">
        <f t="shared" si="479"/>
        <v>14.051831347847678</v>
      </c>
      <c r="AO266" s="393">
        <f t="shared" si="480"/>
        <v>11.798739454365561</v>
      </c>
      <c r="AP266" s="96">
        <f t="shared" si="481"/>
        <v>9.7406839882788123</v>
      </c>
      <c r="AQ266" s="91">
        <f t="shared" si="482"/>
        <v>6.7806839882788124</v>
      </c>
      <c r="AR266" s="198"/>
      <c r="AS266" s="81">
        <f>$H$266*月別販売比率!AG5</f>
        <v>3.7</v>
      </c>
      <c r="AT266" s="21"/>
      <c r="AU266" s="81">
        <f>$H$266*月別販売比率!AL5</f>
        <v>3.33</v>
      </c>
      <c r="AV266" s="21"/>
      <c r="AW266" s="81">
        <f>$H$266*月別販売比率!AQ5</f>
        <v>3.7</v>
      </c>
      <c r="AX266" s="21"/>
      <c r="AY266" s="81">
        <f>$H$266*月別販売比率!AV5</f>
        <v>2.2530918934821158</v>
      </c>
      <c r="AZ266" s="21"/>
      <c r="BA266" s="81">
        <f>$H$266*月別販売比率!BA5</f>
        <v>2.0580554660867496</v>
      </c>
      <c r="BB266" s="21"/>
      <c r="BC266" s="81">
        <f>$H$266*月別販売比率!BF5</f>
        <v>2.96</v>
      </c>
      <c r="BD266" s="21"/>
      <c r="BE266" s="245">
        <f>$H$266*月別販売比率!C5</f>
        <v>2.6219772912860875</v>
      </c>
      <c r="BF266" s="241">
        <v>13</v>
      </c>
      <c r="BG266" s="81">
        <f>$H$266*月別販売比率!H5</f>
        <v>2.5900000000000003</v>
      </c>
      <c r="BH266" s="21"/>
      <c r="BI266" s="81">
        <f>$H$266*月別販売比率!M5</f>
        <v>3.7393564975751983</v>
      </c>
      <c r="BJ266" s="21"/>
      <c r="BK266" s="81">
        <f>$H$266*月別販売比率!R5</f>
        <v>2.96</v>
      </c>
      <c r="BL266" s="21"/>
      <c r="BM266" s="81">
        <f>$H$266*月別販売比率!W5</f>
        <v>2.8181686521523184</v>
      </c>
      <c r="BN266" s="21"/>
      <c r="BO266" s="81">
        <f>$H$266*月別販売比率!AB5</f>
        <v>4.4399999999999995</v>
      </c>
      <c r="BP266" s="21"/>
      <c r="BQ266" s="245">
        <f>$H$266*月別販売比率!AG5</f>
        <v>3.7</v>
      </c>
      <c r="BR266" s="241">
        <v>50</v>
      </c>
      <c r="BS266" s="81">
        <f>$H$266*月別販売比率!AL5</f>
        <v>3.33</v>
      </c>
      <c r="BT266" s="21"/>
      <c r="BU266" s="81">
        <f>$H$266*月別販売比率!AQ5</f>
        <v>3.7</v>
      </c>
      <c r="BV266" s="21"/>
      <c r="BW266" s="81">
        <f>$H$266*月別販売比率!AV5</f>
        <v>2.2530918934821158</v>
      </c>
      <c r="BX266" s="21"/>
      <c r="BY266" s="81">
        <f>$H$266*月別販売比率!BA5</f>
        <v>2.0580554660867496</v>
      </c>
      <c r="BZ266" s="21"/>
      <c r="CA266" s="81">
        <f>$H$266*月別販売比率!BF5</f>
        <v>2.96</v>
      </c>
      <c r="CB266" s="21"/>
      <c r="CC266" s="81">
        <f>H266*月別販売比率!$C$21</f>
        <v>2.6219772912860875</v>
      </c>
      <c r="CD266" s="21"/>
      <c r="CE266" s="81">
        <f>H266*月別販売比率!$H$21</f>
        <v>2.5900000000000003</v>
      </c>
      <c r="CF266" s="21"/>
      <c r="CG266" s="81">
        <f>H266*月別販売比率!$M$21</f>
        <v>3.7393564975751983</v>
      </c>
      <c r="CH266" s="21"/>
      <c r="CI266" s="81">
        <f>H266*月別販売比率!$R$21</f>
        <v>2.96</v>
      </c>
      <c r="CJ266" s="21">
        <v>30</v>
      </c>
      <c r="CK266" s="81">
        <f>H266*月別販売比率!$W$21</f>
        <v>2.8181686521523184</v>
      </c>
      <c r="CL266" s="21"/>
      <c r="CM266" s="81">
        <f>H266*月別販売比率!$AB$21</f>
        <v>4.4399999999999995</v>
      </c>
      <c r="CN266" s="21"/>
      <c r="CO266" s="81">
        <f>H266*月別販売比率!$AG$21</f>
        <v>3.7</v>
      </c>
      <c r="CP266" s="21"/>
      <c r="CQ266" s="81">
        <f>H266*月別販売比率!$AL$21</f>
        <v>3.33</v>
      </c>
      <c r="CR266" s="21"/>
      <c r="CS266" s="81">
        <f>H266*月別販売比率!$AQ$21</f>
        <v>3.7</v>
      </c>
      <c r="CT266" s="21"/>
      <c r="CU266" s="81">
        <f>H266*月別販売比率!$AV$21</f>
        <v>2.2530918934821158</v>
      </c>
      <c r="CV266" s="21"/>
      <c r="CW266" s="81">
        <f>H266*月別販売比率!$BA$21</f>
        <v>2.0580554660867496</v>
      </c>
      <c r="CX266" s="21"/>
      <c r="CY266" s="81">
        <f>H266*月別販売比率!$BF$21</f>
        <v>2.96</v>
      </c>
      <c r="CZ266" s="21"/>
      <c r="DA266" s="28"/>
      <c r="DB266" s="294"/>
    </row>
    <row r="267" spans="2:106" ht="30.75" customHeight="1">
      <c r="B267" s="25"/>
      <c r="C267" s="457"/>
      <c r="D267" s="442"/>
      <c r="E267" s="94" t="s">
        <v>50</v>
      </c>
      <c r="F267" s="57">
        <v>19</v>
      </c>
      <c r="G267" s="46">
        <f t="shared" si="483"/>
        <v>94050</v>
      </c>
      <c r="H267" s="45">
        <f t="shared" si="484"/>
        <v>19</v>
      </c>
      <c r="I267" s="46">
        <f t="shared" si="485"/>
        <v>94050</v>
      </c>
      <c r="J267" s="9">
        <v>0</v>
      </c>
      <c r="K267" s="21">
        <f t="shared" si="473"/>
        <v>21</v>
      </c>
      <c r="L267" s="21">
        <v>7</v>
      </c>
      <c r="M267" s="21">
        <v>14</v>
      </c>
      <c r="N267" s="42"/>
      <c r="O267" s="19"/>
      <c r="P267" s="19"/>
      <c r="Q267" s="124"/>
      <c r="R267" s="328"/>
      <c r="S267" s="124"/>
      <c r="T267" s="124"/>
      <c r="U267" s="124"/>
      <c r="V267" s="124"/>
      <c r="W267" s="124"/>
      <c r="X267" s="124"/>
      <c r="Y267" s="124"/>
      <c r="Z267" s="124"/>
      <c r="AA267" s="124"/>
      <c r="AB267" s="124"/>
      <c r="AC267" s="124"/>
      <c r="AD267" s="124"/>
      <c r="AE267" s="124"/>
      <c r="AF267" s="124"/>
      <c r="AG267" s="124"/>
      <c r="AH267" s="124"/>
      <c r="AI267" s="129">
        <f t="shared" si="474"/>
        <v>19.48</v>
      </c>
      <c r="AJ267" s="129">
        <f t="shared" si="475"/>
        <v>18.03283231375962</v>
      </c>
      <c r="AK267" s="129">
        <f t="shared" si="476"/>
        <v>15.752832313759621</v>
      </c>
      <c r="AL267" s="129">
        <f t="shared" si="477"/>
        <v>13.85283231375962</v>
      </c>
      <c r="AM267" s="129">
        <f t="shared" si="478"/>
        <v>12.142832313759619</v>
      </c>
      <c r="AN267" s="399">
        <f t="shared" si="479"/>
        <v>10.242832313759619</v>
      </c>
      <c r="AO267" s="393">
        <f t="shared" si="480"/>
        <v>9.0858391792688025</v>
      </c>
      <c r="AP267" s="96">
        <f t="shared" si="481"/>
        <v>8.0289998858729046</v>
      </c>
      <c r="AQ267" s="91">
        <f t="shared" si="482"/>
        <v>6.508999885872905</v>
      </c>
      <c r="AR267" s="198"/>
      <c r="AS267" s="81">
        <f>$H$267*月別販売比率!AG5</f>
        <v>1.9000000000000001</v>
      </c>
      <c r="AT267" s="21"/>
      <c r="AU267" s="81">
        <f>$H$267*月別販売比率!AL5</f>
        <v>1.71</v>
      </c>
      <c r="AV267" s="21"/>
      <c r="AW267" s="81">
        <f>$H$267*月別販売比率!AQ5</f>
        <v>1.9000000000000001</v>
      </c>
      <c r="AX267" s="21"/>
      <c r="AY267" s="81">
        <f>$H$267*月別販売比率!AV5</f>
        <v>1.1569931344908162</v>
      </c>
      <c r="AZ267" s="21"/>
      <c r="BA267" s="81">
        <f>$H$267*月別販売比率!BA5</f>
        <v>1.0568392933958983</v>
      </c>
      <c r="BB267" s="21"/>
      <c r="BC267" s="81">
        <f>$H$267*月別販売比率!BF5</f>
        <v>1.52</v>
      </c>
      <c r="BD267" s="21"/>
      <c r="BE267" s="245">
        <f>$H$267*月別販売比率!C5</f>
        <v>1.3464207712009639</v>
      </c>
      <c r="BF267" s="241"/>
      <c r="BG267" s="81">
        <f>$H$267*月別販売比率!H5</f>
        <v>1.33</v>
      </c>
      <c r="BH267" s="21"/>
      <c r="BI267" s="81">
        <f>$H$267*月別販売比率!M5</f>
        <v>1.9202100933494259</v>
      </c>
      <c r="BJ267" s="21"/>
      <c r="BK267" s="81">
        <f>$H$267*月別販売比率!R5</f>
        <v>1.52</v>
      </c>
      <c r="BL267" s="21"/>
      <c r="BM267" s="81">
        <f>$H$267*月別販売比率!W5</f>
        <v>1.4471676862403795</v>
      </c>
      <c r="BN267" s="21"/>
      <c r="BO267" s="81">
        <f>$H$267*月別販売比率!AB5</f>
        <v>2.2799999999999998</v>
      </c>
      <c r="BP267" s="21"/>
      <c r="BQ267" s="245">
        <f>$H$267*月別販売比率!AG5</f>
        <v>1.9000000000000001</v>
      </c>
      <c r="BR267" s="241"/>
      <c r="BS267" s="81">
        <f>$H$267*月別販売比率!AL5</f>
        <v>1.71</v>
      </c>
      <c r="BT267" s="21"/>
      <c r="BU267" s="81">
        <f>$H$267*月別販売比率!AQ5</f>
        <v>1.9000000000000001</v>
      </c>
      <c r="BV267" s="21"/>
      <c r="BW267" s="81">
        <f>$H$267*月別販売比率!AV5</f>
        <v>1.1569931344908162</v>
      </c>
      <c r="BX267" s="21"/>
      <c r="BY267" s="81">
        <f>$H$267*月別販売比率!BA5</f>
        <v>1.0568392933958983</v>
      </c>
      <c r="BZ267" s="21"/>
      <c r="CA267" s="81">
        <f>$H$267*月別販売比率!BF5</f>
        <v>1.52</v>
      </c>
      <c r="CB267" s="21"/>
      <c r="CC267" s="81">
        <f>H267*月別販売比率!$C$21</f>
        <v>1.3464207712009639</v>
      </c>
      <c r="CD267" s="21"/>
      <c r="CE267" s="81">
        <f>H267*月別販売比率!$H$21</f>
        <v>1.33</v>
      </c>
      <c r="CF267" s="21"/>
      <c r="CG267" s="81">
        <f>H267*月別販売比率!$M$21</f>
        <v>1.9202100933494259</v>
      </c>
      <c r="CH267" s="21"/>
      <c r="CI267" s="81">
        <f>H267*月別販売比率!$R$21</f>
        <v>1.52</v>
      </c>
      <c r="CJ267" s="21"/>
      <c r="CK267" s="81">
        <f>H267*月別販売比率!$W$21</f>
        <v>1.4471676862403795</v>
      </c>
      <c r="CL267" s="21"/>
      <c r="CM267" s="81">
        <f>H267*月別販売比率!$AB$21</f>
        <v>2.2799999999999998</v>
      </c>
      <c r="CN267" s="21"/>
      <c r="CO267" s="81">
        <f>H267*月別販売比率!$AG$21</f>
        <v>1.9000000000000001</v>
      </c>
      <c r="CP267" s="21"/>
      <c r="CQ267" s="81">
        <f>H267*月別販売比率!$AL$21</f>
        <v>1.71</v>
      </c>
      <c r="CR267" s="21"/>
      <c r="CS267" s="81">
        <f>H267*月別販売比率!$AQ$21</f>
        <v>1.9000000000000001</v>
      </c>
      <c r="CT267" s="21"/>
      <c r="CU267" s="81">
        <f>H267*月別販売比率!$AV$21</f>
        <v>1.1569931344908162</v>
      </c>
      <c r="CV267" s="21"/>
      <c r="CW267" s="81">
        <f>H267*月別販売比率!$BA$21</f>
        <v>1.0568392933958983</v>
      </c>
      <c r="CX267" s="21"/>
      <c r="CY267" s="81">
        <f>H267*月別販売比率!$BF$21</f>
        <v>1.52</v>
      </c>
      <c r="CZ267" s="21"/>
      <c r="DA267" s="28"/>
      <c r="DB267" s="294"/>
    </row>
    <row r="268" spans="2:106" ht="30.75" customHeight="1">
      <c r="C268" s="457"/>
      <c r="D268" s="441">
        <v>3</v>
      </c>
      <c r="E268" s="94" t="s">
        <v>47</v>
      </c>
      <c r="F268" s="57">
        <v>43</v>
      </c>
      <c r="G268" s="46">
        <f t="shared" si="483"/>
        <v>212850</v>
      </c>
      <c r="H268" s="45">
        <f t="shared" si="484"/>
        <v>43</v>
      </c>
      <c r="I268" s="46">
        <f t="shared" si="485"/>
        <v>212850</v>
      </c>
      <c r="J268" s="9">
        <v>0</v>
      </c>
      <c r="K268" s="21">
        <f t="shared" si="473"/>
        <v>0</v>
      </c>
      <c r="L268" s="21">
        <v>0</v>
      </c>
      <c r="M268" s="21">
        <v>0</v>
      </c>
      <c r="N268" s="42"/>
      <c r="O268" s="288"/>
      <c r="P268" s="288"/>
      <c r="Q268" s="328"/>
      <c r="R268" s="328"/>
      <c r="S268" s="328"/>
      <c r="T268" s="328"/>
      <c r="U268" s="331">
        <v>45770</v>
      </c>
      <c r="V268" s="328"/>
      <c r="W268" s="328"/>
      <c r="X268" s="328"/>
      <c r="Y268" s="328"/>
      <c r="Z268" s="124"/>
      <c r="AA268" s="331">
        <v>45958</v>
      </c>
      <c r="AB268" s="328"/>
      <c r="AC268" s="328"/>
      <c r="AD268" s="328"/>
      <c r="AE268" s="124"/>
      <c r="AF268" s="328"/>
      <c r="AG268" s="331"/>
      <c r="AH268" s="331"/>
      <c r="AI268" s="129">
        <f t="shared" si="474"/>
        <v>36.56</v>
      </c>
      <c r="AJ268" s="129">
        <f t="shared" si="475"/>
        <v>33.28483102587704</v>
      </c>
      <c r="AK268" s="129">
        <f t="shared" si="476"/>
        <v>28.12483102587704</v>
      </c>
      <c r="AL268" s="129">
        <f t="shared" si="477"/>
        <v>23.824831025877039</v>
      </c>
      <c r="AM268" s="129">
        <f t="shared" si="478"/>
        <v>19.954831025877038</v>
      </c>
      <c r="AN268" s="399">
        <f t="shared" si="479"/>
        <v>15.654831025877037</v>
      </c>
      <c r="AO268" s="393">
        <f t="shared" si="480"/>
        <v>13.03637287939782</v>
      </c>
      <c r="AP268" s="96">
        <f t="shared" si="481"/>
        <v>10.644578689080788</v>
      </c>
      <c r="AQ268" s="91">
        <f t="shared" si="482"/>
        <v>7.2045786890807886</v>
      </c>
      <c r="AR268" s="198"/>
      <c r="AS268" s="81">
        <f>$H$268*月別販売比率!AG5</f>
        <v>4.3</v>
      </c>
      <c r="AT268" s="21"/>
      <c r="AU268" s="81">
        <f>$H$268*月別販売比率!AL5</f>
        <v>3.8699999999999997</v>
      </c>
      <c r="AV268" s="21"/>
      <c r="AW268" s="81">
        <f>$H$268*月別販売比率!AQ5</f>
        <v>4.3</v>
      </c>
      <c r="AX268" s="21"/>
      <c r="AY268" s="81">
        <f>$H$268*月別販売比率!AV5</f>
        <v>2.6184581464792158</v>
      </c>
      <c r="AZ268" s="21"/>
      <c r="BA268" s="81">
        <f>$H$268*月別販売比率!BA5</f>
        <v>2.3917941903170332</v>
      </c>
      <c r="BB268" s="21"/>
      <c r="BC268" s="81">
        <f>$H$268*月別販売比率!BF5</f>
        <v>3.44</v>
      </c>
      <c r="BD268" s="21"/>
      <c r="BE268" s="245">
        <f>$H$268*月別販売比率!C5</f>
        <v>3.0471627979811289</v>
      </c>
      <c r="BF268" s="241">
        <v>46</v>
      </c>
      <c r="BG268" s="81">
        <f>$H$268*月別販売比率!H5</f>
        <v>3.0100000000000002</v>
      </c>
      <c r="BH268" s="21"/>
      <c r="BI268" s="81">
        <f>$H$268*月別販売比率!M5</f>
        <v>4.3457386323171221</v>
      </c>
      <c r="BJ268" s="21"/>
      <c r="BK268" s="81">
        <f>$H$268*月別販売比率!R5</f>
        <v>3.44</v>
      </c>
      <c r="BL268" s="21"/>
      <c r="BM268" s="81">
        <f>$H$268*月別販売比率!W5</f>
        <v>3.2751689741229644</v>
      </c>
      <c r="BN268" s="21"/>
      <c r="BO268" s="81">
        <f>$H$268*月別販売比率!AB5</f>
        <v>5.16</v>
      </c>
      <c r="BP268" s="21"/>
      <c r="BQ268" s="245">
        <f>$H$268*月別販売比率!AG5</f>
        <v>4.3</v>
      </c>
      <c r="BR268" s="241">
        <v>30</v>
      </c>
      <c r="BS268" s="81">
        <f>$H$268*月別販売比率!AL5</f>
        <v>3.8699999999999997</v>
      </c>
      <c r="BT268" s="21"/>
      <c r="BU268" s="81">
        <f>$H$268*月別販売比率!AQ5</f>
        <v>4.3</v>
      </c>
      <c r="BV268" s="21"/>
      <c r="BW268" s="81">
        <f>$H$268*月別販売比率!AV5</f>
        <v>2.6184581464792158</v>
      </c>
      <c r="BX268" s="21"/>
      <c r="BY268" s="81">
        <f>$H$268*月別販売比率!BA5</f>
        <v>2.3917941903170332</v>
      </c>
      <c r="BZ268" s="21"/>
      <c r="CA268" s="81">
        <f>$H$268*月別販売比率!BF5</f>
        <v>3.44</v>
      </c>
      <c r="CB268" s="21"/>
      <c r="CC268" s="81">
        <f>H268*月別販売比率!$C$21</f>
        <v>3.0471627979811289</v>
      </c>
      <c r="CD268" s="21"/>
      <c r="CE268" s="81">
        <f>H268*月別販売比率!$H$21</f>
        <v>3.0100000000000002</v>
      </c>
      <c r="CF268" s="21"/>
      <c r="CG268" s="81">
        <f>H268*月別販売比率!$M$21</f>
        <v>4.3457386323171221</v>
      </c>
      <c r="CH268" s="21"/>
      <c r="CI268" s="81">
        <f>H268*月別販売比率!$R$21</f>
        <v>3.44</v>
      </c>
      <c r="CJ268" s="21">
        <v>40</v>
      </c>
      <c r="CK268" s="81">
        <f>H268*月別販売比率!$W$21</f>
        <v>3.2751689741229644</v>
      </c>
      <c r="CL268" s="21"/>
      <c r="CM268" s="81">
        <f>H268*月別販売比率!$AB$21</f>
        <v>5.16</v>
      </c>
      <c r="CN268" s="21"/>
      <c r="CO268" s="81">
        <f>H268*月別販売比率!$AG$21</f>
        <v>4.3</v>
      </c>
      <c r="CP268" s="21"/>
      <c r="CQ268" s="81">
        <f>H268*月別販売比率!$AL$21</f>
        <v>3.8699999999999997</v>
      </c>
      <c r="CR268" s="21"/>
      <c r="CS268" s="81">
        <f>H268*月別販売比率!$AQ$21</f>
        <v>4.3</v>
      </c>
      <c r="CT268" s="21"/>
      <c r="CU268" s="81">
        <f>H268*月別販売比率!$AV$21</f>
        <v>2.6184581464792158</v>
      </c>
      <c r="CV268" s="21"/>
      <c r="CW268" s="81">
        <f>H268*月別販売比率!$BA$21</f>
        <v>2.3917941903170332</v>
      </c>
      <c r="CX268" s="21"/>
      <c r="CY268" s="81">
        <f>H268*月別販売比率!$BF$21</f>
        <v>3.44</v>
      </c>
      <c r="CZ268" s="21"/>
      <c r="DA268" s="28"/>
      <c r="DB268" s="294"/>
    </row>
    <row r="269" spans="2:106" ht="30.75" customHeight="1">
      <c r="C269" s="457"/>
      <c r="D269" s="441"/>
      <c r="E269" s="94" t="s">
        <v>51</v>
      </c>
      <c r="F269" s="57">
        <v>17</v>
      </c>
      <c r="G269" s="46">
        <f t="shared" si="483"/>
        <v>84150</v>
      </c>
      <c r="H269" s="164">
        <v>70</v>
      </c>
      <c r="I269" s="46">
        <f t="shared" si="485"/>
        <v>346500</v>
      </c>
      <c r="J269" s="9">
        <v>0</v>
      </c>
      <c r="K269" s="21">
        <f t="shared" si="473"/>
        <v>9</v>
      </c>
      <c r="L269" s="21">
        <v>0</v>
      </c>
      <c r="M269" s="21">
        <v>9</v>
      </c>
      <c r="N269" s="42"/>
      <c r="O269" s="19"/>
      <c r="P269" s="19"/>
      <c r="Q269" s="124"/>
      <c r="R269" s="328"/>
      <c r="S269" s="328"/>
      <c r="T269" s="328"/>
      <c r="U269" s="331">
        <v>45770</v>
      </c>
      <c r="V269" s="328"/>
      <c r="W269" s="328"/>
      <c r="X269" s="328"/>
      <c r="Y269" s="328"/>
      <c r="Z269" s="124"/>
      <c r="AA269" s="331">
        <v>45958</v>
      </c>
      <c r="AB269" s="328"/>
      <c r="AC269" s="328"/>
      <c r="AD269" s="328"/>
      <c r="AE269" s="124"/>
      <c r="AF269" s="124"/>
      <c r="AG269" s="331"/>
      <c r="AH269" s="331"/>
      <c r="AI269" s="129">
        <f t="shared" si="474"/>
        <v>63.4</v>
      </c>
      <c r="AJ269" s="129">
        <f t="shared" si="475"/>
        <v>58.068329577009123</v>
      </c>
      <c r="AK269" s="129">
        <f t="shared" si="476"/>
        <v>49.668329577009125</v>
      </c>
      <c r="AL269" s="129">
        <f t="shared" si="477"/>
        <v>42.668329577009125</v>
      </c>
      <c r="AM269" s="129">
        <f t="shared" si="478"/>
        <v>36.368329577009128</v>
      </c>
      <c r="AN269" s="399">
        <f t="shared" si="479"/>
        <v>29.368329577009128</v>
      </c>
      <c r="AO269" s="393">
        <f t="shared" si="480"/>
        <v>25.105723292042963</v>
      </c>
      <c r="AP269" s="96">
        <f t="shared" si="481"/>
        <v>21.212104842689655</v>
      </c>
      <c r="AQ269" s="91">
        <f t="shared" si="482"/>
        <v>15.612104842689654</v>
      </c>
      <c r="AR269" s="198"/>
      <c r="AS269" s="81">
        <f>$H$269*月別販売比率!AG5</f>
        <v>7</v>
      </c>
      <c r="AT269" s="21"/>
      <c r="AU269" s="81">
        <f>$H$269*月別販売比率!AL5</f>
        <v>6.3</v>
      </c>
      <c r="AV269" s="21"/>
      <c r="AW269" s="81">
        <f>$H$269*月別販売比率!AQ5</f>
        <v>7</v>
      </c>
      <c r="AX269" s="21"/>
      <c r="AY269" s="81">
        <f>$H$269*月別販売比率!AV5</f>
        <v>4.2626062849661652</v>
      </c>
      <c r="AZ269" s="21"/>
      <c r="BA269" s="81">
        <f>$H$269*月別販売比率!BA5</f>
        <v>3.8936184493533097</v>
      </c>
      <c r="BB269" s="21"/>
      <c r="BC269" s="81">
        <f>$H$269*月別販売比率!BF5</f>
        <v>5.6000000000000005</v>
      </c>
      <c r="BD269" s="21"/>
      <c r="BE269" s="245">
        <f>$H$269*月別販売比率!C5</f>
        <v>4.9604975781088143</v>
      </c>
      <c r="BF269" s="241">
        <v>29</v>
      </c>
      <c r="BG269" s="81">
        <f>$H$269*月別販売比率!H5</f>
        <v>4.9000000000000004</v>
      </c>
      <c r="BH269" s="21"/>
      <c r="BI269" s="81">
        <f>$H$269*月別販売比率!M5</f>
        <v>7.0744582386557804</v>
      </c>
      <c r="BJ269" s="21"/>
      <c r="BK269" s="81">
        <f>$H$269*月別販売比率!R5</f>
        <v>5.6000000000000005</v>
      </c>
      <c r="BL269" s="21"/>
      <c r="BM269" s="81">
        <f>$H$269*月別販売比率!W5</f>
        <v>5.3316704229908725</v>
      </c>
      <c r="BN269" s="21"/>
      <c r="BO269" s="81">
        <f>$H$269*月別販売比率!AB5</f>
        <v>8.4</v>
      </c>
      <c r="BP269" s="21"/>
      <c r="BQ269" s="245">
        <f>$H$269*月別販売比率!AG5</f>
        <v>7</v>
      </c>
      <c r="BR269" s="241">
        <v>25</v>
      </c>
      <c r="BS269" s="81">
        <f>$H$269*月別販売比率!AL5</f>
        <v>6.3</v>
      </c>
      <c r="BT269" s="21"/>
      <c r="BU269" s="81">
        <f>$H$269*月別販売比率!AQ5</f>
        <v>7</v>
      </c>
      <c r="BV269" s="21"/>
      <c r="BW269" s="81">
        <f>$H$269*月別販売比率!AV5</f>
        <v>4.2626062849661652</v>
      </c>
      <c r="BX269" s="21"/>
      <c r="BY269" s="81">
        <f>$H$269*月別販売比率!BA5</f>
        <v>3.8936184493533097</v>
      </c>
      <c r="BZ269" s="21"/>
      <c r="CA269" s="81">
        <f>$H$269*月別販売比率!BF5</f>
        <v>5.6000000000000005</v>
      </c>
      <c r="CB269" s="21"/>
      <c r="CC269" s="81">
        <f>H269*月別販売比率!$C$21</f>
        <v>4.9604975781088143</v>
      </c>
      <c r="CD269" s="21"/>
      <c r="CE269" s="81">
        <f>H269*月別販売比率!$H$21</f>
        <v>4.9000000000000004</v>
      </c>
      <c r="CF269" s="21"/>
      <c r="CG269" s="81">
        <f>H269*月別販売比率!$M$21</f>
        <v>7.0744582386557804</v>
      </c>
      <c r="CH269" s="21"/>
      <c r="CI269" s="81">
        <f>H269*月別販売比率!$R$21</f>
        <v>5.6000000000000005</v>
      </c>
      <c r="CJ269" s="21">
        <v>60</v>
      </c>
      <c r="CK269" s="81">
        <f>H269*月別販売比率!$W$21</f>
        <v>5.3316704229908725</v>
      </c>
      <c r="CL269" s="21"/>
      <c r="CM269" s="81">
        <f>H269*月別販売比率!$AB$21</f>
        <v>8.4</v>
      </c>
      <c r="CN269" s="21"/>
      <c r="CO269" s="81">
        <f>H269*月別販売比率!$AG$21</f>
        <v>7</v>
      </c>
      <c r="CP269" s="21"/>
      <c r="CQ269" s="81">
        <f>H269*月別販売比率!$AL$21</f>
        <v>6.3</v>
      </c>
      <c r="CR269" s="21"/>
      <c r="CS269" s="81">
        <f>H269*月別販売比率!$AQ$21</f>
        <v>7</v>
      </c>
      <c r="CT269" s="21"/>
      <c r="CU269" s="81">
        <f>H269*月別販売比率!$AV$21</f>
        <v>4.2626062849661652</v>
      </c>
      <c r="CV269" s="21"/>
      <c r="CW269" s="81">
        <f>H269*月別販売比率!$BA$21</f>
        <v>3.8936184493533097</v>
      </c>
      <c r="CX269" s="21"/>
      <c r="CY269" s="81">
        <f>H269*月別販売比率!$BF$21</f>
        <v>5.6000000000000005</v>
      </c>
      <c r="CZ269" s="21"/>
      <c r="DA269" s="28"/>
      <c r="DB269" s="294"/>
    </row>
    <row r="270" spans="2:106" ht="30.75" customHeight="1">
      <c r="C270" s="457"/>
      <c r="D270" s="441"/>
      <c r="E270" s="94" t="s">
        <v>49</v>
      </c>
      <c r="F270" s="57">
        <v>13</v>
      </c>
      <c r="G270" s="46">
        <f t="shared" si="483"/>
        <v>64350</v>
      </c>
      <c r="H270" s="45">
        <f t="shared" si="484"/>
        <v>13</v>
      </c>
      <c r="I270" s="46">
        <f t="shared" si="485"/>
        <v>64350</v>
      </c>
      <c r="J270" s="9">
        <v>1</v>
      </c>
      <c r="K270" s="21">
        <f t="shared" si="473"/>
        <v>17</v>
      </c>
      <c r="L270" s="21">
        <v>0</v>
      </c>
      <c r="M270" s="21">
        <v>17</v>
      </c>
      <c r="N270" s="42"/>
      <c r="O270" s="19"/>
      <c r="P270" s="19"/>
      <c r="Q270" s="124"/>
      <c r="R270" s="124"/>
      <c r="S270" s="124"/>
      <c r="T270" s="124"/>
      <c r="U270" s="328"/>
      <c r="V270" s="328"/>
      <c r="W270" s="328"/>
      <c r="X270" s="328"/>
      <c r="Y270" s="328"/>
      <c r="Z270" s="124"/>
      <c r="AA270" s="331">
        <v>45958</v>
      </c>
      <c r="AB270" s="124"/>
      <c r="AC270" s="124"/>
      <c r="AD270" s="124"/>
      <c r="AE270" s="124"/>
      <c r="AF270" s="124"/>
      <c r="AG270" s="331"/>
      <c r="AH270" s="331"/>
      <c r="AI270" s="129">
        <f t="shared" si="474"/>
        <v>26.96</v>
      </c>
      <c r="AJ270" s="129">
        <f t="shared" si="475"/>
        <v>25.969832635730267</v>
      </c>
      <c r="AK270" s="129">
        <f t="shared" si="476"/>
        <v>24.409832635730268</v>
      </c>
      <c r="AL270" s="129">
        <f t="shared" si="477"/>
        <v>23.109832635730267</v>
      </c>
      <c r="AM270" s="129">
        <f t="shared" si="478"/>
        <v>21.939832635730269</v>
      </c>
      <c r="AN270" s="399">
        <f t="shared" si="479"/>
        <v>20.639832635730269</v>
      </c>
      <c r="AO270" s="393">
        <f t="shared" si="480"/>
        <v>19.848205754236552</v>
      </c>
      <c r="AP270" s="96">
        <f t="shared" si="481"/>
        <v>19.125105185070936</v>
      </c>
      <c r="AQ270" s="91">
        <f t="shared" si="482"/>
        <v>18.085105185070937</v>
      </c>
      <c r="AR270" s="198"/>
      <c r="AS270" s="81">
        <f>$H$270*月別販売比率!AG5</f>
        <v>1.3</v>
      </c>
      <c r="AT270" s="21"/>
      <c r="AU270" s="81">
        <f>$H$270*月別販売比率!AL5</f>
        <v>1.17</v>
      </c>
      <c r="AV270" s="21"/>
      <c r="AW270" s="81">
        <f>$H$270*月別販売比率!AQ5</f>
        <v>1.3</v>
      </c>
      <c r="AX270" s="21"/>
      <c r="AY270" s="81">
        <f>$H$270*月別販売比率!AV5</f>
        <v>0.79162688149371641</v>
      </c>
      <c r="AZ270" s="21"/>
      <c r="BA270" s="81">
        <f>$H$270*月別販売比率!BA5</f>
        <v>0.72310056916561471</v>
      </c>
      <c r="BB270" s="21"/>
      <c r="BC270" s="81">
        <f>$H$270*月別販売比率!BF5</f>
        <v>1.04</v>
      </c>
      <c r="BD270" s="21"/>
      <c r="BE270" s="245">
        <f>$H$270*月別販売比率!C5</f>
        <v>0.92123526450592264</v>
      </c>
      <c r="BF270" s="241"/>
      <c r="BG270" s="81">
        <f>$H$270*月別販売比率!H5</f>
        <v>0.91000000000000014</v>
      </c>
      <c r="BH270" s="21"/>
      <c r="BI270" s="81">
        <f>$H$270*月別販売比率!M5</f>
        <v>1.3138279586075021</v>
      </c>
      <c r="BJ270" s="21"/>
      <c r="BK270" s="81">
        <f>$H$270*月別販売比率!R5</f>
        <v>1.04</v>
      </c>
      <c r="BL270" s="21"/>
      <c r="BM270" s="81">
        <f>$H$270*月別販売比率!W5</f>
        <v>0.9901673642697334</v>
      </c>
      <c r="BN270" s="21"/>
      <c r="BO270" s="81">
        <f>$H$270*月別販売比率!AB5</f>
        <v>1.56</v>
      </c>
      <c r="BP270" s="21"/>
      <c r="BQ270" s="245">
        <f>$H$270*月別販売比率!AG5</f>
        <v>1.3</v>
      </c>
      <c r="BR270" s="241">
        <v>40</v>
      </c>
      <c r="BS270" s="81">
        <f>$H$270*月別販売比率!AL5</f>
        <v>1.17</v>
      </c>
      <c r="BT270" s="21"/>
      <c r="BU270" s="81">
        <f>$H$270*月別販売比率!AQ5</f>
        <v>1.3</v>
      </c>
      <c r="BV270" s="21"/>
      <c r="BW270" s="81">
        <f>$H$270*月別販売比率!AV5</f>
        <v>0.79162688149371641</v>
      </c>
      <c r="BX270" s="21"/>
      <c r="BY270" s="81">
        <f>$H$270*月別販売比率!BA5</f>
        <v>0.72310056916561471</v>
      </c>
      <c r="BZ270" s="21"/>
      <c r="CA270" s="81">
        <f>$H$270*月別販売比率!BF5</f>
        <v>1.04</v>
      </c>
      <c r="CB270" s="21"/>
      <c r="CC270" s="81">
        <f>H270*月別販売比率!$C$21</f>
        <v>0.92123526450592264</v>
      </c>
      <c r="CD270" s="21"/>
      <c r="CE270" s="81">
        <f>H270*月別販売比率!$H$21</f>
        <v>0.91000000000000014</v>
      </c>
      <c r="CF270" s="21"/>
      <c r="CG270" s="81">
        <f>H270*月別販売比率!$M$21</f>
        <v>1.3138279586075021</v>
      </c>
      <c r="CH270" s="21"/>
      <c r="CI270" s="81">
        <f>H270*月別販売比率!$R$21</f>
        <v>1.04</v>
      </c>
      <c r="CJ270" s="21">
        <v>10</v>
      </c>
      <c r="CK270" s="81">
        <f>H270*月別販売比率!$W$21</f>
        <v>0.9901673642697334</v>
      </c>
      <c r="CL270" s="21"/>
      <c r="CM270" s="81">
        <f>H270*月別販売比率!$AB$21</f>
        <v>1.56</v>
      </c>
      <c r="CN270" s="21"/>
      <c r="CO270" s="81">
        <f>H270*月別販売比率!$AG$21</f>
        <v>1.3</v>
      </c>
      <c r="CP270" s="21"/>
      <c r="CQ270" s="81">
        <f>H270*月別販売比率!$AL$21</f>
        <v>1.17</v>
      </c>
      <c r="CR270" s="21"/>
      <c r="CS270" s="81">
        <f>H270*月別販売比率!$AQ$21</f>
        <v>1.3</v>
      </c>
      <c r="CT270" s="21"/>
      <c r="CU270" s="81">
        <f>H270*月別販売比率!$AV$21</f>
        <v>0.79162688149371641</v>
      </c>
      <c r="CV270" s="21"/>
      <c r="CW270" s="81">
        <f>H270*月別販売比率!$BA$21</f>
        <v>0.72310056916561471</v>
      </c>
      <c r="CX270" s="21"/>
      <c r="CY270" s="81">
        <f>H270*月別販売比率!$BF$21</f>
        <v>1.04</v>
      </c>
      <c r="CZ270" s="21"/>
      <c r="DA270" s="28"/>
      <c r="DB270" s="294"/>
    </row>
    <row r="271" spans="2:106" ht="30.75" customHeight="1">
      <c r="C271" s="457"/>
      <c r="D271" s="441"/>
      <c r="E271" s="119" t="s">
        <v>50</v>
      </c>
      <c r="F271" s="126">
        <v>9</v>
      </c>
      <c r="G271" s="53">
        <f t="shared" si="483"/>
        <v>44550</v>
      </c>
      <c r="H271" s="52">
        <f t="shared" si="484"/>
        <v>9</v>
      </c>
      <c r="I271" s="53">
        <f t="shared" si="485"/>
        <v>44550</v>
      </c>
      <c r="J271" s="127">
        <v>0</v>
      </c>
      <c r="K271" s="103">
        <f t="shared" si="473"/>
        <v>25</v>
      </c>
      <c r="L271" s="103">
        <v>11</v>
      </c>
      <c r="M271" s="103">
        <v>14</v>
      </c>
      <c r="N271" s="44"/>
      <c r="O271" s="313"/>
      <c r="P271" s="123"/>
      <c r="Q271" s="238"/>
      <c r="R271" s="238"/>
      <c r="S271" s="238"/>
      <c r="T271" s="238"/>
      <c r="U271" s="238"/>
      <c r="V271" s="238"/>
      <c r="W271" s="238"/>
      <c r="X271" s="238"/>
      <c r="Y271" s="238"/>
      <c r="Z271" s="238"/>
      <c r="AA271" s="238"/>
      <c r="AB271" s="238"/>
      <c r="AC271" s="238"/>
      <c r="AD271" s="238"/>
      <c r="AE271" s="238"/>
      <c r="AF271" s="238"/>
      <c r="AG271" s="238"/>
      <c r="AH271" s="238"/>
      <c r="AI271" s="238">
        <f t="shared" si="474"/>
        <v>24.28</v>
      </c>
      <c r="AJ271" s="238">
        <f t="shared" si="475"/>
        <v>23.594499517044031</v>
      </c>
      <c r="AK271" s="238">
        <f t="shared" si="476"/>
        <v>22.51449951704403</v>
      </c>
      <c r="AL271" s="238">
        <f t="shared" si="477"/>
        <v>21.614499517044031</v>
      </c>
      <c r="AM271" s="238">
        <f t="shared" si="478"/>
        <v>20.804499517044032</v>
      </c>
      <c r="AN271" s="401">
        <f t="shared" si="479"/>
        <v>19.904499517044034</v>
      </c>
      <c r="AO271" s="395">
        <f t="shared" si="480"/>
        <v>19.356450137548386</v>
      </c>
      <c r="AP271" s="403">
        <f t="shared" si="481"/>
        <v>18.855842051202959</v>
      </c>
      <c r="AQ271" s="90">
        <f t="shared" si="482"/>
        <v>18.13584205120296</v>
      </c>
      <c r="AR271" s="238"/>
      <c r="AS271" s="282">
        <f>$H$271*月別販売比率!AG5</f>
        <v>0.9</v>
      </c>
      <c r="AT271" s="103"/>
      <c r="AU271" s="282">
        <f>$H$271*月別販売比率!AL5</f>
        <v>0.80999999999999994</v>
      </c>
      <c r="AV271" s="103"/>
      <c r="AW271" s="282">
        <f>$H$271*月別販売比率!AQ5</f>
        <v>0.9</v>
      </c>
      <c r="AX271" s="103"/>
      <c r="AY271" s="282">
        <f>$H$271*月別販売比率!AV5</f>
        <v>0.5480493794956498</v>
      </c>
      <c r="AZ271" s="103"/>
      <c r="BA271" s="282">
        <f>$H$271*月別販売比率!BA5</f>
        <v>0.50060808634542553</v>
      </c>
      <c r="BB271" s="117"/>
      <c r="BC271" s="282">
        <f>$H$271*月別販売比率!BF5</f>
        <v>0.72</v>
      </c>
      <c r="BD271" s="103"/>
      <c r="BE271" s="301">
        <f>$H$271*月別販売比率!C5</f>
        <v>0.63777826004256177</v>
      </c>
      <c r="BF271" s="352"/>
      <c r="BG271" s="282">
        <f>$H$271*月別販売比率!H5</f>
        <v>0.63000000000000012</v>
      </c>
      <c r="BH271" s="103"/>
      <c r="BI271" s="282">
        <f>$H$271*月別販売比率!M5</f>
        <v>0.90957320211288606</v>
      </c>
      <c r="BJ271" s="103"/>
      <c r="BK271" s="282">
        <f>$H$271*月別販売比率!R5</f>
        <v>0.72</v>
      </c>
      <c r="BL271" s="103"/>
      <c r="BM271" s="282">
        <f>$H$271*月別販売比率!W5</f>
        <v>0.68550048295596933</v>
      </c>
      <c r="BN271" s="103"/>
      <c r="BO271" s="282">
        <f>$H$271*月別販売比率!AB5</f>
        <v>1.08</v>
      </c>
      <c r="BP271" s="103"/>
      <c r="BQ271" s="301">
        <f>$H$271*月別販売比率!AG5</f>
        <v>0.9</v>
      </c>
      <c r="BR271" s="302"/>
      <c r="BS271" s="282">
        <f>$H$271*月別販売比率!AL5</f>
        <v>0.80999999999999994</v>
      </c>
      <c r="BT271" s="103"/>
      <c r="BU271" s="282">
        <f>$H$271*月別販売比率!AQ5</f>
        <v>0.9</v>
      </c>
      <c r="BV271" s="103"/>
      <c r="BW271" s="282">
        <f>$H$271*月別販売比率!AV5</f>
        <v>0.5480493794956498</v>
      </c>
      <c r="BX271" s="103"/>
      <c r="BY271" s="282">
        <f>$H$271*月別販売比率!BA5</f>
        <v>0.50060808634542553</v>
      </c>
      <c r="BZ271" s="103"/>
      <c r="CA271" s="282">
        <f>$H$271*月別販売比率!BF5</f>
        <v>0.72</v>
      </c>
      <c r="CB271" s="103"/>
      <c r="CC271" s="282">
        <f>H271*月別販売比率!$C$21</f>
        <v>0.63777826004256177</v>
      </c>
      <c r="CD271" s="103"/>
      <c r="CE271" s="282">
        <f>H271*月別販売比率!$H$21</f>
        <v>0.63000000000000012</v>
      </c>
      <c r="CF271" s="103"/>
      <c r="CG271" s="282">
        <f>H271*月別販売比率!$M$21</f>
        <v>0.90957320211288606</v>
      </c>
      <c r="CH271" s="103"/>
      <c r="CI271" s="282">
        <f>H271*月別販売比率!$R$21</f>
        <v>0.72</v>
      </c>
      <c r="CJ271" s="103"/>
      <c r="CK271" s="282">
        <f>H271*月別販売比率!$W$21</f>
        <v>0.68550048295596933</v>
      </c>
      <c r="CL271" s="103"/>
      <c r="CM271" s="282">
        <f>H271*月別販売比率!$AB$21</f>
        <v>1.08</v>
      </c>
      <c r="CN271" s="103"/>
      <c r="CO271" s="282">
        <f>H271*月別販売比率!$AG$21</f>
        <v>0.9</v>
      </c>
      <c r="CP271" s="103"/>
      <c r="CQ271" s="282">
        <f>H271*月別販売比率!$AL$21</f>
        <v>0.80999999999999994</v>
      </c>
      <c r="CR271" s="103"/>
      <c r="CS271" s="282">
        <f>H271*月別販売比率!$AQ$21</f>
        <v>0.9</v>
      </c>
      <c r="CT271" s="103"/>
      <c r="CU271" s="282">
        <f>H271*月別販売比率!$AV$21</f>
        <v>0.5480493794956498</v>
      </c>
      <c r="CV271" s="103"/>
      <c r="CW271" s="282">
        <f>H271*月別販売比率!$BA$21</f>
        <v>0.50060808634542553</v>
      </c>
      <c r="CX271" s="103"/>
      <c r="CY271" s="282">
        <f>H271*月別販売比率!$BF$21</f>
        <v>0.72</v>
      </c>
      <c r="CZ271" s="103"/>
      <c r="DA271" s="303"/>
      <c r="DB271" s="300"/>
    </row>
    <row r="272" spans="2:106" ht="30.6" customHeight="1">
      <c r="B272" s="2" t="s">
        <v>291</v>
      </c>
      <c r="C272" s="435" t="s">
        <v>496</v>
      </c>
      <c r="D272" s="436"/>
      <c r="E272" s="445"/>
      <c r="F272" s="130">
        <f>SUM(F273:F281)</f>
        <v>371</v>
      </c>
      <c r="G272" s="131">
        <f>SUM(G273:G281)</f>
        <v>2448600</v>
      </c>
      <c r="H272" s="130">
        <v>371</v>
      </c>
      <c r="I272" s="131">
        <f t="shared" ref="I272:N272" si="486">SUM(I273:I281)</f>
        <v>3399000</v>
      </c>
      <c r="J272" s="133">
        <f t="shared" si="486"/>
        <v>3</v>
      </c>
      <c r="K272" s="134">
        <f t="shared" si="486"/>
        <v>64</v>
      </c>
      <c r="L272" s="134">
        <f t="shared" si="486"/>
        <v>0</v>
      </c>
      <c r="M272" s="134">
        <f t="shared" si="486"/>
        <v>73</v>
      </c>
      <c r="N272" s="149">
        <f t="shared" si="486"/>
        <v>0</v>
      </c>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6">
        <f t="shared" ref="AS272:CB272" si="487">SUM(AS273:AS281)</f>
        <v>41.199999999999996</v>
      </c>
      <c r="AT272" s="134">
        <f t="shared" si="487"/>
        <v>0</v>
      </c>
      <c r="AU272" s="136">
        <f t="shared" si="487"/>
        <v>25.954632524824678</v>
      </c>
      <c r="AV272" s="134">
        <f t="shared" si="487"/>
        <v>0</v>
      </c>
      <c r="AW272" s="136">
        <f t="shared" si="487"/>
        <v>28.919296068010627</v>
      </c>
      <c r="AX272" s="134">
        <f t="shared" si="487"/>
        <v>0</v>
      </c>
      <c r="AY272" s="136">
        <f t="shared" si="487"/>
        <v>20.599999999999998</v>
      </c>
      <c r="AZ272" s="134">
        <f t="shared" si="487"/>
        <v>0</v>
      </c>
      <c r="BA272" s="136">
        <f t="shared" si="487"/>
        <v>15.45</v>
      </c>
      <c r="BB272" s="134">
        <f t="shared" si="487"/>
        <v>0</v>
      </c>
      <c r="BC272" s="136">
        <f t="shared" si="487"/>
        <v>25.699967283370963</v>
      </c>
      <c r="BD272" s="134">
        <f t="shared" si="487"/>
        <v>0</v>
      </c>
      <c r="BE272" s="136">
        <f t="shared" si="487"/>
        <v>36.049999999999997</v>
      </c>
      <c r="BF272" s="134">
        <f t="shared" si="487"/>
        <v>360</v>
      </c>
      <c r="BG272" s="136">
        <f t="shared" si="487"/>
        <v>41.199999999999996</v>
      </c>
      <c r="BH272" s="134">
        <f t="shared" si="487"/>
        <v>0</v>
      </c>
      <c r="BI272" s="136">
        <f t="shared" si="487"/>
        <v>72.099999999999994</v>
      </c>
      <c r="BJ272" s="134">
        <f t="shared" si="487"/>
        <v>0</v>
      </c>
      <c r="BK272" s="136">
        <f t="shared" si="487"/>
        <v>96.046301369863016</v>
      </c>
      <c r="BL272" s="134">
        <f t="shared" si="487"/>
        <v>0</v>
      </c>
      <c r="BM272" s="136">
        <f t="shared" si="487"/>
        <v>51.500000000000007</v>
      </c>
      <c r="BN272" s="134">
        <f t="shared" si="487"/>
        <v>0</v>
      </c>
      <c r="BO272" s="136">
        <f t="shared" si="487"/>
        <v>61.8</v>
      </c>
      <c r="BP272" s="134">
        <f t="shared" si="487"/>
        <v>0</v>
      </c>
      <c r="BQ272" s="136">
        <f t="shared" si="487"/>
        <v>41.199999999999996</v>
      </c>
      <c r="BR272" s="134">
        <f t="shared" si="487"/>
        <v>195</v>
      </c>
      <c r="BS272" s="136">
        <f t="shared" si="487"/>
        <v>25.954632524824678</v>
      </c>
      <c r="BT272" s="134">
        <f t="shared" si="487"/>
        <v>0</v>
      </c>
      <c r="BU272" s="136">
        <f t="shared" si="487"/>
        <v>28.919296068010627</v>
      </c>
      <c r="BV272" s="134">
        <f t="shared" si="487"/>
        <v>0</v>
      </c>
      <c r="BW272" s="136">
        <f t="shared" si="487"/>
        <v>20.599999999999998</v>
      </c>
      <c r="BX272" s="134">
        <f t="shared" si="487"/>
        <v>0</v>
      </c>
      <c r="BY272" s="136">
        <f t="shared" si="487"/>
        <v>15.45</v>
      </c>
      <c r="BZ272" s="134">
        <f t="shared" si="487"/>
        <v>0</v>
      </c>
      <c r="CA272" s="136">
        <f t="shared" si="487"/>
        <v>25.699967283370963</v>
      </c>
      <c r="CB272" s="134">
        <f t="shared" si="487"/>
        <v>0</v>
      </c>
      <c r="CC272" s="136">
        <f t="shared" ref="CC272:CD272" si="488">SUM(CC273:CC281)</f>
        <v>36.495089324657705</v>
      </c>
      <c r="CD272" s="134">
        <f t="shared" si="488"/>
        <v>0</v>
      </c>
      <c r="CE272" s="136">
        <f t="shared" ref="CE272:CF272" si="489">SUM(CE273:CE281)</f>
        <v>36.049999999999997</v>
      </c>
      <c r="CF272" s="134">
        <f t="shared" si="489"/>
        <v>0</v>
      </c>
      <c r="CG272" s="136">
        <f t="shared" ref="CG272:CJ272" si="490">SUM(CG273:CG281)</f>
        <v>52.047799898681809</v>
      </c>
      <c r="CH272" s="134">
        <f t="shared" si="490"/>
        <v>0</v>
      </c>
      <c r="CI272" s="136">
        <f t="shared" si="490"/>
        <v>41.199999999999996</v>
      </c>
      <c r="CJ272" s="134">
        <f t="shared" si="490"/>
        <v>320</v>
      </c>
      <c r="CK272" s="136">
        <f t="shared" ref="CK272:CN272" si="491">SUM(CK273:CK281)</f>
        <v>39.225860969147135</v>
      </c>
      <c r="CL272" s="134">
        <f t="shared" si="491"/>
        <v>0</v>
      </c>
      <c r="CM272" s="136">
        <f t="shared" si="491"/>
        <v>61.8</v>
      </c>
      <c r="CN272" s="134">
        <f t="shared" si="491"/>
        <v>0</v>
      </c>
      <c r="CO272" s="136">
        <f t="shared" ref="CO272:CR272" si="492">SUM(CO273:CO281)</f>
        <v>51.500000000000007</v>
      </c>
      <c r="CP272" s="134">
        <f t="shared" si="492"/>
        <v>0</v>
      </c>
      <c r="CQ272" s="136">
        <f t="shared" si="492"/>
        <v>46.349999999999994</v>
      </c>
      <c r="CR272" s="134">
        <f t="shared" si="492"/>
        <v>0</v>
      </c>
      <c r="CS272" s="136">
        <f t="shared" ref="CS272:CX272" si="493">SUM(CS273:CS281)</f>
        <v>51.500000000000007</v>
      </c>
      <c r="CT272" s="134">
        <f t="shared" si="493"/>
        <v>0</v>
      </c>
      <c r="CU272" s="136">
        <v>20.599999999999998</v>
      </c>
      <c r="CV272" s="134">
        <f t="shared" si="493"/>
        <v>0</v>
      </c>
      <c r="CW272" s="136">
        <f t="shared" si="493"/>
        <v>28.645907163099348</v>
      </c>
      <c r="CX272" s="134">
        <f t="shared" si="493"/>
        <v>0</v>
      </c>
      <c r="CY272" s="136">
        <f t="shared" ref="CY272:CZ272" si="494">SUM(CY273:CY281)</f>
        <v>41.199999999999996</v>
      </c>
      <c r="CZ272" s="134">
        <f t="shared" si="494"/>
        <v>0</v>
      </c>
      <c r="DA272" s="141"/>
      <c r="DB272" s="293"/>
    </row>
    <row r="273" spans="3:107" ht="30.75" customHeight="1">
      <c r="C273" s="476" t="s">
        <v>356</v>
      </c>
      <c r="D273" s="443">
        <v>1</v>
      </c>
      <c r="E273" s="99" t="s">
        <v>47</v>
      </c>
      <c r="F273" s="56">
        <v>52</v>
      </c>
      <c r="G273" s="46">
        <f>F273*6600</f>
        <v>343200</v>
      </c>
      <c r="H273" s="56">
        <f>F273*($H$272/$F$272)</f>
        <v>52</v>
      </c>
      <c r="I273" s="46">
        <f t="shared" ref="I273:I281" si="495">H273*6600</f>
        <v>343200</v>
      </c>
      <c r="J273" s="49">
        <v>0</v>
      </c>
      <c r="K273" s="39">
        <f t="shared" si="401"/>
        <v>4</v>
      </c>
      <c r="L273" s="39">
        <v>0</v>
      </c>
      <c r="M273" s="39">
        <v>4</v>
      </c>
      <c r="N273" s="42"/>
      <c r="O273" s="288"/>
      <c r="P273" s="288"/>
      <c r="Q273" s="328"/>
      <c r="R273" s="328"/>
      <c r="S273" s="328"/>
      <c r="T273" s="328"/>
      <c r="U273" s="328"/>
      <c r="V273" s="331">
        <v>45786</v>
      </c>
      <c r="W273" s="331"/>
      <c r="X273" s="124"/>
      <c r="Y273" s="124"/>
      <c r="Z273" s="124"/>
      <c r="AA273" s="331">
        <v>45958</v>
      </c>
      <c r="AB273" s="124"/>
      <c r="AC273" s="124"/>
      <c r="AD273" s="124"/>
      <c r="AE273" s="124"/>
      <c r="AF273" s="124"/>
      <c r="AG273" s="124"/>
      <c r="AH273" s="124"/>
      <c r="AI273" s="129">
        <f t="shared" ref="AI273:AI281" si="496">SUM(J273:K273)-CI273+CJ273</f>
        <v>29.84</v>
      </c>
      <c r="AJ273" s="129">
        <f>AI273-CK273+CL273</f>
        <v>25.879330542921068</v>
      </c>
      <c r="AK273" s="129">
        <f t="shared" ref="AK273:AK281" si="497">AJ273-CM273+CN273</f>
        <v>19.639330542921066</v>
      </c>
      <c r="AL273" s="129">
        <f t="shared" ref="AL273:AL281" si="498">AK273-CO273+CP273</f>
        <v>14.439330542921066</v>
      </c>
      <c r="AM273" s="129">
        <f t="shared" ref="AM273:AM281" si="499">AL273-CQ273+CR273</f>
        <v>9.7593305429210666</v>
      </c>
      <c r="AN273" s="399">
        <f t="shared" ref="AN273:AN281" si="500">AM273-CS273+CT273</f>
        <v>4.5593305429210664</v>
      </c>
      <c r="AO273" s="393">
        <f t="shared" ref="AO273:AO281" si="501">AN273-CU273+CV273</f>
        <v>1.3928230169462008</v>
      </c>
      <c r="AP273" s="96">
        <f t="shared" ref="AP273:AP281" si="502">AO273-CW273+CX273</f>
        <v>-1.4995792597162581</v>
      </c>
      <c r="AQ273" s="91">
        <f t="shared" ref="AQ273:AQ281" si="503">AP273-CY273+CZ273</f>
        <v>-5.6595792597162582</v>
      </c>
      <c r="AR273" s="198"/>
      <c r="AS273" s="81">
        <f>$H$273*月別販売比率!AG9</f>
        <v>4.16</v>
      </c>
      <c r="AT273" s="39"/>
      <c r="AU273" s="81">
        <f>$H$273*月別販売比率!AL9</f>
        <v>2.6206619248366665</v>
      </c>
      <c r="AV273" s="39"/>
      <c r="AW273" s="81">
        <f>$H$273*月別販売比率!AQ9</f>
        <v>2.9200065932748598</v>
      </c>
      <c r="AX273" s="39"/>
      <c r="AY273" s="81">
        <f>$H$273*月別販売比率!AV9</f>
        <v>2.08</v>
      </c>
      <c r="AZ273" s="39"/>
      <c r="BA273" s="81">
        <f>$H$273*月別販売比率!BA9</f>
        <v>1.56</v>
      </c>
      <c r="BB273" s="39"/>
      <c r="BC273" s="81">
        <f>$H$273*月別販売比率!BF9</f>
        <v>2.5949481528840583</v>
      </c>
      <c r="BD273" s="39"/>
      <c r="BE273" s="245">
        <f>$H$273*月別販売比率!C25</f>
        <v>3.6400000000000006</v>
      </c>
      <c r="BF273" s="280">
        <v>50</v>
      </c>
      <c r="BG273" s="81">
        <f>$H$273*月別販売比率!H25</f>
        <v>4.16</v>
      </c>
      <c r="BH273" s="39"/>
      <c r="BI273" s="81">
        <f>$H$273*月別販売比率!M25</f>
        <v>7.2800000000000011</v>
      </c>
      <c r="BJ273" s="39"/>
      <c r="BK273" s="81">
        <f>$H$273*月別販売比率!R25</f>
        <v>9.36</v>
      </c>
      <c r="BL273" s="39"/>
      <c r="BM273" s="81">
        <f>$H$273*月別販売比率!W25</f>
        <v>5.2</v>
      </c>
      <c r="BN273" s="39"/>
      <c r="BO273" s="81">
        <f>$H$273*月別販売比率!AB25</f>
        <v>6.24</v>
      </c>
      <c r="BP273" s="39"/>
      <c r="BQ273" s="245">
        <f>$H$273*月別販売比率!AG25</f>
        <v>4.16</v>
      </c>
      <c r="BR273" s="280">
        <v>20</v>
      </c>
      <c r="BS273" s="81">
        <f>$H$273*月別販売比率!AL25</f>
        <v>2.6206619248366665</v>
      </c>
      <c r="BT273" s="39"/>
      <c r="BU273" s="81">
        <f>$H$273*月別販売比率!AQ25</f>
        <v>2.9200065932748598</v>
      </c>
      <c r="BV273" s="39"/>
      <c r="BW273" s="81">
        <f>$H$273*月別販売比率!AV25</f>
        <v>2.08</v>
      </c>
      <c r="BX273" s="39"/>
      <c r="BY273" s="81">
        <f>$H$273*月別販売比率!BA25</f>
        <v>1.56</v>
      </c>
      <c r="BZ273" s="39"/>
      <c r="CA273" s="81">
        <f>$H$273*月別販売比率!BF25</f>
        <v>2.5949481528840583</v>
      </c>
      <c r="CB273" s="39"/>
      <c r="CC273" s="81">
        <f>H273*月別販売比率!$C$21</f>
        <v>3.6849410580236905</v>
      </c>
      <c r="CD273" s="39"/>
      <c r="CE273" s="81">
        <f>H273*月別販売比率!$H$21</f>
        <v>3.6400000000000006</v>
      </c>
      <c r="CF273" s="39"/>
      <c r="CG273" s="81">
        <f>H273*月別販売比率!$M$21</f>
        <v>5.2553118344300085</v>
      </c>
      <c r="CH273" s="39"/>
      <c r="CI273" s="81">
        <f>H273*月別販売比率!$R$21</f>
        <v>4.16</v>
      </c>
      <c r="CJ273" s="39">
        <v>30</v>
      </c>
      <c r="CK273" s="81">
        <f>H273*月別販売比率!$W$21</f>
        <v>3.9606694570789336</v>
      </c>
      <c r="CL273" s="39"/>
      <c r="CM273" s="81">
        <f>H273*月別販売比率!$AB$21</f>
        <v>6.24</v>
      </c>
      <c r="CN273" s="39"/>
      <c r="CO273" s="81">
        <f>H273*月別販売比率!$AG$21</f>
        <v>5.2</v>
      </c>
      <c r="CP273" s="39"/>
      <c r="CQ273" s="81">
        <f>H273*月別販売比率!$AL$21</f>
        <v>4.68</v>
      </c>
      <c r="CR273" s="39"/>
      <c r="CS273" s="81">
        <f>H273*月別販売比率!$AQ$21</f>
        <v>5.2</v>
      </c>
      <c r="CT273" s="39"/>
      <c r="CU273" s="81">
        <f>H273*月別販売比率!$AV$21</f>
        <v>3.1665075259748656</v>
      </c>
      <c r="CV273" s="39"/>
      <c r="CW273" s="81">
        <f>H273*月別販売比率!$BA$21</f>
        <v>2.8924022766624589</v>
      </c>
      <c r="CX273" s="39"/>
      <c r="CY273" s="81">
        <f>H273*月別販売比率!$BF$21</f>
        <v>4.16</v>
      </c>
      <c r="CZ273" s="39"/>
      <c r="DA273" s="28"/>
      <c r="DB273" s="294"/>
    </row>
    <row r="274" spans="3:107" ht="30.75" customHeight="1">
      <c r="C274" s="477"/>
      <c r="D274" s="441"/>
      <c r="E274" s="94" t="s">
        <v>51</v>
      </c>
      <c r="F274" s="57">
        <v>48</v>
      </c>
      <c r="G274" s="5">
        <f t="shared" ref="G274:G281" si="504">F274*6600</f>
        <v>316800</v>
      </c>
      <c r="H274" s="56">
        <f t="shared" ref="H274:H281" si="505">F274*($H$272/$F$272)</f>
        <v>48</v>
      </c>
      <c r="I274" s="5">
        <f t="shared" si="495"/>
        <v>316800</v>
      </c>
      <c r="J274" s="9">
        <v>0</v>
      </c>
      <c r="K274" s="21">
        <f t="shared" si="401"/>
        <v>1</v>
      </c>
      <c r="L274" s="21">
        <v>0</v>
      </c>
      <c r="M274" s="21">
        <v>1</v>
      </c>
      <c r="N274" s="42"/>
      <c r="O274" s="288"/>
      <c r="P274" s="288"/>
      <c r="Q274" s="328"/>
      <c r="R274" s="328"/>
      <c r="S274" s="328"/>
      <c r="T274" s="328"/>
      <c r="U274" s="328"/>
      <c r="V274" s="331">
        <v>45786</v>
      </c>
      <c r="W274" s="331"/>
      <c r="X274" s="124"/>
      <c r="Y274" s="124"/>
      <c r="Z274" s="124"/>
      <c r="AA274" s="331">
        <v>45958</v>
      </c>
      <c r="AB274" s="124"/>
      <c r="AC274" s="124"/>
      <c r="AD274" s="124"/>
      <c r="AE274" s="124"/>
      <c r="AF274" s="124"/>
      <c r="AG274" s="124"/>
      <c r="AH274" s="124"/>
      <c r="AI274" s="129">
        <f t="shared" si="496"/>
        <v>17.16</v>
      </c>
      <c r="AJ274" s="129">
        <f t="shared" ref="AJ274:AJ281" si="506">AI274-CK274+CL274</f>
        <v>13.50399742423483</v>
      </c>
      <c r="AK274" s="129">
        <f t="shared" si="497"/>
        <v>7.7439974242348306</v>
      </c>
      <c r="AL274" s="129">
        <f t="shared" si="498"/>
        <v>2.9439974242348299</v>
      </c>
      <c r="AM274" s="129">
        <f t="shared" si="499"/>
        <v>-1.3760025757651704</v>
      </c>
      <c r="AN274" s="399">
        <f t="shared" si="500"/>
        <v>-6.1760025757651711</v>
      </c>
      <c r="AO274" s="393">
        <f t="shared" si="501"/>
        <v>-9.0989325997419694</v>
      </c>
      <c r="AP274" s="96">
        <f t="shared" si="502"/>
        <v>-11.76884239358424</v>
      </c>
      <c r="AQ274" s="91">
        <f t="shared" si="503"/>
        <v>-15.60884239358424</v>
      </c>
      <c r="AR274" s="198"/>
      <c r="AS274" s="81">
        <f>$H$274*月別販売比率!AG9</f>
        <v>3.84</v>
      </c>
      <c r="AT274" s="21"/>
      <c r="AU274" s="81">
        <f>$H$274*月別販売比率!AL9</f>
        <v>2.4190725460030769</v>
      </c>
      <c r="AV274" s="21"/>
      <c r="AW274" s="81">
        <f>$H$274*月別販売比率!AQ9</f>
        <v>2.6953907014844862</v>
      </c>
      <c r="AX274" s="21"/>
      <c r="AY274" s="81">
        <f>$H$274*月別販売比率!AV9</f>
        <v>1.92</v>
      </c>
      <c r="AZ274" s="21"/>
      <c r="BA274" s="81">
        <f>$H$274*月別販売比率!BA9</f>
        <v>1.44</v>
      </c>
      <c r="BB274" s="21"/>
      <c r="BC274" s="81">
        <f>$H$274*月別販売比率!BF9</f>
        <v>2.3953367565083616</v>
      </c>
      <c r="BD274" s="21"/>
      <c r="BE274" s="245">
        <f>$H$274*月別販売比率!C25</f>
        <v>3.3600000000000003</v>
      </c>
      <c r="BF274" s="241">
        <v>50</v>
      </c>
      <c r="BG274" s="81">
        <f>$H$274*月別販売比率!H25</f>
        <v>3.84</v>
      </c>
      <c r="BH274" s="21"/>
      <c r="BI274" s="81">
        <f>$H$274*月別販売比率!M25</f>
        <v>6.7200000000000006</v>
      </c>
      <c r="BJ274" s="21"/>
      <c r="BK274" s="81">
        <f>$H$17*月別販売比率!R25</f>
        <v>11.986301369863014</v>
      </c>
      <c r="BL274" s="21"/>
      <c r="BM274" s="81">
        <f>$H$274*月別販売比率!W25</f>
        <v>4.8000000000000007</v>
      </c>
      <c r="BN274" s="21"/>
      <c r="BO274" s="81">
        <f>$H$274*月別販売比率!AB25</f>
        <v>5.76</v>
      </c>
      <c r="BP274" s="21"/>
      <c r="BQ274" s="245">
        <f>$H$274*月別販売比率!AG25</f>
        <v>3.84</v>
      </c>
      <c r="BR274" s="241">
        <v>20</v>
      </c>
      <c r="BS274" s="81">
        <f>$H$274*月別販売比率!AL25</f>
        <v>2.4190725460030769</v>
      </c>
      <c r="BT274" s="21"/>
      <c r="BU274" s="81">
        <f>$H$274*月別販売比率!AQ25</f>
        <v>2.6953907014844862</v>
      </c>
      <c r="BV274" s="21"/>
      <c r="BW274" s="81">
        <f>$H$274*月別販売比率!AV25</f>
        <v>1.92</v>
      </c>
      <c r="BX274" s="21"/>
      <c r="BY274" s="81">
        <f>$H$274*月別販売比率!BA25</f>
        <v>1.44</v>
      </c>
      <c r="BZ274" s="21"/>
      <c r="CA274" s="81">
        <f>$H$274*月別販売比率!BF25</f>
        <v>2.3953367565083616</v>
      </c>
      <c r="CB274" s="21"/>
      <c r="CC274" s="81">
        <f>H274*月別販売比率!$C$21</f>
        <v>3.4014840535603295</v>
      </c>
      <c r="CD274" s="21"/>
      <c r="CE274" s="81">
        <f>H274*月別販売比率!$H$21</f>
        <v>3.3600000000000003</v>
      </c>
      <c r="CF274" s="21"/>
      <c r="CG274" s="81">
        <f>H274*月別販売比率!$M$21</f>
        <v>4.8510570779353923</v>
      </c>
      <c r="CH274" s="21"/>
      <c r="CI274" s="81">
        <f>H274*月別販売比率!$R$21</f>
        <v>3.84</v>
      </c>
      <c r="CJ274" s="21">
        <v>20</v>
      </c>
      <c r="CK274" s="81">
        <f>H274*月別販売比率!$W$21</f>
        <v>3.6560025757651697</v>
      </c>
      <c r="CL274" s="21"/>
      <c r="CM274" s="81">
        <f>H274*月別販売比率!$AB$21</f>
        <v>5.76</v>
      </c>
      <c r="CN274" s="21"/>
      <c r="CO274" s="81">
        <f>H274*月別販売比率!$AG$21</f>
        <v>4.8000000000000007</v>
      </c>
      <c r="CP274" s="21"/>
      <c r="CQ274" s="81">
        <f>H274*月別販売比率!$AL$21</f>
        <v>4.32</v>
      </c>
      <c r="CR274" s="21"/>
      <c r="CS274" s="81">
        <f>H274*月別販売比率!$AQ$21</f>
        <v>4.8000000000000007</v>
      </c>
      <c r="CT274" s="21"/>
      <c r="CU274" s="81">
        <f>H274*月別販売比率!$AV$21</f>
        <v>2.9229300239767988</v>
      </c>
      <c r="CV274" s="21"/>
      <c r="CW274" s="81">
        <f>H274*月別販売比率!$BA$21</f>
        <v>2.6699097938422698</v>
      </c>
      <c r="CX274" s="21"/>
      <c r="CY274" s="81">
        <f>H274*月別販売比率!$BF$21</f>
        <v>3.84</v>
      </c>
      <c r="CZ274" s="21"/>
      <c r="DA274" s="28"/>
      <c r="DB274" s="294"/>
    </row>
    <row r="275" spans="3:107" ht="30.75" customHeight="1">
      <c r="C275" s="477"/>
      <c r="D275" s="441"/>
      <c r="E275" s="94" t="s">
        <v>49</v>
      </c>
      <c r="F275" s="57">
        <v>26</v>
      </c>
      <c r="G275" s="5">
        <f t="shared" si="504"/>
        <v>171600</v>
      </c>
      <c r="H275" s="56">
        <f t="shared" si="505"/>
        <v>26</v>
      </c>
      <c r="I275" s="5">
        <f t="shared" si="495"/>
        <v>171600</v>
      </c>
      <c r="J275" s="9">
        <v>1</v>
      </c>
      <c r="K275" s="21">
        <f t="shared" si="401"/>
        <v>10</v>
      </c>
      <c r="L275" s="21">
        <v>0</v>
      </c>
      <c r="M275" s="21">
        <v>10</v>
      </c>
      <c r="N275" s="42"/>
      <c r="O275" s="288"/>
      <c r="P275" s="288"/>
      <c r="Q275" s="328"/>
      <c r="R275" s="328"/>
      <c r="S275" s="328"/>
      <c r="T275" s="328"/>
      <c r="U275" s="328"/>
      <c r="V275" s="331">
        <v>45786</v>
      </c>
      <c r="W275" s="331"/>
      <c r="X275" s="124"/>
      <c r="Y275" s="124"/>
      <c r="Z275" s="124"/>
      <c r="AA275" s="331">
        <v>45958</v>
      </c>
      <c r="AB275" s="124"/>
      <c r="AC275" s="124"/>
      <c r="AD275" s="124"/>
      <c r="AE275" s="328"/>
      <c r="AF275" s="328"/>
      <c r="AG275" s="331"/>
      <c r="AH275" s="331"/>
      <c r="AI275" s="129">
        <f t="shared" si="496"/>
        <v>18.920000000000002</v>
      </c>
      <c r="AJ275" s="129">
        <f t="shared" si="506"/>
        <v>16.939665271460534</v>
      </c>
      <c r="AK275" s="129">
        <f t="shared" si="497"/>
        <v>13.819665271460533</v>
      </c>
      <c r="AL275" s="129">
        <f t="shared" si="498"/>
        <v>11.219665271460533</v>
      </c>
      <c r="AM275" s="129">
        <f t="shared" si="499"/>
        <v>8.8796652714605333</v>
      </c>
      <c r="AN275" s="399">
        <f t="shared" si="500"/>
        <v>6.2796652714605337</v>
      </c>
      <c r="AO275" s="393">
        <f t="shared" si="501"/>
        <v>4.6964115084731013</v>
      </c>
      <c r="AP275" s="96">
        <f t="shared" si="502"/>
        <v>3.2502103701418719</v>
      </c>
      <c r="AQ275" s="91">
        <f t="shared" si="503"/>
        <v>1.1702103701418718</v>
      </c>
      <c r="AR275" s="198"/>
      <c r="AS275" s="81">
        <f>$H$275*月別販売比率!AG9</f>
        <v>2.08</v>
      </c>
      <c r="AT275" s="21"/>
      <c r="AU275" s="81">
        <f>$H$275*月別販売比率!AL9</f>
        <v>1.3103309624183332</v>
      </c>
      <c r="AV275" s="21"/>
      <c r="AW275" s="81">
        <f>$H$275*月別販売比率!AQ9</f>
        <v>1.4600032966374299</v>
      </c>
      <c r="AX275" s="21"/>
      <c r="AY275" s="81">
        <f>$H$275*月別販売比率!AV9</f>
        <v>1.04</v>
      </c>
      <c r="AZ275" s="21"/>
      <c r="BA275" s="81">
        <f>$H$275*月別販売比率!BA9</f>
        <v>0.78</v>
      </c>
      <c r="BB275" s="21"/>
      <c r="BC275" s="81">
        <f>$H$275*月別販売比率!BF9</f>
        <v>1.2974740764420292</v>
      </c>
      <c r="BD275" s="21"/>
      <c r="BE275" s="245">
        <f>$H$275*月別販売比率!C25</f>
        <v>1.8200000000000003</v>
      </c>
      <c r="BF275" s="241">
        <v>20</v>
      </c>
      <c r="BG275" s="81">
        <f>$H$275*月別販売比率!H25</f>
        <v>2.08</v>
      </c>
      <c r="BH275" s="21"/>
      <c r="BI275" s="81">
        <f>$H$275*月別販売比率!M25</f>
        <v>3.6400000000000006</v>
      </c>
      <c r="BJ275" s="21"/>
      <c r="BK275" s="81">
        <f>$H$275*月別販売比率!R25</f>
        <v>4.68</v>
      </c>
      <c r="BL275" s="21"/>
      <c r="BM275" s="81">
        <f>$H$275*月別販売比率!W25</f>
        <v>2.6</v>
      </c>
      <c r="BN275" s="21"/>
      <c r="BO275" s="81">
        <f>$H$275*月別販売比率!AB25</f>
        <v>3.12</v>
      </c>
      <c r="BP275" s="21"/>
      <c r="BQ275" s="245">
        <f>$H$275*月別販売比率!AG25</f>
        <v>2.08</v>
      </c>
      <c r="BR275" s="241">
        <v>30</v>
      </c>
      <c r="BS275" s="81">
        <f>$H$275*月別販売比率!AL25</f>
        <v>1.3103309624183332</v>
      </c>
      <c r="BT275" s="21"/>
      <c r="BU275" s="81">
        <f>$H$275*月別販売比率!AQ25</f>
        <v>1.4600032966374299</v>
      </c>
      <c r="BV275" s="21"/>
      <c r="BW275" s="81">
        <f>$H$275*月別販売比率!AV25</f>
        <v>1.04</v>
      </c>
      <c r="BX275" s="21"/>
      <c r="BY275" s="81">
        <f>$H$275*月別販売比率!BA25</f>
        <v>0.78</v>
      </c>
      <c r="BZ275" s="21"/>
      <c r="CA275" s="81">
        <f>$H$275*月別販売比率!BF25</f>
        <v>1.2974740764420292</v>
      </c>
      <c r="CB275" s="21"/>
      <c r="CC275" s="81">
        <f>H275*月別販売比率!$C$21</f>
        <v>1.8424705290118453</v>
      </c>
      <c r="CD275" s="21"/>
      <c r="CE275" s="81">
        <f>H275*月別販売比率!$H$21</f>
        <v>1.8200000000000003</v>
      </c>
      <c r="CF275" s="21"/>
      <c r="CG275" s="81">
        <f>H275*月別販売比率!$M$21</f>
        <v>2.6276559172150042</v>
      </c>
      <c r="CH275" s="21"/>
      <c r="CI275" s="81">
        <f>H275*月別販売比率!$R$21</f>
        <v>2.08</v>
      </c>
      <c r="CJ275" s="21">
        <v>10</v>
      </c>
      <c r="CK275" s="81">
        <f>H275*月別販売比率!$W$21</f>
        <v>1.9803347285394668</v>
      </c>
      <c r="CL275" s="21"/>
      <c r="CM275" s="81">
        <f>H275*月別販売比率!$AB$21</f>
        <v>3.12</v>
      </c>
      <c r="CN275" s="21"/>
      <c r="CO275" s="81">
        <f>H275*月別販売比率!$AG$21</f>
        <v>2.6</v>
      </c>
      <c r="CP275" s="21"/>
      <c r="CQ275" s="81">
        <f>H275*月別販売比率!$AL$21</f>
        <v>2.34</v>
      </c>
      <c r="CR275" s="21"/>
      <c r="CS275" s="81">
        <f>H275*月別販売比率!$AQ$21</f>
        <v>2.6</v>
      </c>
      <c r="CT275" s="21"/>
      <c r="CU275" s="81">
        <f>H275*月別販売比率!$AV$21</f>
        <v>1.5832537629874328</v>
      </c>
      <c r="CV275" s="21"/>
      <c r="CW275" s="81">
        <f>H275*月別販売比率!$BA$21</f>
        <v>1.4462011383312294</v>
      </c>
      <c r="CX275" s="21"/>
      <c r="CY275" s="81">
        <f>H275*月別販売比率!$BF$21</f>
        <v>2.08</v>
      </c>
      <c r="CZ275" s="21"/>
      <c r="DA275" s="28"/>
      <c r="DB275" s="294"/>
    </row>
    <row r="276" spans="3:107" ht="30.75" customHeight="1">
      <c r="C276" s="477"/>
      <c r="D276" s="441">
        <v>2</v>
      </c>
      <c r="E276" s="94" t="s">
        <v>47</v>
      </c>
      <c r="F276" s="57">
        <v>48</v>
      </c>
      <c r="G276" s="5">
        <f t="shared" si="504"/>
        <v>316800</v>
      </c>
      <c r="H276" s="164">
        <v>100</v>
      </c>
      <c r="I276" s="5">
        <f t="shared" si="495"/>
        <v>660000</v>
      </c>
      <c r="J276" s="9">
        <v>0</v>
      </c>
      <c r="K276" s="21">
        <f>SUM(L276:N276)</f>
        <v>0</v>
      </c>
      <c r="L276" s="21">
        <v>0</v>
      </c>
      <c r="M276" s="21">
        <v>0</v>
      </c>
      <c r="N276" s="42"/>
      <c r="O276" s="288"/>
      <c r="P276" s="288"/>
      <c r="Q276" s="328"/>
      <c r="R276" s="328"/>
      <c r="S276" s="328"/>
      <c r="T276" s="328"/>
      <c r="U276" s="328"/>
      <c r="V276" s="331">
        <v>45786</v>
      </c>
      <c r="W276" s="331"/>
      <c r="X276" s="124"/>
      <c r="Y276" s="328"/>
      <c r="Z276" s="124"/>
      <c r="AA276" s="331">
        <v>45958</v>
      </c>
      <c r="AB276" s="124"/>
      <c r="AC276" s="328"/>
      <c r="AD276" s="328"/>
      <c r="AE276" s="328"/>
      <c r="AF276" s="328"/>
      <c r="AG276" s="331"/>
      <c r="AH276" s="331"/>
      <c r="AI276" s="129">
        <f t="shared" si="496"/>
        <v>72</v>
      </c>
      <c r="AJ276" s="129">
        <f t="shared" si="506"/>
        <v>64.383327967155893</v>
      </c>
      <c r="AK276" s="129">
        <f t="shared" si="497"/>
        <v>52.383327967155893</v>
      </c>
      <c r="AL276" s="129">
        <f t="shared" si="498"/>
        <v>42.383327967155893</v>
      </c>
      <c r="AM276" s="129">
        <f t="shared" si="499"/>
        <v>33.383327967155893</v>
      </c>
      <c r="AN276" s="399">
        <f t="shared" si="500"/>
        <v>23.383327967155893</v>
      </c>
      <c r="AO276" s="393">
        <f t="shared" si="501"/>
        <v>17.293890417204228</v>
      </c>
      <c r="AP276" s="96">
        <f t="shared" si="502"/>
        <v>11.7315783466995</v>
      </c>
      <c r="AQ276" s="91">
        <f t="shared" si="503"/>
        <v>3.7315783466995001</v>
      </c>
      <c r="AR276" s="198"/>
      <c r="AS276" s="81">
        <f>$H$276*月別販売比率!AG9</f>
        <v>8</v>
      </c>
      <c r="AT276" s="21"/>
      <c r="AU276" s="81">
        <f>$H$276*月別販売比率!AL9</f>
        <v>5.0397344708397434</v>
      </c>
      <c r="AV276" s="21"/>
      <c r="AW276" s="81">
        <f>$H$276*月別販売比率!AQ9</f>
        <v>5.6153972947593456</v>
      </c>
      <c r="AX276" s="21"/>
      <c r="AY276" s="81">
        <f>$H$276*月別販売比率!AV9</f>
        <v>4</v>
      </c>
      <c r="AZ276" s="21"/>
      <c r="BA276" s="81">
        <f>$H$276*月別販売比率!BA9</f>
        <v>3</v>
      </c>
      <c r="BB276" s="21"/>
      <c r="BC276" s="81">
        <f>$H$276*月別販売比率!BF9</f>
        <v>4.99028490939242</v>
      </c>
      <c r="BD276" s="21"/>
      <c r="BE276" s="245">
        <f>$H$276*月別販売比率!C25</f>
        <v>7.0000000000000009</v>
      </c>
      <c r="BF276" s="241">
        <v>48</v>
      </c>
      <c r="BG276" s="81">
        <f>$H$276*月別販売比率!H25</f>
        <v>8</v>
      </c>
      <c r="BH276" s="21"/>
      <c r="BI276" s="81">
        <f>$H$276*月別販売比率!M25</f>
        <v>14.000000000000002</v>
      </c>
      <c r="BJ276" s="21"/>
      <c r="BK276" s="81">
        <f>$H$276*月別販売比率!R25</f>
        <v>18</v>
      </c>
      <c r="BL276" s="21"/>
      <c r="BM276" s="81">
        <f>$H$276*月別販売比率!W25</f>
        <v>10</v>
      </c>
      <c r="BN276" s="21"/>
      <c r="BO276" s="81">
        <f>$H$276*月別販売比率!AB25</f>
        <v>12</v>
      </c>
      <c r="BP276" s="21"/>
      <c r="BQ276" s="245">
        <f>$H$276*月別販売比率!AG25</f>
        <v>8</v>
      </c>
      <c r="BR276" s="241">
        <v>20</v>
      </c>
      <c r="BS276" s="81">
        <f>$H$276*月別販売比率!AL25</f>
        <v>5.0397344708397434</v>
      </c>
      <c r="BT276" s="21"/>
      <c r="BU276" s="81">
        <f>$H$276*月別販売比率!AQ25</f>
        <v>5.6153972947593456</v>
      </c>
      <c r="BV276" s="21"/>
      <c r="BW276" s="81">
        <f>$H$276*月別販売比率!AV25</f>
        <v>4</v>
      </c>
      <c r="BX276" s="21"/>
      <c r="BY276" s="81">
        <f>$H$276*月別販売比率!BA25</f>
        <v>3</v>
      </c>
      <c r="BZ276" s="21"/>
      <c r="CA276" s="81">
        <f>$H$276*月別販売比率!BF25</f>
        <v>4.99028490939242</v>
      </c>
      <c r="CB276" s="21"/>
      <c r="CC276" s="81">
        <f>H276*月別販売比率!$C$21</f>
        <v>7.0864251115840204</v>
      </c>
      <c r="CD276" s="21"/>
      <c r="CE276" s="81">
        <f>H276*月別販売比率!$H$21</f>
        <v>7.0000000000000009</v>
      </c>
      <c r="CF276" s="21"/>
      <c r="CG276" s="81">
        <f>H276*月別販売比率!$M$21</f>
        <v>10.106368912365401</v>
      </c>
      <c r="CH276" s="21"/>
      <c r="CI276" s="81">
        <f>H276*月別販売比率!$R$21</f>
        <v>8</v>
      </c>
      <c r="CJ276" s="21">
        <v>80</v>
      </c>
      <c r="CK276" s="81">
        <f>H276*月別販売比率!$W$21</f>
        <v>7.6166720328441029</v>
      </c>
      <c r="CL276" s="21"/>
      <c r="CM276" s="81">
        <f>H276*月別販売比率!$AB$21</f>
        <v>12</v>
      </c>
      <c r="CN276" s="21"/>
      <c r="CO276" s="81">
        <f>H276*月別販売比率!$AG$21</f>
        <v>10</v>
      </c>
      <c r="CP276" s="21"/>
      <c r="CQ276" s="81">
        <f>H276*月別販売比率!$AL$21</f>
        <v>9</v>
      </c>
      <c r="CR276" s="21"/>
      <c r="CS276" s="81">
        <f>H276*月別販売比率!$AQ$21</f>
        <v>10</v>
      </c>
      <c r="CT276" s="21"/>
      <c r="CU276" s="81">
        <f>H276*月別販売比率!$AV$21</f>
        <v>6.089437549951664</v>
      </c>
      <c r="CV276" s="21"/>
      <c r="CW276" s="81">
        <f>H276*月別販売比率!$BA$21</f>
        <v>5.5623120705047286</v>
      </c>
      <c r="CX276" s="21"/>
      <c r="CY276" s="81">
        <f>H276*月別販売比率!$BF$21</f>
        <v>8</v>
      </c>
      <c r="CZ276" s="21"/>
      <c r="DA276" s="28"/>
      <c r="DB276" s="294"/>
    </row>
    <row r="277" spans="3:107" ht="30.75" customHeight="1">
      <c r="C277" s="477"/>
      <c r="D277" s="441"/>
      <c r="E277" s="94" t="s">
        <v>51</v>
      </c>
      <c r="F277" s="57">
        <v>45</v>
      </c>
      <c r="G277" s="5">
        <f t="shared" si="504"/>
        <v>297000</v>
      </c>
      <c r="H277" s="164">
        <v>75</v>
      </c>
      <c r="I277" s="5">
        <f t="shared" si="495"/>
        <v>495000</v>
      </c>
      <c r="J277" s="9">
        <v>0</v>
      </c>
      <c r="K277" s="21">
        <f t="shared" si="401"/>
        <v>0</v>
      </c>
      <c r="L277" s="21">
        <v>0</v>
      </c>
      <c r="M277" s="21">
        <v>0</v>
      </c>
      <c r="N277" s="42"/>
      <c r="O277" s="288"/>
      <c r="P277" s="288"/>
      <c r="Q277" s="328"/>
      <c r="R277" s="328"/>
      <c r="S277" s="328"/>
      <c r="T277" s="328"/>
      <c r="U277" s="328"/>
      <c r="V277" s="331">
        <v>45786</v>
      </c>
      <c r="W277" s="331"/>
      <c r="X277" s="328"/>
      <c r="Y277" s="328"/>
      <c r="Z277" s="124"/>
      <c r="AA277" s="331">
        <v>45958</v>
      </c>
      <c r="AB277" s="124"/>
      <c r="AC277" s="124"/>
      <c r="AD277" s="328"/>
      <c r="AE277" s="328"/>
      <c r="AF277" s="328"/>
      <c r="AG277" s="331"/>
      <c r="AH277" s="331"/>
      <c r="AI277" s="129">
        <f t="shared" si="496"/>
        <v>54</v>
      </c>
      <c r="AJ277" s="129">
        <f t="shared" si="506"/>
        <v>48.287495975366923</v>
      </c>
      <c r="AK277" s="129">
        <f t="shared" si="497"/>
        <v>39.287495975366923</v>
      </c>
      <c r="AL277" s="129">
        <f t="shared" si="498"/>
        <v>31.787495975366923</v>
      </c>
      <c r="AM277" s="129">
        <f t="shared" si="499"/>
        <v>25.037495975366923</v>
      </c>
      <c r="AN277" s="399">
        <f t="shared" si="500"/>
        <v>17.537495975366923</v>
      </c>
      <c r="AO277" s="393">
        <f t="shared" si="501"/>
        <v>12.970417812903175</v>
      </c>
      <c r="AP277" s="96">
        <f t="shared" si="502"/>
        <v>8.7986837600246304</v>
      </c>
      <c r="AQ277" s="91">
        <f t="shared" si="503"/>
        <v>2.7986837600246304</v>
      </c>
      <c r="AR277" s="198"/>
      <c r="AS277" s="81">
        <f>$H$277*月別販売比率!AG9</f>
        <v>6</v>
      </c>
      <c r="AT277" s="21"/>
      <c r="AU277" s="81">
        <f>$H$277*月別販売比率!AL9</f>
        <v>3.7798008531298075</v>
      </c>
      <c r="AV277" s="21"/>
      <c r="AW277" s="81">
        <f>$H$277*月別販売比率!AQ9</f>
        <v>4.2115479710695096</v>
      </c>
      <c r="AX277" s="21"/>
      <c r="AY277" s="81">
        <f>$H$277*月別販売比率!AV9</f>
        <v>3</v>
      </c>
      <c r="AZ277" s="21"/>
      <c r="BA277" s="81">
        <f>$H$277*月別販売比率!BA9</f>
        <v>2.25</v>
      </c>
      <c r="BB277" s="21"/>
      <c r="BC277" s="81">
        <f>$H$277*月別販売比率!BF9</f>
        <v>3.742713682044315</v>
      </c>
      <c r="BD277" s="21"/>
      <c r="BE277" s="245">
        <f>$H$277*月別販売比率!C25</f>
        <v>5.2500000000000009</v>
      </c>
      <c r="BF277" s="241">
        <v>42</v>
      </c>
      <c r="BG277" s="81">
        <f>$H$277*月別販売比率!H25</f>
        <v>6</v>
      </c>
      <c r="BH277" s="21"/>
      <c r="BI277" s="81">
        <f>$H$277*月別販売比率!M25</f>
        <v>10.500000000000002</v>
      </c>
      <c r="BJ277" s="21"/>
      <c r="BK277" s="81">
        <f>$H$277*月別販売比率!R25</f>
        <v>13.5</v>
      </c>
      <c r="BL277" s="21"/>
      <c r="BM277" s="81">
        <f>$H$277*月別販売比率!W25</f>
        <v>7.5</v>
      </c>
      <c r="BN277" s="21"/>
      <c r="BO277" s="81">
        <f>$H$277*月別販売比率!AB25</f>
        <v>9</v>
      </c>
      <c r="BP277" s="21"/>
      <c r="BQ277" s="245">
        <f>$H$277*月別販売比率!AG25</f>
        <v>6</v>
      </c>
      <c r="BR277" s="241">
        <v>20</v>
      </c>
      <c r="BS277" s="81">
        <f>$H$277*月別販売比率!AL25</f>
        <v>3.7798008531298075</v>
      </c>
      <c r="BT277" s="21"/>
      <c r="BU277" s="81">
        <f>$H$277*月別販売比率!AQ25</f>
        <v>4.2115479710695096</v>
      </c>
      <c r="BV277" s="21"/>
      <c r="BW277" s="81">
        <f>$H$277*月別販売比率!AV25</f>
        <v>3</v>
      </c>
      <c r="BX277" s="21"/>
      <c r="BY277" s="81">
        <f>$H$277*月別販売比率!BA25</f>
        <v>2.25</v>
      </c>
      <c r="BZ277" s="21"/>
      <c r="CA277" s="81">
        <f>$H$277*月別販売比率!BF25</f>
        <v>3.742713682044315</v>
      </c>
      <c r="CB277" s="21"/>
      <c r="CC277" s="81">
        <f>H277*月別販売比率!$C$21</f>
        <v>5.3148188336880153</v>
      </c>
      <c r="CD277" s="21"/>
      <c r="CE277" s="81">
        <f>H277*月別販売比率!$H$21</f>
        <v>5.2500000000000009</v>
      </c>
      <c r="CF277" s="21"/>
      <c r="CG277" s="81">
        <f>H277*月別販売比率!$M$21</f>
        <v>7.5797766842740497</v>
      </c>
      <c r="CH277" s="21"/>
      <c r="CI277" s="81">
        <f>H277*月別販売比率!$R$21</f>
        <v>6</v>
      </c>
      <c r="CJ277" s="21">
        <v>60</v>
      </c>
      <c r="CK277" s="81">
        <f>H277*月別販売比率!$W$21</f>
        <v>5.7125040246330769</v>
      </c>
      <c r="CL277" s="21"/>
      <c r="CM277" s="81">
        <f>H277*月別販売比率!$AB$21</f>
        <v>9</v>
      </c>
      <c r="CN277" s="21"/>
      <c r="CO277" s="81">
        <f>H277*月別販売比率!$AG$21</f>
        <v>7.5</v>
      </c>
      <c r="CP277" s="21"/>
      <c r="CQ277" s="81">
        <f>H277*月別販売比率!$AL$21</f>
        <v>6.75</v>
      </c>
      <c r="CR277" s="21"/>
      <c r="CS277" s="81">
        <f>H277*月別販売比率!$AQ$21</f>
        <v>7.5</v>
      </c>
      <c r="CT277" s="21"/>
      <c r="CU277" s="81">
        <f>H277*月別販売比率!$AV$21</f>
        <v>4.5670781624637486</v>
      </c>
      <c r="CV277" s="21"/>
      <c r="CW277" s="81">
        <f>H277*月別販売比率!$BA$21</f>
        <v>4.1717340528785458</v>
      </c>
      <c r="CX277" s="21"/>
      <c r="CY277" s="81">
        <f>H277*月別販売比率!$BF$21</f>
        <v>6</v>
      </c>
      <c r="CZ277" s="21"/>
      <c r="DA277" s="28"/>
      <c r="DB277" s="294"/>
    </row>
    <row r="278" spans="3:107" ht="30.75" customHeight="1">
      <c r="C278" s="477"/>
      <c r="D278" s="441"/>
      <c r="E278" s="94" t="s">
        <v>49</v>
      </c>
      <c r="F278" s="57">
        <v>33</v>
      </c>
      <c r="G278" s="5">
        <f t="shared" si="504"/>
        <v>217800</v>
      </c>
      <c r="H278" s="164">
        <v>70</v>
      </c>
      <c r="I278" s="5">
        <f t="shared" si="495"/>
        <v>462000</v>
      </c>
      <c r="J278" s="9">
        <v>0</v>
      </c>
      <c r="K278" s="21">
        <f t="shared" si="401"/>
        <v>0</v>
      </c>
      <c r="L278" s="21">
        <v>0</v>
      </c>
      <c r="M278" s="21">
        <v>0</v>
      </c>
      <c r="N278" s="42"/>
      <c r="O278" s="288"/>
      <c r="P278" s="288"/>
      <c r="Q278" s="328"/>
      <c r="R278" s="328"/>
      <c r="S278" s="328"/>
      <c r="T278" s="328"/>
      <c r="U278" s="328"/>
      <c r="V278" s="331">
        <v>45786</v>
      </c>
      <c r="W278" s="331"/>
      <c r="X278" s="328"/>
      <c r="Y278" s="328"/>
      <c r="Z278" s="124"/>
      <c r="AA278" s="331">
        <v>45958</v>
      </c>
      <c r="AB278" s="124"/>
      <c r="AC278" s="124"/>
      <c r="AD278" s="328"/>
      <c r="AE278" s="328"/>
      <c r="AF278" s="328"/>
      <c r="AG278" s="331"/>
      <c r="AH278" s="331"/>
      <c r="AI278" s="129">
        <f t="shared" si="496"/>
        <v>44.4</v>
      </c>
      <c r="AJ278" s="129">
        <f t="shared" si="506"/>
        <v>39.068329577009123</v>
      </c>
      <c r="AK278" s="129">
        <f t="shared" si="497"/>
        <v>30.668329577009125</v>
      </c>
      <c r="AL278" s="129">
        <f t="shared" si="498"/>
        <v>23.668329577009125</v>
      </c>
      <c r="AM278" s="129">
        <f t="shared" si="499"/>
        <v>17.368329577009124</v>
      </c>
      <c r="AN278" s="399">
        <f t="shared" si="500"/>
        <v>10.368329577009124</v>
      </c>
      <c r="AO278" s="393">
        <f t="shared" si="501"/>
        <v>6.1057232920429589</v>
      </c>
      <c r="AP278" s="96">
        <f t="shared" si="502"/>
        <v>2.2121048426896492</v>
      </c>
      <c r="AQ278" s="91">
        <f t="shared" si="503"/>
        <v>-3.3878951573103513</v>
      </c>
      <c r="AR278" s="198"/>
      <c r="AS278" s="81">
        <f>$H$278*月別販売比率!AG9</f>
        <v>5.6000000000000005</v>
      </c>
      <c r="AT278" s="21"/>
      <c r="AU278" s="81">
        <f>$H$278*月別販売比率!AL9</f>
        <v>3.5278141295878203</v>
      </c>
      <c r="AV278" s="21"/>
      <c r="AW278" s="81">
        <f>$H$278*月別販売比率!AQ9</f>
        <v>3.9307781063315419</v>
      </c>
      <c r="AX278" s="21"/>
      <c r="AY278" s="81">
        <f>$H$278*月別販売比率!AV9</f>
        <v>2.8000000000000003</v>
      </c>
      <c r="AZ278" s="21"/>
      <c r="BA278" s="81">
        <f>$H$278*月別販売比率!BA9</f>
        <v>2.1</v>
      </c>
      <c r="BB278" s="21"/>
      <c r="BC278" s="81">
        <f>$H$278*月別販売比率!BF9</f>
        <v>3.4931994365746939</v>
      </c>
      <c r="BD278" s="21"/>
      <c r="BE278" s="245">
        <f>$H$278*月別販売比率!C25</f>
        <v>4.9000000000000004</v>
      </c>
      <c r="BF278" s="241">
        <v>30</v>
      </c>
      <c r="BG278" s="81">
        <f>$H$278*月別販売比率!H25</f>
        <v>5.6000000000000005</v>
      </c>
      <c r="BH278" s="21"/>
      <c r="BI278" s="81">
        <f>$H$278*月別販売比率!M25</f>
        <v>9.8000000000000007</v>
      </c>
      <c r="BJ278" s="21"/>
      <c r="BK278" s="81">
        <f>$H$278*月別販売比率!R25</f>
        <v>12.6</v>
      </c>
      <c r="BL278" s="21"/>
      <c r="BM278" s="81">
        <f>$H$278*月別販売比率!W25</f>
        <v>7</v>
      </c>
      <c r="BN278" s="21"/>
      <c r="BO278" s="81">
        <f>$H$278*月別販売比率!AB25</f>
        <v>8.4</v>
      </c>
      <c r="BP278" s="21"/>
      <c r="BQ278" s="245">
        <f>$H$278*月別販売比率!AG25</f>
        <v>5.6000000000000005</v>
      </c>
      <c r="BR278" s="241">
        <v>20</v>
      </c>
      <c r="BS278" s="81">
        <f>$H$278*月別販売比率!AL25</f>
        <v>3.5278141295878203</v>
      </c>
      <c r="BT278" s="21"/>
      <c r="BU278" s="81">
        <f>$H$278*月別販売比率!AQ25</f>
        <v>3.9307781063315419</v>
      </c>
      <c r="BV278" s="21"/>
      <c r="BW278" s="81">
        <f>$H$278*月別販売比率!AV25</f>
        <v>2.8000000000000003</v>
      </c>
      <c r="BX278" s="21"/>
      <c r="BY278" s="81">
        <f>$H$278*月別販売比率!BA25</f>
        <v>2.1</v>
      </c>
      <c r="BZ278" s="21"/>
      <c r="CA278" s="81">
        <f>$H$278*月別販売比率!BF25</f>
        <v>3.4931994365746939</v>
      </c>
      <c r="CB278" s="21"/>
      <c r="CC278" s="81">
        <f>H278*月別販売比率!$C$21</f>
        <v>4.9604975781088143</v>
      </c>
      <c r="CD278" s="21"/>
      <c r="CE278" s="81">
        <f>H278*月別販売比率!$H$21</f>
        <v>4.9000000000000004</v>
      </c>
      <c r="CF278" s="21"/>
      <c r="CG278" s="81">
        <f>H278*月別販売比率!$M$21</f>
        <v>7.0744582386557804</v>
      </c>
      <c r="CH278" s="21"/>
      <c r="CI278" s="81">
        <f>H278*月別販売比率!$R$21</f>
        <v>5.6000000000000005</v>
      </c>
      <c r="CJ278" s="21">
        <v>50</v>
      </c>
      <c r="CK278" s="81">
        <f>H278*月別販売比率!$W$21</f>
        <v>5.3316704229908725</v>
      </c>
      <c r="CL278" s="21"/>
      <c r="CM278" s="81">
        <f>H278*月別販売比率!$AB$21</f>
        <v>8.4</v>
      </c>
      <c r="CN278" s="21"/>
      <c r="CO278" s="81">
        <f>H278*月別販売比率!$AG$21</f>
        <v>7</v>
      </c>
      <c r="CP278" s="21"/>
      <c r="CQ278" s="81">
        <f>H278*月別販売比率!$AL$21</f>
        <v>6.3</v>
      </c>
      <c r="CR278" s="21"/>
      <c r="CS278" s="81">
        <f>H278*月別販売比率!$AQ$21</f>
        <v>7</v>
      </c>
      <c r="CT278" s="21"/>
      <c r="CU278" s="81">
        <f>H278*月別販売比率!$AV$21</f>
        <v>4.2626062849661652</v>
      </c>
      <c r="CV278" s="21"/>
      <c r="CW278" s="81">
        <f>H278*月別販売比率!$BA$21</f>
        <v>3.8936184493533097</v>
      </c>
      <c r="CX278" s="21"/>
      <c r="CY278" s="81">
        <f>H278*月別販売比率!$BF$21</f>
        <v>5.6000000000000005</v>
      </c>
      <c r="CZ278" s="21"/>
      <c r="DA278" s="28"/>
      <c r="DB278" s="294"/>
    </row>
    <row r="279" spans="3:107" ht="30.75" customHeight="1">
      <c r="C279" s="477"/>
      <c r="D279" s="441">
        <v>3</v>
      </c>
      <c r="E279" s="94" t="s">
        <v>47</v>
      </c>
      <c r="F279" s="57">
        <v>48</v>
      </c>
      <c r="G279" s="5">
        <f t="shared" si="504"/>
        <v>316800</v>
      </c>
      <c r="H279" s="56">
        <f t="shared" si="505"/>
        <v>48</v>
      </c>
      <c r="I279" s="5">
        <f t="shared" si="495"/>
        <v>316800</v>
      </c>
      <c r="J279" s="9">
        <v>1</v>
      </c>
      <c r="K279" s="21">
        <f t="shared" si="401"/>
        <v>30</v>
      </c>
      <c r="L279" s="21">
        <v>0</v>
      </c>
      <c r="M279" s="21">
        <v>30</v>
      </c>
      <c r="N279" s="42"/>
      <c r="O279" s="288"/>
      <c r="P279" s="288"/>
      <c r="Q279" s="328"/>
      <c r="R279" s="328"/>
      <c r="S279" s="328"/>
      <c r="T279" s="328"/>
      <c r="U279" s="328"/>
      <c r="V279" s="331">
        <v>45786</v>
      </c>
      <c r="W279" s="331"/>
      <c r="X279" s="124"/>
      <c r="Y279" s="124"/>
      <c r="Z279" s="124"/>
      <c r="AA279" s="124"/>
      <c r="AB279" s="124"/>
      <c r="AC279" s="124"/>
      <c r="AD279" s="124"/>
      <c r="AE279" s="124"/>
      <c r="AF279" s="124"/>
      <c r="AG279" s="124"/>
      <c r="AH279" s="331"/>
      <c r="AI279" s="129">
        <f t="shared" si="496"/>
        <v>37.159999999999997</v>
      </c>
      <c r="AJ279" s="129">
        <f t="shared" si="506"/>
        <v>33.503997424234825</v>
      </c>
      <c r="AK279" s="129">
        <f t="shared" si="497"/>
        <v>27.743997424234827</v>
      </c>
      <c r="AL279" s="129">
        <f t="shared" si="498"/>
        <v>22.943997424234826</v>
      </c>
      <c r="AM279" s="129">
        <f t="shared" si="499"/>
        <v>18.623997424234826</v>
      </c>
      <c r="AN279" s="399">
        <f t="shared" si="500"/>
        <v>13.823997424234825</v>
      </c>
      <c r="AO279" s="393">
        <f t="shared" si="501"/>
        <v>10.901067400258027</v>
      </c>
      <c r="AP279" s="96">
        <f t="shared" si="502"/>
        <v>8.2311576064157563</v>
      </c>
      <c r="AQ279" s="91">
        <f t="shared" si="503"/>
        <v>4.3911576064157565</v>
      </c>
      <c r="AR279" s="198"/>
      <c r="AS279" s="81">
        <f>$H$279*月別販売比率!AG9</f>
        <v>3.84</v>
      </c>
      <c r="AT279" s="21"/>
      <c r="AU279" s="81">
        <f>$H$279*月別販売比率!AL9</f>
        <v>2.4190725460030769</v>
      </c>
      <c r="AV279" s="21"/>
      <c r="AW279" s="81">
        <f>$H$279*月別販売比率!AQ9</f>
        <v>2.6953907014844862</v>
      </c>
      <c r="AX279" s="21"/>
      <c r="AY279" s="81">
        <f>$H$279*月別販売比率!AV9</f>
        <v>1.92</v>
      </c>
      <c r="AZ279" s="21"/>
      <c r="BA279" s="81">
        <f>$H$279*月別販売比率!BA9</f>
        <v>1.44</v>
      </c>
      <c r="BB279" s="21"/>
      <c r="BC279" s="81">
        <f>$H$279*月別販売比率!BF9</f>
        <v>2.3953367565083616</v>
      </c>
      <c r="BD279" s="21"/>
      <c r="BE279" s="245">
        <f>$H$279*月別販売比率!C25</f>
        <v>3.3600000000000003</v>
      </c>
      <c r="BF279" s="241">
        <v>50</v>
      </c>
      <c r="BG279" s="81">
        <f>$H$279*月別販売比率!H25</f>
        <v>3.84</v>
      </c>
      <c r="BH279" s="21"/>
      <c r="BI279" s="81">
        <f>$H$279*月別販売比率!M25</f>
        <v>6.7200000000000006</v>
      </c>
      <c r="BJ279" s="21"/>
      <c r="BK279" s="81">
        <f>$H$279*月別販売比率!R25</f>
        <v>8.64</v>
      </c>
      <c r="BL279" s="21"/>
      <c r="BM279" s="81">
        <f>$H$279*月別販売比率!W25</f>
        <v>4.8000000000000007</v>
      </c>
      <c r="BN279" s="21"/>
      <c r="BO279" s="81">
        <f>$H$279*月別販売比率!AB25</f>
        <v>5.76</v>
      </c>
      <c r="BP279" s="21"/>
      <c r="BQ279" s="245">
        <f>$H$279*月別販売比率!AG25</f>
        <v>3.84</v>
      </c>
      <c r="BR279" s="241">
        <v>20</v>
      </c>
      <c r="BS279" s="81">
        <f>$H$279*月別販売比率!AL25</f>
        <v>2.4190725460030769</v>
      </c>
      <c r="BT279" s="21"/>
      <c r="BU279" s="81">
        <f>$H$279*月別販売比率!AQ25</f>
        <v>2.6953907014844862</v>
      </c>
      <c r="BV279" s="21"/>
      <c r="BW279" s="81">
        <f>$H$279*月別販売比率!AV25</f>
        <v>1.92</v>
      </c>
      <c r="BX279" s="21"/>
      <c r="BY279" s="81">
        <f>$H$279*月別販売比率!BA25</f>
        <v>1.44</v>
      </c>
      <c r="BZ279" s="21"/>
      <c r="CA279" s="81">
        <f>$H$279*月別販売比率!BF25</f>
        <v>2.3953367565083616</v>
      </c>
      <c r="CB279" s="21"/>
      <c r="CC279" s="81">
        <f>H279*月別販売比率!$C$21</f>
        <v>3.4014840535603295</v>
      </c>
      <c r="CD279" s="21"/>
      <c r="CE279" s="81">
        <f>H279*月別販売比率!$H$21</f>
        <v>3.3600000000000003</v>
      </c>
      <c r="CF279" s="21"/>
      <c r="CG279" s="81">
        <f>H279*月別販売比率!$M$21</f>
        <v>4.8510570779353923</v>
      </c>
      <c r="CH279" s="21"/>
      <c r="CI279" s="81">
        <f>H279*月別販売比率!$R$21</f>
        <v>3.84</v>
      </c>
      <c r="CJ279" s="21">
        <v>10</v>
      </c>
      <c r="CK279" s="81">
        <f>H279*月別販売比率!$W$21</f>
        <v>3.6560025757651697</v>
      </c>
      <c r="CL279" s="21"/>
      <c r="CM279" s="81">
        <f>H279*月別販売比率!$AB$21</f>
        <v>5.76</v>
      </c>
      <c r="CN279" s="21"/>
      <c r="CO279" s="81">
        <f>H279*月別販売比率!$AG$21</f>
        <v>4.8000000000000007</v>
      </c>
      <c r="CP279" s="21"/>
      <c r="CQ279" s="81">
        <f>H279*月別販売比率!$AL$21</f>
        <v>4.32</v>
      </c>
      <c r="CR279" s="21"/>
      <c r="CS279" s="81">
        <f>H279*月別販売比率!$AQ$21</f>
        <v>4.8000000000000007</v>
      </c>
      <c r="CT279" s="21"/>
      <c r="CU279" s="81">
        <f>H279*月別販売比率!$AV$21</f>
        <v>2.9229300239767988</v>
      </c>
      <c r="CV279" s="21"/>
      <c r="CW279" s="81">
        <f>H279*月別販売比率!$BA$21</f>
        <v>2.6699097938422698</v>
      </c>
      <c r="CX279" s="21"/>
      <c r="CY279" s="81">
        <f>H279*月別販売比率!$BF$21</f>
        <v>3.84</v>
      </c>
      <c r="CZ279" s="21"/>
      <c r="DA279" s="28"/>
      <c r="DB279" s="294"/>
    </row>
    <row r="280" spans="3:107" ht="30.75" customHeight="1">
      <c r="C280" s="477"/>
      <c r="D280" s="441"/>
      <c r="E280" s="94" t="s">
        <v>51</v>
      </c>
      <c r="F280" s="57">
        <v>45</v>
      </c>
      <c r="G280" s="5">
        <f t="shared" si="504"/>
        <v>297000</v>
      </c>
      <c r="H280" s="164">
        <v>70</v>
      </c>
      <c r="I280" s="5">
        <f t="shared" si="495"/>
        <v>462000</v>
      </c>
      <c r="J280" s="9">
        <v>1</v>
      </c>
      <c r="K280" s="21">
        <f t="shared" si="401"/>
        <v>19</v>
      </c>
      <c r="L280" s="21">
        <v>0</v>
      </c>
      <c r="M280" s="21">
        <v>19</v>
      </c>
      <c r="N280" s="42"/>
      <c r="O280" s="288"/>
      <c r="P280" s="288"/>
      <c r="Q280" s="328"/>
      <c r="R280" s="328"/>
      <c r="S280" s="328"/>
      <c r="T280" s="328"/>
      <c r="U280" s="328"/>
      <c r="V280" s="331">
        <v>45786</v>
      </c>
      <c r="W280" s="331"/>
      <c r="X280" s="124"/>
      <c r="Y280" s="124"/>
      <c r="Z280" s="124"/>
      <c r="AA280" s="331">
        <v>45958</v>
      </c>
      <c r="AB280" s="124"/>
      <c r="AC280" s="124"/>
      <c r="AD280" s="124"/>
      <c r="AE280" s="124"/>
      <c r="AF280" s="124"/>
      <c r="AG280" s="331"/>
      <c r="AH280" s="331"/>
      <c r="AI280" s="129">
        <f t="shared" si="496"/>
        <v>54.4</v>
      </c>
      <c r="AJ280" s="129">
        <f t="shared" si="506"/>
        <v>49.068329577009123</v>
      </c>
      <c r="AK280" s="129">
        <f t="shared" si="497"/>
        <v>40.668329577009125</v>
      </c>
      <c r="AL280" s="129">
        <f t="shared" si="498"/>
        <v>33.668329577009125</v>
      </c>
      <c r="AM280" s="129">
        <f t="shared" si="499"/>
        <v>27.368329577009124</v>
      </c>
      <c r="AN280" s="399">
        <f t="shared" si="500"/>
        <v>20.368329577009124</v>
      </c>
      <c r="AO280" s="393">
        <f t="shared" si="501"/>
        <v>16.10572329204296</v>
      </c>
      <c r="AP280" s="96">
        <f t="shared" si="502"/>
        <v>12.21210484268965</v>
      </c>
      <c r="AQ280" s="91">
        <f t="shared" si="503"/>
        <v>6.6121048426896492</v>
      </c>
      <c r="AR280" s="198"/>
      <c r="AS280" s="81">
        <f>$H$280*月別販売比率!AG9</f>
        <v>5.6000000000000005</v>
      </c>
      <c r="AT280" s="21"/>
      <c r="AU280" s="81">
        <f>$H$280*月別販売比率!AL9</f>
        <v>3.5278141295878203</v>
      </c>
      <c r="AV280" s="21"/>
      <c r="AW280" s="81">
        <f>$H$280*月別販売比率!AQ9</f>
        <v>3.9307781063315419</v>
      </c>
      <c r="AX280" s="21"/>
      <c r="AY280" s="81">
        <f>$H$280*月別販売比率!AV9</f>
        <v>2.8000000000000003</v>
      </c>
      <c r="AZ280" s="21"/>
      <c r="BA280" s="81">
        <f>$H$280*月別販売比率!BA9</f>
        <v>2.1</v>
      </c>
      <c r="BB280" s="21"/>
      <c r="BC280" s="81">
        <f>$H$280*月別販売比率!BF9</f>
        <v>3.4931994365746939</v>
      </c>
      <c r="BD280" s="21"/>
      <c r="BE280" s="245">
        <f>$H$280*月別販売比率!C25</f>
        <v>4.9000000000000004</v>
      </c>
      <c r="BF280" s="241">
        <v>41</v>
      </c>
      <c r="BG280" s="81">
        <f>$H$280*月別販売比率!H25</f>
        <v>5.6000000000000005</v>
      </c>
      <c r="BH280" s="21"/>
      <c r="BI280" s="81">
        <f>$H$280*月別販売比率!M25</f>
        <v>9.8000000000000007</v>
      </c>
      <c r="BJ280" s="21"/>
      <c r="BK280" s="81">
        <f>$H$280*月別販売比率!R25</f>
        <v>12.6</v>
      </c>
      <c r="BL280" s="21"/>
      <c r="BM280" s="81">
        <f>$H$280*月別販売比率!W25</f>
        <v>7</v>
      </c>
      <c r="BN280" s="21"/>
      <c r="BO280" s="81">
        <f>$H$280*月別販売比率!AB25</f>
        <v>8.4</v>
      </c>
      <c r="BP280" s="21"/>
      <c r="BQ280" s="245">
        <f>$H$280*月別販売比率!AG25</f>
        <v>5.6000000000000005</v>
      </c>
      <c r="BR280" s="241">
        <v>25</v>
      </c>
      <c r="BS280" s="81">
        <f>$H$280*月別販売比率!AL25</f>
        <v>3.5278141295878203</v>
      </c>
      <c r="BT280" s="21"/>
      <c r="BU280" s="81">
        <f>$H$280*月別販売比率!AQ25</f>
        <v>3.9307781063315419</v>
      </c>
      <c r="BV280" s="21"/>
      <c r="BW280" s="81">
        <f>$H$280*月別販売比率!AV25</f>
        <v>2.8000000000000003</v>
      </c>
      <c r="BX280" s="21"/>
      <c r="BY280" s="81">
        <f>$H$280*月別販売比率!BA25</f>
        <v>2.1</v>
      </c>
      <c r="BZ280" s="21"/>
      <c r="CA280" s="81">
        <f>$H$280*月別販売比率!BF25</f>
        <v>3.4931994365746939</v>
      </c>
      <c r="CB280" s="21"/>
      <c r="CC280" s="81">
        <f>H280*月別販売比率!$C$21</f>
        <v>4.9604975781088143</v>
      </c>
      <c r="CD280" s="21"/>
      <c r="CE280" s="81">
        <f>H280*月別販売比率!$H$21</f>
        <v>4.9000000000000004</v>
      </c>
      <c r="CF280" s="21"/>
      <c r="CG280" s="81">
        <f>H280*月別販売比率!$M$21</f>
        <v>7.0744582386557804</v>
      </c>
      <c r="CH280" s="21"/>
      <c r="CI280" s="81">
        <f>H280*月別販売比率!$R$21</f>
        <v>5.6000000000000005</v>
      </c>
      <c r="CJ280" s="21">
        <v>40</v>
      </c>
      <c r="CK280" s="81">
        <f>H280*月別販売比率!$W$21</f>
        <v>5.3316704229908725</v>
      </c>
      <c r="CL280" s="21"/>
      <c r="CM280" s="81">
        <f>H280*月別販売比率!$AB$21</f>
        <v>8.4</v>
      </c>
      <c r="CN280" s="21"/>
      <c r="CO280" s="81">
        <f>H280*月別販売比率!$AG$21</f>
        <v>7</v>
      </c>
      <c r="CP280" s="21"/>
      <c r="CQ280" s="81">
        <f>H280*月別販売比率!$AL$21</f>
        <v>6.3</v>
      </c>
      <c r="CR280" s="21"/>
      <c r="CS280" s="81">
        <f>H280*月別販売比率!$AQ$21</f>
        <v>7</v>
      </c>
      <c r="CT280" s="21"/>
      <c r="CU280" s="81">
        <f>H280*月別販売比率!$AV$21</f>
        <v>4.2626062849661652</v>
      </c>
      <c r="CV280" s="21"/>
      <c r="CW280" s="81">
        <f>H280*月別販売比率!$BA$21</f>
        <v>3.8936184493533097</v>
      </c>
      <c r="CX280" s="21"/>
      <c r="CY280" s="81">
        <f>H280*月別販売比率!$BF$21</f>
        <v>5.6000000000000005</v>
      </c>
      <c r="CZ280" s="21"/>
      <c r="DA280" s="28"/>
      <c r="DB280" s="294"/>
    </row>
    <row r="281" spans="3:107" ht="30.75" customHeight="1">
      <c r="C281" s="478"/>
      <c r="D281" s="444"/>
      <c r="E281" s="101" t="s">
        <v>49</v>
      </c>
      <c r="F281" s="120">
        <v>26</v>
      </c>
      <c r="G281" s="36">
        <f t="shared" si="504"/>
        <v>171600</v>
      </c>
      <c r="H281" s="268">
        <f t="shared" si="505"/>
        <v>26</v>
      </c>
      <c r="I281" s="36">
        <f t="shared" si="495"/>
        <v>171600</v>
      </c>
      <c r="J281" s="113">
        <v>0</v>
      </c>
      <c r="K281" s="103">
        <v>0</v>
      </c>
      <c r="L281" s="104">
        <v>0</v>
      </c>
      <c r="M281" s="104">
        <v>9</v>
      </c>
      <c r="N281" s="117"/>
      <c r="O281" s="291"/>
      <c r="P281" s="291"/>
      <c r="Q281" s="338"/>
      <c r="R281" s="338"/>
      <c r="S281" s="329"/>
      <c r="T281" s="329"/>
      <c r="U281" s="329"/>
      <c r="V281" s="331">
        <v>45786</v>
      </c>
      <c r="W281" s="331"/>
      <c r="X281" s="124"/>
      <c r="Y281" s="305"/>
      <c r="Z281" s="305"/>
      <c r="AA281" s="331">
        <v>45958</v>
      </c>
      <c r="AB281" s="124"/>
      <c r="AC281" s="124"/>
      <c r="AD281" s="124"/>
      <c r="AE281" s="124"/>
      <c r="AF281" s="124"/>
      <c r="AG281" s="331"/>
      <c r="AH281" s="331"/>
      <c r="AI281" s="238">
        <f t="shared" si="496"/>
        <v>17.920000000000002</v>
      </c>
      <c r="AJ281" s="238">
        <f t="shared" si="506"/>
        <v>15.939665271460536</v>
      </c>
      <c r="AK281" s="238">
        <f t="shared" si="497"/>
        <v>12.819665271460536</v>
      </c>
      <c r="AL281" s="238">
        <f t="shared" si="498"/>
        <v>10.219665271460537</v>
      </c>
      <c r="AM281" s="238">
        <f t="shared" si="499"/>
        <v>7.8796652714605369</v>
      </c>
      <c r="AN281" s="401">
        <f t="shared" si="500"/>
        <v>5.2796652714605372</v>
      </c>
      <c r="AO281" s="395">
        <f t="shared" si="501"/>
        <v>3.6964115084731044</v>
      </c>
      <c r="AP281" s="403">
        <f t="shared" si="502"/>
        <v>2.250210370141875</v>
      </c>
      <c r="AQ281" s="90">
        <f t="shared" si="503"/>
        <v>0.1702103701418749</v>
      </c>
      <c r="AR281" s="198"/>
      <c r="AS281" s="81">
        <f>$H$281*月別販売比率!AG9</f>
        <v>2.08</v>
      </c>
      <c r="AT281" s="107"/>
      <c r="AU281" s="81">
        <f>$H$281*月別販売比率!AL9</f>
        <v>1.3103309624183332</v>
      </c>
      <c r="AV281" s="107"/>
      <c r="AW281" s="81">
        <f>$H$281*月別販売比率!AQ9</f>
        <v>1.4600032966374299</v>
      </c>
      <c r="AX281" s="107"/>
      <c r="AY281" s="81">
        <f>$H$281*月別販売比率!AV9</f>
        <v>1.04</v>
      </c>
      <c r="AZ281" s="107"/>
      <c r="BA281" s="81">
        <f>$H$281*月別販売比率!BA9</f>
        <v>0.78</v>
      </c>
      <c r="BB281" s="107"/>
      <c r="BC281" s="81">
        <f>$H$281*月別販売比率!BF9</f>
        <v>1.2974740764420292</v>
      </c>
      <c r="BD281" s="104"/>
      <c r="BE281" s="245">
        <f>$H$281*月別販売比率!C25</f>
        <v>1.8200000000000003</v>
      </c>
      <c r="BF281" s="341">
        <v>29</v>
      </c>
      <c r="BG281" s="81">
        <f>$H$281*月別販売比率!H25</f>
        <v>2.08</v>
      </c>
      <c r="BH281" s="104"/>
      <c r="BI281" s="81">
        <f>$H$281*月別販売比率!M25</f>
        <v>3.6400000000000006</v>
      </c>
      <c r="BJ281" s="107"/>
      <c r="BK281" s="81">
        <f>$H$281*月別販売比率!R25</f>
        <v>4.68</v>
      </c>
      <c r="BL281" s="107"/>
      <c r="BM281" s="81">
        <f>$H$281*月別販売比率!W25</f>
        <v>2.6</v>
      </c>
      <c r="BN281" s="104"/>
      <c r="BO281" s="81">
        <f>$H$281*月別販売比率!AB25</f>
        <v>3.12</v>
      </c>
      <c r="BP281" s="104"/>
      <c r="BQ281" s="245">
        <f>$H$281*月別販売比率!AG25</f>
        <v>2.08</v>
      </c>
      <c r="BR281" s="339">
        <v>20</v>
      </c>
      <c r="BS281" s="81">
        <f>$H$281*月別販売比率!AL25</f>
        <v>1.3103309624183332</v>
      </c>
      <c r="BT281" s="107"/>
      <c r="BU281" s="81">
        <f>$H$281*月別販売比率!AQ25</f>
        <v>1.4600032966374299</v>
      </c>
      <c r="BV281" s="107"/>
      <c r="BW281" s="81">
        <f>$H$281*月別販売比率!AV25</f>
        <v>1.04</v>
      </c>
      <c r="BX281" s="104"/>
      <c r="BY281" s="81">
        <f>$H$281*月別販売比率!BA25</f>
        <v>0.78</v>
      </c>
      <c r="BZ281" s="104"/>
      <c r="CA281" s="81">
        <f>$H$281*月別販売比率!BF25</f>
        <v>1.2974740764420292</v>
      </c>
      <c r="CB281" s="104"/>
      <c r="CC281" s="81">
        <f>H281*月別販売比率!$C$21</f>
        <v>1.8424705290118453</v>
      </c>
      <c r="CD281" s="104"/>
      <c r="CE281" s="81">
        <f>H281*月別販売比率!$H$21</f>
        <v>1.8200000000000003</v>
      </c>
      <c r="CF281" s="104"/>
      <c r="CG281" s="81">
        <f>H281*月別販売比率!$M$21</f>
        <v>2.6276559172150042</v>
      </c>
      <c r="CH281" s="104"/>
      <c r="CI281" s="81">
        <f>H281*月別販売比率!$R$21</f>
        <v>2.08</v>
      </c>
      <c r="CJ281" s="104">
        <v>20</v>
      </c>
      <c r="CK281" s="81">
        <f>H281*月別販売比率!$W$21</f>
        <v>1.9803347285394668</v>
      </c>
      <c r="CL281" s="104"/>
      <c r="CM281" s="81">
        <f>H281*月別販売比率!$AB$21</f>
        <v>3.12</v>
      </c>
      <c r="CN281" s="104"/>
      <c r="CO281" s="81">
        <f>H281*月別販売比率!$AG$21</f>
        <v>2.6</v>
      </c>
      <c r="CP281" s="104"/>
      <c r="CQ281" s="81">
        <f>H281*月別販売比率!$AL$21</f>
        <v>2.34</v>
      </c>
      <c r="CR281" s="104"/>
      <c r="CS281" s="81">
        <f>H281*月別販売比率!$AQ$21</f>
        <v>2.6</v>
      </c>
      <c r="CT281" s="104"/>
      <c r="CU281" s="81">
        <f>H281*月別販売比率!$AV$21</f>
        <v>1.5832537629874328</v>
      </c>
      <c r="CV281" s="104"/>
      <c r="CW281" s="81">
        <f>H281*月別販売比率!$BA$21</f>
        <v>1.4462011383312294</v>
      </c>
      <c r="CX281" s="104"/>
      <c r="CY281" s="81">
        <f>H281*月別販売比率!$BF$21</f>
        <v>2.08</v>
      </c>
      <c r="CZ281" s="104"/>
      <c r="DA281" s="298"/>
      <c r="DB281" s="297"/>
    </row>
    <row r="282" spans="3:107" ht="30.75" customHeight="1">
      <c r="C282" s="485" t="s">
        <v>23</v>
      </c>
      <c r="D282" s="486"/>
      <c r="E282" s="487"/>
      <c r="F282" s="270">
        <f t="shared" ref="F282:N282" si="507">F6+F27+F38+F49+F60+F71+F82+F99+F112+F122+F131+F156+F169+F185+F194+F203+F214+F221+F234+F252+F255+F259+F272</f>
        <v>18079</v>
      </c>
      <c r="G282" s="270">
        <f t="shared" si="507"/>
        <v>74030880</v>
      </c>
      <c r="H282" s="270">
        <f t="shared" si="507"/>
        <v>29049</v>
      </c>
      <c r="I282" s="270">
        <f t="shared" si="507"/>
        <v>136799354.58822936</v>
      </c>
      <c r="J282" s="63">
        <f t="shared" si="507"/>
        <v>3502</v>
      </c>
      <c r="K282" s="253">
        <f t="shared" si="507"/>
        <v>7074</v>
      </c>
      <c r="L282" s="253">
        <f>L6+L27+L38+L49+L60+L71+L82+L99+L112+L122+L131+L156+L169+L185+L194+L203+L214+L221+L234+L252+L255+L259+L272</f>
        <v>2237</v>
      </c>
      <c r="M282" s="253">
        <f t="shared" si="507"/>
        <v>2406</v>
      </c>
      <c r="N282" s="254">
        <f t="shared" si="507"/>
        <v>2435</v>
      </c>
      <c r="O282" s="237"/>
      <c r="P282" s="237"/>
      <c r="Q282" s="237"/>
      <c r="R282" s="237"/>
      <c r="S282" s="237"/>
      <c r="T282" s="237"/>
      <c r="U282" s="237"/>
      <c r="V282" s="237"/>
      <c r="W282" s="237"/>
      <c r="X282" s="237"/>
      <c r="Y282" s="237"/>
      <c r="Z282" s="237"/>
      <c r="AA282" s="237"/>
      <c r="AB282" s="237"/>
      <c r="AC282" s="237"/>
      <c r="AD282" s="237"/>
      <c r="AE282" s="237"/>
      <c r="AF282" s="237"/>
      <c r="AG282" s="237"/>
      <c r="AH282" s="237"/>
      <c r="AI282" s="237"/>
      <c r="AJ282" s="237"/>
      <c r="AK282" s="237"/>
      <c r="AL282" s="237"/>
      <c r="AM282" s="237"/>
      <c r="AN282" s="237"/>
      <c r="AO282" s="237"/>
      <c r="AP282" s="237"/>
      <c r="AQ282" s="237"/>
      <c r="AR282" s="237"/>
      <c r="AS282" s="63">
        <f t="shared" ref="AS282:BI282" si="508">AS6+AS27+AS38+AS49+AS60+AS71+AS82+AS99+AS112+AS122+AS131+AS156+AS169+AS185+AS194+AS203+AS214+AS221+AS234+AS243+AS252+AS255+AS259+AS272</f>
        <v>3131.1092315133592</v>
      </c>
      <c r="AT282" s="63">
        <f t="shared" si="508"/>
        <v>1374</v>
      </c>
      <c r="AU282" s="63">
        <f t="shared" si="508"/>
        <v>2786.831180123439</v>
      </c>
      <c r="AV282" s="63">
        <f t="shared" si="508"/>
        <v>1042</v>
      </c>
      <c r="AW282" s="63">
        <f t="shared" si="508"/>
        <v>3036.2820041765372</v>
      </c>
      <c r="AX282" s="63">
        <f t="shared" si="508"/>
        <v>3760</v>
      </c>
      <c r="AY282" s="63">
        <f t="shared" si="508"/>
        <v>1921.6529087128736</v>
      </c>
      <c r="AZ282" s="63">
        <f t="shared" si="508"/>
        <v>1179</v>
      </c>
      <c r="BA282" s="63">
        <f t="shared" si="508"/>
        <v>1701.8543700794164</v>
      </c>
      <c r="BB282" s="63">
        <f t="shared" si="508"/>
        <v>1269</v>
      </c>
      <c r="BC282" s="63">
        <f t="shared" si="508"/>
        <v>2456.0578361250064</v>
      </c>
      <c r="BD282" s="63">
        <f t="shared" si="508"/>
        <v>524</v>
      </c>
      <c r="BE282" s="63">
        <f t="shared" si="508"/>
        <v>2320.1533321726761</v>
      </c>
      <c r="BF282" s="63">
        <f t="shared" si="508"/>
        <v>2890</v>
      </c>
      <c r="BG282" s="63">
        <f t="shared" si="508"/>
        <v>2369.2114879685996</v>
      </c>
      <c r="BH282" s="63">
        <f t="shared" si="508"/>
        <v>3328</v>
      </c>
      <c r="BI282" s="63">
        <f t="shared" si="508"/>
        <v>3335.4095567737581</v>
      </c>
      <c r="BJ282" s="63" t="e">
        <f>BJ6+BJ27+#REF!+#REF!+#REF!+BJ71+BJ82+BJ99+BJ112+BJ122+BJ131+BJ156+BJ169+BJ185+BJ194+BJ203+BJ214+BJ221+BJ234+BJ243+BJ252+BJ255+BJ259+BJ272</f>
        <v>#REF!</v>
      </c>
      <c r="BK282" s="63">
        <f t="shared" ref="BK282:CB282" si="509">BK6+BK27+BK38+BK49+BK60+BK71+BK82+BK99+BK112+BK122+BK131+BK156+BK169+BK185+BK194+BK203+BK214+BK221+BK234+BK243+BK252+BK255+BK259+BK272</f>
        <v>3107.7260858554555</v>
      </c>
      <c r="BL282" s="63">
        <f t="shared" si="509"/>
        <v>3959</v>
      </c>
      <c r="BM282" s="63">
        <f t="shared" si="509"/>
        <v>2632.9244071069656</v>
      </c>
      <c r="BN282" s="63">
        <f t="shared" si="509"/>
        <v>2361</v>
      </c>
      <c r="BO282" s="63">
        <f t="shared" si="509"/>
        <v>3900.4227374707693</v>
      </c>
      <c r="BP282" s="63">
        <f t="shared" si="509"/>
        <v>3529</v>
      </c>
      <c r="BQ282" s="63">
        <f t="shared" si="509"/>
        <v>3131.1092315133592</v>
      </c>
      <c r="BR282" s="63">
        <f t="shared" si="509"/>
        <v>3978</v>
      </c>
      <c r="BS282" s="63">
        <f t="shared" si="509"/>
        <v>2759.9442823561062</v>
      </c>
      <c r="BT282" s="63">
        <f t="shared" si="509"/>
        <v>2246</v>
      </c>
      <c r="BU282" s="63">
        <f t="shared" si="509"/>
        <v>3036.2820041765372</v>
      </c>
      <c r="BV282" s="63">
        <f t="shared" si="509"/>
        <v>2395</v>
      </c>
      <c r="BW282" s="63">
        <f t="shared" si="509"/>
        <v>1921.6529087128736</v>
      </c>
      <c r="BX282" s="63">
        <f t="shared" si="509"/>
        <v>591</v>
      </c>
      <c r="BY282" s="63">
        <f t="shared" si="509"/>
        <v>1704.378260864399</v>
      </c>
      <c r="BZ282" s="63">
        <f t="shared" si="509"/>
        <v>1026</v>
      </c>
      <c r="CA282" s="63">
        <f t="shared" si="509"/>
        <v>2456.0578361250064</v>
      </c>
      <c r="CB282" s="63">
        <f t="shared" si="509"/>
        <v>193</v>
      </c>
      <c r="CC282" s="63">
        <f t="shared" ref="CC282:CD282" si="510">CC6+CC27+CC38+CC49+CC60+CC71+CC82+CC99+CC112+CC122+CC131+CC156+CC169+CC185+CC194+CC203+CC214+CC221+CC234+CC243+CC252+CC255+CC259+CC272</f>
        <v>2229.8984214973339</v>
      </c>
      <c r="CD282" s="63">
        <f t="shared" si="510"/>
        <v>1269</v>
      </c>
      <c r="CE282" s="63">
        <f t="shared" ref="CE282:CF282" si="511">CE6+CE27+CE38+CE49+CE60+CE71+CE82+CE99+CE112+CE122+CE131+CE156+CE169+CE185+CE194+CE203+CE214+CE221+CE234+CE243+CE252+CE255+CE259+CE272</f>
        <v>2240.0801759926694</v>
      </c>
      <c r="CF282" s="63">
        <f t="shared" si="511"/>
        <v>4240</v>
      </c>
      <c r="CG282" s="63">
        <f t="shared" ref="CG282:CJ282" si="512">CG6+CG27+CG38+CG49+CG60+CG71+CG82+CG99+CG112+CG122+CG131+CG156+CG169+CG185+CG194+CG203+CG214+CG221+CG234+CG243+CG252+CG255+CG259+CG272</f>
        <v>3244.5108394137301</v>
      </c>
      <c r="CH282" s="63">
        <f t="shared" si="512"/>
        <v>2733</v>
      </c>
      <c r="CI282" s="63">
        <f t="shared" si="512"/>
        <v>2831.5756547558626</v>
      </c>
      <c r="CJ282" s="63">
        <f t="shared" si="512"/>
        <v>4924</v>
      </c>
      <c r="CK282" s="63">
        <f t="shared" ref="CK282:CN282" si="513">CK6+CK27+CK38+CK49+CK60+CK71+CK82+CK99+CK112+CK122+CK131+CK156+CK169+CK185+CK194+CK203+CK214+CK221+CK234+CK243+CK252+CK255+CK259+CK272</f>
        <v>2554.2859910793459</v>
      </c>
      <c r="CL282" s="63">
        <f t="shared" si="513"/>
        <v>2978</v>
      </c>
      <c r="CM282" s="63">
        <f t="shared" si="513"/>
        <v>3438.8972158028455</v>
      </c>
      <c r="CN282" s="63">
        <f t="shared" si="513"/>
        <v>300</v>
      </c>
      <c r="CO282" s="63">
        <f t="shared" ref="CO282:CR282" si="514">CO6+CO27+CO38+CO49+CO60+CO71+CO82+CO99+CO112+CO122+CO131+CO156+CO169+CO185+CO194+CO203+CO214+CO221+CO234+CO243+CO252+CO255+CO259+CO272</f>
        <v>3021.7042016515816</v>
      </c>
      <c r="CP282" s="63">
        <f t="shared" si="514"/>
        <v>3655</v>
      </c>
      <c r="CQ282" s="63">
        <f t="shared" si="514"/>
        <v>2406.1661179503394</v>
      </c>
      <c r="CR282" s="63">
        <f t="shared" si="514"/>
        <v>2298</v>
      </c>
      <c r="CS282" s="63">
        <f t="shared" ref="CS282:CX282" si="515">CS6+CS27+CS38+CS49+CS60+CS71+CS82+CS99+CS112+CS122+CS131+CS156+CS169+CS185+CS194+CS203+CS214+CS221+CS234+CS243+CS252+CS255+CS259+CS272</f>
        <v>2871.2115609658708</v>
      </c>
      <c r="CT282" s="63">
        <f t="shared" si="515"/>
        <v>1645</v>
      </c>
      <c r="CU282" s="63">
        <v>1921.0439649578782</v>
      </c>
      <c r="CV282" s="63">
        <f t="shared" si="515"/>
        <v>510</v>
      </c>
      <c r="CW282" s="63">
        <f t="shared" si="515"/>
        <v>1668.0139674793013</v>
      </c>
      <c r="CX282" s="63">
        <f t="shared" si="515"/>
        <v>0</v>
      </c>
      <c r="CY282" s="63">
        <f t="shared" ref="CY282:CZ282" si="516">CY6+CY27+CY38+CY49+CY60+CY71+CY82+CY99+CY112+CY122+CY131+CY156+CY169+CY185+CY194+CY203+CY214+CY221+CY234+CY243+CY252+CY255+CY259+CY272</f>
        <v>2295.8670005289237</v>
      </c>
      <c r="CZ282" s="63">
        <f t="shared" si="516"/>
        <v>0</v>
      </c>
      <c r="DA282" s="64"/>
      <c r="DB282" s="64"/>
      <c r="DC282" s="65"/>
    </row>
    <row r="283" spans="3:107" ht="41.25" customHeight="1">
      <c r="C283" s="17" t="s">
        <v>24</v>
      </c>
      <c r="D283" s="31"/>
      <c r="E283" s="33"/>
      <c r="F283" s="482"/>
      <c r="G283" s="483"/>
      <c r="H283" s="483"/>
      <c r="I283" s="484"/>
    </row>
    <row r="286" spans="3:107" ht="42" customHeight="1">
      <c r="C286" s="343"/>
    </row>
    <row r="292" spans="14:44">
      <c r="N292"/>
      <c r="O292"/>
      <c r="P292"/>
      <c r="Q292"/>
      <c r="R292"/>
      <c r="S292"/>
      <c r="T292"/>
      <c r="U292"/>
      <c r="V292"/>
      <c r="W292"/>
      <c r="X292"/>
      <c r="Y292"/>
      <c r="Z292"/>
      <c r="AA292"/>
      <c r="AB292"/>
      <c r="AC292"/>
      <c r="AD292"/>
      <c r="AE292"/>
      <c r="AF292"/>
      <c r="AG292"/>
      <c r="AH292"/>
      <c r="AI292"/>
      <c r="AJ292"/>
      <c r="AK292"/>
      <c r="AL292"/>
      <c r="AM292"/>
      <c r="AN292"/>
      <c r="AO292"/>
      <c r="AP292"/>
      <c r="AQ292"/>
      <c r="AR292"/>
    </row>
  </sheetData>
  <autoFilter ref="B5:DC283" xr:uid="{00000000-0009-0000-0000-000000000000}"/>
  <mergeCells count="153">
    <mergeCell ref="BU3:BV3"/>
    <mergeCell ref="CC4:CD4"/>
    <mergeCell ref="C195:C202"/>
    <mergeCell ref="D195:D198"/>
    <mergeCell ref="D199:D202"/>
    <mergeCell ref="AS2:AT2"/>
    <mergeCell ref="D116:D118"/>
    <mergeCell ref="C71:E71"/>
    <mergeCell ref="C72:C81"/>
    <mergeCell ref="D72:D76"/>
    <mergeCell ref="D77:D81"/>
    <mergeCell ref="C194:E194"/>
    <mergeCell ref="C156:E156"/>
    <mergeCell ref="D95:D98"/>
    <mergeCell ref="D148:D151"/>
    <mergeCell ref="D152:D155"/>
    <mergeCell ref="C122:E122"/>
    <mergeCell ref="D123:D126"/>
    <mergeCell ref="D127:D130"/>
    <mergeCell ref="C157:C168"/>
    <mergeCell ref="D157:D160"/>
    <mergeCell ref="C82:E82"/>
    <mergeCell ref="C83:C98"/>
    <mergeCell ref="D119:D121"/>
    <mergeCell ref="F283:I283"/>
    <mergeCell ref="C282:E282"/>
    <mergeCell ref="C203:E203"/>
    <mergeCell ref="C204:C213"/>
    <mergeCell ref="D204:D208"/>
    <mergeCell ref="D209:D213"/>
    <mergeCell ref="C252:E252"/>
    <mergeCell ref="C253:C254"/>
    <mergeCell ref="C260:C271"/>
    <mergeCell ref="D260:D263"/>
    <mergeCell ref="C272:E272"/>
    <mergeCell ref="C273:C281"/>
    <mergeCell ref="D273:D275"/>
    <mergeCell ref="D276:D278"/>
    <mergeCell ref="D279:D281"/>
    <mergeCell ref="D264:D267"/>
    <mergeCell ref="D268:D271"/>
    <mergeCell ref="C214:E214"/>
    <mergeCell ref="C215:C220"/>
    <mergeCell ref="C259:E259"/>
    <mergeCell ref="C255:E255"/>
    <mergeCell ref="C256:C258"/>
    <mergeCell ref="D91:D94"/>
    <mergeCell ref="C61:C70"/>
    <mergeCell ref="D61:D65"/>
    <mergeCell ref="D66:D70"/>
    <mergeCell ref="D113:D115"/>
    <mergeCell ref="C243:E243"/>
    <mergeCell ref="C244:C251"/>
    <mergeCell ref="D244:D247"/>
    <mergeCell ref="D248:D251"/>
    <mergeCell ref="D215:D217"/>
    <mergeCell ref="D218:D220"/>
    <mergeCell ref="C234:E234"/>
    <mergeCell ref="C235:C242"/>
    <mergeCell ref="D235:D238"/>
    <mergeCell ref="D239:D242"/>
    <mergeCell ref="C221:E221"/>
    <mergeCell ref="C222:C233"/>
    <mergeCell ref="D222:D225"/>
    <mergeCell ref="D226:D229"/>
    <mergeCell ref="D230:D233"/>
    <mergeCell ref="D161:D164"/>
    <mergeCell ref="D165:D168"/>
    <mergeCell ref="C123:C130"/>
    <mergeCell ref="CY4:CZ4"/>
    <mergeCell ref="C38:E38"/>
    <mergeCell ref="C39:C48"/>
    <mergeCell ref="D39:D43"/>
    <mergeCell ref="D44:D48"/>
    <mergeCell ref="C131:E131"/>
    <mergeCell ref="C132:C155"/>
    <mergeCell ref="D132:D135"/>
    <mergeCell ref="D136:D139"/>
    <mergeCell ref="D140:D143"/>
    <mergeCell ref="D144:D147"/>
    <mergeCell ref="C49:E49"/>
    <mergeCell ref="C50:C59"/>
    <mergeCell ref="D50:D54"/>
    <mergeCell ref="D55:D59"/>
    <mergeCell ref="C99:E99"/>
    <mergeCell ref="C100:C111"/>
    <mergeCell ref="D100:D103"/>
    <mergeCell ref="D104:D107"/>
    <mergeCell ref="D108:D111"/>
    <mergeCell ref="C112:E112"/>
    <mergeCell ref="C113:C121"/>
    <mergeCell ref="D83:D86"/>
    <mergeCell ref="D87:D90"/>
    <mergeCell ref="D28:D32"/>
    <mergeCell ref="D33:D37"/>
    <mergeCell ref="CI4:CJ4"/>
    <mergeCell ref="CK4:CL4"/>
    <mergeCell ref="CM4:CN4"/>
    <mergeCell ref="CO4:CP4"/>
    <mergeCell ref="CQ4:CR4"/>
    <mergeCell ref="CS4:CT4"/>
    <mergeCell ref="CE4:CF4"/>
    <mergeCell ref="CG4:CH4"/>
    <mergeCell ref="C27:E27"/>
    <mergeCell ref="C28:C37"/>
    <mergeCell ref="DB4:DB5"/>
    <mergeCell ref="C6:E6"/>
    <mergeCell ref="BA4:BB4"/>
    <mergeCell ref="BC4:BD4"/>
    <mergeCell ref="BE4:BF4"/>
    <mergeCell ref="BG4:BH4"/>
    <mergeCell ref="BI4:BJ4"/>
    <mergeCell ref="BK4:BL4"/>
    <mergeCell ref="BM4:BN4"/>
    <mergeCell ref="BO4:BP4"/>
    <mergeCell ref="BQ4:BR4"/>
    <mergeCell ref="BS4:BT4"/>
    <mergeCell ref="BU4:BV4"/>
    <mergeCell ref="BW4:BX4"/>
    <mergeCell ref="BY4:BZ4"/>
    <mergeCell ref="CA4:CB4"/>
    <mergeCell ref="AS4:AT4"/>
    <mergeCell ref="AU4:AV4"/>
    <mergeCell ref="AW4:AX4"/>
    <mergeCell ref="AY4:AZ4"/>
    <mergeCell ref="O4:AB4"/>
    <mergeCell ref="DA4:DA5"/>
    <mergeCell ref="CU4:CV4"/>
    <mergeCell ref="CW4:CX4"/>
    <mergeCell ref="BK3:BL3"/>
    <mergeCell ref="BQ3:BR3"/>
    <mergeCell ref="BS3:BT3"/>
    <mergeCell ref="U1:V1"/>
    <mergeCell ref="C185:E185"/>
    <mergeCell ref="C186:C193"/>
    <mergeCell ref="D186:D189"/>
    <mergeCell ref="D190:D193"/>
    <mergeCell ref="C169:E169"/>
    <mergeCell ref="D170:D174"/>
    <mergeCell ref="D175:D179"/>
    <mergeCell ref="C170:C184"/>
    <mergeCell ref="D180:D184"/>
    <mergeCell ref="J3:N3"/>
    <mergeCell ref="C4:E4"/>
    <mergeCell ref="F4:G4"/>
    <mergeCell ref="H4:I4"/>
    <mergeCell ref="J4:N4"/>
    <mergeCell ref="C7:C26"/>
    <mergeCell ref="D7:D11"/>
    <mergeCell ref="D12:D16"/>
    <mergeCell ref="D17:D21"/>
    <mergeCell ref="D22:D26"/>
    <mergeCell ref="C60:E60"/>
  </mergeCells>
  <phoneticPr fontId="1"/>
  <conditionalFormatting sqref="AI7:AR26 AI28:AR37 AI39:AR48 AI50:AR59 AI61:AR70 AI72:AR81 AI83:AR98 AI100:AR111 AI113:AR121 AI123:AR130 AI132:AR155 AI157:AR168 AI170:AR184 AI186:AR193 AI195:AR202 AI204:AR213 AI215:AR220 AI222:AR233 AI235:AR242 AI244:AR251 AI253:AR254 AI256:AR258 AI260:AR271 AI273:AR281">
    <cfRule type="cellIs" dxfId="2" priority="6" operator="lessThan">
      <formula>1</formula>
    </cfRule>
  </conditionalFormatting>
  <pageMargins left="0.7" right="0.7" top="0.75" bottom="0.75" header="0.3" footer="0.3"/>
  <pageSetup paperSize="9" scale="10" orientation="landscape" r:id="rId1"/>
  <rowBreaks count="1" manualBreakCount="1">
    <brk id="193" max="10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060D-704C-4960-B92E-3521A6C040B3}">
  <dimension ref="B1:T30"/>
  <sheetViews>
    <sheetView view="pageBreakPreview" topLeftCell="B1" zoomScale="70" zoomScaleNormal="55" zoomScaleSheetLayoutView="70" workbookViewId="0">
      <pane xSplit="4" ySplit="5" topLeftCell="F6" activePane="bottomRight" state="frozen"/>
      <selection activeCell="B1" sqref="B1"/>
      <selection pane="topRight" activeCell="F1" sqref="F1"/>
      <selection pane="bottomLeft" activeCell="B6" sqref="B6"/>
      <selection pane="bottomRight" activeCell="E21" sqref="C6:E21"/>
    </sheetView>
  </sheetViews>
  <sheetFormatPr defaultColWidth="8.8984375" defaultRowHeight="18" outlineLevelCol="1"/>
  <cols>
    <col min="2" max="2" width="9" style="2" customWidth="1"/>
    <col min="3" max="3" width="23.5" style="3" customWidth="1"/>
    <col min="4" max="4" width="8.3984375" style="3" customWidth="1"/>
    <col min="5" max="5" width="8.3984375" style="34" customWidth="1"/>
    <col min="6" max="7" width="10.5" style="2" customWidth="1"/>
    <col min="8" max="10" width="10.5" style="2" customWidth="1" outlineLevel="1"/>
    <col min="11" max="12" width="10.59765625" style="2" customWidth="1"/>
    <col min="13" max="13" width="10.3984375" bestFit="1" customWidth="1"/>
    <col min="14" max="16" width="11.5" bestFit="1" customWidth="1"/>
    <col min="17" max="20" width="10.3984375" bestFit="1" customWidth="1"/>
  </cols>
  <sheetData>
    <row r="1" spans="3:20" ht="18.75" hidden="1" customHeight="1"/>
    <row r="2" spans="3:20">
      <c r="C2" s="414" t="s">
        <v>484</v>
      </c>
      <c r="G2" s="66"/>
      <c r="H2" s="66"/>
      <c r="I2" s="66"/>
      <c r="J2" s="66"/>
    </row>
    <row r="3" spans="3:20" ht="22.5" customHeight="1">
      <c r="C3" s="255" t="s">
        <v>27</v>
      </c>
      <c r="D3" s="255"/>
      <c r="E3" s="255"/>
      <c r="F3" s="451">
        <v>46224</v>
      </c>
      <c r="G3" s="451"/>
      <c r="H3" s="451"/>
      <c r="I3" s="451"/>
      <c r="J3" s="451"/>
    </row>
    <row r="4" spans="3:20" ht="31.5" customHeight="1">
      <c r="C4" s="452" t="s">
        <v>42</v>
      </c>
      <c r="D4" s="453"/>
      <c r="E4" s="454"/>
      <c r="F4" s="452" t="s">
        <v>30</v>
      </c>
      <c r="G4" s="453"/>
      <c r="H4" s="453"/>
      <c r="I4" s="453"/>
      <c r="J4" s="454"/>
      <c r="K4" s="417">
        <v>46204</v>
      </c>
      <c r="L4" s="418">
        <v>46235</v>
      </c>
      <c r="M4" s="418">
        <v>46266</v>
      </c>
      <c r="N4" s="418">
        <v>46296</v>
      </c>
      <c r="O4" s="418">
        <v>46327</v>
      </c>
      <c r="P4" s="418">
        <v>46357</v>
      </c>
      <c r="Q4" s="418">
        <v>46388</v>
      </c>
      <c r="R4" s="418">
        <v>46419</v>
      </c>
      <c r="S4" s="418">
        <v>46447</v>
      </c>
      <c r="T4" s="419">
        <v>46478</v>
      </c>
    </row>
    <row r="5" spans="3:20" ht="29.25" customHeight="1">
      <c r="C5" s="11" t="s">
        <v>43</v>
      </c>
      <c r="D5" s="30" t="s">
        <v>44</v>
      </c>
      <c r="E5" s="32" t="s">
        <v>45</v>
      </c>
      <c r="F5" s="15" t="s">
        <v>28</v>
      </c>
      <c r="G5" s="67" t="s">
        <v>114</v>
      </c>
      <c r="H5" s="20" t="s">
        <v>67</v>
      </c>
      <c r="I5" s="20" t="s">
        <v>66</v>
      </c>
      <c r="J5" s="16" t="s">
        <v>65</v>
      </c>
      <c r="K5" s="420" t="s">
        <v>40</v>
      </c>
      <c r="L5" s="421" t="s">
        <v>40</v>
      </c>
      <c r="M5" s="421" t="s">
        <v>40</v>
      </c>
      <c r="N5" s="421" t="s">
        <v>40</v>
      </c>
      <c r="O5" s="421" t="s">
        <v>40</v>
      </c>
      <c r="P5" s="421" t="s">
        <v>40</v>
      </c>
      <c r="Q5" s="421" t="s">
        <v>40</v>
      </c>
      <c r="R5" s="421" t="s">
        <v>40</v>
      </c>
      <c r="S5" s="421" t="s">
        <v>40</v>
      </c>
      <c r="T5" s="422" t="s">
        <v>40</v>
      </c>
    </row>
    <row r="6" spans="3:20" ht="30.75" customHeight="1">
      <c r="C6" s="435" t="s">
        <v>498</v>
      </c>
      <c r="D6" s="436"/>
      <c r="E6" s="445"/>
      <c r="F6" s="133">
        <f t="shared" ref="F6:L6" si="0">SUM(F7:F21)</f>
        <v>22</v>
      </c>
      <c r="G6" s="134">
        <f t="shared" si="0"/>
        <v>195</v>
      </c>
      <c r="H6" s="134">
        <f t="shared" si="0"/>
        <v>47</v>
      </c>
      <c r="I6" s="134">
        <f t="shared" si="0"/>
        <v>53</v>
      </c>
      <c r="J6" s="135">
        <f t="shared" si="0"/>
        <v>95</v>
      </c>
      <c r="K6" s="423">
        <f t="shared" si="0"/>
        <v>500</v>
      </c>
      <c r="L6" s="424">
        <f t="shared" si="0"/>
        <v>0</v>
      </c>
      <c r="M6" s="424">
        <f t="shared" ref="M6:T6" si="1">SUM(M7:M21)</f>
        <v>0</v>
      </c>
      <c r="N6" s="424">
        <f t="shared" si="1"/>
        <v>500</v>
      </c>
      <c r="O6" s="424">
        <f t="shared" si="1"/>
        <v>0</v>
      </c>
      <c r="P6" s="424">
        <f t="shared" si="1"/>
        <v>0</v>
      </c>
      <c r="Q6" s="424">
        <f t="shared" si="1"/>
        <v>0</v>
      </c>
      <c r="R6" s="424">
        <f t="shared" si="1"/>
        <v>0</v>
      </c>
      <c r="S6" s="424">
        <f t="shared" si="1"/>
        <v>0</v>
      </c>
      <c r="T6" s="425">
        <f t="shared" si="1"/>
        <v>0</v>
      </c>
    </row>
    <row r="7" spans="3:20" ht="30.75" customHeight="1">
      <c r="C7" s="446" t="s">
        <v>499</v>
      </c>
      <c r="D7" s="443">
        <v>1</v>
      </c>
      <c r="E7" s="99" t="s">
        <v>275</v>
      </c>
      <c r="F7" s="49">
        <v>0</v>
      </c>
      <c r="G7" s="39">
        <f>SUM(H7:J7)</f>
        <v>25</v>
      </c>
      <c r="H7" s="39">
        <v>0</v>
      </c>
      <c r="I7" s="39">
        <v>0</v>
      </c>
      <c r="J7" s="42">
        <v>25</v>
      </c>
      <c r="K7" s="49">
        <v>50</v>
      </c>
      <c r="L7" s="39"/>
      <c r="M7" s="273"/>
      <c r="N7" s="273">
        <v>50</v>
      </c>
      <c r="O7" s="273"/>
      <c r="P7" s="273"/>
      <c r="Q7" s="273"/>
      <c r="R7" s="273"/>
      <c r="S7" s="273"/>
      <c r="T7" s="274"/>
    </row>
    <row r="8" spans="3:20" ht="30.75" customHeight="1">
      <c r="C8" s="457"/>
      <c r="D8" s="441"/>
      <c r="E8" s="99" t="s">
        <v>46</v>
      </c>
      <c r="F8" s="9">
        <v>0</v>
      </c>
      <c r="G8" s="21">
        <f t="shared" ref="G8:G21" si="2">SUM(H8:J8)</f>
        <v>70</v>
      </c>
      <c r="H8" s="21">
        <v>0</v>
      </c>
      <c r="I8" s="21">
        <v>0</v>
      </c>
      <c r="J8" s="95">
        <v>70</v>
      </c>
      <c r="K8" s="49">
        <v>45</v>
      </c>
      <c r="L8" s="39"/>
      <c r="M8" s="273"/>
      <c r="N8" s="273">
        <v>50</v>
      </c>
      <c r="O8" s="273"/>
      <c r="P8" s="273"/>
      <c r="Q8" s="273"/>
      <c r="R8" s="273"/>
      <c r="S8" s="273"/>
      <c r="T8" s="274"/>
    </row>
    <row r="9" spans="3:20" ht="30.75" customHeight="1">
      <c r="C9" s="457"/>
      <c r="D9" s="441"/>
      <c r="E9" s="94" t="s">
        <v>47</v>
      </c>
      <c r="F9" s="9">
        <v>0</v>
      </c>
      <c r="G9" s="21">
        <f>SUM(H9:J9)</f>
        <v>0</v>
      </c>
      <c r="H9" s="21">
        <v>0</v>
      </c>
      <c r="I9" s="21">
        <v>0</v>
      </c>
      <c r="J9" s="95">
        <v>0</v>
      </c>
      <c r="K9" s="49">
        <v>80</v>
      </c>
      <c r="L9" s="39"/>
      <c r="M9" s="273"/>
      <c r="N9" s="273">
        <v>70</v>
      </c>
      <c r="O9" s="273"/>
      <c r="P9" s="273"/>
      <c r="Q9" s="273"/>
      <c r="R9" s="273"/>
      <c r="S9" s="273"/>
      <c r="T9" s="274"/>
    </row>
    <row r="10" spans="3:20" ht="30.75" customHeight="1">
      <c r="C10" s="457"/>
      <c r="D10" s="441"/>
      <c r="E10" s="94" t="s">
        <v>51</v>
      </c>
      <c r="F10" s="9">
        <v>0</v>
      </c>
      <c r="G10" s="21">
        <f t="shared" si="2"/>
        <v>0</v>
      </c>
      <c r="H10" s="21">
        <v>0</v>
      </c>
      <c r="I10" s="21">
        <v>0</v>
      </c>
      <c r="J10" s="95">
        <v>0</v>
      </c>
      <c r="K10" s="49">
        <v>50</v>
      </c>
      <c r="L10" s="39"/>
      <c r="M10" s="273"/>
      <c r="N10" s="273">
        <v>50</v>
      </c>
      <c r="O10" s="273"/>
      <c r="P10" s="273"/>
      <c r="Q10" s="273"/>
      <c r="R10" s="273"/>
      <c r="S10" s="273"/>
      <c r="T10" s="274"/>
    </row>
    <row r="11" spans="3:20" ht="30.75" customHeight="1">
      <c r="C11" s="457"/>
      <c r="D11" s="442"/>
      <c r="E11" s="94" t="s">
        <v>49</v>
      </c>
      <c r="F11" s="9">
        <v>0</v>
      </c>
      <c r="G11" s="21">
        <f t="shared" si="2"/>
        <v>0</v>
      </c>
      <c r="H11" s="21">
        <v>0</v>
      </c>
      <c r="I11" s="21">
        <v>0</v>
      </c>
      <c r="J11" s="95">
        <v>0</v>
      </c>
      <c r="K11" s="49">
        <v>25</v>
      </c>
      <c r="L11" s="39"/>
      <c r="M11" s="273"/>
      <c r="N11" s="273">
        <v>25</v>
      </c>
      <c r="O11" s="273"/>
      <c r="P11" s="273"/>
      <c r="Q11" s="273"/>
      <c r="R11" s="273"/>
      <c r="S11" s="273"/>
      <c r="T11" s="274"/>
    </row>
    <row r="12" spans="3:20" ht="30.75" customHeight="1">
      <c r="C12" s="457"/>
      <c r="D12" s="443">
        <v>2</v>
      </c>
      <c r="E12" s="99" t="s">
        <v>275</v>
      </c>
      <c r="F12" s="9">
        <v>0</v>
      </c>
      <c r="G12" s="21">
        <f t="shared" si="2"/>
        <v>0</v>
      </c>
      <c r="H12" s="21">
        <v>0</v>
      </c>
      <c r="I12" s="21">
        <v>0</v>
      </c>
      <c r="J12" s="95">
        <v>0</v>
      </c>
      <c r="K12" s="49">
        <v>20</v>
      </c>
      <c r="L12" s="39"/>
      <c r="M12" s="273"/>
      <c r="N12" s="273">
        <v>30</v>
      </c>
      <c r="O12" s="273"/>
      <c r="P12" s="273"/>
      <c r="Q12" s="273"/>
      <c r="R12" s="273"/>
      <c r="S12" s="273"/>
      <c r="T12" s="274"/>
    </row>
    <row r="13" spans="3:20" ht="30.75" customHeight="1">
      <c r="C13" s="457"/>
      <c r="D13" s="441"/>
      <c r="E13" s="99" t="s">
        <v>46</v>
      </c>
      <c r="F13" s="9">
        <v>0</v>
      </c>
      <c r="G13" s="21">
        <f t="shared" si="2"/>
        <v>0</v>
      </c>
      <c r="H13" s="21">
        <v>0</v>
      </c>
      <c r="I13" s="21">
        <v>0</v>
      </c>
      <c r="J13" s="95">
        <v>0</v>
      </c>
      <c r="K13" s="49">
        <v>45</v>
      </c>
      <c r="L13" s="39"/>
      <c r="M13" s="273"/>
      <c r="N13" s="273">
        <v>45</v>
      </c>
      <c r="O13" s="273"/>
      <c r="P13" s="273"/>
      <c r="Q13" s="273"/>
      <c r="R13" s="273"/>
      <c r="S13" s="273"/>
      <c r="T13" s="274"/>
    </row>
    <row r="14" spans="3:20" ht="30.75" customHeight="1">
      <c r="C14" s="457"/>
      <c r="D14" s="441"/>
      <c r="E14" s="94" t="s">
        <v>47</v>
      </c>
      <c r="F14" s="9">
        <v>0</v>
      </c>
      <c r="G14" s="21">
        <f t="shared" si="2"/>
        <v>0</v>
      </c>
      <c r="H14" s="21">
        <v>0</v>
      </c>
      <c r="I14" s="21">
        <v>0</v>
      </c>
      <c r="J14" s="95">
        <v>0</v>
      </c>
      <c r="K14" s="49">
        <v>70</v>
      </c>
      <c r="L14" s="39"/>
      <c r="M14" s="273"/>
      <c r="N14" s="273">
        <v>60</v>
      </c>
      <c r="O14" s="273"/>
      <c r="P14" s="273"/>
      <c r="Q14" s="273"/>
      <c r="R14" s="273"/>
      <c r="S14" s="273"/>
      <c r="T14" s="274"/>
    </row>
    <row r="15" spans="3:20" ht="30.75" customHeight="1">
      <c r="C15" s="457"/>
      <c r="D15" s="441"/>
      <c r="E15" s="94" t="s">
        <v>51</v>
      </c>
      <c r="F15" s="9">
        <v>0</v>
      </c>
      <c r="G15" s="21">
        <f>SUM(H15:J15)</f>
        <v>0</v>
      </c>
      <c r="H15" s="21">
        <v>0</v>
      </c>
      <c r="I15" s="21">
        <v>0</v>
      </c>
      <c r="J15" s="95">
        <v>0</v>
      </c>
      <c r="K15" s="49">
        <v>70</v>
      </c>
      <c r="L15" s="39"/>
      <c r="M15" s="273"/>
      <c r="N15" s="273">
        <v>60</v>
      </c>
      <c r="O15" s="273"/>
      <c r="P15" s="273"/>
      <c r="Q15" s="273"/>
      <c r="R15" s="273"/>
      <c r="S15" s="273"/>
      <c r="T15" s="274"/>
    </row>
    <row r="16" spans="3:20" ht="30.75" customHeight="1">
      <c r="C16" s="457"/>
      <c r="D16" s="442"/>
      <c r="E16" s="94" t="s">
        <v>49</v>
      </c>
      <c r="F16" s="9">
        <v>0</v>
      </c>
      <c r="G16" s="21">
        <f t="shared" si="2"/>
        <v>0</v>
      </c>
      <c r="H16" s="21">
        <v>0</v>
      </c>
      <c r="I16" s="21">
        <v>0</v>
      </c>
      <c r="J16" s="95">
        <v>0</v>
      </c>
      <c r="K16" s="49">
        <v>25</v>
      </c>
      <c r="L16" s="39"/>
      <c r="M16" s="273"/>
      <c r="N16" s="273">
        <v>25</v>
      </c>
      <c r="O16" s="273"/>
      <c r="P16" s="273"/>
      <c r="Q16" s="273"/>
      <c r="R16" s="273"/>
      <c r="S16" s="273"/>
      <c r="T16" s="274"/>
    </row>
    <row r="17" spans="2:20" ht="30.75" customHeight="1">
      <c r="B17" s="25"/>
      <c r="C17" s="457"/>
      <c r="D17" s="443">
        <v>3</v>
      </c>
      <c r="E17" s="99" t="s">
        <v>275</v>
      </c>
      <c r="F17" s="9">
        <v>13</v>
      </c>
      <c r="G17" s="21">
        <f t="shared" si="2"/>
        <v>42</v>
      </c>
      <c r="H17" s="21">
        <v>25</v>
      </c>
      <c r="I17" s="21">
        <v>17</v>
      </c>
      <c r="J17" s="95">
        <v>0</v>
      </c>
      <c r="K17" s="49"/>
      <c r="L17" s="39"/>
      <c r="M17" s="273"/>
      <c r="N17" s="273">
        <v>5</v>
      </c>
      <c r="O17" s="273"/>
      <c r="P17" s="273"/>
      <c r="Q17" s="273"/>
      <c r="R17" s="273"/>
      <c r="S17" s="273"/>
      <c r="T17" s="274"/>
    </row>
    <row r="18" spans="2:20" ht="30.75" customHeight="1">
      <c r="B18" s="25"/>
      <c r="C18" s="457"/>
      <c r="D18" s="441"/>
      <c r="E18" s="99" t="s">
        <v>46</v>
      </c>
      <c r="F18" s="9">
        <v>0</v>
      </c>
      <c r="G18" s="21">
        <f t="shared" si="2"/>
        <v>30</v>
      </c>
      <c r="H18" s="21">
        <v>15</v>
      </c>
      <c r="I18" s="21">
        <v>15</v>
      </c>
      <c r="J18" s="95">
        <v>0</v>
      </c>
      <c r="K18" s="49"/>
      <c r="L18" s="39"/>
      <c r="M18" s="273"/>
      <c r="N18" s="273">
        <v>5</v>
      </c>
      <c r="O18" s="273"/>
      <c r="P18" s="273"/>
      <c r="Q18" s="273"/>
      <c r="R18" s="273"/>
      <c r="S18" s="273"/>
      <c r="T18" s="274"/>
    </row>
    <row r="19" spans="2:20" ht="30.75" customHeight="1">
      <c r="B19" s="25"/>
      <c r="C19" s="457"/>
      <c r="D19" s="441"/>
      <c r="E19" s="94" t="s">
        <v>47</v>
      </c>
      <c r="F19" s="9">
        <v>9</v>
      </c>
      <c r="G19" s="21">
        <f t="shared" si="2"/>
        <v>23</v>
      </c>
      <c r="H19" s="21">
        <v>7</v>
      </c>
      <c r="I19" s="21">
        <v>16</v>
      </c>
      <c r="J19" s="95">
        <v>0</v>
      </c>
      <c r="K19" s="49"/>
      <c r="L19" s="39"/>
      <c r="M19" s="273"/>
      <c r="N19" s="273">
        <v>5</v>
      </c>
      <c r="O19" s="273"/>
      <c r="P19" s="273"/>
      <c r="Q19" s="273"/>
      <c r="R19" s="273"/>
      <c r="S19" s="273"/>
      <c r="T19" s="274"/>
    </row>
    <row r="20" spans="2:20" ht="30.75" customHeight="1">
      <c r="B20" s="25"/>
      <c r="C20" s="457"/>
      <c r="D20" s="441"/>
      <c r="E20" s="94" t="s">
        <v>51</v>
      </c>
      <c r="F20" s="9">
        <v>0</v>
      </c>
      <c r="G20" s="21">
        <f t="shared" si="2"/>
        <v>5</v>
      </c>
      <c r="H20" s="21">
        <v>0</v>
      </c>
      <c r="I20" s="21">
        <v>5</v>
      </c>
      <c r="J20" s="95">
        <v>0</v>
      </c>
      <c r="K20" s="49">
        <v>10</v>
      </c>
      <c r="L20" s="39"/>
      <c r="M20" s="273"/>
      <c r="N20" s="273">
        <v>10</v>
      </c>
      <c r="O20" s="273"/>
      <c r="P20" s="273"/>
      <c r="Q20" s="273"/>
      <c r="R20" s="273"/>
      <c r="S20" s="273"/>
      <c r="T20" s="274"/>
    </row>
    <row r="21" spans="2:20" ht="30.75" customHeight="1">
      <c r="B21" s="25"/>
      <c r="C21" s="457"/>
      <c r="D21" s="442"/>
      <c r="E21" s="94" t="s">
        <v>49</v>
      </c>
      <c r="F21" s="9">
        <v>0</v>
      </c>
      <c r="G21" s="21">
        <f t="shared" si="2"/>
        <v>0</v>
      </c>
      <c r="H21" s="21">
        <v>0</v>
      </c>
      <c r="I21" s="21">
        <v>0</v>
      </c>
      <c r="J21" s="95">
        <v>0</v>
      </c>
      <c r="K21" s="127">
        <v>10</v>
      </c>
      <c r="L21" s="103"/>
      <c r="M21" s="426"/>
      <c r="N21" s="426">
        <v>10</v>
      </c>
      <c r="O21" s="426"/>
      <c r="P21" s="426"/>
      <c r="Q21" s="426"/>
      <c r="R21" s="426"/>
      <c r="S21" s="426"/>
      <c r="T21" s="427"/>
    </row>
    <row r="24" spans="2:20" ht="42" customHeight="1">
      <c r="C24" s="343"/>
    </row>
    <row r="30" spans="2:20" s="25" customFormat="1">
      <c r="B30" s="2"/>
      <c r="C30" s="3"/>
      <c r="D30" s="3"/>
      <c r="E30" s="34"/>
      <c r="F30" s="2"/>
      <c r="G30" s="2"/>
      <c r="H30" s="2"/>
      <c r="I30" s="2"/>
      <c r="J30"/>
      <c r="K30" s="2"/>
      <c r="L30" s="2"/>
    </row>
  </sheetData>
  <autoFilter ref="B5:K21" xr:uid="{00000000-0009-0000-0000-000000000000}"/>
  <mergeCells count="8">
    <mergeCell ref="C4:E4"/>
    <mergeCell ref="F4:J4"/>
    <mergeCell ref="F3:J3"/>
    <mergeCell ref="C6:E6"/>
    <mergeCell ref="C7:C21"/>
    <mergeCell ref="D7:D11"/>
    <mergeCell ref="D12:D16"/>
    <mergeCell ref="D17:D21"/>
  </mergeCells>
  <phoneticPr fontId="1"/>
  <pageMargins left="0.7" right="0.7" top="0.75" bottom="0.75" header="0.3" footer="0.3"/>
  <pageSetup paperSize="9"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G27"/>
  <sheetViews>
    <sheetView zoomScale="85" zoomScaleNormal="85" workbookViewId="0">
      <selection activeCell="AB19" sqref="AB19"/>
    </sheetView>
  </sheetViews>
  <sheetFormatPr defaultColWidth="8.8984375" defaultRowHeight="18"/>
  <cols>
    <col min="4" max="7" width="0" hidden="1" customWidth="1"/>
    <col min="9" max="12" width="0" hidden="1" customWidth="1"/>
    <col min="14" max="17" width="0" hidden="1" customWidth="1"/>
    <col min="19" max="22" width="0" hidden="1" customWidth="1"/>
    <col min="24" max="27" width="0" hidden="1" customWidth="1"/>
    <col min="29" max="32" width="0" hidden="1" customWidth="1"/>
    <col min="34" max="37" width="0" hidden="1" customWidth="1"/>
    <col min="39" max="42" width="0" hidden="1" customWidth="1"/>
    <col min="44" max="47" width="0" hidden="1" customWidth="1"/>
    <col min="49" max="52" width="0" hidden="1" customWidth="1"/>
    <col min="54" max="57" width="0" hidden="1" customWidth="1"/>
    <col min="60" max="60" width="13.3984375" customWidth="1"/>
    <col min="61" max="68" width="9" customWidth="1"/>
  </cols>
  <sheetData>
    <row r="1" spans="2:59" ht="35.25" customHeight="1">
      <c r="B1" s="499" t="s">
        <v>98</v>
      </c>
      <c r="C1" s="499"/>
      <c r="D1" s="499"/>
      <c r="E1" s="499"/>
      <c r="F1" s="499"/>
      <c r="G1" s="499"/>
      <c r="H1" s="499"/>
      <c r="I1" s="499"/>
      <c r="J1" s="499"/>
      <c r="K1" s="499"/>
      <c r="L1" s="499"/>
      <c r="M1" s="499"/>
      <c r="N1" s="499"/>
    </row>
    <row r="2" spans="2:59">
      <c r="B2" t="s">
        <v>351</v>
      </c>
    </row>
    <row r="3" spans="2:59">
      <c r="C3" t="s">
        <v>33</v>
      </c>
      <c r="H3" t="s">
        <v>87</v>
      </c>
      <c r="M3" t="s">
        <v>88</v>
      </c>
      <c r="R3" t="s">
        <v>89</v>
      </c>
      <c r="W3" t="s">
        <v>90</v>
      </c>
      <c r="AB3" t="s">
        <v>91</v>
      </c>
      <c r="AG3" t="s">
        <v>92</v>
      </c>
      <c r="AL3" t="s">
        <v>93</v>
      </c>
      <c r="AQ3" t="s">
        <v>94</v>
      </c>
      <c r="AV3" t="s">
        <v>95</v>
      </c>
      <c r="BA3" t="s">
        <v>96</v>
      </c>
      <c r="BF3" t="s">
        <v>97</v>
      </c>
    </row>
    <row r="5" spans="2:59">
      <c r="B5" s="184" t="s">
        <v>99</v>
      </c>
      <c r="C5" s="183">
        <v>7.0864251115840202E-2</v>
      </c>
      <c r="H5" s="183">
        <v>7.0000000000000007E-2</v>
      </c>
      <c r="M5" s="183">
        <v>0.101063689123654</v>
      </c>
      <c r="R5" s="183">
        <v>0.08</v>
      </c>
      <c r="W5" s="183">
        <v>7.6166720328441032E-2</v>
      </c>
      <c r="AB5" s="183">
        <v>0.12</v>
      </c>
      <c r="AG5" s="183">
        <v>0.1</v>
      </c>
      <c r="AL5" s="183">
        <v>0.09</v>
      </c>
      <c r="AQ5" s="183">
        <v>0.1</v>
      </c>
      <c r="AV5" s="183">
        <v>6.0894375499516644E-2</v>
      </c>
      <c r="BA5" s="183">
        <v>5.5623120705047283E-2</v>
      </c>
      <c r="BF5" s="183">
        <v>0.08</v>
      </c>
      <c r="BG5" s="185">
        <f>SUM(C5:BF5)</f>
        <v>1.004612156772499</v>
      </c>
    </row>
    <row r="7" spans="2:59">
      <c r="B7" s="186" t="s">
        <v>84</v>
      </c>
      <c r="C7" s="187">
        <v>6.5161026133417302E-2</v>
      </c>
      <c r="H7" s="187">
        <v>0.1</v>
      </c>
      <c r="M7" s="187">
        <v>0.1</v>
      </c>
      <c r="R7" s="187">
        <v>0.21607360674930218</v>
      </c>
      <c r="W7" s="187">
        <v>0.12593646112849682</v>
      </c>
      <c r="AB7" s="187">
        <v>0.12434001104504604</v>
      </c>
      <c r="AG7" s="187">
        <v>7.692975402132804E-2</v>
      </c>
      <c r="AL7" s="187">
        <v>5.570017109341803E-2</v>
      </c>
      <c r="AQ7" s="187">
        <v>3.9480997518324866E-2</v>
      </c>
      <c r="AV7" s="187">
        <v>3.5624524589463788E-2</v>
      </c>
      <c r="BA7" s="187">
        <v>2.7847910546595325E-2</v>
      </c>
      <c r="BF7" s="187">
        <v>3.3547399480886794E-2</v>
      </c>
      <c r="BG7" s="185">
        <f>SUM(C7:BF7)</f>
        <v>1.0006418623062792</v>
      </c>
    </row>
    <row r="9" spans="2:59">
      <c r="B9" s="188" t="s">
        <v>85</v>
      </c>
      <c r="C9" s="189">
        <v>7.0000000000000007E-2</v>
      </c>
      <c r="H9" s="189">
        <v>0.08</v>
      </c>
      <c r="M9" s="189">
        <v>0.14000000000000001</v>
      </c>
      <c r="R9" s="189">
        <v>0.18</v>
      </c>
      <c r="W9" s="189">
        <v>0.1</v>
      </c>
      <c r="AB9" s="189">
        <v>0.12</v>
      </c>
      <c r="AG9" s="189">
        <v>0.08</v>
      </c>
      <c r="AL9" s="189">
        <v>5.0397344708397435E-2</v>
      </c>
      <c r="AQ9" s="189">
        <v>5.6153972947593458E-2</v>
      </c>
      <c r="AV9" s="189">
        <v>0.04</v>
      </c>
      <c r="BA9" s="189">
        <v>0.03</v>
      </c>
      <c r="BF9" s="189">
        <v>4.9902849093924201E-2</v>
      </c>
      <c r="BG9" s="185">
        <f>SUM(C9:BF9)</f>
        <v>0.99645416674991516</v>
      </c>
    </row>
    <row r="11" spans="2:59">
      <c r="B11" s="190" t="s">
        <v>86</v>
      </c>
      <c r="C11" s="191">
        <v>0.1</v>
      </c>
      <c r="H11" s="191">
        <v>7.1547596648875819E-2</v>
      </c>
      <c r="M11" s="191">
        <v>7.9311738222995989E-2</v>
      </c>
      <c r="R11" s="191">
        <v>5.9381657837403415E-2</v>
      </c>
      <c r="W11" s="191">
        <v>6.7465468226163561E-2</v>
      </c>
      <c r="AB11" s="191">
        <v>0.10047299341000619</v>
      </c>
      <c r="AG11" s="191">
        <v>6.5058425562284999E-2</v>
      </c>
      <c r="AL11" s="191">
        <v>7.9301417789410744E-2</v>
      </c>
      <c r="AQ11" s="191">
        <v>0.10865617105033699</v>
      </c>
      <c r="AV11" s="191">
        <v>0.10430253583638248</v>
      </c>
      <c r="BA11" s="191">
        <v>6.6218151208112586E-2</v>
      </c>
      <c r="BF11" s="191">
        <v>0.1</v>
      </c>
      <c r="BG11" s="185">
        <f>SUM(C11:BF11)</f>
        <v>1.0017161557919727</v>
      </c>
    </row>
    <row r="13" spans="2:59">
      <c r="B13" s="193" t="s">
        <v>100</v>
      </c>
    </row>
    <row r="14" spans="2:59">
      <c r="B14" s="193"/>
    </row>
    <row r="15" spans="2:59">
      <c r="B15" s="193"/>
    </row>
    <row r="18" spans="2:59">
      <c r="B18" t="s">
        <v>354</v>
      </c>
    </row>
    <row r="19" spans="2:59">
      <c r="C19" t="s">
        <v>33</v>
      </c>
      <c r="H19" t="s">
        <v>87</v>
      </c>
      <c r="M19" t="s">
        <v>88</v>
      </c>
      <c r="R19" t="s">
        <v>89</v>
      </c>
      <c r="W19" t="s">
        <v>90</v>
      </c>
      <c r="AB19" t="s">
        <v>91</v>
      </c>
      <c r="AG19" t="s">
        <v>92</v>
      </c>
      <c r="AL19" t="s">
        <v>93</v>
      </c>
      <c r="AQ19" t="s">
        <v>94</v>
      </c>
      <c r="AV19" t="s">
        <v>95</v>
      </c>
      <c r="BA19" t="s">
        <v>96</v>
      </c>
      <c r="BF19" t="s">
        <v>97</v>
      </c>
    </row>
    <row r="21" spans="2:59">
      <c r="B21" s="184" t="s">
        <v>99</v>
      </c>
      <c r="C21" s="183">
        <v>7.0864251115840202E-2</v>
      </c>
      <c r="H21" s="183">
        <v>7.0000000000000007E-2</v>
      </c>
      <c r="M21" s="183">
        <v>0.101063689123654</v>
      </c>
      <c r="R21" s="183">
        <v>0.08</v>
      </c>
      <c r="W21" s="183">
        <v>7.6166720328441032E-2</v>
      </c>
      <c r="AB21" s="183">
        <v>0.12</v>
      </c>
      <c r="AG21" s="183">
        <v>0.1</v>
      </c>
      <c r="AL21" s="183">
        <v>0.09</v>
      </c>
      <c r="AQ21" s="183">
        <v>0.1</v>
      </c>
      <c r="AV21" s="183">
        <v>6.0894375499516644E-2</v>
      </c>
      <c r="BA21" s="183">
        <v>5.5623120705047283E-2</v>
      </c>
      <c r="BF21" s="183">
        <v>0.08</v>
      </c>
      <c r="BG21" s="185">
        <f>SUM(C21:BF21)</f>
        <v>1.004612156772499</v>
      </c>
    </row>
    <row r="23" spans="2:59">
      <c r="B23" s="186" t="s">
        <v>84</v>
      </c>
      <c r="C23" s="187">
        <v>6.5161026133417302E-2</v>
      </c>
      <c r="H23" s="187">
        <v>0.1</v>
      </c>
      <c r="M23" s="187">
        <v>0.1</v>
      </c>
      <c r="R23" s="187">
        <v>0.21607360674930218</v>
      </c>
      <c r="W23" s="187">
        <v>0.12593646112849682</v>
      </c>
      <c r="AB23" s="187">
        <v>0.12434001104504604</v>
      </c>
      <c r="AG23" s="187">
        <v>7.692975402132804E-2</v>
      </c>
      <c r="AL23" s="187">
        <v>5.570017109341803E-2</v>
      </c>
      <c r="AQ23" s="187">
        <v>3.9480997518324866E-2</v>
      </c>
      <c r="AV23" s="187">
        <v>3.5624524589463788E-2</v>
      </c>
      <c r="BA23" s="187">
        <v>2.7847910546595325E-2</v>
      </c>
      <c r="BF23" s="187">
        <v>3.3547399480886794E-2</v>
      </c>
      <c r="BG23" s="185">
        <f>SUM(C23:BF23)</f>
        <v>1.0006418623062792</v>
      </c>
    </row>
    <row r="25" spans="2:59">
      <c r="B25" s="188" t="s">
        <v>85</v>
      </c>
      <c r="C25" s="189">
        <v>7.0000000000000007E-2</v>
      </c>
      <c r="H25" s="189">
        <v>0.08</v>
      </c>
      <c r="M25" s="189">
        <v>0.14000000000000001</v>
      </c>
      <c r="R25" s="189">
        <v>0.18</v>
      </c>
      <c r="W25" s="189">
        <v>0.1</v>
      </c>
      <c r="AB25" s="189">
        <v>0.12</v>
      </c>
      <c r="AG25" s="189">
        <v>0.08</v>
      </c>
      <c r="AL25" s="189">
        <v>5.0397344708397435E-2</v>
      </c>
      <c r="AQ25" s="189">
        <v>5.6153972947593458E-2</v>
      </c>
      <c r="AV25" s="189">
        <v>0.04</v>
      </c>
      <c r="BA25" s="189">
        <v>0.03</v>
      </c>
      <c r="BF25" s="189">
        <v>4.9902849093924201E-2</v>
      </c>
      <c r="BG25" s="185">
        <f>SUM(C25:BF25)</f>
        <v>0.99645416674991516</v>
      </c>
    </row>
    <row r="27" spans="2:59">
      <c r="B27" s="190" t="s">
        <v>86</v>
      </c>
      <c r="C27" s="191">
        <v>0.1</v>
      </c>
      <c r="H27" s="191">
        <v>7.1547596648875819E-2</v>
      </c>
      <c r="M27" s="191">
        <v>7.9311738222995989E-2</v>
      </c>
      <c r="R27" s="191">
        <v>5.9381657837403415E-2</v>
      </c>
      <c r="W27" s="191">
        <v>6.7465468226163561E-2</v>
      </c>
      <c r="AB27" s="191">
        <v>0.10047299341000619</v>
      </c>
      <c r="AG27" s="191">
        <v>6.5058425562284999E-2</v>
      </c>
      <c r="AL27" s="191">
        <v>7.9301417789410744E-2</v>
      </c>
      <c r="AQ27" s="191">
        <v>0.10865617105033699</v>
      </c>
      <c r="AV27" s="191">
        <v>0.10430253583638248</v>
      </c>
      <c r="BA27" s="191">
        <v>6.6218151208112586E-2</v>
      </c>
      <c r="BF27" s="191">
        <v>0.1</v>
      </c>
      <c r="BG27" s="185">
        <f>SUM(C27:BF27)</f>
        <v>1.0017161557919727</v>
      </c>
    </row>
  </sheetData>
  <mergeCells count="1">
    <mergeCell ref="B1:N1"/>
  </mergeCells>
  <phoneticPr fontId="1"/>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72"/>
  <sheetViews>
    <sheetView topLeftCell="A30" zoomScale="115" zoomScaleNormal="115" workbookViewId="0">
      <selection activeCell="B47" sqref="B47"/>
    </sheetView>
  </sheetViews>
  <sheetFormatPr defaultColWidth="8.8984375" defaultRowHeight="18"/>
  <cols>
    <col min="2" max="2" width="17.5" customWidth="1"/>
  </cols>
  <sheetData>
    <row r="1" spans="2:9">
      <c r="B1" s="256" t="s">
        <v>101</v>
      </c>
      <c r="C1" s="256"/>
      <c r="D1" s="256"/>
      <c r="E1" s="256"/>
      <c r="F1" s="256"/>
      <c r="G1" s="256"/>
      <c r="H1" s="256"/>
    </row>
    <row r="2" spans="2:9" ht="18.600000000000001" thickBot="1">
      <c r="C2" s="221" t="s">
        <v>275</v>
      </c>
      <c r="D2" s="221" t="s">
        <v>46</v>
      </c>
      <c r="E2" s="221" t="s">
        <v>47</v>
      </c>
      <c r="F2" s="221" t="s">
        <v>51</v>
      </c>
      <c r="G2" s="221" t="s">
        <v>49</v>
      </c>
      <c r="H2" s="221" t="s">
        <v>50</v>
      </c>
    </row>
    <row r="3" spans="2:9">
      <c r="B3" s="257"/>
      <c r="C3" s="222"/>
      <c r="D3" s="222"/>
      <c r="E3" s="222"/>
      <c r="F3" s="222"/>
      <c r="G3" s="222"/>
      <c r="H3" s="222"/>
      <c r="I3" s="223"/>
    </row>
    <row r="4" spans="2:9">
      <c r="B4" s="258" t="s">
        <v>102</v>
      </c>
      <c r="C4" s="224"/>
      <c r="D4" s="224">
        <v>0.2</v>
      </c>
      <c r="E4" s="224">
        <v>0.3</v>
      </c>
      <c r="F4" s="224">
        <v>0.27</v>
      </c>
      <c r="G4" s="224">
        <v>0.15</v>
      </c>
      <c r="H4" s="224">
        <v>0.08</v>
      </c>
      <c r="I4" s="225">
        <f>SUM(C4:H4)</f>
        <v>1</v>
      </c>
    </row>
    <row r="5" spans="2:9">
      <c r="B5" s="259"/>
      <c r="C5" s="226"/>
      <c r="D5" s="226"/>
      <c r="E5" s="226"/>
      <c r="F5" s="226"/>
      <c r="G5" s="226"/>
      <c r="H5" s="226"/>
      <c r="I5" s="227"/>
    </row>
    <row r="6" spans="2:9">
      <c r="B6" s="260" t="s">
        <v>103</v>
      </c>
      <c r="C6" s="228"/>
      <c r="D6" s="228">
        <v>0.3</v>
      </c>
      <c r="E6" s="228">
        <v>0.35</v>
      </c>
      <c r="F6" s="228">
        <v>0.25</v>
      </c>
      <c r="G6" s="228">
        <v>0.1</v>
      </c>
      <c r="H6" s="228"/>
      <c r="I6" s="229">
        <f>SUM(C6:H6)</f>
        <v>0.99999999999999989</v>
      </c>
    </row>
    <row r="7" spans="2:9">
      <c r="B7" s="500" t="s">
        <v>104</v>
      </c>
      <c r="C7" s="501"/>
      <c r="D7" s="501"/>
      <c r="E7" s="501"/>
      <c r="F7" s="501"/>
      <c r="G7" s="501"/>
      <c r="H7" s="501"/>
      <c r="I7" s="502"/>
    </row>
    <row r="8" spans="2:9">
      <c r="B8" s="259"/>
      <c r="C8" s="226"/>
      <c r="D8" s="226"/>
      <c r="E8" s="226"/>
      <c r="F8" s="226"/>
      <c r="G8" s="226"/>
      <c r="H8" s="226"/>
      <c r="I8" s="227"/>
    </row>
    <row r="9" spans="2:9">
      <c r="B9" s="260" t="s">
        <v>276</v>
      </c>
      <c r="C9" s="228">
        <v>0.32</v>
      </c>
      <c r="D9" s="228">
        <v>0.16</v>
      </c>
      <c r="E9" s="228">
        <v>0.27</v>
      </c>
      <c r="F9" s="228">
        <v>0.17</v>
      </c>
      <c r="G9" s="228">
        <v>0.08</v>
      </c>
      <c r="H9" s="228"/>
      <c r="I9" s="229">
        <f>SUM(C9:H9)</f>
        <v>1</v>
      </c>
    </row>
    <row r="10" spans="2:9">
      <c r="B10" s="500" t="s">
        <v>277</v>
      </c>
      <c r="C10" s="501"/>
      <c r="D10" s="501"/>
      <c r="E10" s="501"/>
      <c r="F10" s="501"/>
      <c r="G10" s="501"/>
      <c r="H10" s="501"/>
      <c r="I10" s="502"/>
    </row>
    <row r="11" spans="2:9">
      <c r="B11" s="382"/>
      <c r="C11" s="2"/>
      <c r="D11" s="2"/>
      <c r="E11" s="2"/>
      <c r="F11" s="2"/>
      <c r="G11" s="2"/>
      <c r="H11" s="2"/>
      <c r="I11" s="383"/>
    </row>
    <row r="12" spans="2:9">
      <c r="B12" s="260" t="s">
        <v>276</v>
      </c>
      <c r="C12" s="228">
        <v>0.32</v>
      </c>
      <c r="D12" s="228">
        <v>0.18</v>
      </c>
      <c r="E12" s="228">
        <v>0.3</v>
      </c>
      <c r="F12" s="228">
        <v>0.2</v>
      </c>
      <c r="G12" s="228"/>
      <c r="H12" s="228"/>
      <c r="I12" s="229">
        <f>SUM(C12:H12)</f>
        <v>1</v>
      </c>
    </row>
    <row r="13" spans="2:9">
      <c r="B13" s="500" t="s">
        <v>277</v>
      </c>
      <c r="C13" s="501"/>
      <c r="D13" s="501"/>
      <c r="E13" s="501"/>
      <c r="F13" s="501"/>
      <c r="G13" s="501"/>
      <c r="H13" s="501"/>
      <c r="I13" s="502"/>
    </row>
    <row r="14" spans="2:9">
      <c r="B14" s="259"/>
      <c r="C14" s="226"/>
      <c r="D14" s="226"/>
      <c r="E14" s="226"/>
      <c r="F14" s="226"/>
      <c r="G14" s="226"/>
      <c r="H14" s="226"/>
      <c r="I14" s="227"/>
    </row>
    <row r="15" spans="2:9">
      <c r="B15" s="260" t="s">
        <v>278</v>
      </c>
      <c r="C15" s="228"/>
      <c r="D15" s="228"/>
      <c r="E15" s="228">
        <v>0.4</v>
      </c>
      <c r="F15" s="228">
        <v>0.37</v>
      </c>
      <c r="G15" s="228">
        <v>0.23</v>
      </c>
      <c r="H15" s="228"/>
      <c r="I15" s="229">
        <f>SUM(C15:H15)</f>
        <v>1</v>
      </c>
    </row>
    <row r="16" spans="2:9">
      <c r="B16" s="377"/>
      <c r="C16" s="378"/>
      <c r="D16" s="378"/>
      <c r="E16" s="378"/>
      <c r="F16" s="378"/>
      <c r="G16" s="378"/>
      <c r="H16" s="378"/>
      <c r="I16" s="379"/>
    </row>
    <row r="17" spans="2:9">
      <c r="B17" s="260" t="s">
        <v>345</v>
      </c>
      <c r="C17" s="228"/>
      <c r="D17" s="228">
        <v>0.2</v>
      </c>
      <c r="E17" s="228">
        <v>0.35</v>
      </c>
      <c r="F17" s="228">
        <v>0.3</v>
      </c>
      <c r="G17" s="228">
        <v>0.15</v>
      </c>
      <c r="H17" s="228"/>
      <c r="I17" s="229">
        <f>SUM(C17:H17)</f>
        <v>1</v>
      </c>
    </row>
    <row r="18" spans="2:9">
      <c r="B18" s="377"/>
      <c r="C18" s="378" t="s">
        <v>346</v>
      </c>
      <c r="D18" s="378"/>
      <c r="E18" s="378"/>
      <c r="F18" s="378"/>
      <c r="G18" s="378"/>
      <c r="H18" s="378"/>
      <c r="I18" s="379"/>
    </row>
    <row r="19" spans="2:9" ht="18.600000000000001" thickBot="1">
      <c r="B19" s="264"/>
      <c r="C19" s="265"/>
      <c r="D19" s="265"/>
      <c r="E19" s="265"/>
      <c r="F19" s="265"/>
      <c r="G19" s="265"/>
      <c r="H19" s="266"/>
      <c r="I19" s="267"/>
    </row>
    <row r="20" spans="2:9">
      <c r="C20" s="221"/>
      <c r="D20" s="221"/>
      <c r="E20" s="221"/>
      <c r="F20" s="221"/>
      <c r="G20" s="221"/>
    </row>
    <row r="21" spans="2:9">
      <c r="B21" t="s">
        <v>105</v>
      </c>
      <c r="C21" s="221"/>
      <c r="D21" s="221"/>
      <c r="E21" s="221"/>
      <c r="F21" s="221"/>
      <c r="G21" s="221"/>
    </row>
    <row r="22" spans="2:9">
      <c r="C22" s="221"/>
      <c r="D22" s="221"/>
      <c r="E22" s="221"/>
      <c r="F22" s="221"/>
      <c r="G22" s="221"/>
    </row>
    <row r="23" spans="2:9">
      <c r="B23" t="s">
        <v>6</v>
      </c>
      <c r="C23">
        <v>257</v>
      </c>
      <c r="D23">
        <v>403</v>
      </c>
      <c r="E23">
        <v>388</v>
      </c>
      <c r="F23">
        <v>160</v>
      </c>
      <c r="G23">
        <v>106</v>
      </c>
      <c r="H23">
        <f>SUM(C23:G23)</f>
        <v>1314</v>
      </c>
    </row>
    <row r="24" spans="2:9">
      <c r="C24" s="230">
        <f>C23/$H$23</f>
        <v>0.19558599695585996</v>
      </c>
      <c r="D24" s="230">
        <f t="shared" ref="D24:G24" si="0">D23/$H$23</f>
        <v>0.30669710806697109</v>
      </c>
      <c r="E24" s="230">
        <f t="shared" si="0"/>
        <v>0.29528158295281581</v>
      </c>
      <c r="F24" s="230">
        <f t="shared" si="0"/>
        <v>0.12176560121765601</v>
      </c>
      <c r="G24" s="230">
        <f t="shared" si="0"/>
        <v>8.0669710806697104E-2</v>
      </c>
      <c r="H24" s="185">
        <f>SUM(C24:G24)</f>
        <v>1</v>
      </c>
    </row>
    <row r="26" spans="2:9">
      <c r="B26" t="s">
        <v>10</v>
      </c>
      <c r="D26">
        <v>200</v>
      </c>
      <c r="E26">
        <v>340</v>
      </c>
      <c r="F26">
        <v>219</v>
      </c>
      <c r="G26">
        <v>166</v>
      </c>
      <c r="H26">
        <f>SUM(C26:G26)</f>
        <v>925</v>
      </c>
    </row>
    <row r="27" spans="2:9">
      <c r="C27" s="230">
        <f>C26/$H$26</f>
        <v>0</v>
      </c>
      <c r="D27" s="230">
        <f t="shared" ref="D27:G27" si="1">D26/$H$26</f>
        <v>0.21621621621621623</v>
      </c>
      <c r="E27" s="230">
        <f t="shared" si="1"/>
        <v>0.36756756756756759</v>
      </c>
      <c r="F27" s="230">
        <f t="shared" si="1"/>
        <v>0.23675675675675675</v>
      </c>
      <c r="G27" s="230">
        <f t="shared" si="1"/>
        <v>0.17945945945945946</v>
      </c>
      <c r="H27" s="185">
        <f>SUM(C27:G27)</f>
        <v>1</v>
      </c>
    </row>
    <row r="29" spans="2:9">
      <c r="B29" t="s">
        <v>8</v>
      </c>
      <c r="C29">
        <v>107</v>
      </c>
      <c r="D29">
        <v>126</v>
      </c>
      <c r="E29">
        <v>121</v>
      </c>
      <c r="F29">
        <v>59</v>
      </c>
      <c r="G29">
        <v>40</v>
      </c>
      <c r="H29">
        <f>SUM(C29:G29)</f>
        <v>453</v>
      </c>
    </row>
    <row r="30" spans="2:9">
      <c r="C30" s="230">
        <f>C29/$H$29</f>
        <v>0.23620309050772628</v>
      </c>
      <c r="D30" s="230">
        <f t="shared" ref="D30:G30" si="2">D29/$H$29</f>
        <v>0.27814569536423839</v>
      </c>
      <c r="E30" s="230">
        <f t="shared" si="2"/>
        <v>0.2671081677704194</v>
      </c>
      <c r="F30" s="230">
        <f t="shared" si="2"/>
        <v>0.13024282560706402</v>
      </c>
      <c r="G30" s="230">
        <f t="shared" si="2"/>
        <v>8.8300220750551883E-2</v>
      </c>
      <c r="H30" s="185">
        <f>SUM(C30:G30)</f>
        <v>1</v>
      </c>
    </row>
    <row r="31" spans="2:9">
      <c r="C31" s="221"/>
    </row>
    <row r="32" spans="2:9">
      <c r="B32" t="s">
        <v>2</v>
      </c>
      <c r="C32">
        <v>221</v>
      </c>
      <c r="D32">
        <v>281</v>
      </c>
      <c r="E32">
        <v>265</v>
      </c>
      <c r="F32">
        <v>110</v>
      </c>
      <c r="G32">
        <v>77</v>
      </c>
      <c r="H32">
        <f>SUM(C32:G32)</f>
        <v>954</v>
      </c>
    </row>
    <row r="33" spans="2:8">
      <c r="C33" s="230">
        <f>C32/$H$32</f>
        <v>0.23165618448637318</v>
      </c>
      <c r="D33" s="230">
        <f t="shared" ref="D33:G33" si="3">D32/$H$32</f>
        <v>0.29454926624737948</v>
      </c>
      <c r="E33" s="230">
        <f t="shared" si="3"/>
        <v>0.27777777777777779</v>
      </c>
      <c r="F33" s="230">
        <f t="shared" si="3"/>
        <v>0.11530398322851153</v>
      </c>
      <c r="G33" s="230">
        <f t="shared" si="3"/>
        <v>8.0712788259958076E-2</v>
      </c>
      <c r="H33" s="185">
        <f>SUM(C33:G33)</f>
        <v>1</v>
      </c>
    </row>
    <row r="35" spans="2:8">
      <c r="B35" t="s">
        <v>1</v>
      </c>
      <c r="C35">
        <v>200</v>
      </c>
      <c r="D35">
        <v>314</v>
      </c>
      <c r="E35">
        <v>270</v>
      </c>
      <c r="F35">
        <v>126</v>
      </c>
      <c r="G35">
        <v>73</v>
      </c>
      <c r="H35">
        <f>SUM(C35:G35)</f>
        <v>983</v>
      </c>
    </row>
    <row r="36" spans="2:8">
      <c r="C36" s="230">
        <f>C35/$H$35</f>
        <v>0.20345879959308241</v>
      </c>
      <c r="D36" s="230">
        <f t="shared" ref="D36:G36" si="4">D35/$H$35</f>
        <v>0.31943031536113936</v>
      </c>
      <c r="E36" s="230">
        <f t="shared" si="4"/>
        <v>0.27466937945066122</v>
      </c>
      <c r="F36" s="230">
        <f t="shared" si="4"/>
        <v>0.12817904374364192</v>
      </c>
      <c r="G36" s="230">
        <f t="shared" si="4"/>
        <v>7.4262461851475073E-2</v>
      </c>
      <c r="H36" s="185">
        <f>SUM(C36:G36)</f>
        <v>1</v>
      </c>
    </row>
    <row r="38" spans="2:8">
      <c r="B38" t="s">
        <v>5</v>
      </c>
      <c r="C38">
        <v>157</v>
      </c>
      <c r="D38">
        <v>166</v>
      </c>
      <c r="E38">
        <v>129</v>
      </c>
      <c r="F38">
        <v>139</v>
      </c>
      <c r="G38">
        <v>100</v>
      </c>
      <c r="H38">
        <f>SUM(C38:G38)</f>
        <v>691</v>
      </c>
    </row>
    <row r="39" spans="2:8">
      <c r="C39" s="230">
        <f>C38/$H$38</f>
        <v>0.22720694645441389</v>
      </c>
      <c r="D39" s="230">
        <f t="shared" ref="D39:G39" si="5">D38/$H$38</f>
        <v>0.2402315484804631</v>
      </c>
      <c r="E39" s="230">
        <f t="shared" si="5"/>
        <v>0.18668596237337193</v>
      </c>
      <c r="F39" s="230">
        <f t="shared" si="5"/>
        <v>0.20115774240231549</v>
      </c>
      <c r="G39" s="230">
        <f t="shared" si="5"/>
        <v>0.14471780028943559</v>
      </c>
      <c r="H39" s="185">
        <f>SUM(C39:G39)</f>
        <v>1</v>
      </c>
    </row>
    <row r="41" spans="2:8">
      <c r="B41" t="s">
        <v>3</v>
      </c>
      <c r="C41" s="221"/>
      <c r="D41">
        <v>265</v>
      </c>
      <c r="E41">
        <v>264</v>
      </c>
      <c r="F41">
        <v>164</v>
      </c>
      <c r="G41">
        <v>101</v>
      </c>
      <c r="H41">
        <f>SUM(C41:G41)</f>
        <v>794</v>
      </c>
    </row>
    <row r="42" spans="2:8">
      <c r="C42" s="230">
        <f>C41/$H$41</f>
        <v>0</v>
      </c>
      <c r="D42" s="230">
        <f t="shared" ref="D42:G42" si="6">D41/$H$41</f>
        <v>0.33375314861460958</v>
      </c>
      <c r="E42" s="230">
        <f t="shared" si="6"/>
        <v>0.33249370277078083</v>
      </c>
      <c r="F42" s="230">
        <f t="shared" si="6"/>
        <v>0.20654911838790932</v>
      </c>
      <c r="G42" s="230">
        <f t="shared" si="6"/>
        <v>0.12720403022670027</v>
      </c>
      <c r="H42" s="185">
        <f>SUM(C42:G42)</f>
        <v>1</v>
      </c>
    </row>
    <row r="44" spans="2:8">
      <c r="B44" t="s">
        <v>4</v>
      </c>
      <c r="C44">
        <v>182</v>
      </c>
      <c r="D44">
        <v>216</v>
      </c>
      <c r="E44">
        <v>181</v>
      </c>
      <c r="F44">
        <v>60</v>
      </c>
      <c r="H44">
        <f>SUM(C44:G44)</f>
        <v>639</v>
      </c>
    </row>
    <row r="45" spans="2:8">
      <c r="C45" s="231">
        <f>C44/$H$44</f>
        <v>0.28482003129890454</v>
      </c>
      <c r="D45" s="231">
        <f t="shared" ref="D45:G45" si="7">D44/$H$44</f>
        <v>0.3380281690140845</v>
      </c>
      <c r="E45" s="231">
        <f t="shared" si="7"/>
        <v>0.28325508607198746</v>
      </c>
      <c r="F45" s="231">
        <f t="shared" si="7"/>
        <v>9.3896713615023469E-2</v>
      </c>
      <c r="G45" s="231">
        <f t="shared" si="7"/>
        <v>0</v>
      </c>
      <c r="H45" s="185">
        <f>SUM(C45:G45)</f>
        <v>1</v>
      </c>
    </row>
    <row r="47" spans="2:8">
      <c r="B47" t="s">
        <v>15</v>
      </c>
      <c r="C47">
        <v>156</v>
      </c>
      <c r="D47">
        <v>177</v>
      </c>
      <c r="E47">
        <v>165</v>
      </c>
      <c r="F47">
        <v>60</v>
      </c>
      <c r="H47">
        <f>SUM(C47:G47)</f>
        <v>558</v>
      </c>
    </row>
    <row r="48" spans="2:8">
      <c r="C48" s="230">
        <f>C47/$H$47</f>
        <v>0.27956989247311825</v>
      </c>
      <c r="D48" s="230">
        <f t="shared" ref="D48:G48" si="8">D47/$H$47</f>
        <v>0.31720430107526881</v>
      </c>
      <c r="E48" s="230">
        <f t="shared" si="8"/>
        <v>0.29569892473118281</v>
      </c>
      <c r="F48" s="230">
        <f t="shared" si="8"/>
        <v>0.10752688172043011</v>
      </c>
      <c r="G48" s="230">
        <f t="shared" si="8"/>
        <v>0</v>
      </c>
      <c r="H48" s="185">
        <f>SUM(C48:G48)</f>
        <v>0.99999999999999989</v>
      </c>
    </row>
    <row r="50" spans="2:8">
      <c r="B50" t="s">
        <v>13</v>
      </c>
      <c r="D50">
        <v>212</v>
      </c>
      <c r="E50">
        <v>166</v>
      </c>
      <c r="F50">
        <v>79</v>
      </c>
      <c r="G50">
        <v>37</v>
      </c>
      <c r="H50">
        <f>SUM(C50:G50)</f>
        <v>494</v>
      </c>
    </row>
    <row r="51" spans="2:8">
      <c r="C51" s="230">
        <f>C50/$H$50</f>
        <v>0</v>
      </c>
      <c r="D51" s="230">
        <f t="shared" ref="D51:G51" si="9">D50/$H$50</f>
        <v>0.4291497975708502</v>
      </c>
      <c r="E51" s="230">
        <f t="shared" si="9"/>
        <v>0.33603238866396762</v>
      </c>
      <c r="F51" s="230">
        <f t="shared" si="9"/>
        <v>0.15991902834008098</v>
      </c>
      <c r="G51" s="230">
        <f t="shared" si="9"/>
        <v>7.4898785425101214E-2</v>
      </c>
      <c r="H51" s="185">
        <f>SUM(C51:G51)</f>
        <v>1</v>
      </c>
    </row>
    <row r="53" spans="2:8">
      <c r="B53" t="s">
        <v>18</v>
      </c>
      <c r="C53">
        <v>212</v>
      </c>
      <c r="D53">
        <v>258</v>
      </c>
      <c r="E53">
        <v>123</v>
      </c>
      <c r="F53">
        <v>55</v>
      </c>
      <c r="H53">
        <f>SUM(C53:G53)</f>
        <v>648</v>
      </c>
    </row>
    <row r="54" spans="2:8">
      <c r="C54" s="231">
        <f>C53/$H$53</f>
        <v>0.3271604938271605</v>
      </c>
      <c r="D54" s="231">
        <f t="shared" ref="D54:G54" si="10">D53/$H$53</f>
        <v>0.39814814814814814</v>
      </c>
      <c r="E54" s="231">
        <f t="shared" si="10"/>
        <v>0.18981481481481483</v>
      </c>
      <c r="F54" s="231">
        <f t="shared" si="10"/>
        <v>8.4876543209876545E-2</v>
      </c>
      <c r="G54" s="231">
        <f t="shared" si="10"/>
        <v>0</v>
      </c>
      <c r="H54" s="185">
        <f>SUM(C54:G54)</f>
        <v>1</v>
      </c>
    </row>
    <row r="55" spans="2:8">
      <c r="C55" s="221"/>
    </row>
    <row r="56" spans="2:8">
      <c r="B56" t="s">
        <v>7</v>
      </c>
      <c r="C56" s="221"/>
      <c r="D56">
        <v>206</v>
      </c>
      <c r="E56">
        <v>128</v>
      </c>
      <c r="F56">
        <v>53</v>
      </c>
      <c r="G56">
        <v>34</v>
      </c>
      <c r="H56">
        <f>SUM(C56:G56)</f>
        <v>421</v>
      </c>
    </row>
    <row r="57" spans="2:8">
      <c r="C57" s="230">
        <f>C56/$H$56</f>
        <v>0</v>
      </c>
      <c r="D57" s="230">
        <f t="shared" ref="D57:G57" si="11">D56/$H$56</f>
        <v>0.48931116389548696</v>
      </c>
      <c r="E57" s="230">
        <f t="shared" si="11"/>
        <v>0.30403800475059384</v>
      </c>
      <c r="F57" s="230">
        <f t="shared" si="11"/>
        <v>0.12589073634204276</v>
      </c>
      <c r="G57" s="230">
        <f t="shared" si="11"/>
        <v>8.076009501187649E-2</v>
      </c>
      <c r="H57" s="185">
        <f>SUM(C57:G57)</f>
        <v>1</v>
      </c>
    </row>
    <row r="59" spans="2:8">
      <c r="B59" t="s">
        <v>12</v>
      </c>
      <c r="C59">
        <v>124</v>
      </c>
      <c r="D59">
        <v>174</v>
      </c>
      <c r="E59">
        <v>155</v>
      </c>
      <c r="F59">
        <v>87</v>
      </c>
      <c r="G59">
        <v>53</v>
      </c>
      <c r="H59">
        <f>SUM(C59:G59)</f>
        <v>593</v>
      </c>
    </row>
    <row r="60" spans="2:8">
      <c r="C60" s="230">
        <f>C59/$H$59</f>
        <v>0.20910623946037099</v>
      </c>
      <c r="D60" s="230">
        <f t="shared" ref="D60:G60" si="12">D59/$H$59</f>
        <v>0.29342327150084319</v>
      </c>
      <c r="E60" s="230">
        <f t="shared" si="12"/>
        <v>0.26138279932546377</v>
      </c>
      <c r="F60" s="230">
        <f t="shared" si="12"/>
        <v>0.14671163575042159</v>
      </c>
      <c r="G60" s="230">
        <f t="shared" si="12"/>
        <v>8.9376053962900506E-2</v>
      </c>
      <c r="H60" s="185">
        <f>SUM(C60:G60)</f>
        <v>1.0000000000000002</v>
      </c>
    </row>
    <row r="62" spans="2:8">
      <c r="B62" t="s">
        <v>14</v>
      </c>
      <c r="C62">
        <v>100</v>
      </c>
      <c r="D62">
        <v>107</v>
      </c>
      <c r="E62">
        <v>89</v>
      </c>
      <c r="F62">
        <v>34</v>
      </c>
      <c r="G62">
        <v>22</v>
      </c>
      <c r="H62">
        <f>SUM(C62:G62)</f>
        <v>352</v>
      </c>
    </row>
    <row r="63" spans="2:8">
      <c r="C63" s="230">
        <f>C62/$H$62</f>
        <v>0.28409090909090912</v>
      </c>
      <c r="D63" s="230">
        <f t="shared" ref="D63:G63" si="13">D62/$H$62</f>
        <v>0.30397727272727271</v>
      </c>
      <c r="E63" s="230">
        <f t="shared" si="13"/>
        <v>0.25284090909090912</v>
      </c>
      <c r="F63" s="230">
        <f t="shared" si="13"/>
        <v>9.6590909090909088E-2</v>
      </c>
      <c r="G63" s="230">
        <f t="shared" si="13"/>
        <v>6.25E-2</v>
      </c>
      <c r="H63" s="185">
        <f>SUM(C63:G63)</f>
        <v>1</v>
      </c>
    </row>
    <row r="65" spans="2:8">
      <c r="B65" t="s">
        <v>19</v>
      </c>
      <c r="C65">
        <v>77</v>
      </c>
      <c r="D65">
        <v>82</v>
      </c>
      <c r="E65">
        <v>55</v>
      </c>
      <c r="F65">
        <v>41</v>
      </c>
      <c r="H65">
        <f>SUM(C65:G65)</f>
        <v>255</v>
      </c>
    </row>
    <row r="66" spans="2:8">
      <c r="C66" s="231">
        <f>C65/$H$65</f>
        <v>0.30196078431372547</v>
      </c>
      <c r="D66" s="231">
        <f t="shared" ref="D66:G66" si="14">D65/$H$65</f>
        <v>0.32156862745098042</v>
      </c>
      <c r="E66" s="231">
        <f t="shared" si="14"/>
        <v>0.21568627450980393</v>
      </c>
      <c r="F66" s="231">
        <f t="shared" si="14"/>
        <v>0.16078431372549021</v>
      </c>
      <c r="G66" s="231">
        <f t="shared" si="14"/>
        <v>0</v>
      </c>
      <c r="H66" s="185">
        <f>SUM(C66:G66)</f>
        <v>1</v>
      </c>
    </row>
    <row r="67" spans="2:8">
      <c r="C67" s="221"/>
    </row>
    <row r="68" spans="2:8">
      <c r="B68" t="s">
        <v>16</v>
      </c>
      <c r="C68">
        <v>62</v>
      </c>
      <c r="D68">
        <v>66</v>
      </c>
      <c r="E68">
        <v>63</v>
      </c>
      <c r="F68">
        <v>26</v>
      </c>
      <c r="H68">
        <f>SUM(C68:G68)</f>
        <v>217</v>
      </c>
    </row>
    <row r="69" spans="2:8">
      <c r="C69" s="231">
        <f>C68/$H$68</f>
        <v>0.2857142857142857</v>
      </c>
      <c r="D69" s="231">
        <f t="shared" ref="D69:G69" si="15">D68/$H$68</f>
        <v>0.30414746543778803</v>
      </c>
      <c r="E69" s="231">
        <f t="shared" si="15"/>
        <v>0.29032258064516131</v>
      </c>
      <c r="F69" s="231">
        <f t="shared" si="15"/>
        <v>0.11981566820276497</v>
      </c>
      <c r="G69" s="231">
        <f t="shared" si="15"/>
        <v>0</v>
      </c>
      <c r="H69" s="185">
        <f>SUM(C69:G69)</f>
        <v>1</v>
      </c>
    </row>
    <row r="70" spans="2:8">
      <c r="C70" s="221"/>
    </row>
    <row r="71" spans="2:8">
      <c r="B71" t="s">
        <v>279</v>
      </c>
      <c r="C71" s="221"/>
      <c r="E71">
        <v>144</v>
      </c>
      <c r="F71">
        <v>133</v>
      </c>
      <c r="G71">
        <v>83</v>
      </c>
      <c r="H71">
        <f>SUM(E71:G71)</f>
        <v>360</v>
      </c>
    </row>
    <row r="72" spans="2:8">
      <c r="E72" s="230">
        <f>E71/$H$71</f>
        <v>0.4</v>
      </c>
      <c r="F72" s="230">
        <f>F71/$H$71</f>
        <v>0.36944444444444446</v>
      </c>
      <c r="G72" s="230">
        <f>G71/$H$71</f>
        <v>0.23055555555555557</v>
      </c>
      <c r="H72" s="185">
        <f>SUM(E72:G72)</f>
        <v>1</v>
      </c>
    </row>
  </sheetData>
  <mergeCells count="3">
    <mergeCell ref="B13:I13"/>
    <mergeCell ref="B7:I7"/>
    <mergeCell ref="B10:I10"/>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Y279"/>
  <sheetViews>
    <sheetView zoomScale="70" zoomScaleNormal="70" workbookViewId="0">
      <pane ySplit="5" topLeftCell="A141" activePane="bottomLeft" state="frozen"/>
      <selection pane="bottomLeft" activeCell="M144" sqref="M144"/>
    </sheetView>
  </sheetViews>
  <sheetFormatPr defaultColWidth="8.8984375" defaultRowHeight="18"/>
  <cols>
    <col min="2" max="2" width="9" style="2" customWidth="1"/>
    <col min="3" max="3" width="19.09765625" style="3" customWidth="1"/>
    <col min="4" max="4" width="8.3984375" style="3" customWidth="1"/>
    <col min="5" max="5" width="8.3984375" style="34" customWidth="1"/>
    <col min="6" max="7" width="14.59765625" style="1" bestFit="1" customWidth="1"/>
    <col min="8" max="8" width="16.3984375" customWidth="1"/>
    <col min="9" max="9" width="16.3984375" style="1" customWidth="1"/>
    <col min="10" max="14" width="10.5" style="2" customWidth="1"/>
    <col min="15" max="19" width="10.59765625" style="2" customWidth="1"/>
    <col min="20" max="20" width="10.59765625" style="25" customWidth="1"/>
    <col min="21" max="24" width="10.59765625" style="2" customWidth="1"/>
    <col min="25" max="25" width="10.59765625" style="25" customWidth="1"/>
    <col min="26" max="29" width="10.59765625" style="2" customWidth="1"/>
    <col min="30" max="30" width="10.59765625" style="25" customWidth="1"/>
    <col min="31" max="34" width="10.59765625" style="2" customWidth="1"/>
    <col min="35" max="35" width="10.59765625" style="25" customWidth="1"/>
    <col min="36" max="39" width="10.59765625" style="2" customWidth="1"/>
    <col min="40" max="40" width="10.59765625" style="25" customWidth="1"/>
    <col min="41" max="44" width="10.59765625" style="2" customWidth="1"/>
    <col min="45" max="45" width="10.59765625" style="25" customWidth="1"/>
    <col min="46" max="49" width="10.59765625" style="2" customWidth="1"/>
    <col min="50" max="50" width="10.59765625" style="25" customWidth="1"/>
    <col min="51" max="54" width="10.59765625" style="2" customWidth="1"/>
    <col min="55" max="55" width="10.59765625" style="25" customWidth="1"/>
    <col min="56" max="59" width="10.59765625" style="2" customWidth="1"/>
    <col min="60" max="60" width="10.59765625" style="25" customWidth="1"/>
    <col min="61" max="64" width="10.59765625" style="2" customWidth="1"/>
    <col min="65" max="65" width="10.59765625" style="25" customWidth="1"/>
    <col min="66" max="69" width="10.59765625" style="2" customWidth="1"/>
    <col min="70" max="70" width="10.59765625" style="25" customWidth="1"/>
    <col min="71" max="74" width="10.59765625" style="2" customWidth="1"/>
    <col min="75" max="76" width="13" style="27" customWidth="1"/>
  </cols>
  <sheetData>
    <row r="2" spans="2:76">
      <c r="K2" s="66"/>
      <c r="L2" s="66"/>
      <c r="M2" s="66"/>
      <c r="N2" s="235"/>
      <c r="O2" s="3" t="s">
        <v>108</v>
      </c>
      <c r="R2" s="3"/>
      <c r="T2" s="156"/>
    </row>
    <row r="3" spans="2:76" ht="31.5" customHeight="1">
      <c r="C3" s="515" t="s">
        <v>27</v>
      </c>
      <c r="D3" s="515"/>
      <c r="E3" s="515"/>
      <c r="F3" s="515"/>
      <c r="G3" s="515"/>
      <c r="H3" s="515"/>
      <c r="I3" s="515"/>
      <c r="J3" s="451">
        <v>45313</v>
      </c>
      <c r="K3" s="451"/>
      <c r="L3" s="451"/>
      <c r="M3" s="451"/>
      <c r="N3" s="451"/>
      <c r="Q3" s="156"/>
    </row>
    <row r="4" spans="2:76" ht="31.5" customHeight="1">
      <c r="C4" s="452" t="s">
        <v>42</v>
      </c>
      <c r="D4" s="453"/>
      <c r="E4" s="454"/>
      <c r="F4" s="455" t="s">
        <v>77</v>
      </c>
      <c r="G4" s="456"/>
      <c r="H4" s="455" t="s">
        <v>22</v>
      </c>
      <c r="I4" s="456"/>
      <c r="J4" s="452" t="s">
        <v>30</v>
      </c>
      <c r="K4" s="453"/>
      <c r="L4" s="453"/>
      <c r="M4" s="453"/>
      <c r="N4" s="454"/>
      <c r="O4" s="452" t="s">
        <v>33</v>
      </c>
      <c r="P4" s="453"/>
      <c r="Q4" s="453"/>
      <c r="R4" s="453"/>
      <c r="S4" s="453"/>
      <c r="T4" s="452" t="s">
        <v>36</v>
      </c>
      <c r="U4" s="453"/>
      <c r="V4" s="453"/>
      <c r="W4" s="453"/>
      <c r="X4" s="453"/>
      <c r="Y4" s="452" t="s">
        <v>37</v>
      </c>
      <c r="Z4" s="453"/>
      <c r="AA4" s="453"/>
      <c r="AB4" s="453"/>
      <c r="AC4" s="453"/>
      <c r="AD4" s="452" t="s">
        <v>38</v>
      </c>
      <c r="AE4" s="453"/>
      <c r="AF4" s="453"/>
      <c r="AG4" s="453"/>
      <c r="AH4" s="453"/>
      <c r="AI4" s="452" t="s">
        <v>52</v>
      </c>
      <c r="AJ4" s="453"/>
      <c r="AK4" s="453"/>
      <c r="AL4" s="453"/>
      <c r="AM4" s="453"/>
      <c r="AN4" s="452" t="s">
        <v>53</v>
      </c>
      <c r="AO4" s="453"/>
      <c r="AP4" s="453"/>
      <c r="AQ4" s="453"/>
      <c r="AR4" s="453"/>
      <c r="AS4" s="452" t="s">
        <v>54</v>
      </c>
      <c r="AT4" s="453"/>
      <c r="AU4" s="453"/>
      <c r="AV4" s="453"/>
      <c r="AW4" s="453"/>
      <c r="AX4" s="452" t="s">
        <v>55</v>
      </c>
      <c r="AY4" s="453"/>
      <c r="AZ4" s="453"/>
      <c r="BA4" s="453"/>
      <c r="BB4" s="453"/>
      <c r="BC4" s="452" t="s">
        <v>56</v>
      </c>
      <c r="BD4" s="453"/>
      <c r="BE4" s="453"/>
      <c r="BF4" s="453"/>
      <c r="BG4" s="453"/>
      <c r="BH4" s="452" t="s">
        <v>57</v>
      </c>
      <c r="BI4" s="453"/>
      <c r="BJ4" s="453"/>
      <c r="BK4" s="453"/>
      <c r="BL4" s="453"/>
      <c r="BM4" s="452" t="s">
        <v>58</v>
      </c>
      <c r="BN4" s="453"/>
      <c r="BO4" s="453"/>
      <c r="BP4" s="453"/>
      <c r="BQ4" s="453"/>
      <c r="BR4" s="452" t="s">
        <v>59</v>
      </c>
      <c r="BS4" s="453"/>
      <c r="BT4" s="453"/>
      <c r="BU4" s="453"/>
      <c r="BV4" s="453"/>
      <c r="BW4" s="470" t="s">
        <v>29</v>
      </c>
      <c r="BX4" s="516" t="s">
        <v>31</v>
      </c>
    </row>
    <row r="5" spans="2:76" ht="29.25" customHeight="1">
      <c r="B5" s="2" t="s">
        <v>26</v>
      </c>
      <c r="C5" s="11" t="s">
        <v>43</v>
      </c>
      <c r="D5" s="30" t="s">
        <v>44</v>
      </c>
      <c r="E5" s="32" t="s">
        <v>45</v>
      </c>
      <c r="F5" s="12" t="s">
        <v>75</v>
      </c>
      <c r="G5" s="13" t="s">
        <v>76</v>
      </c>
      <c r="H5" s="14" t="s">
        <v>20</v>
      </c>
      <c r="I5" s="13" t="s">
        <v>41</v>
      </c>
      <c r="J5" s="15" t="s">
        <v>28</v>
      </c>
      <c r="K5" s="67" t="s">
        <v>64</v>
      </c>
      <c r="L5" s="20" t="s">
        <v>67</v>
      </c>
      <c r="M5" s="20" t="s">
        <v>66</v>
      </c>
      <c r="N5" s="16" t="s">
        <v>65</v>
      </c>
      <c r="O5" s="8" t="s">
        <v>32</v>
      </c>
      <c r="P5" s="22" t="s">
        <v>39</v>
      </c>
      <c r="Q5" s="20" t="s">
        <v>40</v>
      </c>
      <c r="R5" s="18" t="s">
        <v>34</v>
      </c>
      <c r="S5" s="16" t="s">
        <v>35</v>
      </c>
      <c r="T5" s="26" t="s">
        <v>32</v>
      </c>
      <c r="U5" s="22" t="s">
        <v>39</v>
      </c>
      <c r="V5" s="20" t="s">
        <v>40</v>
      </c>
      <c r="W5" s="18" t="s">
        <v>34</v>
      </c>
      <c r="X5" s="16" t="s">
        <v>35</v>
      </c>
      <c r="Y5" s="26" t="s">
        <v>32</v>
      </c>
      <c r="Z5" s="22" t="s">
        <v>39</v>
      </c>
      <c r="AA5" s="20" t="s">
        <v>40</v>
      </c>
      <c r="AB5" s="18" t="s">
        <v>34</v>
      </c>
      <c r="AC5" s="16" t="s">
        <v>35</v>
      </c>
      <c r="AD5" s="26" t="s">
        <v>32</v>
      </c>
      <c r="AE5" s="22" t="s">
        <v>39</v>
      </c>
      <c r="AF5" s="20" t="s">
        <v>40</v>
      </c>
      <c r="AG5" s="18" t="s">
        <v>34</v>
      </c>
      <c r="AH5" s="16" t="s">
        <v>35</v>
      </c>
      <c r="AI5" s="26" t="s">
        <v>32</v>
      </c>
      <c r="AJ5" s="22" t="s">
        <v>39</v>
      </c>
      <c r="AK5" s="20" t="s">
        <v>40</v>
      </c>
      <c r="AL5" s="18" t="s">
        <v>34</v>
      </c>
      <c r="AM5" s="16" t="s">
        <v>35</v>
      </c>
      <c r="AN5" s="26" t="s">
        <v>32</v>
      </c>
      <c r="AO5" s="22" t="s">
        <v>39</v>
      </c>
      <c r="AP5" s="20" t="s">
        <v>40</v>
      </c>
      <c r="AQ5" s="18" t="s">
        <v>34</v>
      </c>
      <c r="AR5" s="16" t="s">
        <v>35</v>
      </c>
      <c r="AS5" s="26" t="s">
        <v>32</v>
      </c>
      <c r="AT5" s="22" t="s">
        <v>39</v>
      </c>
      <c r="AU5" s="20" t="s">
        <v>40</v>
      </c>
      <c r="AV5" s="18" t="s">
        <v>34</v>
      </c>
      <c r="AW5" s="16" t="s">
        <v>35</v>
      </c>
      <c r="AX5" s="26" t="s">
        <v>32</v>
      </c>
      <c r="AY5" s="22" t="s">
        <v>39</v>
      </c>
      <c r="AZ5" s="20" t="s">
        <v>40</v>
      </c>
      <c r="BA5" s="18" t="s">
        <v>34</v>
      </c>
      <c r="BB5" s="16" t="s">
        <v>35</v>
      </c>
      <c r="BC5" s="26" t="s">
        <v>32</v>
      </c>
      <c r="BD5" s="22" t="s">
        <v>39</v>
      </c>
      <c r="BE5" s="20" t="s">
        <v>40</v>
      </c>
      <c r="BF5" s="18" t="s">
        <v>34</v>
      </c>
      <c r="BG5" s="16" t="s">
        <v>35</v>
      </c>
      <c r="BH5" s="26" t="s">
        <v>32</v>
      </c>
      <c r="BI5" s="22" t="s">
        <v>39</v>
      </c>
      <c r="BJ5" s="20" t="s">
        <v>40</v>
      </c>
      <c r="BK5" s="18" t="s">
        <v>34</v>
      </c>
      <c r="BL5" s="16" t="s">
        <v>35</v>
      </c>
      <c r="BM5" s="26" t="s">
        <v>32</v>
      </c>
      <c r="BN5" s="22" t="s">
        <v>39</v>
      </c>
      <c r="BO5" s="20" t="s">
        <v>40</v>
      </c>
      <c r="BP5" s="18" t="s">
        <v>34</v>
      </c>
      <c r="BQ5" s="16" t="s">
        <v>35</v>
      </c>
      <c r="BR5" s="26" t="s">
        <v>32</v>
      </c>
      <c r="BS5" s="22" t="s">
        <v>39</v>
      </c>
      <c r="BT5" s="20" t="s">
        <v>40</v>
      </c>
      <c r="BU5" s="18" t="s">
        <v>34</v>
      </c>
      <c r="BV5" s="16" t="s">
        <v>35</v>
      </c>
      <c r="BW5" s="470"/>
      <c r="BX5" s="516"/>
    </row>
    <row r="6" spans="2:76" ht="30.75" customHeight="1">
      <c r="B6" s="2">
        <v>1</v>
      </c>
      <c r="C6" s="435" t="s">
        <v>6</v>
      </c>
      <c r="D6" s="436"/>
      <c r="E6" s="445"/>
      <c r="F6" s="130">
        <v>1423</v>
      </c>
      <c r="G6" s="131">
        <v>6259230.7800000003</v>
      </c>
      <c r="H6" s="132">
        <v>1600</v>
      </c>
      <c r="I6" s="131">
        <f>G6/F6*H6</f>
        <v>7037785.8383696424</v>
      </c>
      <c r="J6" s="133">
        <f>SUM(J8:J27)</f>
        <v>522</v>
      </c>
      <c r="K6" s="134">
        <f>SUM(K8:K27)</f>
        <v>396</v>
      </c>
      <c r="L6" s="134">
        <f t="shared" ref="L6:N6" si="0">SUM(L8:L27)</f>
        <v>165</v>
      </c>
      <c r="M6" s="134">
        <f t="shared" si="0"/>
        <v>133</v>
      </c>
      <c r="N6" s="135">
        <f t="shared" si="0"/>
        <v>98</v>
      </c>
      <c r="O6" s="136">
        <f>H6/12</f>
        <v>133.33333333333334</v>
      </c>
      <c r="P6" s="137">
        <f>K6</f>
        <v>396</v>
      </c>
      <c r="Q6" s="134">
        <f>SUM(Q8:Q27)</f>
        <v>85</v>
      </c>
      <c r="R6" s="138">
        <f>Q6+K6</f>
        <v>481</v>
      </c>
      <c r="S6" s="139">
        <f>R6-O6</f>
        <v>347.66666666666663</v>
      </c>
      <c r="T6" s="136">
        <f>H6/12</f>
        <v>133.33333333333334</v>
      </c>
      <c r="U6" s="137">
        <f>K6</f>
        <v>396</v>
      </c>
      <c r="V6" s="134">
        <f>SUM(V8:V27)</f>
        <v>415</v>
      </c>
      <c r="W6" s="138">
        <f>K6+V6</f>
        <v>811</v>
      </c>
      <c r="X6" s="139">
        <f>W6-T6</f>
        <v>677.66666666666663</v>
      </c>
      <c r="Y6" s="136">
        <f>H6/12</f>
        <v>133.33333333333334</v>
      </c>
      <c r="Z6" s="137">
        <f>K6</f>
        <v>396</v>
      </c>
      <c r="AA6" s="134">
        <f>SUM(AA8:AA27)</f>
        <v>0</v>
      </c>
      <c r="AB6" s="138">
        <f>K6+AA6</f>
        <v>396</v>
      </c>
      <c r="AC6" s="139">
        <f>AB6-Y6</f>
        <v>262.66666666666663</v>
      </c>
      <c r="AD6" s="136">
        <f>H6/12</f>
        <v>133.33333333333334</v>
      </c>
      <c r="AE6" s="137">
        <f>K6</f>
        <v>396</v>
      </c>
      <c r="AF6" s="134">
        <f>SUM(AF8:AF27)</f>
        <v>40</v>
      </c>
      <c r="AG6" s="138">
        <f>K6+AF6</f>
        <v>436</v>
      </c>
      <c r="AH6" s="139">
        <f>AG6-AD6</f>
        <v>302.66666666666663</v>
      </c>
      <c r="AI6" s="136">
        <f>H6/12</f>
        <v>133.33333333333334</v>
      </c>
      <c r="AJ6" s="137">
        <f>K6</f>
        <v>396</v>
      </c>
      <c r="AK6" s="134">
        <f>SUM(AK8:AK27)</f>
        <v>0</v>
      </c>
      <c r="AL6" s="138">
        <f>K6+AK6</f>
        <v>396</v>
      </c>
      <c r="AM6" s="139">
        <f>AL6-AI6</f>
        <v>262.66666666666663</v>
      </c>
      <c r="AN6" s="136">
        <f>H6/12</f>
        <v>133.33333333333334</v>
      </c>
      <c r="AO6" s="137">
        <f>K6</f>
        <v>396</v>
      </c>
      <c r="AP6" s="134">
        <f>SUM(AP8:AP27)</f>
        <v>0</v>
      </c>
      <c r="AQ6" s="138">
        <f>K6+AP6</f>
        <v>396</v>
      </c>
      <c r="AR6" s="139">
        <f>AQ6-AN6</f>
        <v>262.66666666666663</v>
      </c>
      <c r="AS6" s="136">
        <f>H6/12</f>
        <v>133.33333333333334</v>
      </c>
      <c r="AT6" s="137">
        <f>K6</f>
        <v>396</v>
      </c>
      <c r="AU6" s="134">
        <f>SUM(AU8:AU27)</f>
        <v>0</v>
      </c>
      <c r="AV6" s="138">
        <f>K6+AU6</f>
        <v>396</v>
      </c>
      <c r="AW6" s="139">
        <f>AV6-AS6</f>
        <v>262.66666666666663</v>
      </c>
      <c r="AX6" s="136">
        <f>H6/12</f>
        <v>133.33333333333334</v>
      </c>
      <c r="AY6" s="137">
        <f>K6</f>
        <v>396</v>
      </c>
      <c r="AZ6" s="134">
        <f>SUM(AZ8:AZ27)</f>
        <v>0</v>
      </c>
      <c r="BA6" s="138">
        <f>K6+AZ6</f>
        <v>396</v>
      </c>
      <c r="BB6" s="139">
        <f>BA6-AX6</f>
        <v>262.66666666666663</v>
      </c>
      <c r="BC6" s="136">
        <f>H6/12</f>
        <v>133.33333333333334</v>
      </c>
      <c r="BD6" s="137">
        <f>K6</f>
        <v>396</v>
      </c>
      <c r="BE6" s="134">
        <f>SUM(BE8:BE27)</f>
        <v>0</v>
      </c>
      <c r="BF6" s="138">
        <f>K6+BE6</f>
        <v>396</v>
      </c>
      <c r="BG6" s="139">
        <f>BF6-BC6</f>
        <v>262.66666666666663</v>
      </c>
      <c r="BH6" s="136">
        <f>H6/12</f>
        <v>133.33333333333334</v>
      </c>
      <c r="BI6" s="137">
        <f>K6</f>
        <v>396</v>
      </c>
      <c r="BJ6" s="134">
        <f>SUM(BJ8:BJ27)</f>
        <v>0</v>
      </c>
      <c r="BK6" s="138">
        <f>K6+BJ6</f>
        <v>396</v>
      </c>
      <c r="BL6" s="139">
        <f>BK6-BH6</f>
        <v>262.66666666666663</v>
      </c>
      <c r="BM6" s="140">
        <f>H6/12</f>
        <v>133.33333333333334</v>
      </c>
      <c r="BN6" s="137">
        <f>K6</f>
        <v>396</v>
      </c>
      <c r="BO6" s="134">
        <f>SUM(BO8:BO27)</f>
        <v>0</v>
      </c>
      <c r="BP6" s="138">
        <f>K6+BO6</f>
        <v>396</v>
      </c>
      <c r="BQ6" s="139">
        <f>BP6-BM6</f>
        <v>262.66666666666663</v>
      </c>
      <c r="BR6" s="136">
        <f>H6/12</f>
        <v>133.33333333333334</v>
      </c>
      <c r="BS6" s="137">
        <f>K6</f>
        <v>396</v>
      </c>
      <c r="BT6" s="134">
        <f>SUM(BT8:BT27)</f>
        <v>0</v>
      </c>
      <c r="BU6" s="138">
        <f>K6+BT6</f>
        <v>396</v>
      </c>
      <c r="BV6" s="139">
        <f>BU6-BR6</f>
        <v>262.66666666666663</v>
      </c>
      <c r="BW6" s="141">
        <f>AF6+AA6+V6+Q6+AK6+AP6+AU6+AZ6+BE6+BJ6+BO6+BT6+K6</f>
        <v>936</v>
      </c>
      <c r="BX6" s="142">
        <f>BW6-H6</f>
        <v>-664</v>
      </c>
    </row>
    <row r="7" spans="2:76" ht="30.75" customHeight="1">
      <c r="C7" s="167" t="s">
        <v>81</v>
      </c>
      <c r="D7" s="168"/>
      <c r="E7" s="169"/>
      <c r="F7" s="170">
        <f>SUM(F8:F27)</f>
        <v>1314</v>
      </c>
      <c r="G7" s="171">
        <f>SUM(G8:G27)</f>
        <v>5781600</v>
      </c>
      <c r="H7" s="170">
        <f>SUM(H8:H27)</f>
        <v>1477.4420238931832</v>
      </c>
      <c r="I7" s="171">
        <f>SUM(I8:I27)</f>
        <v>6500744.9051300073</v>
      </c>
      <c r="J7" s="172"/>
      <c r="K7" s="173"/>
      <c r="L7" s="173"/>
      <c r="M7" s="173"/>
      <c r="N7" s="174"/>
      <c r="O7" s="175">
        <f>SUM(O8:O27)</f>
        <v>104.69782259026171</v>
      </c>
      <c r="P7" s="176"/>
      <c r="Q7" s="173"/>
      <c r="R7" s="177"/>
      <c r="S7" s="178"/>
      <c r="T7" s="175">
        <f>SUM(T8:T27)</f>
        <v>103.42094167252283</v>
      </c>
      <c r="U7" s="176"/>
      <c r="V7" s="173"/>
      <c r="W7" s="177"/>
      <c r="X7" s="178"/>
      <c r="Y7" s="175">
        <f>SUM(Y8:Y27)</f>
        <v>149.31574140096288</v>
      </c>
      <c r="Z7" s="176"/>
      <c r="AA7" s="173"/>
      <c r="AB7" s="177"/>
      <c r="AC7" s="178"/>
      <c r="AD7" s="175">
        <f>SUM(AD8:AD27)</f>
        <v>118.1953619114547</v>
      </c>
      <c r="AE7" s="176"/>
      <c r="AF7" s="173"/>
      <c r="AG7" s="177"/>
      <c r="AH7" s="178"/>
      <c r="AI7" s="175">
        <f>SUM(AI8:AI27)</f>
        <v>112.53191343535798</v>
      </c>
      <c r="AJ7" s="176"/>
      <c r="AK7" s="173"/>
      <c r="AL7" s="177"/>
      <c r="AM7" s="178"/>
      <c r="AN7" s="175">
        <f>SUM(AN8:AN27)</f>
        <v>177.29304286718198</v>
      </c>
      <c r="AO7" s="176"/>
      <c r="AP7" s="173"/>
      <c r="AQ7" s="177"/>
      <c r="AR7" s="178"/>
      <c r="AS7" s="175">
        <f>SUM(AS8:AS27)</f>
        <v>147.74420238931836</v>
      </c>
      <c r="AT7" s="176"/>
      <c r="AU7" s="173"/>
      <c r="AV7" s="177"/>
      <c r="AW7" s="178"/>
      <c r="AX7" s="175">
        <f>SUM(AX8:AX27)</f>
        <v>132.96978215038649</v>
      </c>
      <c r="AY7" s="176"/>
      <c r="AZ7" s="173"/>
      <c r="BA7" s="177"/>
      <c r="BB7" s="178"/>
      <c r="BC7" s="175">
        <f>SUM(BC8:BC27)</f>
        <v>147.74420238931836</v>
      </c>
      <c r="BD7" s="176"/>
      <c r="BE7" s="173"/>
      <c r="BF7" s="177"/>
      <c r="BG7" s="178"/>
      <c r="BH7" s="175">
        <f>SUM(BH8:BH27)</f>
        <v>89.967909381717334</v>
      </c>
      <c r="BI7" s="176"/>
      <c r="BJ7" s="173"/>
      <c r="BK7" s="177"/>
      <c r="BL7" s="178"/>
      <c r="BM7" s="175">
        <f>SUM(BM8:BM27)</f>
        <v>82.179936029719883</v>
      </c>
      <c r="BN7" s="176"/>
      <c r="BO7" s="173"/>
      <c r="BP7" s="177"/>
      <c r="BQ7" s="178"/>
      <c r="BR7" s="175">
        <f>SUM(BR8:BR27)</f>
        <v>118.1953619114547</v>
      </c>
      <c r="BS7" s="176"/>
      <c r="BT7" s="173"/>
      <c r="BU7" s="177"/>
      <c r="BV7" s="178"/>
      <c r="BW7" s="179"/>
      <c r="BX7" s="180"/>
    </row>
    <row r="8" spans="2:76" ht="30.75" customHeight="1">
      <c r="C8" s="509"/>
      <c r="D8" s="443">
        <v>1</v>
      </c>
      <c r="E8" s="99" t="s">
        <v>46</v>
      </c>
      <c r="F8" s="56">
        <v>48</v>
      </c>
      <c r="G8" s="46">
        <f>F8*4400</f>
        <v>211200</v>
      </c>
      <c r="H8" s="45">
        <f>F8*($H$6/$F$6)</f>
        <v>53.970484891075188</v>
      </c>
      <c r="I8" s="46">
        <f>H8*4400</f>
        <v>237470.13352073083</v>
      </c>
      <c r="J8" s="49">
        <v>0</v>
      </c>
      <c r="K8" s="39">
        <f>SUM(L8:N8)</f>
        <v>0</v>
      </c>
      <c r="L8" s="39"/>
      <c r="M8" s="39"/>
      <c r="N8" s="42"/>
      <c r="O8" s="41">
        <f>$H$8*月別販売比率!C5</f>
        <v>3.8245779941648115</v>
      </c>
      <c r="P8" s="40">
        <f t="shared" ref="P8:P27" si="1">K8</f>
        <v>0</v>
      </c>
      <c r="Q8" s="39">
        <v>10</v>
      </c>
      <c r="R8" s="43">
        <f>Q8+K8</f>
        <v>10</v>
      </c>
      <c r="S8" s="91">
        <f>R8-O8</f>
        <v>6.1754220058351885</v>
      </c>
      <c r="T8" s="41">
        <f>$H$8*月別販売比率!H5</f>
        <v>3.7779339423752636</v>
      </c>
      <c r="U8" s="40">
        <f>K8</f>
        <v>0</v>
      </c>
      <c r="V8" s="39">
        <v>20</v>
      </c>
      <c r="W8" s="43">
        <f>K8+V8</f>
        <v>20</v>
      </c>
      <c r="X8" s="91">
        <f t="shared" ref="X8:X76" si="2">W8-T8</f>
        <v>16.222066057624737</v>
      </c>
      <c r="Y8" s="41">
        <f>$H$8*月別販売比率!M5</f>
        <v>5.454456306884488</v>
      </c>
      <c r="Z8" s="40">
        <f>K8</f>
        <v>0</v>
      </c>
      <c r="AA8" s="39"/>
      <c r="AB8" s="43">
        <f t="shared" ref="AB8:AB27" si="3">K8+AA8</f>
        <v>0</v>
      </c>
      <c r="AC8" s="91">
        <f t="shared" ref="AC8:AC76" si="4">AB8-Y8</f>
        <v>-5.454456306884488</v>
      </c>
      <c r="AD8" s="41">
        <f>$H$8*月別販売比率!R5</f>
        <v>4.317638791286015</v>
      </c>
      <c r="AE8" s="40">
        <f>K8</f>
        <v>0</v>
      </c>
      <c r="AF8" s="39"/>
      <c r="AG8" s="43">
        <f t="shared" ref="AG8:AG26" si="5">K8+AF8</f>
        <v>0</v>
      </c>
      <c r="AH8" s="91">
        <f t="shared" ref="AH8:AH76" si="6">AG8-AD8</f>
        <v>-4.317638791286015</v>
      </c>
      <c r="AI8" s="41">
        <f>$H$8*月別販売比率!W5</f>
        <v>4.1107548286888758</v>
      </c>
      <c r="AJ8" s="40">
        <f>K8</f>
        <v>0</v>
      </c>
      <c r="AK8" s="39"/>
      <c r="AL8" s="43">
        <f t="shared" ref="AL8:AL37" si="7">K8+AK8</f>
        <v>0</v>
      </c>
      <c r="AM8" s="91">
        <f t="shared" ref="AM8:AM76" si="8">AL8-AI8</f>
        <v>-4.1107548286888758</v>
      </c>
      <c r="AN8" s="41">
        <f>$H$8*月別販売比率!AB5</f>
        <v>6.4764581869290225</v>
      </c>
      <c r="AO8" s="40">
        <f>K8</f>
        <v>0</v>
      </c>
      <c r="AP8" s="39"/>
      <c r="AQ8" s="43">
        <f t="shared" ref="AQ8:AQ37" si="9">K8+AP8</f>
        <v>0</v>
      </c>
      <c r="AR8" s="91">
        <f t="shared" ref="AR8:AR76" si="10">AQ8-AN8</f>
        <v>-6.4764581869290225</v>
      </c>
      <c r="AS8" s="41">
        <f>$H$8*月別販売比率!AG5</f>
        <v>5.3970484891075188</v>
      </c>
      <c r="AT8" s="40">
        <f>K8</f>
        <v>0</v>
      </c>
      <c r="AU8" s="39"/>
      <c r="AV8" s="40">
        <f t="shared" ref="AV8:AV37" si="11">K8+AU8</f>
        <v>0</v>
      </c>
      <c r="AW8" s="91">
        <f t="shared" ref="AW8:AW76" si="12">AV8-AS8</f>
        <v>-5.3970484891075188</v>
      </c>
      <c r="AX8" s="41">
        <f>$H$8*月別販売比率!AL5</f>
        <v>4.8573436401967669</v>
      </c>
      <c r="AY8" s="40">
        <f>K8</f>
        <v>0</v>
      </c>
      <c r="AZ8" s="39"/>
      <c r="BA8" s="43">
        <f>K8+AZ8</f>
        <v>0</v>
      </c>
      <c r="BB8" s="91">
        <f t="shared" ref="BB8:BB76" si="13">BA8-AX8</f>
        <v>-4.8573436401967669</v>
      </c>
      <c r="BC8" s="41">
        <f>$H$8*月別販売比率!AQ5</f>
        <v>5.3970484891075188</v>
      </c>
      <c r="BD8" s="40">
        <f>K8</f>
        <v>0</v>
      </c>
      <c r="BE8" s="39"/>
      <c r="BF8" s="43">
        <f>K8+BE8</f>
        <v>0</v>
      </c>
      <c r="BG8" s="91">
        <f t="shared" ref="BG8:BG76" si="14">BF8-BC8</f>
        <v>-5.3970484891075188</v>
      </c>
      <c r="BH8" s="41">
        <f>$H$8*月別販売比率!AV5</f>
        <v>3.286498972848122</v>
      </c>
      <c r="BI8" s="40">
        <f>K8</f>
        <v>0</v>
      </c>
      <c r="BJ8" s="39"/>
      <c r="BK8" s="43">
        <f>K8+BJ8</f>
        <v>0</v>
      </c>
      <c r="BL8" s="91">
        <f t="shared" ref="BL8:BL76" si="15">BK8-BH8</f>
        <v>-3.286498972848122</v>
      </c>
      <c r="BM8" s="41">
        <f>$H$8*月別販売比率!BA5</f>
        <v>3.002006795606206</v>
      </c>
      <c r="BN8" s="40">
        <f>K8</f>
        <v>0</v>
      </c>
      <c r="BO8" s="39"/>
      <c r="BP8" s="43">
        <f>K8+BO8</f>
        <v>0</v>
      </c>
      <c r="BQ8" s="91">
        <f t="shared" ref="BQ8:BQ76" si="16">BP8-BM8</f>
        <v>-3.002006795606206</v>
      </c>
      <c r="BR8" s="41">
        <f>$H$8*月別販売比率!BF5</f>
        <v>4.317638791286015</v>
      </c>
      <c r="BS8" s="40">
        <f>K8</f>
        <v>0</v>
      </c>
      <c r="BT8" s="39"/>
      <c r="BU8" s="43">
        <f>K8+BT8</f>
        <v>0</v>
      </c>
      <c r="BV8" s="91">
        <f t="shared" ref="BV8:BV76" si="17">BU8-BR8</f>
        <v>-4.317638791286015</v>
      </c>
      <c r="BW8" s="157">
        <f>AF8+AA8+V8+Q8+AK8+AP8+AU8+AZ8+BE8+BJ8+BO8+BT8+K8</f>
        <v>30</v>
      </c>
      <c r="BX8" s="51">
        <f>BW8-H8</f>
        <v>-23.970484891075188</v>
      </c>
    </row>
    <row r="9" spans="2:76" ht="30.75" customHeight="1">
      <c r="C9" s="507"/>
      <c r="D9" s="441"/>
      <c r="E9" s="94" t="s">
        <v>47</v>
      </c>
      <c r="F9" s="57">
        <v>144</v>
      </c>
      <c r="G9" s="5">
        <f t="shared" ref="G9:I37" si="18">F9*4400</f>
        <v>633600</v>
      </c>
      <c r="H9" s="7">
        <f t="shared" ref="H9:H27" si="19">F9*($H$6/$F$6)</f>
        <v>161.91145467322556</v>
      </c>
      <c r="I9" s="5">
        <f t="shared" si="18"/>
        <v>712410.40056219243</v>
      </c>
      <c r="J9" s="9">
        <v>0</v>
      </c>
      <c r="K9" s="21">
        <f t="shared" ref="K9:K77" si="20">SUM(L9:N9)</f>
        <v>0</v>
      </c>
      <c r="L9" s="21"/>
      <c r="M9" s="21"/>
      <c r="N9" s="95"/>
      <c r="O9" s="41">
        <f>$H$9*月別販売比率!C5</f>
        <v>11.473733982494435</v>
      </c>
      <c r="P9" s="10">
        <f t="shared" si="1"/>
        <v>0</v>
      </c>
      <c r="Q9" s="21">
        <v>25</v>
      </c>
      <c r="R9" s="19">
        <f t="shared" ref="R9:R27" si="21">Q9+K9</f>
        <v>25</v>
      </c>
      <c r="S9" s="24">
        <f t="shared" ref="S9:S76" si="22">R9-O9</f>
        <v>13.526266017505565</v>
      </c>
      <c r="T9" s="41">
        <f>$H$9*月別販売比率!H5</f>
        <v>11.333801827125791</v>
      </c>
      <c r="U9" s="10">
        <f t="shared" ref="U9:U26" si="23">K9</f>
        <v>0</v>
      </c>
      <c r="V9" s="21">
        <v>55</v>
      </c>
      <c r="W9" s="19">
        <f t="shared" ref="W9:W27" si="24">K9+V9</f>
        <v>55</v>
      </c>
      <c r="X9" s="24">
        <f t="shared" si="2"/>
        <v>43.666198172874211</v>
      </c>
      <c r="Y9" s="41">
        <f>$H$9*月別販売比率!M5</f>
        <v>16.363368920653464</v>
      </c>
      <c r="Z9" s="10">
        <f t="shared" ref="Z9:Z27" si="25">K9</f>
        <v>0</v>
      </c>
      <c r="AA9" s="21"/>
      <c r="AB9" s="19">
        <f t="shared" si="3"/>
        <v>0</v>
      </c>
      <c r="AC9" s="24">
        <f t="shared" si="4"/>
        <v>-16.363368920653464</v>
      </c>
      <c r="AD9" s="41">
        <f>$H$9*月別販売比率!R5</f>
        <v>12.952916373858045</v>
      </c>
      <c r="AE9" s="10">
        <f t="shared" ref="AE9:AE27" si="26">K9</f>
        <v>0</v>
      </c>
      <c r="AF9" s="21">
        <v>10</v>
      </c>
      <c r="AG9" s="19">
        <f t="shared" si="5"/>
        <v>10</v>
      </c>
      <c r="AH9" s="24">
        <f t="shared" si="6"/>
        <v>-2.9529163738580451</v>
      </c>
      <c r="AI9" s="41">
        <f>$H$9*月別販売比率!W5</f>
        <v>12.332264486066627</v>
      </c>
      <c r="AJ9" s="10">
        <f t="shared" ref="AJ9:AJ27" si="27">K9</f>
        <v>0</v>
      </c>
      <c r="AK9" s="21"/>
      <c r="AL9" s="19">
        <f t="shared" si="7"/>
        <v>0</v>
      </c>
      <c r="AM9" s="24">
        <f t="shared" si="8"/>
        <v>-12.332264486066627</v>
      </c>
      <c r="AN9" s="41">
        <f>$H$9*月別販売比率!AB5</f>
        <v>19.429374560787068</v>
      </c>
      <c r="AO9" s="10">
        <f t="shared" ref="AO9:AO27" si="28">K9</f>
        <v>0</v>
      </c>
      <c r="AP9" s="21"/>
      <c r="AQ9" s="19">
        <f t="shared" si="9"/>
        <v>0</v>
      </c>
      <c r="AR9" s="24">
        <f t="shared" si="10"/>
        <v>-19.429374560787068</v>
      </c>
      <c r="AS9" s="41">
        <f>$H$9*月別販売比率!AG5</f>
        <v>16.191145467322556</v>
      </c>
      <c r="AT9" s="10">
        <f t="shared" ref="AT9:AT27" si="29">K9</f>
        <v>0</v>
      </c>
      <c r="AU9" s="21"/>
      <c r="AV9" s="10">
        <f t="shared" si="11"/>
        <v>0</v>
      </c>
      <c r="AW9" s="24">
        <f t="shared" si="12"/>
        <v>-16.191145467322556</v>
      </c>
      <c r="AX9" s="41">
        <f>$H$9*月別販売比率!AL5</f>
        <v>14.572030920590301</v>
      </c>
      <c r="AY9" s="10">
        <f t="shared" ref="AY9:AY27" si="30">K9</f>
        <v>0</v>
      </c>
      <c r="AZ9" s="21"/>
      <c r="BA9" s="19">
        <f t="shared" ref="BA9:BA27" si="31">K9+AZ9</f>
        <v>0</v>
      </c>
      <c r="BB9" s="24">
        <f t="shared" si="13"/>
        <v>-14.572030920590301</v>
      </c>
      <c r="BC9" s="41">
        <f>$H$9*月別販売比率!AQ5</f>
        <v>16.191145467322556</v>
      </c>
      <c r="BD9" s="10">
        <f t="shared" ref="BD9:BD26" si="32">K9</f>
        <v>0</v>
      </c>
      <c r="BE9" s="21"/>
      <c r="BF9" s="19">
        <f t="shared" ref="BF9:BF27" si="33">K9+BE9</f>
        <v>0</v>
      </c>
      <c r="BG9" s="24">
        <f t="shared" si="14"/>
        <v>-16.191145467322556</v>
      </c>
      <c r="BH9" s="41">
        <f>$H$9*月別販売比率!AV5</f>
        <v>9.8594969185443659</v>
      </c>
      <c r="BI9" s="10">
        <f t="shared" ref="BI9:BI27" si="34">K9</f>
        <v>0</v>
      </c>
      <c r="BJ9" s="21"/>
      <c r="BK9" s="19">
        <f t="shared" ref="BK9:BK27" si="35">K9+BJ9</f>
        <v>0</v>
      </c>
      <c r="BL9" s="24">
        <f t="shared" si="15"/>
        <v>-9.8594969185443659</v>
      </c>
      <c r="BM9" s="41">
        <f>$H$9*月別販売比率!BA5</f>
        <v>9.0060203868186175</v>
      </c>
      <c r="BN9" s="10">
        <f t="shared" ref="BN9:BN27" si="36">K9</f>
        <v>0</v>
      </c>
      <c r="BO9" s="21"/>
      <c r="BP9" s="19">
        <f>K9+BO9</f>
        <v>0</v>
      </c>
      <c r="BQ9" s="24">
        <f t="shared" si="16"/>
        <v>-9.0060203868186175</v>
      </c>
      <c r="BR9" s="41">
        <f>$H$9*月別販売比率!BF5</f>
        <v>12.952916373858045</v>
      </c>
      <c r="BS9" s="10">
        <f t="shared" ref="BS9:BS27" si="37">K9</f>
        <v>0</v>
      </c>
      <c r="BT9" s="21"/>
      <c r="BU9" s="19">
        <f t="shared" ref="BU9:BU27" si="38">K9+BT9</f>
        <v>0</v>
      </c>
      <c r="BV9" s="24">
        <f t="shared" si="17"/>
        <v>-12.952916373858045</v>
      </c>
      <c r="BW9" s="158">
        <f t="shared" ref="BW9:BW27" si="39">AF9+AA9+V9+Q9+AK9+AP9+AU9+AZ9+BE9+BJ9+BO9+BT9+K9</f>
        <v>90</v>
      </c>
      <c r="BX9" s="29">
        <f t="shared" ref="BX9:BX27" si="40">BW9-H9</f>
        <v>-71.911454673225563</v>
      </c>
    </row>
    <row r="10" spans="2:76" ht="30.75" customHeight="1">
      <c r="C10" s="507"/>
      <c r="D10" s="441"/>
      <c r="E10" s="94" t="s">
        <v>51</v>
      </c>
      <c r="F10" s="57">
        <v>127</v>
      </c>
      <c r="G10" s="5">
        <f t="shared" si="18"/>
        <v>558800</v>
      </c>
      <c r="H10" s="7">
        <f t="shared" si="19"/>
        <v>142.79690794096979</v>
      </c>
      <c r="I10" s="5">
        <f t="shared" si="18"/>
        <v>628306.39494026708</v>
      </c>
      <c r="J10" s="9">
        <v>11</v>
      </c>
      <c r="K10" s="21">
        <f>SUM(L10:N10)</f>
        <v>26</v>
      </c>
      <c r="L10" s="21">
        <v>10</v>
      </c>
      <c r="M10" s="21">
        <v>16</v>
      </c>
      <c r="N10" s="95"/>
      <c r="O10" s="41">
        <f>$H$10*月別販売比率!C5</f>
        <v>10.119195942894398</v>
      </c>
      <c r="P10" s="10">
        <f t="shared" si="1"/>
        <v>26</v>
      </c>
      <c r="Q10" s="21">
        <v>20</v>
      </c>
      <c r="R10" s="19">
        <f t="shared" si="21"/>
        <v>46</v>
      </c>
      <c r="S10" s="24">
        <f t="shared" si="22"/>
        <v>35.8808040571056</v>
      </c>
      <c r="T10" s="41">
        <f>$H$10*月別販売比率!H5</f>
        <v>9.9957835558678862</v>
      </c>
      <c r="U10" s="10">
        <f t="shared" si="23"/>
        <v>26</v>
      </c>
      <c r="V10" s="21">
        <v>40</v>
      </c>
      <c r="W10" s="19">
        <f t="shared" si="24"/>
        <v>66</v>
      </c>
      <c r="X10" s="24">
        <f t="shared" si="2"/>
        <v>56.004216444132112</v>
      </c>
      <c r="Y10" s="41">
        <f>$H$10*月別販売比率!M5</f>
        <v>14.43158231196521</v>
      </c>
      <c r="Z10" s="10">
        <f t="shared" si="25"/>
        <v>26</v>
      </c>
      <c r="AA10" s="21"/>
      <c r="AB10" s="19">
        <f t="shared" si="3"/>
        <v>26</v>
      </c>
      <c r="AC10" s="24">
        <f t="shared" si="4"/>
        <v>11.56841768803479</v>
      </c>
      <c r="AD10" s="41">
        <f>$H$10*月別販売比率!R5</f>
        <v>11.423752635277584</v>
      </c>
      <c r="AE10" s="10">
        <f t="shared" si="26"/>
        <v>26</v>
      </c>
      <c r="AF10" s="21">
        <v>20</v>
      </c>
      <c r="AG10" s="19">
        <f t="shared" si="5"/>
        <v>46</v>
      </c>
      <c r="AH10" s="24">
        <f t="shared" si="6"/>
        <v>34.57624736472242</v>
      </c>
      <c r="AI10" s="41">
        <f>$H$10*月別販売比率!W5</f>
        <v>10.876372150905986</v>
      </c>
      <c r="AJ10" s="10">
        <f t="shared" si="27"/>
        <v>26</v>
      </c>
      <c r="AK10" s="21"/>
      <c r="AL10" s="19">
        <f t="shared" si="7"/>
        <v>26</v>
      </c>
      <c r="AM10" s="24">
        <f t="shared" si="8"/>
        <v>15.123627849094014</v>
      </c>
      <c r="AN10" s="41">
        <f>$H$10*月別販売比率!AB5</f>
        <v>17.135628952916374</v>
      </c>
      <c r="AO10" s="10">
        <f t="shared" si="28"/>
        <v>26</v>
      </c>
      <c r="AP10" s="21"/>
      <c r="AQ10" s="19">
        <f t="shared" si="9"/>
        <v>26</v>
      </c>
      <c r="AR10" s="24">
        <f t="shared" si="10"/>
        <v>8.8643710470836261</v>
      </c>
      <c r="AS10" s="41">
        <f>$H$10*月別販売比率!AG5</f>
        <v>14.279690794096979</v>
      </c>
      <c r="AT10" s="10">
        <f t="shared" si="29"/>
        <v>26</v>
      </c>
      <c r="AU10" s="21"/>
      <c r="AV10" s="10">
        <f t="shared" si="11"/>
        <v>26</v>
      </c>
      <c r="AW10" s="24">
        <f t="shared" si="12"/>
        <v>11.720309205903021</v>
      </c>
      <c r="AX10" s="41">
        <f>$H$10*月別販売比率!AL5</f>
        <v>12.851721714687281</v>
      </c>
      <c r="AY10" s="10">
        <f t="shared" si="30"/>
        <v>26</v>
      </c>
      <c r="AZ10" s="21"/>
      <c r="BA10" s="19">
        <f t="shared" si="31"/>
        <v>26</v>
      </c>
      <c r="BB10" s="24">
        <f t="shared" si="13"/>
        <v>13.148278285312719</v>
      </c>
      <c r="BC10" s="41">
        <f>$H$10*月別販売比率!AQ5</f>
        <v>14.279690794096979</v>
      </c>
      <c r="BD10" s="10">
        <f t="shared" si="32"/>
        <v>26</v>
      </c>
      <c r="BE10" s="21"/>
      <c r="BF10" s="19">
        <f t="shared" si="33"/>
        <v>26</v>
      </c>
      <c r="BG10" s="24">
        <f t="shared" si="14"/>
        <v>11.720309205903021</v>
      </c>
      <c r="BH10" s="41">
        <f>$H$10*月別販売比率!AV5</f>
        <v>8.6955285323273248</v>
      </c>
      <c r="BI10" s="10">
        <f t="shared" si="34"/>
        <v>26</v>
      </c>
      <c r="BJ10" s="21"/>
      <c r="BK10" s="19">
        <f t="shared" si="35"/>
        <v>26</v>
      </c>
      <c r="BL10" s="24">
        <f t="shared" si="15"/>
        <v>17.304471467672677</v>
      </c>
      <c r="BM10" s="41">
        <f>$H$10*月別販売比率!BA5</f>
        <v>7.9428096467080875</v>
      </c>
      <c r="BN10" s="10">
        <f t="shared" si="36"/>
        <v>26</v>
      </c>
      <c r="BO10" s="21"/>
      <c r="BP10" s="19">
        <f t="shared" ref="BP10:BP27" si="41">K10+BO10</f>
        <v>26</v>
      </c>
      <c r="BQ10" s="24">
        <f t="shared" si="16"/>
        <v>18.057190353291912</v>
      </c>
      <c r="BR10" s="41">
        <f>$H$10*月別販売比率!BF5</f>
        <v>11.423752635277584</v>
      </c>
      <c r="BS10" s="10">
        <f t="shared" si="37"/>
        <v>26</v>
      </c>
      <c r="BT10" s="21"/>
      <c r="BU10" s="19">
        <f t="shared" si="38"/>
        <v>26</v>
      </c>
      <c r="BV10" s="24">
        <f t="shared" si="17"/>
        <v>14.576247364722416</v>
      </c>
      <c r="BW10" s="158">
        <f t="shared" si="39"/>
        <v>106</v>
      </c>
      <c r="BX10" s="29">
        <f t="shared" si="40"/>
        <v>-36.796907940969788</v>
      </c>
    </row>
    <row r="11" spans="2:76" ht="30.75" customHeight="1">
      <c r="C11" s="507"/>
      <c r="D11" s="441"/>
      <c r="E11" s="94" t="s">
        <v>49</v>
      </c>
      <c r="F11" s="57">
        <v>46</v>
      </c>
      <c r="G11" s="5">
        <f t="shared" si="18"/>
        <v>202400</v>
      </c>
      <c r="H11" s="7">
        <f t="shared" si="19"/>
        <v>51.721714687280389</v>
      </c>
      <c r="I11" s="5">
        <f t="shared" si="18"/>
        <v>227575.5446240337</v>
      </c>
      <c r="J11" s="9">
        <v>0</v>
      </c>
      <c r="K11" s="21">
        <f t="shared" si="20"/>
        <v>25</v>
      </c>
      <c r="L11" s="21">
        <v>13</v>
      </c>
      <c r="M11" s="21">
        <v>12</v>
      </c>
      <c r="N11" s="95"/>
      <c r="O11" s="41">
        <f>$H$11*月別販売比率!C5</f>
        <v>3.6652205777412781</v>
      </c>
      <c r="P11" s="10">
        <f t="shared" si="1"/>
        <v>25</v>
      </c>
      <c r="Q11" s="21">
        <v>10</v>
      </c>
      <c r="R11" s="19">
        <f t="shared" si="21"/>
        <v>35</v>
      </c>
      <c r="S11" s="24">
        <f t="shared" si="22"/>
        <v>31.334779422258723</v>
      </c>
      <c r="T11" s="41">
        <f>$H$11*月別販売比率!H5</f>
        <v>3.6205200281096275</v>
      </c>
      <c r="U11" s="10">
        <f t="shared" si="23"/>
        <v>25</v>
      </c>
      <c r="V11" s="21">
        <v>20</v>
      </c>
      <c r="W11" s="19">
        <f t="shared" si="24"/>
        <v>45</v>
      </c>
      <c r="X11" s="24">
        <f t="shared" si="2"/>
        <v>41.379479971890376</v>
      </c>
      <c r="Y11" s="41">
        <f>$H$11*月別販売比率!M5</f>
        <v>5.2271872940976349</v>
      </c>
      <c r="Z11" s="10">
        <f t="shared" si="25"/>
        <v>25</v>
      </c>
      <c r="AA11" s="21"/>
      <c r="AB11" s="19">
        <f t="shared" si="3"/>
        <v>25</v>
      </c>
      <c r="AC11" s="24">
        <f t="shared" si="4"/>
        <v>19.772812705902364</v>
      </c>
      <c r="AD11" s="41">
        <f>$H$11*月別販売比率!R5</f>
        <v>4.1377371749824317</v>
      </c>
      <c r="AE11" s="10">
        <f t="shared" si="26"/>
        <v>25</v>
      </c>
      <c r="AF11" s="21"/>
      <c r="AG11" s="19">
        <f t="shared" si="5"/>
        <v>25</v>
      </c>
      <c r="AH11" s="24">
        <f t="shared" si="6"/>
        <v>20.862262825017567</v>
      </c>
      <c r="AI11" s="41">
        <f>$H$11*月別販売比率!W5</f>
        <v>3.9394733774935062</v>
      </c>
      <c r="AJ11" s="10">
        <f t="shared" si="27"/>
        <v>25</v>
      </c>
      <c r="AK11" s="21"/>
      <c r="AL11" s="19">
        <f t="shared" si="7"/>
        <v>25</v>
      </c>
      <c r="AM11" s="24">
        <f t="shared" si="8"/>
        <v>21.060526622506494</v>
      </c>
      <c r="AN11" s="41">
        <f>$H$11*月別販売比率!AB5</f>
        <v>6.2066057624736466</v>
      </c>
      <c r="AO11" s="10">
        <f t="shared" si="28"/>
        <v>25</v>
      </c>
      <c r="AP11" s="21"/>
      <c r="AQ11" s="19">
        <f t="shared" si="9"/>
        <v>25</v>
      </c>
      <c r="AR11" s="24">
        <f t="shared" si="10"/>
        <v>18.793394237526353</v>
      </c>
      <c r="AS11" s="41">
        <f>$H$11*月別販売比率!AG5</f>
        <v>5.1721714687280391</v>
      </c>
      <c r="AT11" s="10">
        <f t="shared" si="29"/>
        <v>25</v>
      </c>
      <c r="AU11" s="21"/>
      <c r="AV11" s="10">
        <f t="shared" si="11"/>
        <v>25</v>
      </c>
      <c r="AW11" s="24">
        <f t="shared" si="12"/>
        <v>19.827828531271962</v>
      </c>
      <c r="AX11" s="41">
        <f>$H$11*月別販売比率!AL5</f>
        <v>4.6549543218552349</v>
      </c>
      <c r="AY11" s="10">
        <f t="shared" si="30"/>
        <v>25</v>
      </c>
      <c r="AZ11" s="21"/>
      <c r="BA11" s="19">
        <f t="shared" si="31"/>
        <v>25</v>
      </c>
      <c r="BB11" s="24">
        <f t="shared" si="13"/>
        <v>20.345045678144764</v>
      </c>
      <c r="BC11" s="41">
        <f>$H$11*月別販売比率!AQ5</f>
        <v>5.1721714687280391</v>
      </c>
      <c r="BD11" s="10">
        <f t="shared" si="32"/>
        <v>25</v>
      </c>
      <c r="BE11" s="21"/>
      <c r="BF11" s="19">
        <f t="shared" si="33"/>
        <v>25</v>
      </c>
      <c r="BG11" s="24">
        <f t="shared" si="14"/>
        <v>19.827828531271962</v>
      </c>
      <c r="BH11" s="41">
        <f>$H$11*月別販売比率!AV5</f>
        <v>3.1495615156461172</v>
      </c>
      <c r="BI11" s="10">
        <f t="shared" si="34"/>
        <v>25</v>
      </c>
      <c r="BJ11" s="21"/>
      <c r="BK11" s="19">
        <f t="shared" si="35"/>
        <v>25</v>
      </c>
      <c r="BL11" s="24">
        <f t="shared" si="15"/>
        <v>21.850438484353884</v>
      </c>
      <c r="BM11" s="41">
        <f>$H$11*月別販売比率!BA5</f>
        <v>2.8769231791226137</v>
      </c>
      <c r="BN11" s="10">
        <f t="shared" si="36"/>
        <v>25</v>
      </c>
      <c r="BO11" s="21"/>
      <c r="BP11" s="19">
        <f t="shared" si="41"/>
        <v>25</v>
      </c>
      <c r="BQ11" s="24">
        <f t="shared" si="16"/>
        <v>22.123076820877387</v>
      </c>
      <c r="BR11" s="41">
        <f>$H$11*月別販売比率!BF5</f>
        <v>4.1377371749824317</v>
      </c>
      <c r="BS11" s="10">
        <f t="shared" si="37"/>
        <v>25</v>
      </c>
      <c r="BT11" s="21"/>
      <c r="BU11" s="19">
        <f t="shared" si="38"/>
        <v>25</v>
      </c>
      <c r="BV11" s="24">
        <f t="shared" si="17"/>
        <v>20.862262825017567</v>
      </c>
      <c r="BW11" s="158">
        <f t="shared" si="39"/>
        <v>55</v>
      </c>
      <c r="BX11" s="29">
        <f t="shared" si="40"/>
        <v>3.2782853127196105</v>
      </c>
    </row>
    <row r="12" spans="2:76" ht="30.75" customHeight="1">
      <c r="C12" s="507"/>
      <c r="D12" s="442"/>
      <c r="E12" s="94" t="s">
        <v>50</v>
      </c>
      <c r="F12" s="57">
        <v>30</v>
      </c>
      <c r="G12" s="5">
        <f t="shared" si="18"/>
        <v>132000</v>
      </c>
      <c r="H12" s="7">
        <f t="shared" si="19"/>
        <v>33.731553056921996</v>
      </c>
      <c r="I12" s="5">
        <f t="shared" si="18"/>
        <v>148418.83345045679</v>
      </c>
      <c r="J12" s="9">
        <v>22</v>
      </c>
      <c r="K12" s="21">
        <f t="shared" si="20"/>
        <v>29</v>
      </c>
      <c r="L12" s="21">
        <v>15</v>
      </c>
      <c r="M12" s="21">
        <v>14</v>
      </c>
      <c r="N12" s="95"/>
      <c r="O12" s="41">
        <f>$H$12*月別販売比率!C5</f>
        <v>2.3903612463530077</v>
      </c>
      <c r="P12" s="10">
        <f t="shared" si="1"/>
        <v>29</v>
      </c>
      <c r="Q12" s="21">
        <v>10</v>
      </c>
      <c r="R12" s="19">
        <f t="shared" si="21"/>
        <v>39</v>
      </c>
      <c r="S12" s="24">
        <f t="shared" si="22"/>
        <v>36.60963875364699</v>
      </c>
      <c r="T12" s="41">
        <f>$H$12*月別販売比率!H5</f>
        <v>2.3612087139845399</v>
      </c>
      <c r="U12" s="10">
        <f t="shared" si="23"/>
        <v>29</v>
      </c>
      <c r="V12" s="21">
        <v>10</v>
      </c>
      <c r="W12" s="19">
        <f t="shared" si="24"/>
        <v>39</v>
      </c>
      <c r="X12" s="24">
        <f t="shared" si="2"/>
        <v>36.638791286015461</v>
      </c>
      <c r="Y12" s="41">
        <f>$H$12*月別販売比率!M5</f>
        <v>3.4090351918028055</v>
      </c>
      <c r="Z12" s="10">
        <f t="shared" si="25"/>
        <v>29</v>
      </c>
      <c r="AA12" s="21"/>
      <c r="AB12" s="19">
        <f t="shared" si="3"/>
        <v>29</v>
      </c>
      <c r="AC12" s="24">
        <f t="shared" si="4"/>
        <v>25.590964808197196</v>
      </c>
      <c r="AD12" s="41">
        <f>$H$12*月別販売比率!R5</f>
        <v>2.6985242445537598</v>
      </c>
      <c r="AE12" s="10">
        <f t="shared" si="26"/>
        <v>29</v>
      </c>
      <c r="AF12" s="21">
        <v>10</v>
      </c>
      <c r="AG12" s="19">
        <f t="shared" si="5"/>
        <v>39</v>
      </c>
      <c r="AH12" s="24">
        <f t="shared" si="6"/>
        <v>36.301475755446241</v>
      </c>
      <c r="AI12" s="41">
        <f>$H$12*月別販売比率!W5</f>
        <v>2.5692217679305478</v>
      </c>
      <c r="AJ12" s="10">
        <f t="shared" si="27"/>
        <v>29</v>
      </c>
      <c r="AK12" s="21"/>
      <c r="AL12" s="19">
        <f t="shared" si="7"/>
        <v>29</v>
      </c>
      <c r="AM12" s="24">
        <f t="shared" si="8"/>
        <v>26.430778232069454</v>
      </c>
      <c r="AN12" s="41">
        <f>$H$12*月別販売比率!AB5</f>
        <v>4.0477863668306391</v>
      </c>
      <c r="AO12" s="10">
        <f t="shared" si="28"/>
        <v>29</v>
      </c>
      <c r="AP12" s="21"/>
      <c r="AQ12" s="19">
        <f t="shared" si="9"/>
        <v>29</v>
      </c>
      <c r="AR12" s="24">
        <f t="shared" si="10"/>
        <v>24.952213633169361</v>
      </c>
      <c r="AS12" s="41">
        <f>$H$12*月別販売比率!AG5</f>
        <v>3.3731553056921997</v>
      </c>
      <c r="AT12" s="10">
        <f t="shared" si="29"/>
        <v>29</v>
      </c>
      <c r="AU12" s="21"/>
      <c r="AV12" s="10">
        <f t="shared" si="11"/>
        <v>29</v>
      </c>
      <c r="AW12" s="24">
        <f t="shared" si="12"/>
        <v>25.626844694307799</v>
      </c>
      <c r="AX12" s="41">
        <f>$H$12*月別販売比率!AL5</f>
        <v>3.0358397751229793</v>
      </c>
      <c r="AY12" s="10">
        <f t="shared" si="30"/>
        <v>29</v>
      </c>
      <c r="AZ12" s="21"/>
      <c r="BA12" s="19">
        <f t="shared" si="31"/>
        <v>29</v>
      </c>
      <c r="BB12" s="24">
        <f t="shared" si="13"/>
        <v>25.96416022487702</v>
      </c>
      <c r="BC12" s="41">
        <f>$H$12*月別販売比率!AQ5</f>
        <v>3.3731553056921997</v>
      </c>
      <c r="BD12" s="10">
        <f t="shared" si="32"/>
        <v>29</v>
      </c>
      <c r="BE12" s="21"/>
      <c r="BF12" s="19">
        <f t="shared" si="33"/>
        <v>29</v>
      </c>
      <c r="BG12" s="24">
        <f t="shared" si="14"/>
        <v>25.626844694307799</v>
      </c>
      <c r="BH12" s="41">
        <f>$H$12*月別販売比率!AV5</f>
        <v>2.0540618580300767</v>
      </c>
      <c r="BI12" s="10">
        <f t="shared" si="34"/>
        <v>29</v>
      </c>
      <c r="BJ12" s="21"/>
      <c r="BK12" s="19">
        <f t="shared" si="35"/>
        <v>29</v>
      </c>
      <c r="BL12" s="24">
        <f t="shared" si="15"/>
        <v>26.945938141969922</v>
      </c>
      <c r="BM12" s="41">
        <f>$H$12*月別販売比率!BA5</f>
        <v>1.8762542472538788</v>
      </c>
      <c r="BN12" s="10">
        <f t="shared" si="36"/>
        <v>29</v>
      </c>
      <c r="BO12" s="21"/>
      <c r="BP12" s="19">
        <f t="shared" si="41"/>
        <v>29</v>
      </c>
      <c r="BQ12" s="24">
        <f t="shared" si="16"/>
        <v>27.123745752746121</v>
      </c>
      <c r="BR12" s="41">
        <f>$H$12*月別販売比率!BF5</f>
        <v>2.6985242445537598</v>
      </c>
      <c r="BS12" s="10">
        <f t="shared" si="37"/>
        <v>29</v>
      </c>
      <c r="BT12" s="21"/>
      <c r="BU12" s="19">
        <f t="shared" si="38"/>
        <v>29</v>
      </c>
      <c r="BV12" s="24">
        <f t="shared" si="17"/>
        <v>26.301475755446241</v>
      </c>
      <c r="BW12" s="158">
        <f t="shared" si="39"/>
        <v>59</v>
      </c>
      <c r="BX12" s="29">
        <f t="shared" si="40"/>
        <v>25.268446943078004</v>
      </c>
    </row>
    <row r="13" spans="2:76" ht="30.75" customHeight="1">
      <c r="C13" s="507"/>
      <c r="D13" s="443">
        <v>2</v>
      </c>
      <c r="E13" s="94" t="s">
        <v>46</v>
      </c>
      <c r="F13" s="57">
        <v>84</v>
      </c>
      <c r="G13" s="5">
        <f t="shared" si="18"/>
        <v>369600</v>
      </c>
      <c r="H13" s="7">
        <f t="shared" si="19"/>
        <v>94.448348559381586</v>
      </c>
      <c r="I13" s="5">
        <f t="shared" si="18"/>
        <v>415572.73366127897</v>
      </c>
      <c r="J13" s="9">
        <v>13</v>
      </c>
      <c r="K13" s="21">
        <f t="shared" si="20"/>
        <v>24</v>
      </c>
      <c r="L13" s="21">
        <v>14</v>
      </c>
      <c r="M13" s="21"/>
      <c r="N13" s="95">
        <v>10</v>
      </c>
      <c r="O13" s="41">
        <f>$H$13*月別販売比率!C5</f>
        <v>6.6930114897884208</v>
      </c>
      <c r="P13" s="10">
        <f t="shared" si="1"/>
        <v>24</v>
      </c>
      <c r="Q13" s="21"/>
      <c r="R13" s="19">
        <f t="shared" si="21"/>
        <v>24</v>
      </c>
      <c r="S13" s="24">
        <f t="shared" si="22"/>
        <v>17.306988510211578</v>
      </c>
      <c r="T13" s="41">
        <f>$H$13*月別販売比率!H5</f>
        <v>6.6113843991567114</v>
      </c>
      <c r="U13" s="10">
        <f t="shared" si="23"/>
        <v>24</v>
      </c>
      <c r="V13" s="21">
        <v>30</v>
      </c>
      <c r="W13" s="19">
        <f t="shared" si="24"/>
        <v>54</v>
      </c>
      <c r="X13" s="24">
        <f t="shared" si="2"/>
        <v>47.388615600843288</v>
      </c>
      <c r="Y13" s="41">
        <f>$H$13*月別販売比率!M5</f>
        <v>9.545298537047854</v>
      </c>
      <c r="Z13" s="10">
        <f t="shared" si="25"/>
        <v>24</v>
      </c>
      <c r="AA13" s="21"/>
      <c r="AB13" s="19">
        <f t="shared" si="3"/>
        <v>24</v>
      </c>
      <c r="AC13" s="24">
        <f t="shared" si="4"/>
        <v>14.454701462952146</v>
      </c>
      <c r="AD13" s="41">
        <f>$H$13*月別販売比率!R5</f>
        <v>7.5558678847505272</v>
      </c>
      <c r="AE13" s="10">
        <f t="shared" si="26"/>
        <v>24</v>
      </c>
      <c r="AF13" s="21"/>
      <c r="AG13" s="19">
        <f t="shared" si="5"/>
        <v>24</v>
      </c>
      <c r="AH13" s="24">
        <f t="shared" si="6"/>
        <v>16.444132115249474</v>
      </c>
      <c r="AI13" s="41">
        <f>$H$13*月別販売比率!W5</f>
        <v>7.1938209502055335</v>
      </c>
      <c r="AJ13" s="10">
        <f t="shared" si="27"/>
        <v>24</v>
      </c>
      <c r="AK13" s="21"/>
      <c r="AL13" s="19">
        <f t="shared" si="7"/>
        <v>24</v>
      </c>
      <c r="AM13" s="24">
        <f t="shared" si="8"/>
        <v>16.806179049794466</v>
      </c>
      <c r="AN13" s="41">
        <f>$H$13*月別販売比率!AB5</f>
        <v>11.333801827125789</v>
      </c>
      <c r="AO13" s="10">
        <f t="shared" si="28"/>
        <v>24</v>
      </c>
      <c r="AP13" s="21"/>
      <c r="AQ13" s="19">
        <f t="shared" si="9"/>
        <v>24</v>
      </c>
      <c r="AR13" s="24">
        <f t="shared" si="10"/>
        <v>12.666198172874211</v>
      </c>
      <c r="AS13" s="41">
        <f>$H$13*月別販売比率!AG5</f>
        <v>9.4448348559381596</v>
      </c>
      <c r="AT13" s="10">
        <f t="shared" si="29"/>
        <v>24</v>
      </c>
      <c r="AU13" s="21"/>
      <c r="AV13" s="10">
        <f t="shared" si="11"/>
        <v>24</v>
      </c>
      <c r="AW13" s="24">
        <f t="shared" si="12"/>
        <v>14.55516514406184</v>
      </c>
      <c r="AX13" s="41">
        <f>$H$13*月別販売比率!AL5</f>
        <v>8.5003513703443421</v>
      </c>
      <c r="AY13" s="10">
        <f t="shared" si="30"/>
        <v>24</v>
      </c>
      <c r="AZ13" s="21"/>
      <c r="BA13" s="19">
        <f t="shared" si="31"/>
        <v>24</v>
      </c>
      <c r="BB13" s="24">
        <f t="shared" si="13"/>
        <v>15.499648629655658</v>
      </c>
      <c r="BC13" s="41">
        <f>$H$13*月別販売比率!AQ5</f>
        <v>9.4448348559381596</v>
      </c>
      <c r="BD13" s="10">
        <f t="shared" si="32"/>
        <v>24</v>
      </c>
      <c r="BE13" s="21"/>
      <c r="BF13" s="19">
        <f t="shared" si="33"/>
        <v>24</v>
      </c>
      <c r="BG13" s="24">
        <f t="shared" si="14"/>
        <v>14.55516514406184</v>
      </c>
      <c r="BH13" s="41">
        <f>$H$13*月別販売比率!AV5</f>
        <v>5.7513732024842144</v>
      </c>
      <c r="BI13" s="10">
        <f t="shared" si="34"/>
        <v>24</v>
      </c>
      <c r="BJ13" s="21"/>
      <c r="BK13" s="19">
        <f t="shared" si="35"/>
        <v>24</v>
      </c>
      <c r="BL13" s="24">
        <f t="shared" si="15"/>
        <v>18.248626797515787</v>
      </c>
      <c r="BM13" s="41">
        <f>$H$13*月別販売比率!BA5</f>
        <v>5.2535118923108604</v>
      </c>
      <c r="BN13" s="10">
        <f t="shared" si="36"/>
        <v>24</v>
      </c>
      <c r="BO13" s="21"/>
      <c r="BP13" s="19">
        <f t="shared" si="41"/>
        <v>24</v>
      </c>
      <c r="BQ13" s="24">
        <f t="shared" si="16"/>
        <v>18.746488107689139</v>
      </c>
      <c r="BR13" s="41">
        <f>$H$13*月別販売比率!BF5</f>
        <v>7.5558678847505272</v>
      </c>
      <c r="BS13" s="10">
        <f t="shared" si="37"/>
        <v>24</v>
      </c>
      <c r="BT13" s="21"/>
      <c r="BU13" s="19">
        <f t="shared" si="38"/>
        <v>24</v>
      </c>
      <c r="BV13" s="24">
        <f t="shared" si="17"/>
        <v>16.444132115249474</v>
      </c>
      <c r="BW13" s="158">
        <f t="shared" si="39"/>
        <v>54</v>
      </c>
      <c r="BX13" s="29">
        <f t="shared" si="40"/>
        <v>-40.448348559381586</v>
      </c>
    </row>
    <row r="14" spans="2:76" ht="30.75" customHeight="1">
      <c r="C14" s="507"/>
      <c r="D14" s="441"/>
      <c r="E14" s="94" t="s">
        <v>47</v>
      </c>
      <c r="F14" s="57">
        <v>116</v>
      </c>
      <c r="G14" s="5">
        <f t="shared" si="18"/>
        <v>510400</v>
      </c>
      <c r="H14" s="7">
        <f t="shared" si="19"/>
        <v>130.42867182009837</v>
      </c>
      <c r="I14" s="5">
        <f t="shared" si="18"/>
        <v>573886.15600843285</v>
      </c>
      <c r="J14" s="9">
        <v>14</v>
      </c>
      <c r="K14" s="21">
        <f t="shared" si="20"/>
        <v>15</v>
      </c>
      <c r="L14" s="21">
        <v>15</v>
      </c>
      <c r="M14" s="21"/>
      <c r="N14" s="95"/>
      <c r="O14" s="41">
        <f>$H$14*月別販売比率!C5</f>
        <v>9.2427301525649614</v>
      </c>
      <c r="P14" s="10">
        <f t="shared" si="1"/>
        <v>15</v>
      </c>
      <c r="Q14" s="21"/>
      <c r="R14" s="19">
        <f t="shared" si="21"/>
        <v>15</v>
      </c>
      <c r="S14" s="24">
        <f t="shared" si="22"/>
        <v>5.7572698474350386</v>
      </c>
      <c r="T14" s="41">
        <f>$H$14*月別販売比率!H5</f>
        <v>9.1300070274068865</v>
      </c>
      <c r="U14" s="10">
        <f t="shared" si="23"/>
        <v>15</v>
      </c>
      <c r="V14" s="21">
        <v>50</v>
      </c>
      <c r="W14" s="19">
        <f t="shared" si="24"/>
        <v>65</v>
      </c>
      <c r="X14" s="24">
        <f t="shared" si="2"/>
        <v>55.86999297259311</v>
      </c>
      <c r="Y14" s="41">
        <f>$H$14*月別販売比率!M5</f>
        <v>13.181602741637514</v>
      </c>
      <c r="Z14" s="10">
        <f t="shared" si="25"/>
        <v>15</v>
      </c>
      <c r="AA14" s="21"/>
      <c r="AB14" s="19">
        <f t="shared" si="3"/>
        <v>15</v>
      </c>
      <c r="AC14" s="24">
        <f t="shared" si="4"/>
        <v>1.8183972583624861</v>
      </c>
      <c r="AD14" s="41">
        <f>$H$14*月別販売比率!R5</f>
        <v>10.434293745607871</v>
      </c>
      <c r="AE14" s="10">
        <f t="shared" si="26"/>
        <v>15</v>
      </c>
      <c r="AF14" s="21"/>
      <c r="AG14" s="19">
        <f t="shared" si="5"/>
        <v>15</v>
      </c>
      <c r="AH14" s="24">
        <f t="shared" si="6"/>
        <v>4.5657062543921292</v>
      </c>
      <c r="AI14" s="41">
        <f>$H$14*月別販売比率!W5</f>
        <v>9.9343241693314503</v>
      </c>
      <c r="AJ14" s="10">
        <f t="shared" si="27"/>
        <v>15</v>
      </c>
      <c r="AK14" s="21"/>
      <c r="AL14" s="19">
        <f t="shared" si="7"/>
        <v>15</v>
      </c>
      <c r="AM14" s="24">
        <f t="shared" si="8"/>
        <v>5.0656758306685497</v>
      </c>
      <c r="AN14" s="41">
        <f>$H$14*月別販売比率!AB5</f>
        <v>15.651440618411804</v>
      </c>
      <c r="AO14" s="10">
        <f t="shared" si="28"/>
        <v>15</v>
      </c>
      <c r="AP14" s="21"/>
      <c r="AQ14" s="19">
        <f t="shared" si="9"/>
        <v>15</v>
      </c>
      <c r="AR14" s="24">
        <f t="shared" si="10"/>
        <v>-0.65144061841180445</v>
      </c>
      <c r="AS14" s="41">
        <f>$H$14*月別販売比率!AG5</f>
        <v>13.042867182009838</v>
      </c>
      <c r="AT14" s="10">
        <f t="shared" si="29"/>
        <v>15</v>
      </c>
      <c r="AU14" s="21"/>
      <c r="AV14" s="10">
        <f t="shared" si="11"/>
        <v>15</v>
      </c>
      <c r="AW14" s="24">
        <f t="shared" si="12"/>
        <v>1.9571328179901624</v>
      </c>
      <c r="AX14" s="41">
        <f>$H$14*月別販売比率!AL5</f>
        <v>11.738580463808853</v>
      </c>
      <c r="AY14" s="10">
        <f t="shared" si="30"/>
        <v>15</v>
      </c>
      <c r="AZ14" s="21"/>
      <c r="BA14" s="19">
        <f t="shared" si="31"/>
        <v>15</v>
      </c>
      <c r="BB14" s="24">
        <f t="shared" si="13"/>
        <v>3.2614195361911467</v>
      </c>
      <c r="BC14" s="41">
        <f>$H$14*月別販売比率!AQ5</f>
        <v>13.042867182009838</v>
      </c>
      <c r="BD14" s="10">
        <f t="shared" si="32"/>
        <v>15</v>
      </c>
      <c r="BE14" s="21"/>
      <c r="BF14" s="19">
        <f t="shared" si="33"/>
        <v>15</v>
      </c>
      <c r="BG14" s="24">
        <f t="shared" si="14"/>
        <v>1.9571328179901624</v>
      </c>
      <c r="BH14" s="41">
        <f>$H$14*月別販売比率!AV5</f>
        <v>7.9423725177162954</v>
      </c>
      <c r="BI14" s="10">
        <f t="shared" si="34"/>
        <v>15</v>
      </c>
      <c r="BJ14" s="21"/>
      <c r="BK14" s="19">
        <f t="shared" si="35"/>
        <v>15</v>
      </c>
      <c r="BL14" s="24">
        <f t="shared" si="15"/>
        <v>7.0576274822837046</v>
      </c>
      <c r="BM14" s="41">
        <f>$H$14*月別販売比率!BA5</f>
        <v>7.2548497560483307</v>
      </c>
      <c r="BN14" s="10">
        <f t="shared" si="36"/>
        <v>15</v>
      </c>
      <c r="BO14" s="21"/>
      <c r="BP14" s="19">
        <f t="shared" si="41"/>
        <v>15</v>
      </c>
      <c r="BQ14" s="24">
        <f t="shared" si="16"/>
        <v>7.7451502439516693</v>
      </c>
      <c r="BR14" s="41">
        <f>$H$14*月別販売比率!BF5</f>
        <v>10.434293745607871</v>
      </c>
      <c r="BS14" s="10">
        <f t="shared" si="37"/>
        <v>15</v>
      </c>
      <c r="BT14" s="21"/>
      <c r="BU14" s="19">
        <f t="shared" si="38"/>
        <v>15</v>
      </c>
      <c r="BV14" s="24">
        <f t="shared" si="17"/>
        <v>4.5657062543921292</v>
      </c>
      <c r="BW14" s="158">
        <f t="shared" si="39"/>
        <v>65</v>
      </c>
      <c r="BX14" s="29">
        <f t="shared" si="40"/>
        <v>-65.428671820098373</v>
      </c>
    </row>
    <row r="15" spans="2:76" ht="30.75" customHeight="1">
      <c r="C15" s="507"/>
      <c r="D15" s="441"/>
      <c r="E15" s="94" t="s">
        <v>51</v>
      </c>
      <c r="F15" s="57">
        <v>184</v>
      </c>
      <c r="G15" s="5">
        <f t="shared" si="18"/>
        <v>809600</v>
      </c>
      <c r="H15" s="7">
        <f t="shared" si="19"/>
        <v>206.88685874912156</v>
      </c>
      <c r="I15" s="5">
        <f t="shared" si="18"/>
        <v>910302.17849613482</v>
      </c>
      <c r="J15" s="9">
        <v>52</v>
      </c>
      <c r="K15" s="21">
        <f t="shared" si="20"/>
        <v>30</v>
      </c>
      <c r="L15" s="21">
        <v>15</v>
      </c>
      <c r="M15" s="21">
        <v>15</v>
      </c>
      <c r="N15" s="95"/>
      <c r="O15" s="41">
        <f>$H$15*月別販売比率!C5</f>
        <v>14.660882310965112</v>
      </c>
      <c r="P15" s="10">
        <f t="shared" si="1"/>
        <v>30</v>
      </c>
      <c r="Q15" s="21"/>
      <c r="R15" s="19">
        <f t="shared" si="21"/>
        <v>30</v>
      </c>
      <c r="S15" s="24">
        <f t="shared" si="22"/>
        <v>15.339117689034888</v>
      </c>
      <c r="T15" s="41">
        <f>$H$15*月別販売比率!H5</f>
        <v>14.48208011243851</v>
      </c>
      <c r="U15" s="10">
        <f t="shared" si="23"/>
        <v>30</v>
      </c>
      <c r="V15" s="21">
        <v>70</v>
      </c>
      <c r="W15" s="19">
        <f t="shared" si="24"/>
        <v>100</v>
      </c>
      <c r="X15" s="24">
        <f t="shared" si="2"/>
        <v>85.51791988756149</v>
      </c>
      <c r="Y15" s="41">
        <f>$H$15*月別販売比率!M5</f>
        <v>20.90874917639054</v>
      </c>
      <c r="Z15" s="10">
        <f t="shared" si="25"/>
        <v>30</v>
      </c>
      <c r="AA15" s="21"/>
      <c r="AB15" s="19">
        <f t="shared" si="3"/>
        <v>30</v>
      </c>
      <c r="AC15" s="24">
        <f t="shared" si="4"/>
        <v>9.0912508236094602</v>
      </c>
      <c r="AD15" s="41">
        <f>$H$15*月別販売比率!R5</f>
        <v>16.550948699929727</v>
      </c>
      <c r="AE15" s="10">
        <f t="shared" si="26"/>
        <v>30</v>
      </c>
      <c r="AF15" s="21"/>
      <c r="AG15" s="19">
        <f t="shared" si="5"/>
        <v>30</v>
      </c>
      <c r="AH15" s="24">
        <f t="shared" si="6"/>
        <v>13.449051300070273</v>
      </c>
      <c r="AI15" s="41">
        <f>$H$15*月別販売比率!W5</f>
        <v>15.757893509974025</v>
      </c>
      <c r="AJ15" s="10">
        <f t="shared" si="27"/>
        <v>30</v>
      </c>
      <c r="AK15" s="21"/>
      <c r="AL15" s="19">
        <f t="shared" si="7"/>
        <v>30</v>
      </c>
      <c r="AM15" s="24">
        <f t="shared" si="8"/>
        <v>14.242106490025975</v>
      </c>
      <c r="AN15" s="41">
        <f>$H$15*月別販売比率!AB5</f>
        <v>24.826423049894586</v>
      </c>
      <c r="AO15" s="10">
        <f t="shared" si="28"/>
        <v>30</v>
      </c>
      <c r="AP15" s="21"/>
      <c r="AQ15" s="19">
        <f t="shared" si="9"/>
        <v>30</v>
      </c>
      <c r="AR15" s="24">
        <f t="shared" si="10"/>
        <v>5.1735769501054136</v>
      </c>
      <c r="AS15" s="41">
        <f>$H$15*月別販売比率!AG5</f>
        <v>20.688685874912156</v>
      </c>
      <c r="AT15" s="10">
        <f t="shared" si="29"/>
        <v>30</v>
      </c>
      <c r="AU15" s="21"/>
      <c r="AV15" s="10">
        <f t="shared" si="11"/>
        <v>30</v>
      </c>
      <c r="AW15" s="24">
        <f t="shared" si="12"/>
        <v>9.3113141250878435</v>
      </c>
      <c r="AX15" s="41">
        <f>$H$15*月別販売比率!AL5</f>
        <v>18.61981728742094</v>
      </c>
      <c r="AY15" s="10">
        <f t="shared" si="30"/>
        <v>30</v>
      </c>
      <c r="AZ15" s="21"/>
      <c r="BA15" s="19">
        <f t="shared" si="31"/>
        <v>30</v>
      </c>
      <c r="BB15" s="24">
        <f t="shared" si="13"/>
        <v>11.38018271257906</v>
      </c>
      <c r="BC15" s="41">
        <f>$H$15*月別販売比率!AQ5</f>
        <v>20.688685874912156</v>
      </c>
      <c r="BD15" s="10">
        <f t="shared" si="32"/>
        <v>30</v>
      </c>
      <c r="BE15" s="21"/>
      <c r="BF15" s="19">
        <f t="shared" si="33"/>
        <v>30</v>
      </c>
      <c r="BG15" s="24">
        <f t="shared" si="14"/>
        <v>9.3113141250878435</v>
      </c>
      <c r="BH15" s="41">
        <f>$H$15*月別販売比率!AV5</f>
        <v>12.598246062584469</v>
      </c>
      <c r="BI15" s="10">
        <f t="shared" si="34"/>
        <v>30</v>
      </c>
      <c r="BJ15" s="21"/>
      <c r="BK15" s="19">
        <f t="shared" si="35"/>
        <v>30</v>
      </c>
      <c r="BL15" s="24">
        <f t="shared" si="15"/>
        <v>17.401753937415531</v>
      </c>
      <c r="BM15" s="41">
        <f>$H$15*月別販売比率!BA5</f>
        <v>11.507692716490455</v>
      </c>
      <c r="BN15" s="10">
        <f t="shared" si="36"/>
        <v>30</v>
      </c>
      <c r="BO15" s="21"/>
      <c r="BP15" s="19">
        <f t="shared" si="41"/>
        <v>30</v>
      </c>
      <c r="BQ15" s="24">
        <f t="shared" si="16"/>
        <v>18.492307283509547</v>
      </c>
      <c r="BR15" s="41">
        <f>$H$15*月別販売比率!BF5</f>
        <v>16.550948699929727</v>
      </c>
      <c r="BS15" s="10">
        <f t="shared" si="37"/>
        <v>30</v>
      </c>
      <c r="BT15" s="21"/>
      <c r="BU15" s="19">
        <f t="shared" si="38"/>
        <v>30</v>
      </c>
      <c r="BV15" s="24">
        <f t="shared" si="17"/>
        <v>13.449051300070273</v>
      </c>
      <c r="BW15" s="158">
        <f t="shared" si="39"/>
        <v>100</v>
      </c>
      <c r="BX15" s="29">
        <f t="shared" si="40"/>
        <v>-106.88685874912156</v>
      </c>
    </row>
    <row r="16" spans="2:76" ht="30.75" customHeight="1">
      <c r="C16" s="507"/>
      <c r="D16" s="441"/>
      <c r="E16" s="94" t="s">
        <v>49</v>
      </c>
      <c r="F16" s="57">
        <v>54</v>
      </c>
      <c r="G16" s="5">
        <f t="shared" si="18"/>
        <v>237600</v>
      </c>
      <c r="H16" s="7">
        <f t="shared" si="19"/>
        <v>60.71679550245959</v>
      </c>
      <c r="I16" s="5">
        <f t="shared" si="18"/>
        <v>267153.90021082218</v>
      </c>
      <c r="J16" s="9">
        <v>0</v>
      </c>
      <c r="K16" s="21">
        <f t="shared" si="20"/>
        <v>10</v>
      </c>
      <c r="L16" s="21">
        <v>7</v>
      </c>
      <c r="M16" s="21">
        <v>3</v>
      </c>
      <c r="N16" s="95"/>
      <c r="O16" s="41">
        <f>$H$16*月別販売比率!C5</f>
        <v>4.302650243435413</v>
      </c>
      <c r="P16" s="10">
        <f t="shared" si="1"/>
        <v>10</v>
      </c>
      <c r="Q16" s="21">
        <v>10</v>
      </c>
      <c r="R16" s="19">
        <f t="shared" si="21"/>
        <v>20</v>
      </c>
      <c r="S16" s="24">
        <f t="shared" si="22"/>
        <v>15.697349756564588</v>
      </c>
      <c r="T16" s="41">
        <f>$H$16*月別販売比率!H5</f>
        <v>4.2501756851721719</v>
      </c>
      <c r="U16" s="10">
        <f t="shared" si="23"/>
        <v>10</v>
      </c>
      <c r="V16" s="21">
        <v>30</v>
      </c>
      <c r="W16" s="19">
        <f t="shared" si="24"/>
        <v>40</v>
      </c>
      <c r="X16" s="24">
        <f t="shared" si="2"/>
        <v>35.749824314827826</v>
      </c>
      <c r="Y16" s="41">
        <f>$H$16*月別販売比率!M5</f>
        <v>6.1362633452450499</v>
      </c>
      <c r="Z16" s="10">
        <f t="shared" si="25"/>
        <v>10</v>
      </c>
      <c r="AA16" s="21"/>
      <c r="AB16" s="19">
        <f t="shared" si="3"/>
        <v>10</v>
      </c>
      <c r="AC16" s="24">
        <f t="shared" si="4"/>
        <v>3.8637366547549501</v>
      </c>
      <c r="AD16" s="41">
        <f>$H$16*月別販売比率!R5</f>
        <v>4.8573436401967669</v>
      </c>
      <c r="AE16" s="10">
        <f t="shared" si="26"/>
        <v>10</v>
      </c>
      <c r="AF16" s="21"/>
      <c r="AG16" s="19">
        <f t="shared" si="5"/>
        <v>10</v>
      </c>
      <c r="AH16" s="24">
        <f t="shared" si="6"/>
        <v>5.1426563598032331</v>
      </c>
      <c r="AI16" s="41">
        <f>$H$16*月別販売比率!W5</f>
        <v>4.6245991822749861</v>
      </c>
      <c r="AJ16" s="10">
        <f t="shared" si="27"/>
        <v>10</v>
      </c>
      <c r="AK16" s="21"/>
      <c r="AL16" s="19">
        <f t="shared" si="7"/>
        <v>10</v>
      </c>
      <c r="AM16" s="24">
        <f t="shared" si="8"/>
        <v>5.3754008177250139</v>
      </c>
      <c r="AN16" s="41">
        <f>$H$16*月別販売比率!AB5</f>
        <v>7.2860154602951503</v>
      </c>
      <c r="AO16" s="10">
        <f t="shared" si="28"/>
        <v>10</v>
      </c>
      <c r="AP16" s="21"/>
      <c r="AQ16" s="19">
        <f t="shared" si="9"/>
        <v>10</v>
      </c>
      <c r="AR16" s="24">
        <f t="shared" si="10"/>
        <v>2.7139845397048497</v>
      </c>
      <c r="AS16" s="41">
        <f>$H$16*月別販売比率!AG5</f>
        <v>6.0716795502459595</v>
      </c>
      <c r="AT16" s="10">
        <f t="shared" si="29"/>
        <v>10</v>
      </c>
      <c r="AU16" s="21"/>
      <c r="AV16" s="10">
        <f t="shared" si="11"/>
        <v>10</v>
      </c>
      <c r="AW16" s="24">
        <f t="shared" si="12"/>
        <v>3.9283204497540405</v>
      </c>
      <c r="AX16" s="41">
        <f>$H$16*月別販売比率!AL5</f>
        <v>5.4645115952213628</v>
      </c>
      <c r="AY16" s="10">
        <f t="shared" si="30"/>
        <v>10</v>
      </c>
      <c r="AZ16" s="21"/>
      <c r="BA16" s="19">
        <f t="shared" si="31"/>
        <v>10</v>
      </c>
      <c r="BB16" s="24">
        <f t="shared" si="13"/>
        <v>4.5354884047786372</v>
      </c>
      <c r="BC16" s="41">
        <f>$H$16*月別販売比率!AQ5</f>
        <v>6.0716795502459595</v>
      </c>
      <c r="BD16" s="10">
        <f t="shared" si="32"/>
        <v>10</v>
      </c>
      <c r="BE16" s="21"/>
      <c r="BF16" s="19">
        <f t="shared" si="33"/>
        <v>10</v>
      </c>
      <c r="BG16" s="24">
        <f t="shared" si="14"/>
        <v>3.9283204497540405</v>
      </c>
      <c r="BH16" s="41">
        <f>$H$16*月別販売比率!AV5</f>
        <v>3.6973113444541377</v>
      </c>
      <c r="BI16" s="10">
        <f t="shared" si="34"/>
        <v>10</v>
      </c>
      <c r="BJ16" s="21"/>
      <c r="BK16" s="19">
        <f t="shared" si="35"/>
        <v>10</v>
      </c>
      <c r="BL16" s="24">
        <f t="shared" si="15"/>
        <v>6.3026886555458628</v>
      </c>
      <c r="BM16" s="41">
        <f>$H$16*月別販売比率!BA5</f>
        <v>3.3772576450569818</v>
      </c>
      <c r="BN16" s="10">
        <f t="shared" si="36"/>
        <v>10</v>
      </c>
      <c r="BO16" s="21"/>
      <c r="BP16" s="19">
        <f t="shared" si="41"/>
        <v>10</v>
      </c>
      <c r="BQ16" s="24">
        <f t="shared" si="16"/>
        <v>6.6227423549430178</v>
      </c>
      <c r="BR16" s="41">
        <f>$H$16*月別販売比率!BF5</f>
        <v>4.8573436401967669</v>
      </c>
      <c r="BS16" s="10">
        <f t="shared" si="37"/>
        <v>10</v>
      </c>
      <c r="BT16" s="21"/>
      <c r="BU16" s="19">
        <f t="shared" si="38"/>
        <v>10</v>
      </c>
      <c r="BV16" s="24">
        <f t="shared" si="17"/>
        <v>5.1426563598032331</v>
      </c>
      <c r="BW16" s="158">
        <f t="shared" si="39"/>
        <v>50</v>
      </c>
      <c r="BX16" s="29">
        <f t="shared" si="40"/>
        <v>-10.71679550245959</v>
      </c>
    </row>
    <row r="17" spans="2:76" ht="30.75" customHeight="1">
      <c r="C17" s="507"/>
      <c r="D17" s="442"/>
      <c r="E17" s="94" t="s">
        <v>50</v>
      </c>
      <c r="F17" s="57">
        <v>26</v>
      </c>
      <c r="G17" s="5">
        <f t="shared" si="18"/>
        <v>114400</v>
      </c>
      <c r="H17" s="7">
        <f t="shared" si="19"/>
        <v>29.234012649332396</v>
      </c>
      <c r="I17" s="5">
        <f t="shared" si="18"/>
        <v>128629.65565706254</v>
      </c>
      <c r="J17" s="9">
        <v>37</v>
      </c>
      <c r="K17" s="21">
        <f t="shared" si="20"/>
        <v>29</v>
      </c>
      <c r="L17" s="21">
        <v>9</v>
      </c>
      <c r="M17" s="21">
        <v>7</v>
      </c>
      <c r="N17" s="95">
        <v>13</v>
      </c>
      <c r="O17" s="41">
        <f>$H$17*月別販売比率!C5</f>
        <v>2.0716464135059396</v>
      </c>
      <c r="P17" s="10">
        <f t="shared" si="1"/>
        <v>29</v>
      </c>
      <c r="Q17" s="21"/>
      <c r="R17" s="19">
        <f t="shared" si="21"/>
        <v>29</v>
      </c>
      <c r="S17" s="24">
        <f t="shared" si="22"/>
        <v>26.928353586494062</v>
      </c>
      <c r="T17" s="41">
        <f>$H$17*月別販売比率!H5</f>
        <v>2.0463808854532677</v>
      </c>
      <c r="U17" s="10">
        <f t="shared" si="23"/>
        <v>29</v>
      </c>
      <c r="V17" s="21"/>
      <c r="W17" s="19">
        <f t="shared" si="24"/>
        <v>29</v>
      </c>
      <c r="X17" s="24">
        <f t="shared" si="2"/>
        <v>26.953619114546733</v>
      </c>
      <c r="Y17" s="41">
        <f>$H$17*月別販売比率!M5</f>
        <v>2.954497166229098</v>
      </c>
      <c r="Z17" s="10">
        <f t="shared" si="25"/>
        <v>29</v>
      </c>
      <c r="AA17" s="21"/>
      <c r="AB17" s="19">
        <f t="shared" si="3"/>
        <v>29</v>
      </c>
      <c r="AC17" s="24">
        <f t="shared" si="4"/>
        <v>26.045502833770904</v>
      </c>
      <c r="AD17" s="41">
        <f>$H$17*月別販売比率!R5</f>
        <v>2.3387210119465918</v>
      </c>
      <c r="AE17" s="10">
        <f t="shared" si="26"/>
        <v>29</v>
      </c>
      <c r="AF17" s="21"/>
      <c r="AG17" s="19">
        <f t="shared" si="5"/>
        <v>29</v>
      </c>
      <c r="AH17" s="24">
        <f t="shared" si="6"/>
        <v>26.661278988053407</v>
      </c>
      <c r="AI17" s="41">
        <f>$H$17*月別販売比率!W5</f>
        <v>2.2266588655398079</v>
      </c>
      <c r="AJ17" s="10">
        <f t="shared" si="27"/>
        <v>29</v>
      </c>
      <c r="AK17" s="21"/>
      <c r="AL17" s="19">
        <f t="shared" si="7"/>
        <v>29</v>
      </c>
      <c r="AM17" s="24">
        <f t="shared" si="8"/>
        <v>26.773341134460193</v>
      </c>
      <c r="AN17" s="41">
        <f>$H$17*月別販売比率!AB5</f>
        <v>3.5080815179198872</v>
      </c>
      <c r="AO17" s="10">
        <f t="shared" si="28"/>
        <v>29</v>
      </c>
      <c r="AP17" s="21"/>
      <c r="AQ17" s="19">
        <f t="shared" si="9"/>
        <v>29</v>
      </c>
      <c r="AR17" s="24">
        <f t="shared" si="10"/>
        <v>25.491918482080113</v>
      </c>
      <c r="AS17" s="41">
        <f>$H$17*月別販売比率!AG5</f>
        <v>2.9234012649332399</v>
      </c>
      <c r="AT17" s="10">
        <f t="shared" si="29"/>
        <v>29</v>
      </c>
      <c r="AU17" s="21"/>
      <c r="AV17" s="10">
        <f t="shared" si="11"/>
        <v>29</v>
      </c>
      <c r="AW17" s="24">
        <f t="shared" si="12"/>
        <v>26.07659873506676</v>
      </c>
      <c r="AX17" s="41">
        <f>$H$17*月別販売比率!AL5</f>
        <v>2.6310611384399154</v>
      </c>
      <c r="AY17" s="10">
        <f t="shared" si="30"/>
        <v>29</v>
      </c>
      <c r="AZ17" s="21"/>
      <c r="BA17" s="19">
        <f t="shared" si="31"/>
        <v>29</v>
      </c>
      <c r="BB17" s="24">
        <f t="shared" si="13"/>
        <v>26.368938861560085</v>
      </c>
      <c r="BC17" s="41">
        <f>$H$17*月別販売比率!AQ5</f>
        <v>2.9234012649332399</v>
      </c>
      <c r="BD17" s="10">
        <f t="shared" si="32"/>
        <v>29</v>
      </c>
      <c r="BE17" s="21"/>
      <c r="BF17" s="19">
        <f t="shared" si="33"/>
        <v>29</v>
      </c>
      <c r="BG17" s="24">
        <f t="shared" si="14"/>
        <v>26.07659873506676</v>
      </c>
      <c r="BH17" s="41">
        <f>$H$17*月別販売比率!AV5</f>
        <v>1.7801869436260662</v>
      </c>
      <c r="BI17" s="10">
        <f t="shared" si="34"/>
        <v>29</v>
      </c>
      <c r="BJ17" s="21"/>
      <c r="BK17" s="19">
        <f t="shared" si="35"/>
        <v>29</v>
      </c>
      <c r="BL17" s="24">
        <f t="shared" si="15"/>
        <v>27.219813056373933</v>
      </c>
      <c r="BM17" s="41">
        <f>$H$17*月別販売比率!BA5</f>
        <v>1.626087014286695</v>
      </c>
      <c r="BN17" s="10">
        <f t="shared" si="36"/>
        <v>29</v>
      </c>
      <c r="BO17" s="21"/>
      <c r="BP17" s="19">
        <f t="shared" si="41"/>
        <v>29</v>
      </c>
      <c r="BQ17" s="24">
        <f t="shared" si="16"/>
        <v>27.373912985713304</v>
      </c>
      <c r="BR17" s="41">
        <f>$H$17*月別販売比率!BF5</f>
        <v>2.3387210119465918</v>
      </c>
      <c r="BS17" s="10">
        <f t="shared" si="37"/>
        <v>29</v>
      </c>
      <c r="BT17" s="21"/>
      <c r="BU17" s="19">
        <f t="shared" si="38"/>
        <v>29</v>
      </c>
      <c r="BV17" s="24">
        <f t="shared" si="17"/>
        <v>26.661278988053407</v>
      </c>
      <c r="BW17" s="158">
        <f t="shared" si="39"/>
        <v>29</v>
      </c>
      <c r="BX17" s="29">
        <f t="shared" si="40"/>
        <v>-0.23401264933239574</v>
      </c>
    </row>
    <row r="18" spans="2:76" ht="30.75" customHeight="1">
      <c r="C18" s="507"/>
      <c r="D18" s="443">
        <v>3</v>
      </c>
      <c r="E18" s="94" t="s">
        <v>46</v>
      </c>
      <c r="F18" s="57">
        <v>25</v>
      </c>
      <c r="G18" s="5">
        <f t="shared" si="18"/>
        <v>110000</v>
      </c>
      <c r="H18" s="7">
        <f t="shared" si="19"/>
        <v>28.109627547434997</v>
      </c>
      <c r="I18" s="5">
        <f t="shared" si="18"/>
        <v>123682.36120871399</v>
      </c>
      <c r="J18" s="9">
        <v>0</v>
      </c>
      <c r="K18" s="21">
        <f t="shared" si="20"/>
        <v>0</v>
      </c>
      <c r="L18" s="21"/>
      <c r="M18" s="21"/>
      <c r="N18" s="95"/>
      <c r="O18" s="41">
        <f>$H$18*月別販売比率!C5</f>
        <v>1.9919677052941729</v>
      </c>
      <c r="P18" s="10">
        <f t="shared" si="1"/>
        <v>0</v>
      </c>
      <c r="Q18" s="21"/>
      <c r="R18" s="19">
        <f t="shared" si="21"/>
        <v>0</v>
      </c>
      <c r="S18" s="24">
        <f t="shared" si="22"/>
        <v>-1.9919677052941729</v>
      </c>
      <c r="T18" s="41">
        <f>$H$18*月別販売比率!H5</f>
        <v>1.9676739283204498</v>
      </c>
      <c r="U18" s="10">
        <f t="shared" si="23"/>
        <v>0</v>
      </c>
      <c r="V18" s="21"/>
      <c r="W18" s="19">
        <f t="shared" si="24"/>
        <v>0</v>
      </c>
      <c r="X18" s="24">
        <f t="shared" si="2"/>
        <v>-1.9676739283204498</v>
      </c>
      <c r="Y18" s="41">
        <f>$H$18*月別販売比率!M5</f>
        <v>2.840862659835671</v>
      </c>
      <c r="Z18" s="10">
        <f t="shared" si="25"/>
        <v>0</v>
      </c>
      <c r="AA18" s="21"/>
      <c r="AB18" s="19">
        <f t="shared" si="3"/>
        <v>0</v>
      </c>
      <c r="AC18" s="24">
        <f t="shared" si="4"/>
        <v>-2.840862659835671</v>
      </c>
      <c r="AD18" s="41">
        <f>$H$18*月別販売比率!R5</f>
        <v>2.2487702037947996</v>
      </c>
      <c r="AE18" s="10">
        <f t="shared" si="26"/>
        <v>0</v>
      </c>
      <c r="AF18" s="21"/>
      <c r="AG18" s="19">
        <f t="shared" si="5"/>
        <v>0</v>
      </c>
      <c r="AH18" s="24">
        <f t="shared" si="6"/>
        <v>-2.2487702037947996</v>
      </c>
      <c r="AI18" s="41">
        <f>$H$18*月別販売比率!W5</f>
        <v>2.1410181399421231</v>
      </c>
      <c r="AJ18" s="10">
        <f t="shared" si="27"/>
        <v>0</v>
      </c>
      <c r="AK18" s="21"/>
      <c r="AL18" s="19">
        <f t="shared" si="7"/>
        <v>0</v>
      </c>
      <c r="AM18" s="24">
        <f t="shared" si="8"/>
        <v>-2.1410181399421231</v>
      </c>
      <c r="AN18" s="41">
        <f>$H$18*月別販売比率!AB5</f>
        <v>3.3731553056921997</v>
      </c>
      <c r="AO18" s="10">
        <f t="shared" si="28"/>
        <v>0</v>
      </c>
      <c r="AP18" s="21"/>
      <c r="AQ18" s="19">
        <f t="shared" si="9"/>
        <v>0</v>
      </c>
      <c r="AR18" s="24">
        <f t="shared" si="10"/>
        <v>-3.3731553056921997</v>
      </c>
      <c r="AS18" s="41">
        <f>$H$18*月別販売比率!AG5</f>
        <v>2.8109627547434997</v>
      </c>
      <c r="AT18" s="10">
        <f t="shared" si="29"/>
        <v>0</v>
      </c>
      <c r="AU18" s="21"/>
      <c r="AV18" s="10">
        <f t="shared" si="11"/>
        <v>0</v>
      </c>
      <c r="AW18" s="24">
        <f t="shared" si="12"/>
        <v>-2.8109627547434997</v>
      </c>
      <c r="AX18" s="41">
        <f>$H$18*月別販売比率!AL5</f>
        <v>2.5298664792691494</v>
      </c>
      <c r="AY18" s="10">
        <f t="shared" si="30"/>
        <v>0</v>
      </c>
      <c r="AZ18" s="21"/>
      <c r="BA18" s="19">
        <f t="shared" si="31"/>
        <v>0</v>
      </c>
      <c r="BB18" s="24">
        <f t="shared" si="13"/>
        <v>-2.5298664792691494</v>
      </c>
      <c r="BC18" s="41">
        <f>$H$18*月別販売比率!AQ5</f>
        <v>2.8109627547434997</v>
      </c>
      <c r="BD18" s="10">
        <f t="shared" si="32"/>
        <v>0</v>
      </c>
      <c r="BE18" s="21"/>
      <c r="BF18" s="19">
        <f t="shared" si="33"/>
        <v>0</v>
      </c>
      <c r="BG18" s="24">
        <f t="shared" si="14"/>
        <v>-2.8109627547434997</v>
      </c>
      <c r="BH18" s="41">
        <f>$H$18*月別販売比率!AV5</f>
        <v>1.7117182150250638</v>
      </c>
      <c r="BI18" s="10">
        <f t="shared" si="34"/>
        <v>0</v>
      </c>
      <c r="BJ18" s="21"/>
      <c r="BK18" s="19">
        <f t="shared" si="35"/>
        <v>0</v>
      </c>
      <c r="BL18" s="24">
        <f t="shared" si="15"/>
        <v>-1.7117182150250638</v>
      </c>
      <c r="BM18" s="41">
        <f>$H$18*月別販売比率!BA5</f>
        <v>1.5635452060448991</v>
      </c>
      <c r="BN18" s="10">
        <f t="shared" si="36"/>
        <v>0</v>
      </c>
      <c r="BO18" s="21"/>
      <c r="BP18" s="19">
        <f t="shared" si="41"/>
        <v>0</v>
      </c>
      <c r="BQ18" s="24">
        <f t="shared" si="16"/>
        <v>-1.5635452060448991</v>
      </c>
      <c r="BR18" s="41">
        <f>$H$18*月別販売比率!BF5</f>
        <v>2.2487702037947996</v>
      </c>
      <c r="BS18" s="10">
        <f t="shared" si="37"/>
        <v>0</v>
      </c>
      <c r="BT18" s="21"/>
      <c r="BU18" s="19">
        <f t="shared" si="38"/>
        <v>0</v>
      </c>
      <c r="BV18" s="24">
        <f t="shared" si="17"/>
        <v>-2.2487702037947996</v>
      </c>
      <c r="BW18" s="158">
        <f t="shared" si="39"/>
        <v>0</v>
      </c>
      <c r="BX18" s="29">
        <f t="shared" si="40"/>
        <v>-28.109627547434997</v>
      </c>
    </row>
    <row r="19" spans="2:76" ht="30.75" customHeight="1">
      <c r="C19" s="507"/>
      <c r="D19" s="441"/>
      <c r="E19" s="94" t="s">
        <v>47</v>
      </c>
      <c r="F19" s="57">
        <v>10</v>
      </c>
      <c r="G19" s="5">
        <f t="shared" si="18"/>
        <v>44000</v>
      </c>
      <c r="H19" s="7">
        <f t="shared" si="19"/>
        <v>11.243851018973999</v>
      </c>
      <c r="I19" s="5">
        <f t="shared" si="18"/>
        <v>49472.944483485597</v>
      </c>
      <c r="J19" s="9">
        <v>0</v>
      </c>
      <c r="K19" s="21">
        <f t="shared" si="20"/>
        <v>0</v>
      </c>
      <c r="L19" s="21"/>
      <c r="M19" s="21"/>
      <c r="N19" s="95"/>
      <c r="O19" s="41">
        <f>$H$19*月別販売比率!C5</f>
        <v>0.79678708211766913</v>
      </c>
      <c r="P19" s="10">
        <f t="shared" si="1"/>
        <v>0</v>
      </c>
      <c r="Q19" s="21"/>
      <c r="R19" s="19">
        <f t="shared" si="21"/>
        <v>0</v>
      </c>
      <c r="S19" s="24">
        <f t="shared" si="22"/>
        <v>-0.79678708211766913</v>
      </c>
      <c r="T19" s="41">
        <f>$H$19*月別販売比率!H5</f>
        <v>0.78706957132818001</v>
      </c>
      <c r="U19" s="10">
        <f t="shared" si="23"/>
        <v>0</v>
      </c>
      <c r="V19" s="21"/>
      <c r="W19" s="19">
        <f t="shared" si="24"/>
        <v>0</v>
      </c>
      <c r="X19" s="24">
        <f t="shared" si="2"/>
        <v>-0.78706957132818001</v>
      </c>
      <c r="Y19" s="41">
        <f>$H$19*月別販売比率!M5</f>
        <v>1.1363450639342685</v>
      </c>
      <c r="Z19" s="10">
        <f t="shared" si="25"/>
        <v>0</v>
      </c>
      <c r="AA19" s="21"/>
      <c r="AB19" s="19">
        <f t="shared" si="3"/>
        <v>0</v>
      </c>
      <c r="AC19" s="24">
        <f t="shared" si="4"/>
        <v>-1.1363450639342685</v>
      </c>
      <c r="AD19" s="41">
        <f>$H$19*月別販売比率!R5</f>
        <v>0.89950808151791994</v>
      </c>
      <c r="AE19" s="10">
        <f t="shared" si="26"/>
        <v>0</v>
      </c>
      <c r="AF19" s="21"/>
      <c r="AG19" s="19">
        <f t="shared" si="5"/>
        <v>0</v>
      </c>
      <c r="AH19" s="24">
        <f t="shared" si="6"/>
        <v>-0.89950808151791994</v>
      </c>
      <c r="AI19" s="41">
        <f>$H$19*月別販売比率!W5</f>
        <v>0.8564072559768493</v>
      </c>
      <c r="AJ19" s="10">
        <f t="shared" si="27"/>
        <v>0</v>
      </c>
      <c r="AK19" s="21"/>
      <c r="AL19" s="19">
        <f t="shared" si="7"/>
        <v>0</v>
      </c>
      <c r="AM19" s="24">
        <f t="shared" si="8"/>
        <v>-0.8564072559768493</v>
      </c>
      <c r="AN19" s="41">
        <f>$H$19*月別販売比率!AB5</f>
        <v>1.3492621222768797</v>
      </c>
      <c r="AO19" s="10">
        <f t="shared" si="28"/>
        <v>0</v>
      </c>
      <c r="AP19" s="21"/>
      <c r="AQ19" s="19">
        <f t="shared" si="9"/>
        <v>0</v>
      </c>
      <c r="AR19" s="24">
        <f t="shared" si="10"/>
        <v>-1.3492621222768797</v>
      </c>
      <c r="AS19" s="41">
        <f>$H$19*月別販売比率!AG5</f>
        <v>1.1243851018973998</v>
      </c>
      <c r="AT19" s="10">
        <f t="shared" si="29"/>
        <v>0</v>
      </c>
      <c r="AU19" s="21"/>
      <c r="AV19" s="10">
        <f t="shared" si="11"/>
        <v>0</v>
      </c>
      <c r="AW19" s="24">
        <f t="shared" si="12"/>
        <v>-1.1243851018973998</v>
      </c>
      <c r="AX19" s="41">
        <f>$H$19*月別販売比率!AL5</f>
        <v>1.0119465917076598</v>
      </c>
      <c r="AY19" s="10">
        <f t="shared" si="30"/>
        <v>0</v>
      </c>
      <c r="AZ19" s="21"/>
      <c r="BA19" s="19">
        <f t="shared" si="31"/>
        <v>0</v>
      </c>
      <c r="BB19" s="24">
        <f t="shared" si="13"/>
        <v>-1.0119465917076598</v>
      </c>
      <c r="BC19" s="41">
        <f>$H$19*月別販売比率!AQ5</f>
        <v>1.1243851018973998</v>
      </c>
      <c r="BD19" s="10">
        <f t="shared" si="32"/>
        <v>0</v>
      </c>
      <c r="BE19" s="21"/>
      <c r="BF19" s="19">
        <f t="shared" si="33"/>
        <v>0</v>
      </c>
      <c r="BG19" s="24">
        <f t="shared" si="14"/>
        <v>-1.1243851018973998</v>
      </c>
      <c r="BH19" s="41">
        <f>$H$19*月別販売比率!AV5</f>
        <v>0.68468728601002549</v>
      </c>
      <c r="BI19" s="10">
        <f t="shared" si="34"/>
        <v>0</v>
      </c>
      <c r="BJ19" s="21"/>
      <c r="BK19" s="19">
        <f t="shared" si="35"/>
        <v>0</v>
      </c>
      <c r="BL19" s="24">
        <f t="shared" si="15"/>
        <v>-0.68468728601002549</v>
      </c>
      <c r="BM19" s="41">
        <f>$H$19*月別販売比率!BA5</f>
        <v>0.6254180824179596</v>
      </c>
      <c r="BN19" s="10">
        <f t="shared" si="36"/>
        <v>0</v>
      </c>
      <c r="BO19" s="21"/>
      <c r="BP19" s="19">
        <f t="shared" si="41"/>
        <v>0</v>
      </c>
      <c r="BQ19" s="24">
        <f t="shared" si="16"/>
        <v>-0.6254180824179596</v>
      </c>
      <c r="BR19" s="41">
        <f>$H$19*月別販売比率!BF5</f>
        <v>0.89950808151791994</v>
      </c>
      <c r="BS19" s="10">
        <f t="shared" si="37"/>
        <v>0</v>
      </c>
      <c r="BT19" s="21"/>
      <c r="BU19" s="19">
        <f t="shared" si="38"/>
        <v>0</v>
      </c>
      <c r="BV19" s="24">
        <f t="shared" si="17"/>
        <v>-0.89950808151791994</v>
      </c>
      <c r="BW19" s="158">
        <f t="shared" si="39"/>
        <v>0</v>
      </c>
      <c r="BX19" s="29">
        <f t="shared" si="40"/>
        <v>-11.243851018973999</v>
      </c>
    </row>
    <row r="20" spans="2:76" ht="30.75" customHeight="1">
      <c r="C20" s="507"/>
      <c r="D20" s="441"/>
      <c r="E20" s="94" t="s">
        <v>51</v>
      </c>
      <c r="F20" s="57">
        <v>15</v>
      </c>
      <c r="G20" s="5">
        <f t="shared" si="18"/>
        <v>66000</v>
      </c>
      <c r="H20" s="7">
        <f t="shared" si="19"/>
        <v>16.865776528460998</v>
      </c>
      <c r="I20" s="5">
        <f t="shared" si="18"/>
        <v>74209.416725228395</v>
      </c>
      <c r="J20" s="9">
        <v>0</v>
      </c>
      <c r="K20" s="21">
        <f t="shared" si="20"/>
        <v>0</v>
      </c>
      <c r="L20" s="21"/>
      <c r="M20" s="21"/>
      <c r="N20" s="95"/>
      <c r="O20" s="41">
        <f>$H$20*月別販売比率!C5</f>
        <v>1.1951806231765039</v>
      </c>
      <c r="P20" s="10">
        <f t="shared" si="1"/>
        <v>0</v>
      </c>
      <c r="Q20" s="21"/>
      <c r="R20" s="19">
        <f t="shared" si="21"/>
        <v>0</v>
      </c>
      <c r="S20" s="24">
        <f t="shared" si="22"/>
        <v>-1.1951806231765039</v>
      </c>
      <c r="T20" s="41">
        <f>$H$20*月別販売比率!H5</f>
        <v>1.18060435699227</v>
      </c>
      <c r="U20" s="10">
        <f t="shared" si="23"/>
        <v>0</v>
      </c>
      <c r="V20" s="21"/>
      <c r="W20" s="19">
        <f t="shared" si="24"/>
        <v>0</v>
      </c>
      <c r="X20" s="24">
        <f t="shared" si="2"/>
        <v>-1.18060435699227</v>
      </c>
      <c r="Y20" s="41">
        <f>$H$20*月別販売比率!M5</f>
        <v>1.7045175959014027</v>
      </c>
      <c r="Z20" s="10">
        <f t="shared" si="25"/>
        <v>0</v>
      </c>
      <c r="AA20" s="21"/>
      <c r="AB20" s="19">
        <f t="shared" si="3"/>
        <v>0</v>
      </c>
      <c r="AC20" s="24">
        <f t="shared" si="4"/>
        <v>-1.7045175959014027</v>
      </c>
      <c r="AD20" s="41">
        <f>$H$20*月別販売比率!R5</f>
        <v>1.3492621222768799</v>
      </c>
      <c r="AE20" s="10">
        <f t="shared" si="26"/>
        <v>0</v>
      </c>
      <c r="AF20" s="21"/>
      <c r="AG20" s="19">
        <f t="shared" si="5"/>
        <v>0</v>
      </c>
      <c r="AH20" s="24">
        <f t="shared" si="6"/>
        <v>-1.3492621222768799</v>
      </c>
      <c r="AI20" s="41">
        <f>$H$20*月別販売比率!W5</f>
        <v>1.2846108839652739</v>
      </c>
      <c r="AJ20" s="10">
        <f t="shared" si="27"/>
        <v>0</v>
      </c>
      <c r="AK20" s="21"/>
      <c r="AL20" s="19">
        <f t="shared" si="7"/>
        <v>0</v>
      </c>
      <c r="AM20" s="24">
        <f t="shared" si="8"/>
        <v>-1.2846108839652739</v>
      </c>
      <c r="AN20" s="41">
        <f>$H$20*月別販売比率!AB5</f>
        <v>2.0238931834153195</v>
      </c>
      <c r="AO20" s="10">
        <f t="shared" si="28"/>
        <v>0</v>
      </c>
      <c r="AP20" s="21"/>
      <c r="AQ20" s="19">
        <f t="shared" si="9"/>
        <v>0</v>
      </c>
      <c r="AR20" s="24">
        <f t="shared" si="10"/>
        <v>-2.0238931834153195</v>
      </c>
      <c r="AS20" s="41">
        <f>$H$20*月別販売比率!AG5</f>
        <v>1.6865776528460998</v>
      </c>
      <c r="AT20" s="10">
        <f t="shared" si="29"/>
        <v>0</v>
      </c>
      <c r="AU20" s="21"/>
      <c r="AV20" s="10">
        <f t="shared" si="11"/>
        <v>0</v>
      </c>
      <c r="AW20" s="24">
        <f t="shared" si="12"/>
        <v>-1.6865776528460998</v>
      </c>
      <c r="AX20" s="41">
        <f>$H$20*月別販売比率!AL5</f>
        <v>1.5179198875614897</v>
      </c>
      <c r="AY20" s="10">
        <f t="shared" si="30"/>
        <v>0</v>
      </c>
      <c r="AZ20" s="21"/>
      <c r="BA20" s="19">
        <f t="shared" si="31"/>
        <v>0</v>
      </c>
      <c r="BB20" s="24">
        <f t="shared" si="13"/>
        <v>-1.5179198875614897</v>
      </c>
      <c r="BC20" s="41">
        <f>$H$20*月別販売比率!AQ5</f>
        <v>1.6865776528460998</v>
      </c>
      <c r="BD20" s="10">
        <f t="shared" si="32"/>
        <v>0</v>
      </c>
      <c r="BE20" s="21"/>
      <c r="BF20" s="19">
        <f t="shared" si="33"/>
        <v>0</v>
      </c>
      <c r="BG20" s="24">
        <f t="shared" si="14"/>
        <v>-1.6865776528460998</v>
      </c>
      <c r="BH20" s="41">
        <f>$H$20*月別販売比率!AV5</f>
        <v>1.0270309290150383</v>
      </c>
      <c r="BI20" s="10">
        <f t="shared" si="34"/>
        <v>0</v>
      </c>
      <c r="BJ20" s="21"/>
      <c r="BK20" s="19">
        <f t="shared" si="35"/>
        <v>0</v>
      </c>
      <c r="BL20" s="24">
        <f t="shared" si="15"/>
        <v>-1.0270309290150383</v>
      </c>
      <c r="BM20" s="41">
        <f>$H$20*月別販売比率!BA5</f>
        <v>0.9381271236269394</v>
      </c>
      <c r="BN20" s="10">
        <f t="shared" si="36"/>
        <v>0</v>
      </c>
      <c r="BO20" s="21"/>
      <c r="BP20" s="19">
        <f t="shared" si="41"/>
        <v>0</v>
      </c>
      <c r="BQ20" s="24">
        <f t="shared" si="16"/>
        <v>-0.9381271236269394</v>
      </c>
      <c r="BR20" s="41">
        <f>$H$20*月別販売比率!BF5</f>
        <v>1.3492621222768799</v>
      </c>
      <c r="BS20" s="10">
        <f t="shared" si="37"/>
        <v>0</v>
      </c>
      <c r="BT20" s="21"/>
      <c r="BU20" s="19">
        <f t="shared" si="38"/>
        <v>0</v>
      </c>
      <c r="BV20" s="24">
        <f t="shared" si="17"/>
        <v>-1.3492621222768799</v>
      </c>
      <c r="BW20" s="158">
        <f t="shared" si="39"/>
        <v>0</v>
      </c>
      <c r="BX20" s="29">
        <f t="shared" si="40"/>
        <v>-16.865776528460998</v>
      </c>
    </row>
    <row r="21" spans="2:76" ht="30.75" customHeight="1">
      <c r="C21" s="507"/>
      <c r="D21" s="441"/>
      <c r="E21" s="94" t="s">
        <v>49</v>
      </c>
      <c r="F21" s="57">
        <v>29</v>
      </c>
      <c r="G21" s="5">
        <f t="shared" si="18"/>
        <v>127600</v>
      </c>
      <c r="H21" s="7">
        <f t="shared" si="19"/>
        <v>32.607167955024593</v>
      </c>
      <c r="I21" s="5">
        <f t="shared" si="18"/>
        <v>143471.53900210821</v>
      </c>
      <c r="J21" s="9">
        <v>0</v>
      </c>
      <c r="K21" s="21">
        <f t="shared" si="20"/>
        <v>5</v>
      </c>
      <c r="L21" s="21">
        <v>3</v>
      </c>
      <c r="M21" s="21">
        <v>2</v>
      </c>
      <c r="N21" s="95"/>
      <c r="O21" s="41">
        <f>$H$21*月別販売比率!C5</f>
        <v>2.3106825381412404</v>
      </c>
      <c r="P21" s="10">
        <f t="shared" si="1"/>
        <v>5</v>
      </c>
      <c r="Q21" s="21"/>
      <c r="R21" s="19">
        <f t="shared" si="21"/>
        <v>5</v>
      </c>
      <c r="S21" s="24">
        <f t="shared" si="22"/>
        <v>2.6893174618587596</v>
      </c>
      <c r="T21" s="41">
        <f>$H$21*月別販売比率!H5</f>
        <v>2.2825017568517216</v>
      </c>
      <c r="U21" s="10">
        <f t="shared" si="23"/>
        <v>5</v>
      </c>
      <c r="V21" s="21"/>
      <c r="W21" s="19">
        <f t="shared" si="24"/>
        <v>5</v>
      </c>
      <c r="X21" s="24">
        <f t="shared" si="2"/>
        <v>2.7174982431482784</v>
      </c>
      <c r="Y21" s="41">
        <f>$H$21*月別販売比率!M5</f>
        <v>3.2954006854093785</v>
      </c>
      <c r="Z21" s="10">
        <f t="shared" si="25"/>
        <v>5</v>
      </c>
      <c r="AA21" s="21"/>
      <c r="AB21" s="19">
        <f t="shared" si="3"/>
        <v>5</v>
      </c>
      <c r="AC21" s="24">
        <f t="shared" si="4"/>
        <v>1.7045993145906215</v>
      </c>
      <c r="AD21" s="41">
        <f>$H$21*月別販売比率!R5</f>
        <v>2.6085734364019677</v>
      </c>
      <c r="AE21" s="10">
        <f t="shared" si="26"/>
        <v>5</v>
      </c>
      <c r="AF21" s="21"/>
      <c r="AG21" s="19">
        <f t="shared" si="5"/>
        <v>5</v>
      </c>
      <c r="AH21" s="24">
        <f t="shared" si="6"/>
        <v>2.3914265635980323</v>
      </c>
      <c r="AI21" s="41">
        <f>$H$21*月別販売比率!W5</f>
        <v>2.4835810423328626</v>
      </c>
      <c r="AJ21" s="10">
        <f t="shared" si="27"/>
        <v>5</v>
      </c>
      <c r="AK21" s="21"/>
      <c r="AL21" s="19">
        <f t="shared" si="7"/>
        <v>5</v>
      </c>
      <c r="AM21" s="24">
        <f t="shared" si="8"/>
        <v>2.5164189576671374</v>
      </c>
      <c r="AN21" s="41">
        <f>$H$21*月別販売比率!AB5</f>
        <v>3.9128601546029511</v>
      </c>
      <c r="AO21" s="10">
        <f t="shared" si="28"/>
        <v>5</v>
      </c>
      <c r="AP21" s="21"/>
      <c r="AQ21" s="19">
        <f t="shared" si="9"/>
        <v>5</v>
      </c>
      <c r="AR21" s="24">
        <f t="shared" si="10"/>
        <v>1.0871398453970489</v>
      </c>
      <c r="AS21" s="41">
        <f>$H$21*月別販売比率!AG5</f>
        <v>3.2607167955024594</v>
      </c>
      <c r="AT21" s="10">
        <f t="shared" si="29"/>
        <v>5</v>
      </c>
      <c r="AU21" s="21"/>
      <c r="AV21" s="10">
        <f t="shared" si="11"/>
        <v>5</v>
      </c>
      <c r="AW21" s="24">
        <f t="shared" si="12"/>
        <v>1.7392832044975406</v>
      </c>
      <c r="AX21" s="41">
        <f>$H$21*月別販売比率!AL5</f>
        <v>2.9346451159522133</v>
      </c>
      <c r="AY21" s="10">
        <f t="shared" si="30"/>
        <v>5</v>
      </c>
      <c r="AZ21" s="21"/>
      <c r="BA21" s="19">
        <f t="shared" si="31"/>
        <v>5</v>
      </c>
      <c r="BB21" s="24">
        <f t="shared" si="13"/>
        <v>2.0653548840477867</v>
      </c>
      <c r="BC21" s="41">
        <f>$H$21*月別販売比率!AQ5</f>
        <v>3.2607167955024594</v>
      </c>
      <c r="BD21" s="10">
        <f t="shared" si="32"/>
        <v>5</v>
      </c>
      <c r="BE21" s="21"/>
      <c r="BF21" s="19">
        <f t="shared" si="33"/>
        <v>5</v>
      </c>
      <c r="BG21" s="24">
        <f t="shared" si="14"/>
        <v>1.7392832044975406</v>
      </c>
      <c r="BH21" s="41">
        <f>$H$21*月別販売比率!AV5</f>
        <v>1.9855931294290738</v>
      </c>
      <c r="BI21" s="10">
        <f t="shared" si="34"/>
        <v>5</v>
      </c>
      <c r="BJ21" s="21"/>
      <c r="BK21" s="19">
        <f t="shared" si="35"/>
        <v>5</v>
      </c>
      <c r="BL21" s="24">
        <f t="shared" si="15"/>
        <v>3.0144068705709262</v>
      </c>
      <c r="BM21" s="41">
        <f>$H$21*月別販売比率!BA5</f>
        <v>1.8137124390120827</v>
      </c>
      <c r="BN21" s="10">
        <f t="shared" si="36"/>
        <v>5</v>
      </c>
      <c r="BO21" s="21"/>
      <c r="BP21" s="19">
        <f t="shared" si="41"/>
        <v>5</v>
      </c>
      <c r="BQ21" s="24">
        <f t="shared" si="16"/>
        <v>3.1862875609879175</v>
      </c>
      <c r="BR21" s="41">
        <f>$H$21*月別販売比率!BF5</f>
        <v>2.6085734364019677</v>
      </c>
      <c r="BS21" s="10">
        <f t="shared" si="37"/>
        <v>5</v>
      </c>
      <c r="BT21" s="21"/>
      <c r="BU21" s="19">
        <f t="shared" si="38"/>
        <v>5</v>
      </c>
      <c r="BV21" s="24">
        <f t="shared" si="17"/>
        <v>2.3914265635980323</v>
      </c>
      <c r="BW21" s="158">
        <f t="shared" si="39"/>
        <v>5</v>
      </c>
      <c r="BX21" s="29">
        <f t="shared" si="40"/>
        <v>-27.607167955024593</v>
      </c>
    </row>
    <row r="22" spans="2:76" ht="30.75" customHeight="1">
      <c r="C22" s="507"/>
      <c r="D22" s="442"/>
      <c r="E22" s="94" t="s">
        <v>50</v>
      </c>
      <c r="F22" s="57">
        <v>18</v>
      </c>
      <c r="G22" s="5">
        <f t="shared" si="18"/>
        <v>79200</v>
      </c>
      <c r="H22" s="7">
        <f t="shared" si="19"/>
        <v>20.238931834153195</v>
      </c>
      <c r="I22" s="5">
        <f t="shared" si="18"/>
        <v>89051.300070274054</v>
      </c>
      <c r="J22" s="9">
        <v>0</v>
      </c>
      <c r="K22" s="21">
        <f t="shared" si="20"/>
        <v>3</v>
      </c>
      <c r="L22" s="21">
        <v>3</v>
      </c>
      <c r="M22" s="21"/>
      <c r="N22" s="95"/>
      <c r="O22" s="41">
        <f>$H$22*月別販売比率!C5</f>
        <v>1.4342167478118044</v>
      </c>
      <c r="P22" s="10">
        <f t="shared" si="1"/>
        <v>3</v>
      </c>
      <c r="Q22" s="21"/>
      <c r="R22" s="19">
        <f t="shared" si="21"/>
        <v>3</v>
      </c>
      <c r="S22" s="24">
        <f t="shared" si="22"/>
        <v>1.5657832521881956</v>
      </c>
      <c r="T22" s="41">
        <f>$H$22*月別販売比率!H5</f>
        <v>1.4167252283907239</v>
      </c>
      <c r="U22" s="10">
        <f t="shared" si="23"/>
        <v>3</v>
      </c>
      <c r="V22" s="21"/>
      <c r="W22" s="19">
        <f t="shared" si="24"/>
        <v>3</v>
      </c>
      <c r="X22" s="24">
        <f t="shared" si="2"/>
        <v>1.5832747716092761</v>
      </c>
      <c r="Y22" s="41">
        <f>$H$22*月別販売比率!M5</f>
        <v>2.045421115081683</v>
      </c>
      <c r="Z22" s="10">
        <f t="shared" si="25"/>
        <v>3</v>
      </c>
      <c r="AA22" s="21"/>
      <c r="AB22" s="19">
        <f t="shared" si="3"/>
        <v>3</v>
      </c>
      <c r="AC22" s="24">
        <f t="shared" si="4"/>
        <v>0.95457888491831699</v>
      </c>
      <c r="AD22" s="41">
        <f>$H$22*月別販売比率!R5</f>
        <v>1.6191145467322556</v>
      </c>
      <c r="AE22" s="10">
        <f t="shared" si="26"/>
        <v>3</v>
      </c>
      <c r="AF22" s="21"/>
      <c r="AG22" s="19">
        <f t="shared" si="5"/>
        <v>3</v>
      </c>
      <c r="AH22" s="24">
        <f t="shared" si="6"/>
        <v>1.3808854532677444</v>
      </c>
      <c r="AI22" s="41">
        <f>$H$22*月別販売比率!W5</f>
        <v>1.5415330607583284</v>
      </c>
      <c r="AJ22" s="10">
        <f t="shared" si="27"/>
        <v>3</v>
      </c>
      <c r="AK22" s="21"/>
      <c r="AL22" s="19">
        <f t="shared" si="7"/>
        <v>3</v>
      </c>
      <c r="AM22" s="24">
        <f t="shared" si="8"/>
        <v>1.4584669392416716</v>
      </c>
      <c r="AN22" s="41">
        <f>$H$22*月別販売比率!AB5</f>
        <v>2.4286718200983834</v>
      </c>
      <c r="AO22" s="10">
        <f t="shared" si="28"/>
        <v>3</v>
      </c>
      <c r="AP22" s="21"/>
      <c r="AQ22" s="19">
        <f t="shared" si="9"/>
        <v>3</v>
      </c>
      <c r="AR22" s="24">
        <f t="shared" si="10"/>
        <v>0.57132817990161655</v>
      </c>
      <c r="AS22" s="41">
        <f>$H$22*月別販売比率!AG5</f>
        <v>2.0238931834153195</v>
      </c>
      <c r="AT22" s="10">
        <f t="shared" si="29"/>
        <v>3</v>
      </c>
      <c r="AU22" s="21"/>
      <c r="AV22" s="10">
        <f t="shared" si="11"/>
        <v>3</v>
      </c>
      <c r="AW22" s="24">
        <f t="shared" si="12"/>
        <v>0.97610681658468046</v>
      </c>
      <c r="AX22" s="41">
        <f>$H$22*月別販売比率!AL5</f>
        <v>1.8215038650737876</v>
      </c>
      <c r="AY22" s="10">
        <f t="shared" si="30"/>
        <v>3</v>
      </c>
      <c r="AZ22" s="21"/>
      <c r="BA22" s="19">
        <f t="shared" si="31"/>
        <v>3</v>
      </c>
      <c r="BB22" s="24">
        <f t="shared" si="13"/>
        <v>1.1784961349262124</v>
      </c>
      <c r="BC22" s="41">
        <f>$H$22*月別販売比率!AQ5</f>
        <v>2.0238931834153195</v>
      </c>
      <c r="BD22" s="10">
        <f t="shared" si="32"/>
        <v>3</v>
      </c>
      <c r="BE22" s="21"/>
      <c r="BF22" s="19">
        <f t="shared" si="33"/>
        <v>3</v>
      </c>
      <c r="BG22" s="24">
        <f t="shared" si="14"/>
        <v>0.97610681658468046</v>
      </c>
      <c r="BH22" s="41">
        <f>$H$22*月別販売比率!AV5</f>
        <v>1.2324371148180457</v>
      </c>
      <c r="BI22" s="10">
        <f t="shared" si="34"/>
        <v>3</v>
      </c>
      <c r="BJ22" s="21"/>
      <c r="BK22" s="19">
        <f t="shared" si="35"/>
        <v>3</v>
      </c>
      <c r="BL22" s="24">
        <f t="shared" si="15"/>
        <v>1.7675628851819543</v>
      </c>
      <c r="BM22" s="41">
        <f>$H$22*月別販売比率!BA5</f>
        <v>1.1257525483523272</v>
      </c>
      <c r="BN22" s="10">
        <f t="shared" si="36"/>
        <v>3</v>
      </c>
      <c r="BO22" s="21"/>
      <c r="BP22" s="19">
        <f t="shared" si="41"/>
        <v>3</v>
      </c>
      <c r="BQ22" s="24">
        <f t="shared" si="16"/>
        <v>1.8742474516476728</v>
      </c>
      <c r="BR22" s="41">
        <f>$H$22*月別販売比率!BF5</f>
        <v>1.6191145467322556</v>
      </c>
      <c r="BS22" s="10">
        <f t="shared" si="37"/>
        <v>3</v>
      </c>
      <c r="BT22" s="21"/>
      <c r="BU22" s="19">
        <f t="shared" si="38"/>
        <v>3</v>
      </c>
      <c r="BV22" s="24">
        <f t="shared" si="17"/>
        <v>1.3808854532677444</v>
      </c>
      <c r="BW22" s="158">
        <f t="shared" si="39"/>
        <v>3</v>
      </c>
      <c r="BX22" s="29">
        <f t="shared" si="40"/>
        <v>-17.238931834153195</v>
      </c>
    </row>
    <row r="23" spans="2:76" ht="30.75" customHeight="1">
      <c r="C23" s="507"/>
      <c r="D23" s="443">
        <v>4</v>
      </c>
      <c r="E23" s="94" t="s">
        <v>46</v>
      </c>
      <c r="F23" s="57">
        <v>100</v>
      </c>
      <c r="G23" s="5">
        <f t="shared" si="18"/>
        <v>440000</v>
      </c>
      <c r="H23" s="7">
        <f t="shared" si="19"/>
        <v>112.43851018973999</v>
      </c>
      <c r="I23" s="5">
        <f t="shared" si="18"/>
        <v>494729.44483485597</v>
      </c>
      <c r="J23" s="9">
        <v>46</v>
      </c>
      <c r="K23" s="21">
        <f t="shared" si="20"/>
        <v>29</v>
      </c>
      <c r="L23" s="21">
        <v>12</v>
      </c>
      <c r="M23" s="21">
        <v>17</v>
      </c>
      <c r="N23" s="95"/>
      <c r="O23" s="41">
        <f>$H$23*月別販売比率!C5</f>
        <v>7.9678708211766915</v>
      </c>
      <c r="P23" s="10">
        <f t="shared" si="1"/>
        <v>29</v>
      </c>
      <c r="Q23" s="21"/>
      <c r="R23" s="19">
        <f t="shared" si="21"/>
        <v>29</v>
      </c>
      <c r="S23" s="24">
        <f t="shared" si="22"/>
        <v>21.032129178823308</v>
      </c>
      <c r="T23" s="41">
        <f>$H$23*月別販売比率!H5</f>
        <v>7.8706957132817994</v>
      </c>
      <c r="U23" s="10">
        <f t="shared" si="23"/>
        <v>29</v>
      </c>
      <c r="V23" s="21">
        <v>40</v>
      </c>
      <c r="W23" s="19">
        <f t="shared" si="24"/>
        <v>69</v>
      </c>
      <c r="X23" s="24">
        <f t="shared" si="2"/>
        <v>61.129304286718202</v>
      </c>
      <c r="Y23" s="41">
        <f>$H$23*月別販売比率!M5</f>
        <v>11.363450639342684</v>
      </c>
      <c r="Z23" s="10">
        <f t="shared" si="25"/>
        <v>29</v>
      </c>
      <c r="AA23" s="21"/>
      <c r="AB23" s="19">
        <f t="shared" si="3"/>
        <v>29</v>
      </c>
      <c r="AC23" s="24">
        <f t="shared" si="4"/>
        <v>17.636549360657316</v>
      </c>
      <c r="AD23" s="41">
        <f>$H$23*月別販売比率!R5</f>
        <v>8.9950808151791986</v>
      </c>
      <c r="AE23" s="10">
        <f t="shared" si="26"/>
        <v>29</v>
      </c>
      <c r="AF23" s="21"/>
      <c r="AG23" s="19">
        <f t="shared" si="5"/>
        <v>29</v>
      </c>
      <c r="AH23" s="24">
        <f t="shared" si="6"/>
        <v>20.0049191848208</v>
      </c>
      <c r="AI23" s="41">
        <f>$H$23*月別販売比率!W5</f>
        <v>8.5640725597684924</v>
      </c>
      <c r="AJ23" s="10">
        <f t="shared" si="27"/>
        <v>29</v>
      </c>
      <c r="AK23" s="21"/>
      <c r="AL23" s="19">
        <f t="shared" si="7"/>
        <v>29</v>
      </c>
      <c r="AM23" s="24">
        <f t="shared" si="8"/>
        <v>20.435927440231509</v>
      </c>
      <c r="AN23" s="41">
        <f>$H$23*月別販売比率!AB5</f>
        <v>13.492621222768799</v>
      </c>
      <c r="AO23" s="10">
        <f t="shared" si="28"/>
        <v>29</v>
      </c>
      <c r="AP23" s="21"/>
      <c r="AQ23" s="19">
        <f t="shared" si="9"/>
        <v>29</v>
      </c>
      <c r="AR23" s="24">
        <f t="shared" si="10"/>
        <v>15.507378777231201</v>
      </c>
      <c r="AS23" s="41">
        <f>$H$23*月別販売比率!AG5</f>
        <v>11.243851018973999</v>
      </c>
      <c r="AT23" s="10">
        <f t="shared" si="29"/>
        <v>29</v>
      </c>
      <c r="AU23" s="21"/>
      <c r="AV23" s="10">
        <f t="shared" si="11"/>
        <v>29</v>
      </c>
      <c r="AW23" s="24">
        <f t="shared" si="12"/>
        <v>17.756148981026001</v>
      </c>
      <c r="AX23" s="41">
        <f>$H$23*月別販売比率!AL5</f>
        <v>10.119465917076598</v>
      </c>
      <c r="AY23" s="10">
        <f t="shared" si="30"/>
        <v>29</v>
      </c>
      <c r="AZ23" s="21"/>
      <c r="BA23" s="19">
        <f t="shared" si="31"/>
        <v>29</v>
      </c>
      <c r="BB23" s="24">
        <f t="shared" si="13"/>
        <v>18.880534082923404</v>
      </c>
      <c r="BC23" s="41">
        <f>$H$23*月別販売比率!AQ5</f>
        <v>11.243851018973999</v>
      </c>
      <c r="BD23" s="10">
        <f t="shared" si="32"/>
        <v>29</v>
      </c>
      <c r="BE23" s="21"/>
      <c r="BF23" s="19">
        <f t="shared" si="33"/>
        <v>29</v>
      </c>
      <c r="BG23" s="24">
        <f t="shared" si="14"/>
        <v>17.756148981026001</v>
      </c>
      <c r="BH23" s="41">
        <f>$H$23*月別販売比率!AV5</f>
        <v>6.8468728601002553</v>
      </c>
      <c r="BI23" s="10">
        <f t="shared" si="34"/>
        <v>29</v>
      </c>
      <c r="BJ23" s="21"/>
      <c r="BK23" s="19">
        <f t="shared" si="35"/>
        <v>29</v>
      </c>
      <c r="BL23" s="24">
        <f t="shared" si="15"/>
        <v>22.153127139899745</v>
      </c>
      <c r="BM23" s="41">
        <f>$H$23*月別販売比率!BA5</f>
        <v>6.2541808241795964</v>
      </c>
      <c r="BN23" s="10">
        <f t="shared" si="36"/>
        <v>29</v>
      </c>
      <c r="BO23" s="21"/>
      <c r="BP23" s="19">
        <f t="shared" si="41"/>
        <v>29</v>
      </c>
      <c r="BQ23" s="24">
        <f t="shared" si="16"/>
        <v>22.745819175820404</v>
      </c>
      <c r="BR23" s="41">
        <f>$H$23*月別販売比率!BF5</f>
        <v>8.9950808151791986</v>
      </c>
      <c r="BS23" s="10">
        <f t="shared" si="37"/>
        <v>29</v>
      </c>
      <c r="BT23" s="21"/>
      <c r="BU23" s="19">
        <f t="shared" si="38"/>
        <v>29</v>
      </c>
      <c r="BV23" s="24">
        <f t="shared" si="17"/>
        <v>20.0049191848208</v>
      </c>
      <c r="BW23" s="158">
        <f t="shared" si="39"/>
        <v>69</v>
      </c>
      <c r="BX23" s="29">
        <f t="shared" si="40"/>
        <v>-43.438510189739986</v>
      </c>
    </row>
    <row r="24" spans="2:76" ht="30.75" customHeight="1">
      <c r="C24" s="507"/>
      <c r="D24" s="441"/>
      <c r="E24" s="94" t="s">
        <v>47</v>
      </c>
      <c r="F24" s="57">
        <v>133</v>
      </c>
      <c r="G24" s="5">
        <f t="shared" si="18"/>
        <v>585200</v>
      </c>
      <c r="H24" s="7">
        <f t="shared" si="19"/>
        <v>149.54321855235418</v>
      </c>
      <c r="I24" s="5">
        <f t="shared" si="18"/>
        <v>657990.16163035843</v>
      </c>
      <c r="J24" s="9">
        <v>62</v>
      </c>
      <c r="K24" s="21">
        <f t="shared" si="20"/>
        <v>22</v>
      </c>
      <c r="L24" s="21">
        <v>10</v>
      </c>
      <c r="M24" s="21">
        <v>12</v>
      </c>
      <c r="N24" s="95"/>
      <c r="O24" s="41">
        <f>$H$24*月別販売比率!C5</f>
        <v>10.597268192165</v>
      </c>
      <c r="P24" s="10">
        <f t="shared" si="1"/>
        <v>22</v>
      </c>
      <c r="Q24" s="21"/>
      <c r="R24" s="19">
        <f t="shared" si="21"/>
        <v>22</v>
      </c>
      <c r="S24" s="24">
        <f t="shared" si="22"/>
        <v>11.402731807835</v>
      </c>
      <c r="T24" s="41">
        <f>$H$24*月別販売比率!H5</f>
        <v>10.468025298664793</v>
      </c>
      <c r="U24" s="10">
        <f t="shared" si="23"/>
        <v>22</v>
      </c>
      <c r="V24" s="21">
        <v>50</v>
      </c>
      <c r="W24" s="19">
        <f t="shared" si="24"/>
        <v>72</v>
      </c>
      <c r="X24" s="24">
        <f t="shared" si="2"/>
        <v>61.531974701335209</v>
      </c>
      <c r="Y24" s="41">
        <f>$H$24*月別販売比率!M5</f>
        <v>15.11338935032577</v>
      </c>
      <c r="Z24" s="10">
        <f t="shared" si="25"/>
        <v>22</v>
      </c>
      <c r="AA24" s="21"/>
      <c r="AB24" s="19">
        <f t="shared" si="3"/>
        <v>22</v>
      </c>
      <c r="AC24" s="24">
        <f t="shared" si="4"/>
        <v>6.8866106496742301</v>
      </c>
      <c r="AD24" s="41">
        <f>$H$24*月別販売比率!R5</f>
        <v>11.963457484188334</v>
      </c>
      <c r="AE24" s="10">
        <f t="shared" si="26"/>
        <v>22</v>
      </c>
      <c r="AF24" s="21"/>
      <c r="AG24" s="19">
        <f t="shared" si="5"/>
        <v>22</v>
      </c>
      <c r="AH24" s="24">
        <f t="shared" si="6"/>
        <v>10.036542515811666</v>
      </c>
      <c r="AI24" s="41">
        <f>$H$24*月別販売比率!W5</f>
        <v>11.390216504492095</v>
      </c>
      <c r="AJ24" s="10">
        <f t="shared" si="27"/>
        <v>22</v>
      </c>
      <c r="AK24" s="21"/>
      <c r="AL24" s="19">
        <f t="shared" si="7"/>
        <v>22</v>
      </c>
      <c r="AM24" s="24">
        <f t="shared" si="8"/>
        <v>10.609783495507905</v>
      </c>
      <c r="AN24" s="41">
        <f>$H$24*月別販売比率!AB5</f>
        <v>17.945186226282502</v>
      </c>
      <c r="AO24" s="10">
        <f t="shared" si="28"/>
        <v>22</v>
      </c>
      <c r="AP24" s="21"/>
      <c r="AQ24" s="19">
        <f t="shared" si="9"/>
        <v>22</v>
      </c>
      <c r="AR24" s="24">
        <f t="shared" si="10"/>
        <v>4.0548137737174983</v>
      </c>
      <c r="AS24" s="41">
        <f>$H$24*月別販売比率!AG5</f>
        <v>14.954321855235419</v>
      </c>
      <c r="AT24" s="10">
        <f t="shared" si="29"/>
        <v>22</v>
      </c>
      <c r="AU24" s="21"/>
      <c r="AV24" s="10">
        <f t="shared" si="11"/>
        <v>22</v>
      </c>
      <c r="AW24" s="24">
        <f t="shared" si="12"/>
        <v>7.0456781447645813</v>
      </c>
      <c r="AX24" s="41">
        <f>$H$24*月別販売比率!AL5</f>
        <v>13.458889669711875</v>
      </c>
      <c r="AY24" s="10">
        <f t="shared" si="30"/>
        <v>22</v>
      </c>
      <c r="AZ24" s="21"/>
      <c r="BA24" s="19">
        <f t="shared" si="31"/>
        <v>22</v>
      </c>
      <c r="BB24" s="24">
        <f t="shared" si="13"/>
        <v>8.5411103302881255</v>
      </c>
      <c r="BC24" s="41">
        <f>$H$24*月別販売比率!AQ5</f>
        <v>14.954321855235419</v>
      </c>
      <c r="BD24" s="10">
        <f t="shared" si="32"/>
        <v>22</v>
      </c>
      <c r="BE24" s="21"/>
      <c r="BF24" s="19">
        <f t="shared" si="33"/>
        <v>22</v>
      </c>
      <c r="BG24" s="24">
        <f t="shared" si="14"/>
        <v>7.0456781447645813</v>
      </c>
      <c r="BH24" s="41">
        <f>$H$24*月別販売比率!AV5</f>
        <v>9.1063409039333383</v>
      </c>
      <c r="BI24" s="10">
        <f t="shared" si="34"/>
        <v>22</v>
      </c>
      <c r="BJ24" s="21"/>
      <c r="BK24" s="19">
        <f t="shared" si="35"/>
        <v>22</v>
      </c>
      <c r="BL24" s="24">
        <f t="shared" si="15"/>
        <v>12.893659096066662</v>
      </c>
      <c r="BM24" s="41">
        <f>$H$24*月別販売比率!BA5</f>
        <v>8.3180604961588624</v>
      </c>
      <c r="BN24" s="10">
        <f t="shared" si="36"/>
        <v>22</v>
      </c>
      <c r="BO24" s="21"/>
      <c r="BP24" s="19">
        <f t="shared" si="41"/>
        <v>22</v>
      </c>
      <c r="BQ24" s="24">
        <f t="shared" si="16"/>
        <v>13.681939503841138</v>
      </c>
      <c r="BR24" s="41">
        <f>$H$24*月別販売比率!BF5</f>
        <v>11.963457484188334</v>
      </c>
      <c r="BS24" s="10">
        <f t="shared" si="37"/>
        <v>22</v>
      </c>
      <c r="BT24" s="21"/>
      <c r="BU24" s="19">
        <f t="shared" si="38"/>
        <v>22</v>
      </c>
      <c r="BV24" s="24">
        <f t="shared" si="17"/>
        <v>10.036542515811666</v>
      </c>
      <c r="BW24" s="158">
        <f t="shared" si="39"/>
        <v>72</v>
      </c>
      <c r="BX24" s="29">
        <f t="shared" si="40"/>
        <v>-77.543218552354176</v>
      </c>
    </row>
    <row r="25" spans="2:76" ht="30.75" customHeight="1">
      <c r="C25" s="507"/>
      <c r="D25" s="441"/>
      <c r="E25" s="94" t="s">
        <v>51</v>
      </c>
      <c r="F25" s="57">
        <v>62</v>
      </c>
      <c r="G25" s="5">
        <f t="shared" si="18"/>
        <v>272800</v>
      </c>
      <c r="H25" s="7">
        <f t="shared" si="19"/>
        <v>69.711876317638783</v>
      </c>
      <c r="I25" s="5">
        <f t="shared" si="18"/>
        <v>306732.25579761062</v>
      </c>
      <c r="J25" s="9">
        <v>158</v>
      </c>
      <c r="K25" s="21">
        <f t="shared" si="20"/>
        <v>56</v>
      </c>
      <c r="L25" s="21">
        <v>11</v>
      </c>
      <c r="M25" s="21">
        <v>15</v>
      </c>
      <c r="N25" s="95">
        <v>30</v>
      </c>
      <c r="O25" s="41">
        <f>$H$25*月別販売比率!C5</f>
        <v>4.9400799091295484</v>
      </c>
      <c r="P25" s="10">
        <f t="shared" si="1"/>
        <v>56</v>
      </c>
      <c r="Q25" s="21"/>
      <c r="R25" s="19">
        <f t="shared" si="21"/>
        <v>56</v>
      </c>
      <c r="S25" s="24">
        <f t="shared" si="22"/>
        <v>51.059920090870449</v>
      </c>
      <c r="T25" s="41">
        <f>$H$25*月別販売比率!H5</f>
        <v>4.8798313422347155</v>
      </c>
      <c r="U25" s="10">
        <f t="shared" si="23"/>
        <v>56</v>
      </c>
      <c r="V25" s="21"/>
      <c r="W25" s="19">
        <f t="shared" si="24"/>
        <v>56</v>
      </c>
      <c r="X25" s="24">
        <f t="shared" si="2"/>
        <v>51.120168657765284</v>
      </c>
      <c r="Y25" s="41">
        <f>$H$25*月別販売比率!M5</f>
        <v>7.045339396392464</v>
      </c>
      <c r="Z25" s="10">
        <f t="shared" si="25"/>
        <v>56</v>
      </c>
      <c r="AA25" s="21"/>
      <c r="AB25" s="19">
        <f t="shared" si="3"/>
        <v>56</v>
      </c>
      <c r="AC25" s="24">
        <f t="shared" si="4"/>
        <v>48.954660603607536</v>
      </c>
      <c r="AD25" s="41">
        <f>$H$25*月別販売比率!R5</f>
        <v>5.576950105411103</v>
      </c>
      <c r="AE25" s="10">
        <f t="shared" si="26"/>
        <v>56</v>
      </c>
      <c r="AF25" s="21"/>
      <c r="AG25" s="19">
        <f t="shared" si="5"/>
        <v>56</v>
      </c>
      <c r="AH25" s="24">
        <f t="shared" si="6"/>
        <v>50.4230498945889</v>
      </c>
      <c r="AI25" s="41">
        <f>$H$25*月別販売比率!W5</f>
        <v>5.3097249870564651</v>
      </c>
      <c r="AJ25" s="10">
        <f t="shared" si="27"/>
        <v>56</v>
      </c>
      <c r="AK25" s="21"/>
      <c r="AL25" s="19">
        <f t="shared" si="7"/>
        <v>56</v>
      </c>
      <c r="AM25" s="24">
        <f t="shared" si="8"/>
        <v>50.690275012943538</v>
      </c>
      <c r="AN25" s="41">
        <f>$H$25*月別販売比率!AB5</f>
        <v>8.3654251581166541</v>
      </c>
      <c r="AO25" s="10">
        <f t="shared" si="28"/>
        <v>56</v>
      </c>
      <c r="AP25" s="21"/>
      <c r="AQ25" s="19">
        <f t="shared" si="9"/>
        <v>56</v>
      </c>
      <c r="AR25" s="24">
        <f t="shared" si="10"/>
        <v>47.634574841883349</v>
      </c>
      <c r="AS25" s="41">
        <f>$H$25*月別販売比率!AG5</f>
        <v>6.971187631763879</v>
      </c>
      <c r="AT25" s="10">
        <f t="shared" si="29"/>
        <v>56</v>
      </c>
      <c r="AU25" s="21"/>
      <c r="AV25" s="10">
        <f t="shared" si="11"/>
        <v>56</v>
      </c>
      <c r="AW25" s="24">
        <f t="shared" si="12"/>
        <v>49.028812368236117</v>
      </c>
      <c r="AX25" s="41">
        <f>$H$25*月別販売比率!AL5</f>
        <v>6.2740688685874906</v>
      </c>
      <c r="AY25" s="10">
        <f t="shared" si="30"/>
        <v>56</v>
      </c>
      <c r="AZ25" s="21"/>
      <c r="BA25" s="19">
        <f t="shared" si="31"/>
        <v>56</v>
      </c>
      <c r="BB25" s="24">
        <f t="shared" si="13"/>
        <v>49.725931131412509</v>
      </c>
      <c r="BC25" s="41">
        <f>$H$25*月別販売比率!AQ5</f>
        <v>6.971187631763879</v>
      </c>
      <c r="BD25" s="10">
        <f t="shared" si="32"/>
        <v>56</v>
      </c>
      <c r="BE25" s="21"/>
      <c r="BF25" s="19">
        <f t="shared" si="33"/>
        <v>56</v>
      </c>
      <c r="BG25" s="24">
        <f t="shared" si="14"/>
        <v>49.028812368236117</v>
      </c>
      <c r="BH25" s="41">
        <f>$H$25*月別販売比率!AV5</f>
        <v>4.2450611732621573</v>
      </c>
      <c r="BI25" s="10">
        <f t="shared" si="34"/>
        <v>56</v>
      </c>
      <c r="BJ25" s="21"/>
      <c r="BK25" s="19">
        <f t="shared" si="35"/>
        <v>56</v>
      </c>
      <c r="BL25" s="24">
        <f t="shared" si="15"/>
        <v>51.754938826737842</v>
      </c>
      <c r="BM25" s="41">
        <f>$H$25*月別販売比率!BA5</f>
        <v>3.8775921109913489</v>
      </c>
      <c r="BN25" s="10">
        <f t="shared" si="36"/>
        <v>56</v>
      </c>
      <c r="BO25" s="21"/>
      <c r="BP25" s="19">
        <f t="shared" si="41"/>
        <v>56</v>
      </c>
      <c r="BQ25" s="24">
        <f t="shared" si="16"/>
        <v>52.122407889008649</v>
      </c>
      <c r="BR25" s="41">
        <f>$H$25*月別販売比率!BF5</f>
        <v>5.576950105411103</v>
      </c>
      <c r="BS25" s="10">
        <f t="shared" si="37"/>
        <v>56</v>
      </c>
      <c r="BT25" s="21"/>
      <c r="BU25" s="19">
        <f t="shared" si="38"/>
        <v>56</v>
      </c>
      <c r="BV25" s="24">
        <f t="shared" si="17"/>
        <v>50.4230498945889</v>
      </c>
      <c r="BW25" s="158">
        <f t="shared" si="39"/>
        <v>56</v>
      </c>
      <c r="BX25" s="29">
        <f t="shared" si="40"/>
        <v>-13.711876317638783</v>
      </c>
    </row>
    <row r="26" spans="2:76" ht="30.75" customHeight="1">
      <c r="C26" s="507"/>
      <c r="D26" s="441"/>
      <c r="E26" s="94" t="s">
        <v>49</v>
      </c>
      <c r="F26" s="57">
        <v>31</v>
      </c>
      <c r="G26" s="5">
        <f t="shared" si="18"/>
        <v>136400</v>
      </c>
      <c r="H26" s="7">
        <f t="shared" si="19"/>
        <v>34.855938158819392</v>
      </c>
      <c r="I26" s="5">
        <f t="shared" si="18"/>
        <v>153366.12789880531</v>
      </c>
      <c r="J26" s="9">
        <v>99</v>
      </c>
      <c r="K26" s="21">
        <f t="shared" si="20"/>
        <v>43</v>
      </c>
      <c r="L26" s="21">
        <v>13</v>
      </c>
      <c r="M26" s="21">
        <v>10</v>
      </c>
      <c r="N26" s="95">
        <v>20</v>
      </c>
      <c r="O26" s="41">
        <f>$H$26*月別販売比率!C5</f>
        <v>2.4700399545647742</v>
      </c>
      <c r="P26" s="10">
        <f t="shared" si="1"/>
        <v>43</v>
      </c>
      <c r="Q26" s="21"/>
      <c r="R26" s="19">
        <f t="shared" si="21"/>
        <v>43</v>
      </c>
      <c r="S26" s="24">
        <f t="shared" si="22"/>
        <v>40.529960045435224</v>
      </c>
      <c r="T26" s="41">
        <f>$H$26*月別販売比率!H5</f>
        <v>2.4399156711173577</v>
      </c>
      <c r="U26" s="10">
        <f t="shared" si="23"/>
        <v>43</v>
      </c>
      <c r="V26" s="21"/>
      <c r="W26" s="19">
        <f t="shared" si="24"/>
        <v>43</v>
      </c>
      <c r="X26" s="24">
        <f t="shared" si="2"/>
        <v>40.560084328882645</v>
      </c>
      <c r="Y26" s="41">
        <f>$H$26*月別販売比率!M5</f>
        <v>3.522669698196232</v>
      </c>
      <c r="Z26" s="10">
        <f t="shared" si="25"/>
        <v>43</v>
      </c>
      <c r="AA26" s="21"/>
      <c r="AB26" s="19">
        <f t="shared" si="3"/>
        <v>43</v>
      </c>
      <c r="AC26" s="24">
        <f t="shared" si="4"/>
        <v>39.477330301803768</v>
      </c>
      <c r="AD26" s="41">
        <f>$H$26*月別販売比率!R5</f>
        <v>2.7884750527055515</v>
      </c>
      <c r="AE26" s="10">
        <f t="shared" si="26"/>
        <v>43</v>
      </c>
      <c r="AF26" s="21"/>
      <c r="AG26" s="19">
        <f t="shared" si="5"/>
        <v>43</v>
      </c>
      <c r="AH26" s="24">
        <f t="shared" si="6"/>
        <v>40.21152494729445</v>
      </c>
      <c r="AI26" s="41">
        <f>$H$26*月別販売比率!W5</f>
        <v>2.6548624935282326</v>
      </c>
      <c r="AJ26" s="10">
        <f t="shared" si="27"/>
        <v>43</v>
      </c>
      <c r="AK26" s="39"/>
      <c r="AL26" s="43">
        <f t="shared" si="7"/>
        <v>43</v>
      </c>
      <c r="AM26" s="24">
        <f t="shared" si="8"/>
        <v>40.345137506471765</v>
      </c>
      <c r="AN26" s="41">
        <f>$H$26*月別販売比率!AB5</f>
        <v>4.1827125790583271</v>
      </c>
      <c r="AO26" s="40">
        <f t="shared" si="28"/>
        <v>43</v>
      </c>
      <c r="AP26" s="39"/>
      <c r="AQ26" s="43">
        <f t="shared" si="9"/>
        <v>43</v>
      </c>
      <c r="AR26" s="24">
        <f t="shared" si="10"/>
        <v>38.817287420941675</v>
      </c>
      <c r="AS26" s="41">
        <f>$H$26*月別販売比率!AG5</f>
        <v>3.4855938158819395</v>
      </c>
      <c r="AT26" s="10">
        <f t="shared" si="29"/>
        <v>43</v>
      </c>
      <c r="AU26" s="21"/>
      <c r="AV26" s="10">
        <f t="shared" si="11"/>
        <v>43</v>
      </c>
      <c r="AW26" s="24">
        <f t="shared" si="12"/>
        <v>39.514406184118059</v>
      </c>
      <c r="AX26" s="41">
        <f>$H$26*月別販売比率!AL5</f>
        <v>3.1370344342937453</v>
      </c>
      <c r="AY26" s="10">
        <f t="shared" si="30"/>
        <v>43</v>
      </c>
      <c r="AZ26" s="21"/>
      <c r="BA26" s="40">
        <f t="shared" si="31"/>
        <v>43</v>
      </c>
      <c r="BB26" s="24">
        <f t="shared" si="13"/>
        <v>39.862965565706254</v>
      </c>
      <c r="BC26" s="41">
        <f>$H$26*月別販売比率!AQ5</f>
        <v>3.4855938158819395</v>
      </c>
      <c r="BD26" s="40">
        <f t="shared" si="32"/>
        <v>43</v>
      </c>
      <c r="BE26" s="39"/>
      <c r="BF26" s="43">
        <f t="shared" si="33"/>
        <v>43</v>
      </c>
      <c r="BG26" s="24">
        <f t="shared" si="14"/>
        <v>39.514406184118059</v>
      </c>
      <c r="BH26" s="41">
        <f>$H$26*月別販売比率!AV5</f>
        <v>2.1225305866310786</v>
      </c>
      <c r="BI26" s="40">
        <f t="shared" si="34"/>
        <v>43</v>
      </c>
      <c r="BJ26" s="39"/>
      <c r="BK26" s="43">
        <f t="shared" si="35"/>
        <v>43</v>
      </c>
      <c r="BL26" s="24">
        <f t="shared" si="15"/>
        <v>40.877469413368921</v>
      </c>
      <c r="BM26" s="41">
        <f>$H$26*月別販売比率!BA5</f>
        <v>1.9387960554956745</v>
      </c>
      <c r="BN26" s="40">
        <f t="shared" si="36"/>
        <v>43</v>
      </c>
      <c r="BO26" s="39"/>
      <c r="BP26" s="43">
        <f t="shared" si="41"/>
        <v>43</v>
      </c>
      <c r="BQ26" s="24">
        <f t="shared" si="16"/>
        <v>41.061203944504328</v>
      </c>
      <c r="BR26" s="41">
        <f>$H$26*月別販売比率!BF5</f>
        <v>2.7884750527055515</v>
      </c>
      <c r="BS26" s="10">
        <f t="shared" si="37"/>
        <v>43</v>
      </c>
      <c r="BT26" s="21"/>
      <c r="BU26" s="19">
        <f t="shared" si="38"/>
        <v>43</v>
      </c>
      <c r="BV26" s="24">
        <f t="shared" si="17"/>
        <v>40.21152494729445</v>
      </c>
      <c r="BW26" s="158">
        <f t="shared" si="39"/>
        <v>43</v>
      </c>
      <c r="BX26" s="29">
        <f t="shared" si="40"/>
        <v>8.1440618411806085</v>
      </c>
    </row>
    <row r="27" spans="2:76" ht="30.75" customHeight="1">
      <c r="C27" s="508"/>
      <c r="D27" s="444"/>
      <c r="E27" s="101" t="s">
        <v>50</v>
      </c>
      <c r="F27" s="58">
        <v>32</v>
      </c>
      <c r="G27" s="35">
        <f t="shared" si="18"/>
        <v>140800</v>
      </c>
      <c r="H27" s="181">
        <f t="shared" si="19"/>
        <v>35.980323260716794</v>
      </c>
      <c r="I27" s="35">
        <f t="shared" si="18"/>
        <v>158313.42234715389</v>
      </c>
      <c r="J27" s="113">
        <v>8</v>
      </c>
      <c r="K27" s="104">
        <f t="shared" si="20"/>
        <v>50</v>
      </c>
      <c r="L27" s="103">
        <v>15</v>
      </c>
      <c r="M27" s="103">
        <v>10</v>
      </c>
      <c r="N27" s="117">
        <v>25</v>
      </c>
      <c r="O27" s="81">
        <f>$H$27*月別販売比率!C5</f>
        <v>2.5497186627765411</v>
      </c>
      <c r="P27" s="80">
        <f t="shared" si="1"/>
        <v>50</v>
      </c>
      <c r="Q27" s="79"/>
      <c r="R27" s="78">
        <f t="shared" si="21"/>
        <v>50</v>
      </c>
      <c r="S27" s="195">
        <f t="shared" si="22"/>
        <v>47.450281337223458</v>
      </c>
      <c r="T27" s="81">
        <f>$H$27*月別販売比率!H5</f>
        <v>2.518622628250176</v>
      </c>
      <c r="U27" s="79">
        <f>K27</f>
        <v>50</v>
      </c>
      <c r="V27" s="107"/>
      <c r="W27" s="80">
        <f t="shared" si="24"/>
        <v>50</v>
      </c>
      <c r="X27" s="195">
        <f t="shared" si="2"/>
        <v>47.481377371749822</v>
      </c>
      <c r="Y27" s="81">
        <f>$H$27*月別販売比率!M5</f>
        <v>3.636304204589659</v>
      </c>
      <c r="Z27" s="106">
        <f t="shared" si="25"/>
        <v>50</v>
      </c>
      <c r="AA27" s="107"/>
      <c r="AB27" s="80">
        <f t="shared" si="3"/>
        <v>50</v>
      </c>
      <c r="AC27" s="195">
        <f t="shared" si="4"/>
        <v>46.363695795410344</v>
      </c>
      <c r="AD27" s="81">
        <f>$H$27*月別販売比率!R5</f>
        <v>2.8784258608573436</v>
      </c>
      <c r="AE27" s="106">
        <f t="shared" si="26"/>
        <v>50</v>
      </c>
      <c r="AF27" s="107"/>
      <c r="AG27" s="2">
        <f>K27+AF27</f>
        <v>50</v>
      </c>
      <c r="AH27" s="195">
        <f t="shared" si="6"/>
        <v>47.121574139142659</v>
      </c>
      <c r="AI27" s="81">
        <f>$H$27*月別販売比率!W5</f>
        <v>2.7405032191259178</v>
      </c>
      <c r="AJ27" s="106">
        <f t="shared" si="27"/>
        <v>50</v>
      </c>
      <c r="AK27" s="107"/>
      <c r="AL27" s="2">
        <f t="shared" si="7"/>
        <v>50</v>
      </c>
      <c r="AM27" s="195">
        <f t="shared" si="8"/>
        <v>47.25949678087408</v>
      </c>
      <c r="AN27" s="81">
        <f>$H$27*月別販売比率!AB5</f>
        <v>4.317638791286015</v>
      </c>
      <c r="AO27" s="106">
        <f t="shared" si="28"/>
        <v>50</v>
      </c>
      <c r="AP27" s="107"/>
      <c r="AQ27" s="2">
        <f t="shared" si="9"/>
        <v>50</v>
      </c>
      <c r="AR27" s="195">
        <f t="shared" si="10"/>
        <v>45.682361208713985</v>
      </c>
      <c r="AS27" s="81">
        <f>$H$27*月別販売比率!AG5</f>
        <v>3.5980323260716798</v>
      </c>
      <c r="AT27" s="106">
        <f t="shared" si="29"/>
        <v>50</v>
      </c>
      <c r="AU27" s="107"/>
      <c r="AV27" s="106">
        <f t="shared" si="11"/>
        <v>50</v>
      </c>
      <c r="AW27" s="195">
        <f t="shared" si="12"/>
        <v>46.401967673928318</v>
      </c>
      <c r="AX27" s="81">
        <f>$H$27*月別販売比率!AL5</f>
        <v>3.2382290934645113</v>
      </c>
      <c r="AY27" s="106">
        <f t="shared" si="30"/>
        <v>50</v>
      </c>
      <c r="AZ27" s="107"/>
      <c r="BA27" s="80">
        <f t="shared" si="31"/>
        <v>50</v>
      </c>
      <c r="BB27" s="195">
        <f t="shared" si="13"/>
        <v>46.761770906535489</v>
      </c>
      <c r="BC27" s="81">
        <f>$H$27*月別販売比率!AQ5</f>
        <v>3.5980323260716798</v>
      </c>
      <c r="BD27" s="106">
        <f>K27</f>
        <v>50</v>
      </c>
      <c r="BE27" s="107"/>
      <c r="BF27" s="2">
        <f t="shared" si="33"/>
        <v>50</v>
      </c>
      <c r="BG27" s="195">
        <f t="shared" si="14"/>
        <v>46.401967673928318</v>
      </c>
      <c r="BH27" s="81">
        <f>$H$27*月別販売比率!AV5</f>
        <v>2.1909993152320815</v>
      </c>
      <c r="BI27" s="106">
        <f t="shared" si="34"/>
        <v>50</v>
      </c>
      <c r="BJ27" s="107"/>
      <c r="BK27" s="2">
        <f t="shared" si="35"/>
        <v>50</v>
      </c>
      <c r="BL27" s="195">
        <f t="shared" si="15"/>
        <v>47.809000684767916</v>
      </c>
      <c r="BM27" s="81">
        <f>$H$27*月別販売比率!BA5</f>
        <v>2.0013378637374708</v>
      </c>
      <c r="BN27" s="106">
        <f t="shared" si="36"/>
        <v>50</v>
      </c>
      <c r="BO27" s="107"/>
      <c r="BP27" s="2">
        <f t="shared" si="41"/>
        <v>50</v>
      </c>
      <c r="BQ27" s="195">
        <f t="shared" si="16"/>
        <v>47.998662136262531</v>
      </c>
      <c r="BR27" s="81">
        <f>$H$27*月別販売比率!BF5</f>
        <v>2.8784258608573436</v>
      </c>
      <c r="BS27" s="106">
        <f t="shared" si="37"/>
        <v>50</v>
      </c>
      <c r="BT27" s="107"/>
      <c r="BU27" s="2">
        <f t="shared" si="38"/>
        <v>50</v>
      </c>
      <c r="BV27" s="92">
        <f t="shared" si="17"/>
        <v>47.121574139142659</v>
      </c>
      <c r="BW27" s="159">
        <f t="shared" si="39"/>
        <v>50</v>
      </c>
      <c r="BX27" s="116">
        <f t="shared" si="40"/>
        <v>14.019676739283206</v>
      </c>
    </row>
    <row r="28" spans="2:76" ht="30.75" customHeight="1">
      <c r="B28" s="2">
        <v>2</v>
      </c>
      <c r="C28" s="435" t="s">
        <v>10</v>
      </c>
      <c r="D28" s="436"/>
      <c r="E28" s="445"/>
      <c r="F28" s="130">
        <v>927</v>
      </c>
      <c r="G28" s="131">
        <v>4080032.6324999998</v>
      </c>
      <c r="H28" s="132">
        <v>970</v>
      </c>
      <c r="I28" s="131">
        <f t="shared" ref="I28:I259" si="42">G28/F28*H28</f>
        <v>4269289.8096278319</v>
      </c>
      <c r="J28" s="133">
        <f>SUM(J30:J37)</f>
        <v>75</v>
      </c>
      <c r="K28" s="134">
        <f>SUM(K30:K37)</f>
        <v>91</v>
      </c>
      <c r="L28" s="134">
        <f t="shared" ref="L28:N28" si="43">SUM(L30:L37)</f>
        <v>36</v>
      </c>
      <c r="M28" s="134">
        <f t="shared" si="43"/>
        <v>55</v>
      </c>
      <c r="N28" s="135">
        <f t="shared" si="43"/>
        <v>0</v>
      </c>
      <c r="O28" s="150">
        <f>H28/12</f>
        <v>80.833333333333329</v>
      </c>
      <c r="P28" s="151">
        <f>K28</f>
        <v>91</v>
      </c>
      <c r="Q28" s="148">
        <f>SUM(Q30:Q37)</f>
        <v>0</v>
      </c>
      <c r="R28" s="152">
        <f>Q28+K28</f>
        <v>91</v>
      </c>
      <c r="S28" s="153">
        <f t="shared" si="22"/>
        <v>10.166666666666671</v>
      </c>
      <c r="T28" s="150">
        <f>H28/12</f>
        <v>80.833333333333329</v>
      </c>
      <c r="U28" s="151">
        <f>K28</f>
        <v>91</v>
      </c>
      <c r="V28" s="148">
        <f>SUM(V30:V37)</f>
        <v>0</v>
      </c>
      <c r="W28" s="152">
        <f t="shared" ref="W28:W30" si="44">K28+V28</f>
        <v>91</v>
      </c>
      <c r="X28" s="153">
        <f t="shared" si="2"/>
        <v>10.166666666666671</v>
      </c>
      <c r="Y28" s="150">
        <f>H28/12</f>
        <v>80.833333333333329</v>
      </c>
      <c r="Z28" s="151">
        <f>K28</f>
        <v>91</v>
      </c>
      <c r="AA28" s="148">
        <f>SUM(AA30:AA37)</f>
        <v>0</v>
      </c>
      <c r="AB28" s="152">
        <f>K28+AA28</f>
        <v>91</v>
      </c>
      <c r="AC28" s="153">
        <f t="shared" si="4"/>
        <v>10.166666666666671</v>
      </c>
      <c r="AD28" s="150">
        <f>H28/12</f>
        <v>80.833333333333329</v>
      </c>
      <c r="AE28" s="151">
        <f>K28</f>
        <v>91</v>
      </c>
      <c r="AF28" s="148">
        <f>SUM(AF30:AF37)</f>
        <v>500</v>
      </c>
      <c r="AG28" s="152">
        <f>K28+AF28</f>
        <v>591</v>
      </c>
      <c r="AH28" s="153">
        <f t="shared" si="6"/>
        <v>510.16666666666669</v>
      </c>
      <c r="AI28" s="150">
        <f>H28/12</f>
        <v>80.833333333333329</v>
      </c>
      <c r="AJ28" s="151">
        <f>K28</f>
        <v>91</v>
      </c>
      <c r="AK28" s="148">
        <f>SUM(AK30:AK37)</f>
        <v>470</v>
      </c>
      <c r="AL28" s="152">
        <f t="shared" si="7"/>
        <v>561</v>
      </c>
      <c r="AM28" s="153">
        <f t="shared" si="8"/>
        <v>480.16666666666669</v>
      </c>
      <c r="AN28" s="150">
        <f>H28/12</f>
        <v>80.833333333333329</v>
      </c>
      <c r="AO28" s="151">
        <f>K28</f>
        <v>91</v>
      </c>
      <c r="AP28" s="148">
        <f>SUM(AP30:AP37)</f>
        <v>0</v>
      </c>
      <c r="AQ28" s="152">
        <f t="shared" si="9"/>
        <v>91</v>
      </c>
      <c r="AR28" s="153">
        <f t="shared" si="10"/>
        <v>10.166666666666671</v>
      </c>
      <c r="AS28" s="150">
        <f>H28/12</f>
        <v>80.833333333333329</v>
      </c>
      <c r="AT28" s="151">
        <f>K28</f>
        <v>91</v>
      </c>
      <c r="AU28" s="148">
        <f>SUM(AU30:AU37)</f>
        <v>0</v>
      </c>
      <c r="AV28" s="152">
        <f t="shared" si="11"/>
        <v>91</v>
      </c>
      <c r="AW28" s="153">
        <f t="shared" si="12"/>
        <v>10.166666666666671</v>
      </c>
      <c r="AX28" s="150">
        <f>H28/12</f>
        <v>80.833333333333329</v>
      </c>
      <c r="AY28" s="151">
        <f>K28</f>
        <v>91</v>
      </c>
      <c r="AZ28" s="148">
        <f>SUM(AZ30:AZ37)</f>
        <v>0</v>
      </c>
      <c r="BA28" s="152">
        <f t="shared" ref="BA28:BA37" si="45">K28+AZ28</f>
        <v>91</v>
      </c>
      <c r="BB28" s="153">
        <f t="shared" si="13"/>
        <v>10.166666666666671</v>
      </c>
      <c r="BC28" s="150">
        <f>H28/12</f>
        <v>80.833333333333329</v>
      </c>
      <c r="BD28" s="151">
        <f>K28</f>
        <v>91</v>
      </c>
      <c r="BE28" s="148">
        <f>SUM(BE30:BE37)</f>
        <v>0</v>
      </c>
      <c r="BF28" s="152">
        <f t="shared" ref="BF28:BF37" si="46">K28+BE28</f>
        <v>91</v>
      </c>
      <c r="BG28" s="153">
        <f t="shared" si="14"/>
        <v>10.166666666666671</v>
      </c>
      <c r="BH28" s="150">
        <f>H28/12</f>
        <v>80.833333333333329</v>
      </c>
      <c r="BI28" s="151">
        <f>K28</f>
        <v>91</v>
      </c>
      <c r="BJ28" s="148">
        <f>SUM(BJ30:BJ37)</f>
        <v>0</v>
      </c>
      <c r="BK28" s="152">
        <f t="shared" ref="BK28:BK37" si="47">K28+BJ28</f>
        <v>91</v>
      </c>
      <c r="BL28" s="153">
        <f t="shared" si="15"/>
        <v>10.166666666666671</v>
      </c>
      <c r="BM28" s="150">
        <f>H28/12</f>
        <v>80.833333333333329</v>
      </c>
      <c r="BN28" s="151">
        <f>K28</f>
        <v>91</v>
      </c>
      <c r="BO28" s="148">
        <f>SUM(BO30:BO37)</f>
        <v>0</v>
      </c>
      <c r="BP28" s="152">
        <f t="shared" ref="BP28:BP37" si="48">K28+BO28</f>
        <v>91</v>
      </c>
      <c r="BQ28" s="153">
        <f t="shared" si="16"/>
        <v>10.166666666666671</v>
      </c>
      <c r="BR28" s="150">
        <f>H28/12</f>
        <v>80.833333333333329</v>
      </c>
      <c r="BS28" s="151">
        <f>K28</f>
        <v>91</v>
      </c>
      <c r="BT28" s="148">
        <f>SUM(BT30:BT37)</f>
        <v>0</v>
      </c>
      <c r="BU28" s="203">
        <f>K28+BT28</f>
        <v>91</v>
      </c>
      <c r="BV28" s="153">
        <f t="shared" si="17"/>
        <v>10.166666666666671</v>
      </c>
      <c r="BW28" s="204">
        <f>AF28+AA28+V28+Q28+AK28+AP28+AU28+AZ28+BE28+BJ28+BO28+BT28+K28</f>
        <v>1061</v>
      </c>
      <c r="BX28" s="205">
        <f t="shared" ref="BX28:BX259" si="49">BW28-H28</f>
        <v>91</v>
      </c>
    </row>
    <row r="29" spans="2:76" ht="30.75" customHeight="1">
      <c r="C29" s="167" t="s">
        <v>81</v>
      </c>
      <c r="D29" s="168"/>
      <c r="E29" s="169"/>
      <c r="F29" s="170">
        <f>SUM(F30:F37)</f>
        <v>925</v>
      </c>
      <c r="G29" s="171">
        <f>SUM(G30:G37)</f>
        <v>4070000</v>
      </c>
      <c r="H29" s="170">
        <f>SUM(H30:H37)</f>
        <v>967.90722761596533</v>
      </c>
      <c r="I29" s="171">
        <f>SUM(I30:I37)</f>
        <v>4258791.8015102465</v>
      </c>
      <c r="J29" s="172"/>
      <c r="K29" s="173"/>
      <c r="L29" s="173"/>
      <c r="M29" s="173"/>
      <c r="N29" s="174"/>
      <c r="O29" s="175">
        <f>SUM(O30:O37)</f>
        <v>68.59002083461445</v>
      </c>
      <c r="P29" s="176"/>
      <c r="Q29" s="173"/>
      <c r="R29" s="177"/>
      <c r="S29" s="178"/>
      <c r="T29" s="175">
        <f>SUM(T30:T37)</f>
        <v>67.75350593311758</v>
      </c>
      <c r="U29" s="176"/>
      <c r="V29" s="173"/>
      <c r="W29" s="177"/>
      <c r="X29" s="178"/>
      <c r="Y29" s="175">
        <f>SUM(Y30:Y37)</f>
        <v>97.82027515231772</v>
      </c>
      <c r="Z29" s="176"/>
      <c r="AA29" s="173"/>
      <c r="AB29" s="177"/>
      <c r="AC29" s="178"/>
      <c r="AD29" s="175">
        <f>SUM(AD30:AD37)</f>
        <v>77.432578209277239</v>
      </c>
      <c r="AE29" s="176"/>
      <c r="AF29" s="173"/>
      <c r="AG29" s="177"/>
      <c r="AH29" s="178"/>
      <c r="AI29" s="175">
        <f>SUM(AI30:AI37)</f>
        <v>73.722319109701971</v>
      </c>
      <c r="AJ29" s="176"/>
      <c r="AK29" s="173"/>
      <c r="AL29" s="177"/>
      <c r="AM29" s="178"/>
      <c r="AN29" s="175">
        <f>SUM(AN30:AN37)</f>
        <v>116.14886731391584</v>
      </c>
      <c r="AO29" s="176"/>
      <c r="AP29" s="173"/>
      <c r="AQ29" s="177"/>
      <c r="AR29" s="178"/>
      <c r="AS29" s="175">
        <f>SUM(AS30:AS37)</f>
        <v>96.790722761596555</v>
      </c>
      <c r="AT29" s="176"/>
      <c r="AU29" s="173"/>
      <c r="AV29" s="177"/>
      <c r="AW29" s="178"/>
      <c r="AX29" s="175">
        <f>SUM(AX30:AX37)</f>
        <v>87.111650485436883</v>
      </c>
      <c r="AY29" s="176"/>
      <c r="AZ29" s="173"/>
      <c r="BA29" s="177"/>
      <c r="BB29" s="178"/>
      <c r="BC29" s="175">
        <f>SUM(BC30:BC37)</f>
        <v>96.790722761596555</v>
      </c>
      <c r="BD29" s="176"/>
      <c r="BE29" s="173"/>
      <c r="BF29" s="177"/>
      <c r="BG29" s="178"/>
      <c r="BH29" s="175">
        <f>SUM(BH30:BH37)</f>
        <v>58.94010616714273</v>
      </c>
      <c r="BI29" s="176"/>
      <c r="BJ29" s="173"/>
      <c r="BK29" s="177"/>
      <c r="BL29" s="178"/>
      <c r="BM29" s="175">
        <f>SUM(BM30:BM37)</f>
        <v>53.838020552970519</v>
      </c>
      <c r="BN29" s="176"/>
      <c r="BO29" s="173"/>
      <c r="BP29" s="177"/>
      <c r="BQ29" s="178"/>
      <c r="BR29" s="175">
        <f>SUM(BR30:BR37)</f>
        <v>77.432578209277239</v>
      </c>
      <c r="BS29" s="176"/>
      <c r="BT29" s="173"/>
      <c r="BU29" s="177"/>
      <c r="BV29" s="178"/>
      <c r="BW29" s="179"/>
      <c r="BX29" s="180"/>
    </row>
    <row r="30" spans="2:76" ht="30.75" customHeight="1">
      <c r="C30" s="491" t="s">
        <v>106</v>
      </c>
      <c r="D30" s="441">
        <v>1</v>
      </c>
      <c r="E30" s="94" t="s">
        <v>47</v>
      </c>
      <c r="F30" s="57">
        <v>152</v>
      </c>
      <c r="G30" s="5">
        <f t="shared" si="18"/>
        <v>668800</v>
      </c>
      <c r="H30" s="45">
        <f>F30*($H$28/$F$28)</f>
        <v>159.05070118662351</v>
      </c>
      <c r="I30" s="5">
        <f t="shared" ref="I30" si="50">H30*4400</f>
        <v>699823.08522114344</v>
      </c>
      <c r="J30" s="9">
        <v>0</v>
      </c>
      <c r="K30" s="21">
        <f>SUM(L30:N30)</f>
        <v>6</v>
      </c>
      <c r="L30" s="21">
        <v>2</v>
      </c>
      <c r="M30" s="21">
        <v>4</v>
      </c>
      <c r="N30" s="42"/>
      <c r="O30" s="81">
        <f>$H$30*月別販売比率!C5</f>
        <v>11.271008829039351</v>
      </c>
      <c r="P30" s="39">
        <f t="shared" ref="P30:P37" si="51">K30</f>
        <v>6</v>
      </c>
      <c r="Q30" s="21"/>
      <c r="R30" s="19">
        <f>Q30+K30</f>
        <v>6</v>
      </c>
      <c r="S30" s="91">
        <f t="shared" si="22"/>
        <v>-5.2710088290393511</v>
      </c>
      <c r="T30" s="81">
        <f>$H$30*月別販売比率!H5</f>
        <v>11.133549083063647</v>
      </c>
      <c r="U30" s="39">
        <f t="shared" ref="U30:U37" si="52">K30</f>
        <v>6</v>
      </c>
      <c r="V30" s="21"/>
      <c r="W30" s="19">
        <f t="shared" si="44"/>
        <v>6</v>
      </c>
      <c r="X30" s="24">
        <f t="shared" si="2"/>
        <v>-5.133549083063647</v>
      </c>
      <c r="Y30" s="81">
        <f>$H$30*月別販売比率!M5</f>
        <v>16.074250619624106</v>
      </c>
      <c r="Z30" s="39">
        <f t="shared" ref="Z30:Z37" si="53">K30</f>
        <v>6</v>
      </c>
      <c r="AA30" s="21"/>
      <c r="AB30" s="40">
        <f>K30+AA30</f>
        <v>6</v>
      </c>
      <c r="AC30" s="24">
        <f t="shared" si="4"/>
        <v>-10.074250619624106</v>
      </c>
      <c r="AD30" s="81">
        <f>$H$30*月別販売比率!R5</f>
        <v>12.724056094929882</v>
      </c>
      <c r="AE30" s="39">
        <f t="shared" ref="AE30:AE37" si="54">K30</f>
        <v>6</v>
      </c>
      <c r="AF30" s="21">
        <v>100</v>
      </c>
      <c r="AG30" s="40">
        <f t="shared" ref="AG30:AG37" si="55">K30+AF30</f>
        <v>106</v>
      </c>
      <c r="AH30" s="24">
        <f t="shared" si="6"/>
        <v>93.275943905070122</v>
      </c>
      <c r="AI30" s="81">
        <f>$H$30*月別販売比率!W5</f>
        <v>12.114370275323997</v>
      </c>
      <c r="AJ30" s="39">
        <f t="shared" ref="AJ30:AJ37" si="56">K30</f>
        <v>6</v>
      </c>
      <c r="AK30" s="21">
        <v>100</v>
      </c>
      <c r="AL30" s="40">
        <f t="shared" si="7"/>
        <v>106</v>
      </c>
      <c r="AM30" s="24">
        <f t="shared" si="8"/>
        <v>93.885629724676008</v>
      </c>
      <c r="AN30" s="81">
        <f>$H$30*月別販売比率!AB5</f>
        <v>19.086084142394821</v>
      </c>
      <c r="AO30" s="21">
        <f t="shared" ref="AO30:AO37" si="57">K30</f>
        <v>6</v>
      </c>
      <c r="AP30" s="21"/>
      <c r="AQ30" s="40">
        <f t="shared" si="9"/>
        <v>6</v>
      </c>
      <c r="AR30" s="24">
        <f t="shared" si="10"/>
        <v>-13.086084142394821</v>
      </c>
      <c r="AS30" s="81">
        <f>$H$30*月別販売比率!AG5</f>
        <v>15.905070118662351</v>
      </c>
      <c r="AT30" s="39">
        <f t="shared" ref="AT30:AT37" si="58">K30</f>
        <v>6</v>
      </c>
      <c r="AU30" s="21"/>
      <c r="AV30" s="40">
        <f t="shared" si="11"/>
        <v>6</v>
      </c>
      <c r="AW30" s="24">
        <f t="shared" si="12"/>
        <v>-9.9050701186623513</v>
      </c>
      <c r="AX30" s="81">
        <f>$H$30*月別販売比率!AL5</f>
        <v>14.314563106796117</v>
      </c>
      <c r="AY30" s="39">
        <f t="shared" ref="AY30:AY37" si="59">K30</f>
        <v>6</v>
      </c>
      <c r="AZ30" s="21"/>
      <c r="BA30" s="19">
        <f t="shared" si="45"/>
        <v>6</v>
      </c>
      <c r="BB30" s="24">
        <f t="shared" si="13"/>
        <v>-8.3145631067961165</v>
      </c>
      <c r="BC30" s="81">
        <f>$H$30*月別販売比率!AQ5</f>
        <v>15.905070118662351</v>
      </c>
      <c r="BD30" s="10">
        <f t="shared" ref="BD30:BD37" si="60">K30</f>
        <v>6</v>
      </c>
      <c r="BE30" s="21"/>
      <c r="BF30" s="19">
        <f t="shared" si="46"/>
        <v>6</v>
      </c>
      <c r="BG30" s="24">
        <f t="shared" si="14"/>
        <v>-9.9050701186623513</v>
      </c>
      <c r="BH30" s="81">
        <f>$H$30*月別販売比率!AV5</f>
        <v>9.6852931215196705</v>
      </c>
      <c r="BI30" s="10">
        <f t="shared" ref="BI30:BI37" si="61">K30</f>
        <v>6</v>
      </c>
      <c r="BJ30" s="21"/>
      <c r="BK30" s="19">
        <f t="shared" si="47"/>
        <v>6</v>
      </c>
      <c r="BL30" s="24">
        <f t="shared" si="15"/>
        <v>-3.6852931215196705</v>
      </c>
      <c r="BM30" s="81">
        <f>$H$30*月別販売比率!BA5</f>
        <v>8.8468963503259666</v>
      </c>
      <c r="BN30" s="10">
        <f>K30</f>
        <v>6</v>
      </c>
      <c r="BO30" s="21"/>
      <c r="BP30" s="19">
        <f t="shared" si="48"/>
        <v>6</v>
      </c>
      <c r="BQ30" s="24">
        <f t="shared" si="16"/>
        <v>-2.8468963503259666</v>
      </c>
      <c r="BR30" s="81">
        <f>$H$30*月別販売比率!BF5</f>
        <v>12.724056094929882</v>
      </c>
      <c r="BS30" s="10">
        <f>K30</f>
        <v>6</v>
      </c>
      <c r="BT30" s="21"/>
      <c r="BU30" s="40">
        <f>K30+BT30</f>
        <v>6</v>
      </c>
      <c r="BV30" s="24">
        <f t="shared" si="17"/>
        <v>-6.7240560949298818</v>
      </c>
      <c r="BW30" s="157">
        <f t="shared" ref="BW30:BW37" si="62">AF30+AA30+V30+Q30+AK30+AP30+AU30+AZ30+BE30+BJ30+BO30+BT30+K30</f>
        <v>206</v>
      </c>
      <c r="BX30" s="51">
        <f t="shared" si="49"/>
        <v>46.949298813376487</v>
      </c>
    </row>
    <row r="31" spans="2:76" ht="30.75" customHeight="1">
      <c r="C31" s="504"/>
      <c r="D31" s="441"/>
      <c r="E31" s="94" t="s">
        <v>51</v>
      </c>
      <c r="F31" s="57">
        <v>182</v>
      </c>
      <c r="G31" s="5">
        <f t="shared" si="18"/>
        <v>800800</v>
      </c>
      <c r="H31" s="7">
        <f t="shared" ref="H31:H37" si="63">F31*($H$28/$F$28)</f>
        <v>190.4422869471413</v>
      </c>
      <c r="I31" s="5">
        <f t="shared" ref="I31" si="64">H31*4400</f>
        <v>837946.0625674217</v>
      </c>
      <c r="J31" s="9">
        <v>0</v>
      </c>
      <c r="K31" s="21">
        <f t="shared" si="20"/>
        <v>3</v>
      </c>
      <c r="L31" s="21">
        <v>1</v>
      </c>
      <c r="M31" s="21">
        <v>2</v>
      </c>
      <c r="N31" s="95"/>
      <c r="O31" s="81">
        <f>$H$31*月別販売比率!C5</f>
        <v>13.495550045297117</v>
      </c>
      <c r="P31" s="39">
        <f t="shared" si="51"/>
        <v>3</v>
      </c>
      <c r="Q31" s="21"/>
      <c r="R31" s="19">
        <f t="shared" ref="R31:R37" si="65">Q31+K31</f>
        <v>3</v>
      </c>
      <c r="S31" s="24">
        <f t="shared" si="22"/>
        <v>-10.495550045297117</v>
      </c>
      <c r="T31" s="81">
        <f>$H$31*月別販売比率!H5</f>
        <v>13.330960086299893</v>
      </c>
      <c r="U31" s="39">
        <f t="shared" si="52"/>
        <v>3</v>
      </c>
      <c r="V31" s="21"/>
      <c r="W31" s="19">
        <f t="shared" ref="W31:W37" si="66">K31+V31</f>
        <v>3</v>
      </c>
      <c r="X31" s="24">
        <f t="shared" si="2"/>
        <v>-10.330960086299893</v>
      </c>
      <c r="Y31" s="81">
        <f>$H$31*月別販売比率!M5</f>
        <v>19.246800084023597</v>
      </c>
      <c r="Z31" s="39">
        <f t="shared" si="53"/>
        <v>3</v>
      </c>
      <c r="AA31" s="21"/>
      <c r="AB31" s="10">
        <f t="shared" ref="AB31:AB37" si="67">K31+AA31</f>
        <v>3</v>
      </c>
      <c r="AC31" s="24">
        <f t="shared" si="4"/>
        <v>-16.246800084023597</v>
      </c>
      <c r="AD31" s="81">
        <f>$H$31*月別販売比率!R5</f>
        <v>15.235382955771303</v>
      </c>
      <c r="AE31" s="39">
        <f t="shared" si="54"/>
        <v>3</v>
      </c>
      <c r="AF31" s="21">
        <v>100</v>
      </c>
      <c r="AG31" s="40">
        <f t="shared" si="55"/>
        <v>103</v>
      </c>
      <c r="AH31" s="24">
        <f t="shared" si="6"/>
        <v>87.7646170442287</v>
      </c>
      <c r="AI31" s="81">
        <f>$H$31*月別販売比率!W5</f>
        <v>14.505364408611626</v>
      </c>
      <c r="AJ31" s="39">
        <f t="shared" si="56"/>
        <v>3</v>
      </c>
      <c r="AK31" s="21">
        <v>100</v>
      </c>
      <c r="AL31" s="10">
        <f t="shared" si="7"/>
        <v>103</v>
      </c>
      <c r="AM31" s="24">
        <f t="shared" si="8"/>
        <v>88.494635591388374</v>
      </c>
      <c r="AN31" s="81">
        <f>$H$31*月別販売比率!AB5</f>
        <v>22.853074433656953</v>
      </c>
      <c r="AO31" s="21">
        <f t="shared" si="57"/>
        <v>3</v>
      </c>
      <c r="AP31" s="21"/>
      <c r="AQ31" s="10">
        <f t="shared" si="9"/>
        <v>3</v>
      </c>
      <c r="AR31" s="24">
        <f t="shared" si="10"/>
        <v>-19.853074433656953</v>
      </c>
      <c r="AS31" s="81">
        <f>$H$31*月別販売比率!AG5</f>
        <v>19.044228694714132</v>
      </c>
      <c r="AT31" s="39">
        <f t="shared" si="58"/>
        <v>3</v>
      </c>
      <c r="AU31" s="21"/>
      <c r="AV31" s="10">
        <f t="shared" si="11"/>
        <v>3</v>
      </c>
      <c r="AW31" s="24">
        <f t="shared" si="12"/>
        <v>-16.044228694714132</v>
      </c>
      <c r="AX31" s="81">
        <f>$H$31*月別販売比率!AL5</f>
        <v>17.139805825242718</v>
      </c>
      <c r="AY31" s="39">
        <f t="shared" si="59"/>
        <v>3</v>
      </c>
      <c r="AZ31" s="21"/>
      <c r="BA31" s="19">
        <f t="shared" si="45"/>
        <v>3</v>
      </c>
      <c r="BB31" s="24">
        <f t="shared" si="13"/>
        <v>-14.139805825242718</v>
      </c>
      <c r="BC31" s="81">
        <f>$H$31*月別販売比率!AQ5</f>
        <v>19.044228694714132</v>
      </c>
      <c r="BD31" s="10">
        <f t="shared" si="60"/>
        <v>3</v>
      </c>
      <c r="BE31" s="21"/>
      <c r="BF31" s="19">
        <f t="shared" si="46"/>
        <v>3</v>
      </c>
      <c r="BG31" s="24">
        <f t="shared" si="14"/>
        <v>-16.044228694714132</v>
      </c>
      <c r="BH31" s="81">
        <f>$H$31*月別販売比率!AV5</f>
        <v>11.596864132345919</v>
      </c>
      <c r="BI31" s="10">
        <f t="shared" si="61"/>
        <v>3</v>
      </c>
      <c r="BJ31" s="21"/>
      <c r="BK31" s="19">
        <f t="shared" si="47"/>
        <v>3</v>
      </c>
      <c r="BL31" s="24">
        <f t="shared" si="15"/>
        <v>-8.5968641323459192</v>
      </c>
      <c r="BM31" s="81">
        <f>$H$31*月別販売比率!BA5</f>
        <v>10.592994314206091</v>
      </c>
      <c r="BN31" s="10">
        <f t="shared" ref="BN31:BN37" si="68">K31</f>
        <v>3</v>
      </c>
      <c r="BO31" s="21"/>
      <c r="BP31" s="19">
        <f t="shared" si="48"/>
        <v>3</v>
      </c>
      <c r="BQ31" s="24">
        <f t="shared" si="16"/>
        <v>-7.5929943142060914</v>
      </c>
      <c r="BR31" s="81">
        <f>$H$31*月別販売比率!BF5</f>
        <v>15.235382955771303</v>
      </c>
      <c r="BS31" s="10">
        <f t="shared" ref="BS31:BS37" si="69">K31</f>
        <v>3</v>
      </c>
      <c r="BT31" s="21"/>
      <c r="BU31" s="40">
        <f t="shared" ref="BU31:BU37" si="70">K31+BT31</f>
        <v>3</v>
      </c>
      <c r="BV31" s="24">
        <f t="shared" si="17"/>
        <v>-12.235382955771303</v>
      </c>
      <c r="BW31" s="157">
        <f t="shared" si="62"/>
        <v>203</v>
      </c>
      <c r="BX31" s="29">
        <f t="shared" si="49"/>
        <v>12.557713052858702</v>
      </c>
    </row>
    <row r="32" spans="2:76" ht="30.75" customHeight="1">
      <c r="C32" s="504"/>
      <c r="D32" s="441"/>
      <c r="E32" s="94" t="s">
        <v>49</v>
      </c>
      <c r="F32" s="57">
        <v>77</v>
      </c>
      <c r="G32" s="5">
        <f t="shared" si="18"/>
        <v>338800</v>
      </c>
      <c r="H32" s="7">
        <f t="shared" si="63"/>
        <v>80.571736785329009</v>
      </c>
      <c r="I32" s="5">
        <f t="shared" ref="I32" si="71">H32*4400</f>
        <v>354515.64185544761</v>
      </c>
      <c r="J32" s="9">
        <v>0</v>
      </c>
      <c r="K32" s="21">
        <f t="shared" si="20"/>
        <v>2</v>
      </c>
      <c r="L32" s="21">
        <v>2</v>
      </c>
      <c r="M32" s="21"/>
      <c r="N32" s="95"/>
      <c r="O32" s="81">
        <f>$H$32*月別販売比率!C5</f>
        <v>5.7096557883949339</v>
      </c>
      <c r="P32" s="39">
        <f t="shared" si="51"/>
        <v>2</v>
      </c>
      <c r="Q32" s="21"/>
      <c r="R32" s="19">
        <f t="shared" si="65"/>
        <v>2</v>
      </c>
      <c r="S32" s="24">
        <f t="shared" si="22"/>
        <v>-3.7096557883949339</v>
      </c>
      <c r="T32" s="81">
        <f>$H$32*月別販売比率!H5</f>
        <v>5.6400215749730309</v>
      </c>
      <c r="U32" s="39">
        <f t="shared" si="52"/>
        <v>2</v>
      </c>
      <c r="V32" s="21"/>
      <c r="W32" s="19">
        <f t="shared" si="66"/>
        <v>2</v>
      </c>
      <c r="X32" s="24">
        <f t="shared" si="2"/>
        <v>-3.6400215749730309</v>
      </c>
      <c r="Y32" s="81">
        <f>$H$32*月別販売比率!M5</f>
        <v>8.1428769586253686</v>
      </c>
      <c r="Z32" s="39">
        <f t="shared" si="53"/>
        <v>2</v>
      </c>
      <c r="AA32" s="21"/>
      <c r="AB32" s="10">
        <f t="shared" si="67"/>
        <v>2</v>
      </c>
      <c r="AC32" s="24">
        <f t="shared" si="4"/>
        <v>-6.1428769586253686</v>
      </c>
      <c r="AD32" s="81">
        <f>$H$32*月別販売比率!R5</f>
        <v>6.4457389428263205</v>
      </c>
      <c r="AE32" s="39">
        <f t="shared" si="54"/>
        <v>2</v>
      </c>
      <c r="AF32" s="21">
        <v>40</v>
      </c>
      <c r="AG32" s="40">
        <f t="shared" si="55"/>
        <v>42</v>
      </c>
      <c r="AH32" s="24">
        <f t="shared" si="6"/>
        <v>35.554261057173676</v>
      </c>
      <c r="AI32" s="81">
        <f>$H$32*月別販売比率!W5</f>
        <v>6.1368849421049187</v>
      </c>
      <c r="AJ32" s="39">
        <f t="shared" si="56"/>
        <v>2</v>
      </c>
      <c r="AK32" s="21">
        <v>40</v>
      </c>
      <c r="AL32" s="10">
        <f t="shared" si="7"/>
        <v>42</v>
      </c>
      <c r="AM32" s="24">
        <f t="shared" si="8"/>
        <v>35.863115057895079</v>
      </c>
      <c r="AN32" s="81">
        <f>$H$32*月別販売比率!AB5</f>
        <v>9.6686084142394808</v>
      </c>
      <c r="AO32" s="21">
        <f t="shared" si="57"/>
        <v>2</v>
      </c>
      <c r="AP32" s="21"/>
      <c r="AQ32" s="10">
        <f t="shared" si="9"/>
        <v>2</v>
      </c>
      <c r="AR32" s="24">
        <f t="shared" si="10"/>
        <v>-7.6686084142394808</v>
      </c>
      <c r="AS32" s="81">
        <f>$H$32*月別販売比率!AG5</f>
        <v>8.0571736785329016</v>
      </c>
      <c r="AT32" s="39">
        <f t="shared" si="58"/>
        <v>2</v>
      </c>
      <c r="AU32" s="21"/>
      <c r="AV32" s="10">
        <f t="shared" si="11"/>
        <v>2</v>
      </c>
      <c r="AW32" s="24">
        <f t="shared" si="12"/>
        <v>-6.0571736785329016</v>
      </c>
      <c r="AX32" s="81">
        <f>$H$32*月別販売比率!AL5</f>
        <v>7.2514563106796102</v>
      </c>
      <c r="AY32" s="39">
        <f t="shared" si="59"/>
        <v>2</v>
      </c>
      <c r="AZ32" s="21"/>
      <c r="BA32" s="19">
        <f t="shared" si="45"/>
        <v>2</v>
      </c>
      <c r="BB32" s="24">
        <f t="shared" si="13"/>
        <v>-5.2514563106796102</v>
      </c>
      <c r="BC32" s="81">
        <f>$H$32*月別販売比率!AQ5</f>
        <v>8.0571736785329016</v>
      </c>
      <c r="BD32" s="10">
        <f t="shared" si="60"/>
        <v>2</v>
      </c>
      <c r="BE32" s="21"/>
      <c r="BF32" s="19">
        <f t="shared" si="46"/>
        <v>2</v>
      </c>
      <c r="BG32" s="24">
        <f t="shared" si="14"/>
        <v>-6.0571736785329016</v>
      </c>
      <c r="BH32" s="81">
        <f>$H$32*月別販売比率!AV5</f>
        <v>4.9063655944540425</v>
      </c>
      <c r="BI32" s="10">
        <f t="shared" si="61"/>
        <v>2</v>
      </c>
      <c r="BJ32" s="21"/>
      <c r="BK32" s="19">
        <f t="shared" si="47"/>
        <v>2</v>
      </c>
      <c r="BL32" s="24">
        <f t="shared" si="15"/>
        <v>-2.9063655944540425</v>
      </c>
      <c r="BM32" s="81">
        <f>$H$32*月別販売比率!BA5</f>
        <v>4.4816514406256536</v>
      </c>
      <c r="BN32" s="10">
        <f t="shared" si="68"/>
        <v>2</v>
      </c>
      <c r="BO32" s="21"/>
      <c r="BP32" s="19">
        <f t="shared" si="48"/>
        <v>2</v>
      </c>
      <c r="BQ32" s="24">
        <f t="shared" si="16"/>
        <v>-2.4816514406256536</v>
      </c>
      <c r="BR32" s="81">
        <f>$H$32*月別販売比率!BF5</f>
        <v>6.4457389428263205</v>
      </c>
      <c r="BS32" s="10">
        <f t="shared" si="69"/>
        <v>2</v>
      </c>
      <c r="BT32" s="21"/>
      <c r="BU32" s="40">
        <f t="shared" si="70"/>
        <v>2</v>
      </c>
      <c r="BV32" s="24">
        <f t="shared" si="17"/>
        <v>-4.4457389428263205</v>
      </c>
      <c r="BW32" s="157">
        <f t="shared" si="62"/>
        <v>82</v>
      </c>
      <c r="BX32" s="29">
        <f t="shared" si="49"/>
        <v>1.4282632146709915</v>
      </c>
    </row>
    <row r="33" spans="2:76" ht="30.75" customHeight="1">
      <c r="C33" s="504"/>
      <c r="D33" s="442"/>
      <c r="E33" s="94" t="s">
        <v>50</v>
      </c>
      <c r="F33" s="57">
        <v>94</v>
      </c>
      <c r="G33" s="5">
        <f t="shared" si="18"/>
        <v>413600</v>
      </c>
      <c r="H33" s="7">
        <f t="shared" si="63"/>
        <v>98.360302049622433</v>
      </c>
      <c r="I33" s="5">
        <f t="shared" ref="I33" si="72">H33*4400</f>
        <v>432785.3290183387</v>
      </c>
      <c r="J33" s="9">
        <v>0</v>
      </c>
      <c r="K33" s="21">
        <f t="shared" si="20"/>
        <v>17</v>
      </c>
      <c r="L33" s="21">
        <v>5</v>
      </c>
      <c r="M33" s="21">
        <v>12</v>
      </c>
      <c r="N33" s="95"/>
      <c r="O33" s="81">
        <f>$H$33*月別販売比率!C5</f>
        <v>6.9702291442743354</v>
      </c>
      <c r="P33" s="39">
        <f t="shared" si="51"/>
        <v>17</v>
      </c>
      <c r="Q33" s="21"/>
      <c r="R33" s="19">
        <f t="shared" si="65"/>
        <v>17</v>
      </c>
      <c r="S33" s="24">
        <f t="shared" si="22"/>
        <v>10.029770855725666</v>
      </c>
      <c r="T33" s="81">
        <f>$H$33*月別販売比率!H5</f>
        <v>6.8852211434735713</v>
      </c>
      <c r="U33" s="39">
        <f t="shared" si="52"/>
        <v>17</v>
      </c>
      <c r="V33" s="21"/>
      <c r="W33" s="19">
        <f t="shared" si="66"/>
        <v>17</v>
      </c>
      <c r="X33" s="24">
        <f t="shared" si="2"/>
        <v>10.114778856526428</v>
      </c>
      <c r="Y33" s="81">
        <f>$H$33*月別販売比率!M5</f>
        <v>9.9406549884517492</v>
      </c>
      <c r="Z33" s="39">
        <f t="shared" si="53"/>
        <v>17</v>
      </c>
      <c r="AA33" s="21"/>
      <c r="AB33" s="10">
        <f t="shared" si="67"/>
        <v>17</v>
      </c>
      <c r="AC33" s="24">
        <f t="shared" si="4"/>
        <v>7.0593450115482508</v>
      </c>
      <c r="AD33" s="81">
        <f>$H$33*月別販売比率!R5</f>
        <v>7.8688241639697951</v>
      </c>
      <c r="AE33" s="39">
        <f t="shared" si="54"/>
        <v>17</v>
      </c>
      <c r="AF33" s="21">
        <v>60</v>
      </c>
      <c r="AG33" s="40">
        <f t="shared" si="55"/>
        <v>77</v>
      </c>
      <c r="AH33" s="24">
        <f t="shared" si="6"/>
        <v>69.131175836030209</v>
      </c>
      <c r="AI33" s="81">
        <f>$H$33*月別販売比率!W5</f>
        <v>7.4917816176345768</v>
      </c>
      <c r="AJ33" s="39">
        <f t="shared" si="56"/>
        <v>17</v>
      </c>
      <c r="AK33" s="21">
        <v>60</v>
      </c>
      <c r="AL33" s="10">
        <f t="shared" si="7"/>
        <v>77</v>
      </c>
      <c r="AM33" s="24">
        <f t="shared" si="8"/>
        <v>69.508218382365428</v>
      </c>
      <c r="AN33" s="81">
        <f>$H$33*月別販売比率!AB5</f>
        <v>11.803236245954691</v>
      </c>
      <c r="AO33" s="21">
        <f t="shared" si="57"/>
        <v>17</v>
      </c>
      <c r="AP33" s="21"/>
      <c r="AQ33" s="10">
        <f t="shared" si="9"/>
        <v>17</v>
      </c>
      <c r="AR33" s="24">
        <f t="shared" si="10"/>
        <v>5.1967637540453087</v>
      </c>
      <c r="AS33" s="81">
        <f>$H$33*月別販売比率!AG5</f>
        <v>9.8360302049622437</v>
      </c>
      <c r="AT33" s="39">
        <f t="shared" si="58"/>
        <v>17</v>
      </c>
      <c r="AU33" s="21"/>
      <c r="AV33" s="10">
        <f t="shared" si="11"/>
        <v>17</v>
      </c>
      <c r="AW33" s="24">
        <f t="shared" si="12"/>
        <v>7.1639697950377563</v>
      </c>
      <c r="AX33" s="81">
        <f>$H$33*月別販売比率!AL5</f>
        <v>8.8524271844660181</v>
      </c>
      <c r="AY33" s="39">
        <f t="shared" si="59"/>
        <v>17</v>
      </c>
      <c r="AZ33" s="21"/>
      <c r="BA33" s="19">
        <f t="shared" si="45"/>
        <v>17</v>
      </c>
      <c r="BB33" s="24">
        <f t="shared" si="13"/>
        <v>8.1475728155339819</v>
      </c>
      <c r="BC33" s="81">
        <f>$H$33*月別販売比率!AQ5</f>
        <v>9.8360302049622437</v>
      </c>
      <c r="BD33" s="10">
        <f t="shared" si="60"/>
        <v>17</v>
      </c>
      <c r="BE33" s="21"/>
      <c r="BF33" s="19">
        <f t="shared" si="46"/>
        <v>17</v>
      </c>
      <c r="BG33" s="24">
        <f t="shared" si="14"/>
        <v>7.1639697950377563</v>
      </c>
      <c r="BH33" s="81">
        <f>$H$33*月別販売比率!AV5</f>
        <v>5.989589167255585</v>
      </c>
      <c r="BI33" s="10">
        <f t="shared" si="61"/>
        <v>17</v>
      </c>
      <c r="BJ33" s="21"/>
      <c r="BK33" s="19">
        <f t="shared" si="47"/>
        <v>17</v>
      </c>
      <c r="BL33" s="24">
        <f t="shared" si="15"/>
        <v>11.010410832744416</v>
      </c>
      <c r="BM33" s="81">
        <f>$H$33*月別販売比率!BA5</f>
        <v>5.4711069534910584</v>
      </c>
      <c r="BN33" s="10">
        <f t="shared" si="68"/>
        <v>17</v>
      </c>
      <c r="BO33" s="21"/>
      <c r="BP33" s="19">
        <f t="shared" si="48"/>
        <v>17</v>
      </c>
      <c r="BQ33" s="24">
        <f t="shared" si="16"/>
        <v>11.528893046508941</v>
      </c>
      <c r="BR33" s="81">
        <f>$H$33*月別販売比率!BF5</f>
        <v>7.8688241639697951</v>
      </c>
      <c r="BS33" s="10">
        <f t="shared" si="69"/>
        <v>17</v>
      </c>
      <c r="BT33" s="21"/>
      <c r="BU33" s="40">
        <f t="shared" si="70"/>
        <v>17</v>
      </c>
      <c r="BV33" s="24">
        <f t="shared" si="17"/>
        <v>9.1311758360302058</v>
      </c>
      <c r="BW33" s="157">
        <f t="shared" si="62"/>
        <v>137</v>
      </c>
      <c r="BX33" s="29">
        <f t="shared" si="49"/>
        <v>38.639697950377567</v>
      </c>
    </row>
    <row r="34" spans="2:76" ht="30.75" customHeight="1">
      <c r="C34" s="504"/>
      <c r="D34" s="443">
        <v>2</v>
      </c>
      <c r="E34" s="99" t="s">
        <v>47</v>
      </c>
      <c r="F34" s="56">
        <v>48</v>
      </c>
      <c r="G34" s="46">
        <f t="shared" si="18"/>
        <v>211200</v>
      </c>
      <c r="H34" s="45">
        <f t="shared" si="63"/>
        <v>50.226537216828476</v>
      </c>
      <c r="I34" s="46">
        <f t="shared" ref="I34" si="73">H34*4400</f>
        <v>220996.7637540453</v>
      </c>
      <c r="J34" s="49">
        <v>64</v>
      </c>
      <c r="K34" s="39">
        <f t="shared" si="20"/>
        <v>25</v>
      </c>
      <c r="L34" s="39">
        <v>7</v>
      </c>
      <c r="M34" s="39">
        <v>18</v>
      </c>
      <c r="N34" s="42"/>
      <c r="O34" s="81">
        <f>$H$34*月別販売比率!C5</f>
        <v>3.5592659460124265</v>
      </c>
      <c r="P34" s="39">
        <f t="shared" si="51"/>
        <v>25</v>
      </c>
      <c r="Q34" s="39"/>
      <c r="R34" s="43">
        <f t="shared" si="65"/>
        <v>25</v>
      </c>
      <c r="S34" s="91">
        <f t="shared" si="22"/>
        <v>21.440734053987573</v>
      </c>
      <c r="T34" s="81">
        <f>$H$34*月別販売比率!H5</f>
        <v>3.5158576051779935</v>
      </c>
      <c r="U34" s="39">
        <f t="shared" si="52"/>
        <v>25</v>
      </c>
      <c r="V34" s="39"/>
      <c r="W34" s="43">
        <f t="shared" si="66"/>
        <v>25</v>
      </c>
      <c r="X34" s="91">
        <f t="shared" si="2"/>
        <v>21.484142394822008</v>
      </c>
      <c r="Y34" s="81">
        <f>$H$34*月別販売比率!M5</f>
        <v>5.0760791430391912</v>
      </c>
      <c r="Z34" s="39">
        <f t="shared" si="53"/>
        <v>25</v>
      </c>
      <c r="AA34" s="39"/>
      <c r="AB34" s="40">
        <f t="shared" si="67"/>
        <v>25</v>
      </c>
      <c r="AC34" s="91">
        <f t="shared" si="4"/>
        <v>19.923920856960809</v>
      </c>
      <c r="AD34" s="81">
        <f>$H$34*月別販売比率!R5</f>
        <v>4.0181229773462785</v>
      </c>
      <c r="AE34" s="39">
        <f t="shared" si="54"/>
        <v>25</v>
      </c>
      <c r="AF34" s="39"/>
      <c r="AG34" s="40">
        <f t="shared" si="55"/>
        <v>25</v>
      </c>
      <c r="AH34" s="91">
        <f t="shared" si="6"/>
        <v>20.98187702265372</v>
      </c>
      <c r="AI34" s="81">
        <f>$H$34*月別販売比率!W5</f>
        <v>3.8255906132602093</v>
      </c>
      <c r="AJ34" s="39">
        <f t="shared" si="56"/>
        <v>25</v>
      </c>
      <c r="AK34" s="39"/>
      <c r="AL34" s="40">
        <f t="shared" si="7"/>
        <v>25</v>
      </c>
      <c r="AM34" s="91">
        <f t="shared" si="8"/>
        <v>21.174409386739789</v>
      </c>
      <c r="AN34" s="81">
        <f>$H$34*月別販売比率!AB5</f>
        <v>6.0271844660194169</v>
      </c>
      <c r="AO34" s="39">
        <f t="shared" si="57"/>
        <v>25</v>
      </c>
      <c r="AP34" s="39"/>
      <c r="AQ34" s="40">
        <f t="shared" si="9"/>
        <v>25</v>
      </c>
      <c r="AR34" s="91">
        <f t="shared" si="10"/>
        <v>18.972815533980583</v>
      </c>
      <c r="AS34" s="81">
        <f>$H$34*月別販売比率!AG5</f>
        <v>5.0226537216828477</v>
      </c>
      <c r="AT34" s="39">
        <f t="shared" si="58"/>
        <v>25</v>
      </c>
      <c r="AU34" s="39"/>
      <c r="AV34" s="40">
        <f t="shared" si="11"/>
        <v>25</v>
      </c>
      <c r="AW34" s="91">
        <f t="shared" si="12"/>
        <v>19.977346278317153</v>
      </c>
      <c r="AX34" s="81">
        <f>$H$34*月別販売比率!AL5</f>
        <v>4.5203883495145627</v>
      </c>
      <c r="AY34" s="39">
        <f t="shared" si="59"/>
        <v>25</v>
      </c>
      <c r="AZ34" s="39"/>
      <c r="BA34" s="43">
        <f t="shared" si="45"/>
        <v>25</v>
      </c>
      <c r="BB34" s="91">
        <f t="shared" si="13"/>
        <v>20.479611650485438</v>
      </c>
      <c r="BC34" s="81">
        <f>$H$34*月別販売比率!AQ5</f>
        <v>5.0226537216828477</v>
      </c>
      <c r="BD34" s="40">
        <f t="shared" si="60"/>
        <v>25</v>
      </c>
      <c r="BE34" s="39"/>
      <c r="BF34" s="43">
        <f t="shared" si="46"/>
        <v>25</v>
      </c>
      <c r="BG34" s="91">
        <f t="shared" si="14"/>
        <v>19.977346278317153</v>
      </c>
      <c r="BH34" s="81">
        <f>$H$34*月別販売比率!AV5</f>
        <v>3.0585136173220007</v>
      </c>
      <c r="BI34" s="40">
        <f t="shared" si="61"/>
        <v>25</v>
      </c>
      <c r="BJ34" s="39"/>
      <c r="BK34" s="43">
        <f t="shared" si="47"/>
        <v>25</v>
      </c>
      <c r="BL34" s="91">
        <f t="shared" si="15"/>
        <v>21.941486382678001</v>
      </c>
      <c r="BM34" s="81">
        <f>$H$34*月別販売比率!BA5</f>
        <v>2.7937567422081999</v>
      </c>
      <c r="BN34" s="40">
        <f t="shared" si="68"/>
        <v>25</v>
      </c>
      <c r="BO34" s="39"/>
      <c r="BP34" s="43">
        <f t="shared" si="48"/>
        <v>25</v>
      </c>
      <c r="BQ34" s="91">
        <f t="shared" si="16"/>
        <v>22.206243257791801</v>
      </c>
      <c r="BR34" s="81">
        <f>$H$34*月別販売比率!BF5</f>
        <v>4.0181229773462785</v>
      </c>
      <c r="BS34" s="40">
        <f t="shared" si="69"/>
        <v>25</v>
      </c>
      <c r="BT34" s="39"/>
      <c r="BU34" s="40">
        <f t="shared" si="70"/>
        <v>25</v>
      </c>
      <c r="BV34" s="91">
        <f t="shared" si="17"/>
        <v>20.98187702265372</v>
      </c>
      <c r="BW34" s="157">
        <f t="shared" si="62"/>
        <v>25</v>
      </c>
      <c r="BX34" s="29">
        <f t="shared" si="49"/>
        <v>-25.226537216828476</v>
      </c>
    </row>
    <row r="35" spans="2:76" ht="30.75" customHeight="1">
      <c r="C35" s="504"/>
      <c r="D35" s="441"/>
      <c r="E35" s="94" t="s">
        <v>51</v>
      </c>
      <c r="F35" s="57">
        <v>158</v>
      </c>
      <c r="G35" s="5">
        <f t="shared" si="18"/>
        <v>695200</v>
      </c>
      <c r="H35" s="7">
        <f t="shared" si="63"/>
        <v>165.32901833872705</v>
      </c>
      <c r="I35" s="5">
        <f t="shared" ref="I35" si="74">H35*4400</f>
        <v>727447.68069039902</v>
      </c>
      <c r="J35" s="9">
        <v>0</v>
      </c>
      <c r="K35" s="21">
        <f t="shared" si="20"/>
        <v>2</v>
      </c>
      <c r="L35" s="21"/>
      <c r="M35" s="21">
        <v>2</v>
      </c>
      <c r="N35" s="95"/>
      <c r="O35" s="81">
        <f>$H$35*月別販売比率!C5</f>
        <v>11.715917072290903</v>
      </c>
      <c r="P35" s="39">
        <f t="shared" si="51"/>
        <v>2</v>
      </c>
      <c r="Q35" s="21"/>
      <c r="R35" s="19">
        <f t="shared" si="65"/>
        <v>2</v>
      </c>
      <c r="S35" s="24">
        <f t="shared" si="22"/>
        <v>-9.7159170722909032</v>
      </c>
      <c r="T35" s="81">
        <f>$H$35*月別販売比率!H5</f>
        <v>11.573031283710895</v>
      </c>
      <c r="U35" s="39">
        <f t="shared" si="52"/>
        <v>2</v>
      </c>
      <c r="V35" s="21"/>
      <c r="W35" s="19">
        <f t="shared" si="66"/>
        <v>2</v>
      </c>
      <c r="X35" s="24">
        <f t="shared" si="2"/>
        <v>-9.5730312837108951</v>
      </c>
      <c r="Y35" s="81">
        <f>$H$35*月別販売比率!M5</f>
        <v>16.708760512504004</v>
      </c>
      <c r="Z35" s="39">
        <f t="shared" si="53"/>
        <v>2</v>
      </c>
      <c r="AA35" s="21"/>
      <c r="AB35" s="10">
        <f t="shared" si="67"/>
        <v>2</v>
      </c>
      <c r="AC35" s="24">
        <f t="shared" si="4"/>
        <v>-14.708760512504004</v>
      </c>
      <c r="AD35" s="81">
        <f>$H$35*月別販売比率!R5</f>
        <v>13.226321467098165</v>
      </c>
      <c r="AE35" s="39">
        <f t="shared" si="54"/>
        <v>2</v>
      </c>
      <c r="AF35" s="21">
        <v>100</v>
      </c>
      <c r="AG35" s="40">
        <f t="shared" si="55"/>
        <v>102</v>
      </c>
      <c r="AH35" s="24">
        <f t="shared" si="6"/>
        <v>88.77367853290184</v>
      </c>
      <c r="AI35" s="81">
        <f>$H$35*月別販売比率!W5</f>
        <v>12.592569101981521</v>
      </c>
      <c r="AJ35" s="39">
        <f t="shared" si="56"/>
        <v>2</v>
      </c>
      <c r="AK35" s="21">
        <v>70</v>
      </c>
      <c r="AL35" s="10">
        <f t="shared" si="7"/>
        <v>72</v>
      </c>
      <c r="AM35" s="24">
        <f t="shared" si="8"/>
        <v>59.407430898018475</v>
      </c>
      <c r="AN35" s="81">
        <f>$H$35*月別販売比率!AB5</f>
        <v>19.839482200647247</v>
      </c>
      <c r="AO35" s="21">
        <f t="shared" si="57"/>
        <v>2</v>
      </c>
      <c r="AP35" s="21"/>
      <c r="AQ35" s="10">
        <f t="shared" si="9"/>
        <v>2</v>
      </c>
      <c r="AR35" s="24">
        <f t="shared" si="10"/>
        <v>-17.839482200647247</v>
      </c>
      <c r="AS35" s="81">
        <f>$H$35*月別販売比率!AG5</f>
        <v>16.532901833872707</v>
      </c>
      <c r="AT35" s="39">
        <f t="shared" si="58"/>
        <v>2</v>
      </c>
      <c r="AU35" s="21"/>
      <c r="AV35" s="10">
        <f t="shared" si="11"/>
        <v>2</v>
      </c>
      <c r="AW35" s="24">
        <f t="shared" si="12"/>
        <v>-14.532901833872707</v>
      </c>
      <c r="AX35" s="81">
        <f>$H$35*月別販売比率!AL5</f>
        <v>14.879611650485435</v>
      </c>
      <c r="AY35" s="39">
        <f t="shared" si="59"/>
        <v>2</v>
      </c>
      <c r="AZ35" s="21"/>
      <c r="BA35" s="19">
        <f t="shared" si="45"/>
        <v>2</v>
      </c>
      <c r="BB35" s="24">
        <f t="shared" si="13"/>
        <v>-12.879611650485435</v>
      </c>
      <c r="BC35" s="81">
        <f>$H$35*月別販売比率!AQ5</f>
        <v>16.532901833872707</v>
      </c>
      <c r="BD35" s="10">
        <f t="shared" si="60"/>
        <v>2</v>
      </c>
      <c r="BE35" s="21"/>
      <c r="BF35" s="19">
        <f t="shared" si="46"/>
        <v>2</v>
      </c>
      <c r="BG35" s="24">
        <f t="shared" si="14"/>
        <v>-14.532901833872707</v>
      </c>
      <c r="BH35" s="81">
        <f>$H$35*月別販売比率!AV5</f>
        <v>10.067607323684918</v>
      </c>
      <c r="BI35" s="10">
        <f t="shared" si="61"/>
        <v>2</v>
      </c>
      <c r="BJ35" s="21"/>
      <c r="BK35" s="19">
        <f t="shared" si="47"/>
        <v>2</v>
      </c>
      <c r="BL35" s="24">
        <f t="shared" si="15"/>
        <v>-8.0676073236849177</v>
      </c>
      <c r="BM35" s="81">
        <f>$H$35*月別販売比率!BA5</f>
        <v>9.1961159431019901</v>
      </c>
      <c r="BN35" s="10">
        <f t="shared" si="68"/>
        <v>2</v>
      </c>
      <c r="BO35" s="21"/>
      <c r="BP35" s="19">
        <f t="shared" si="48"/>
        <v>2</v>
      </c>
      <c r="BQ35" s="24">
        <f t="shared" si="16"/>
        <v>-7.1961159431019901</v>
      </c>
      <c r="BR35" s="81">
        <f>$H$35*月別販売比率!BF5</f>
        <v>13.226321467098165</v>
      </c>
      <c r="BS35" s="10">
        <f t="shared" si="69"/>
        <v>2</v>
      </c>
      <c r="BT35" s="21"/>
      <c r="BU35" s="40">
        <f t="shared" si="70"/>
        <v>2</v>
      </c>
      <c r="BV35" s="24">
        <f t="shared" si="17"/>
        <v>-11.226321467098165</v>
      </c>
      <c r="BW35" s="157">
        <f t="shared" si="62"/>
        <v>172</v>
      </c>
      <c r="BX35" s="29">
        <f t="shared" si="49"/>
        <v>6.6709816612729469</v>
      </c>
    </row>
    <row r="36" spans="2:76" ht="30.75" customHeight="1">
      <c r="C36" s="504"/>
      <c r="D36" s="441"/>
      <c r="E36" s="94" t="s">
        <v>49</v>
      </c>
      <c r="F36" s="57">
        <v>142</v>
      </c>
      <c r="G36" s="5">
        <f t="shared" si="18"/>
        <v>624800</v>
      </c>
      <c r="H36" s="7">
        <f t="shared" si="63"/>
        <v>148.58683926645091</v>
      </c>
      <c r="I36" s="5">
        <f t="shared" ref="I36" si="75">H36*4400</f>
        <v>653782.09277238394</v>
      </c>
      <c r="J36" s="9">
        <v>9</v>
      </c>
      <c r="K36" s="21">
        <f t="shared" si="20"/>
        <v>17</v>
      </c>
      <c r="L36" s="21">
        <v>8</v>
      </c>
      <c r="M36" s="21">
        <v>9</v>
      </c>
      <c r="N36" s="95"/>
      <c r="O36" s="81">
        <f>$H$36*月別販売比率!C5</f>
        <v>10.529495090286762</v>
      </c>
      <c r="P36" s="39">
        <f t="shared" si="51"/>
        <v>17</v>
      </c>
      <c r="Q36" s="21"/>
      <c r="R36" s="19">
        <f t="shared" si="65"/>
        <v>17</v>
      </c>
      <c r="S36" s="24">
        <f t="shared" si="22"/>
        <v>6.4705049097132381</v>
      </c>
      <c r="T36" s="81">
        <f>$H$36*月別販売比率!H5</f>
        <v>10.401078748651564</v>
      </c>
      <c r="U36" s="39">
        <f t="shared" si="52"/>
        <v>17</v>
      </c>
      <c r="V36" s="21"/>
      <c r="W36" s="19">
        <f t="shared" si="66"/>
        <v>17</v>
      </c>
      <c r="X36" s="24">
        <f t="shared" si="2"/>
        <v>6.5989212513484361</v>
      </c>
      <c r="Y36" s="81">
        <f>$H$36*月別販売比率!M5</f>
        <v>15.01673413149094</v>
      </c>
      <c r="Z36" s="39">
        <f t="shared" si="53"/>
        <v>17</v>
      </c>
      <c r="AA36" s="21"/>
      <c r="AB36" s="10">
        <f t="shared" si="67"/>
        <v>17</v>
      </c>
      <c r="AC36" s="24">
        <f t="shared" si="4"/>
        <v>1.9832658685090596</v>
      </c>
      <c r="AD36" s="81">
        <f>$H$36*月別販売比率!R5</f>
        <v>11.886947141316073</v>
      </c>
      <c r="AE36" s="39">
        <f t="shared" si="54"/>
        <v>17</v>
      </c>
      <c r="AF36" s="21">
        <v>60</v>
      </c>
      <c r="AG36" s="40">
        <f t="shared" si="55"/>
        <v>77</v>
      </c>
      <c r="AH36" s="24">
        <f t="shared" si="6"/>
        <v>65.113052858683929</v>
      </c>
      <c r="AI36" s="81">
        <f>$H$36*月別販売比率!W5</f>
        <v>11.317372230894787</v>
      </c>
      <c r="AJ36" s="39">
        <f t="shared" si="56"/>
        <v>17</v>
      </c>
      <c r="AK36" s="21">
        <v>60</v>
      </c>
      <c r="AL36" s="10">
        <f t="shared" si="7"/>
        <v>77</v>
      </c>
      <c r="AM36" s="24">
        <f t="shared" si="8"/>
        <v>65.68262776910521</v>
      </c>
      <c r="AN36" s="81">
        <f>$H$36*月別販売比率!AB5</f>
        <v>17.83042071197411</v>
      </c>
      <c r="AO36" s="21">
        <f t="shared" si="57"/>
        <v>17</v>
      </c>
      <c r="AP36" s="21"/>
      <c r="AQ36" s="10">
        <f t="shared" si="9"/>
        <v>17</v>
      </c>
      <c r="AR36" s="24">
        <f t="shared" si="10"/>
        <v>-0.83042071197411005</v>
      </c>
      <c r="AS36" s="81">
        <f>$H$36*月別販売比率!AG5</f>
        <v>14.858683926645092</v>
      </c>
      <c r="AT36" s="39">
        <f t="shared" si="58"/>
        <v>17</v>
      </c>
      <c r="AU36" s="21"/>
      <c r="AV36" s="10">
        <f t="shared" si="11"/>
        <v>17</v>
      </c>
      <c r="AW36" s="24">
        <f t="shared" si="12"/>
        <v>2.1413160733549077</v>
      </c>
      <c r="AX36" s="81">
        <f>$H$36*月別販売比率!AL5</f>
        <v>13.372815533980582</v>
      </c>
      <c r="AY36" s="39">
        <f t="shared" si="59"/>
        <v>17</v>
      </c>
      <c r="AZ36" s="21"/>
      <c r="BA36" s="19">
        <f t="shared" si="45"/>
        <v>17</v>
      </c>
      <c r="BB36" s="24">
        <f t="shared" si="13"/>
        <v>3.6271844660194184</v>
      </c>
      <c r="BC36" s="81">
        <f>$H$36*月別販売比率!AQ5</f>
        <v>14.858683926645092</v>
      </c>
      <c r="BD36" s="10">
        <f t="shared" si="60"/>
        <v>17</v>
      </c>
      <c r="BE36" s="21"/>
      <c r="BF36" s="19">
        <f t="shared" si="46"/>
        <v>17</v>
      </c>
      <c r="BG36" s="24">
        <f t="shared" si="14"/>
        <v>2.1413160733549077</v>
      </c>
      <c r="BH36" s="81">
        <f>$H$36*月別販売比率!AV5</f>
        <v>9.0481027845775852</v>
      </c>
      <c r="BI36" s="10">
        <f t="shared" si="61"/>
        <v>17</v>
      </c>
      <c r="BJ36" s="21"/>
      <c r="BK36" s="19">
        <f t="shared" si="47"/>
        <v>17</v>
      </c>
      <c r="BL36" s="24">
        <f t="shared" si="15"/>
        <v>7.9518972154224148</v>
      </c>
      <c r="BM36" s="81">
        <f>$H$36*月別販売比率!BA5</f>
        <v>8.2648636956992583</v>
      </c>
      <c r="BN36" s="10">
        <f t="shared" si="68"/>
        <v>17</v>
      </c>
      <c r="BO36" s="21"/>
      <c r="BP36" s="19">
        <f t="shared" si="48"/>
        <v>17</v>
      </c>
      <c r="BQ36" s="24">
        <f t="shared" si="16"/>
        <v>8.7351363043007417</v>
      </c>
      <c r="BR36" s="81">
        <f>$H$36*月別販売比率!BF5</f>
        <v>11.886947141316073</v>
      </c>
      <c r="BS36" s="10">
        <f t="shared" si="69"/>
        <v>17</v>
      </c>
      <c r="BT36" s="21"/>
      <c r="BU36" s="40">
        <f t="shared" si="70"/>
        <v>17</v>
      </c>
      <c r="BV36" s="24">
        <f t="shared" si="17"/>
        <v>5.1130528586839272</v>
      </c>
      <c r="BW36" s="157">
        <f t="shared" si="62"/>
        <v>137</v>
      </c>
      <c r="BX36" s="29">
        <f t="shared" si="49"/>
        <v>-11.586839266450909</v>
      </c>
    </row>
    <row r="37" spans="2:76" ht="30.75" customHeight="1">
      <c r="C37" s="505"/>
      <c r="D37" s="444"/>
      <c r="E37" s="101" t="s">
        <v>50</v>
      </c>
      <c r="F37" s="58">
        <v>72</v>
      </c>
      <c r="G37" s="35">
        <f t="shared" si="18"/>
        <v>316800</v>
      </c>
      <c r="H37" s="181">
        <f t="shared" si="63"/>
        <v>75.339805825242706</v>
      </c>
      <c r="I37" s="35">
        <f t="shared" ref="I37" si="76">H37*4400</f>
        <v>331495.14563106792</v>
      </c>
      <c r="J37" s="113">
        <v>2</v>
      </c>
      <c r="K37" s="103">
        <f t="shared" si="20"/>
        <v>19</v>
      </c>
      <c r="L37" s="104">
        <v>11</v>
      </c>
      <c r="M37" s="104">
        <v>8</v>
      </c>
      <c r="N37" s="105"/>
      <c r="O37" s="81">
        <f>$H$37*月別販売比率!C5</f>
        <v>5.3388989190186393</v>
      </c>
      <c r="P37" s="79">
        <f t="shared" si="51"/>
        <v>19</v>
      </c>
      <c r="Q37" s="107"/>
      <c r="R37" s="80">
        <f t="shared" si="65"/>
        <v>19</v>
      </c>
      <c r="S37" s="195">
        <f t="shared" si="22"/>
        <v>13.661101080981361</v>
      </c>
      <c r="T37" s="81">
        <f>$H$37*月別販売比率!H5</f>
        <v>5.2737864077669903</v>
      </c>
      <c r="U37" s="79">
        <f t="shared" si="52"/>
        <v>19</v>
      </c>
      <c r="V37" s="107"/>
      <c r="W37" s="80">
        <f t="shared" si="66"/>
        <v>19</v>
      </c>
      <c r="X37" s="195">
        <f t="shared" si="2"/>
        <v>13.726213592233009</v>
      </c>
      <c r="Y37" s="81">
        <f>$H$37*月別販売比率!M5</f>
        <v>7.6141187145587859</v>
      </c>
      <c r="Z37" s="79">
        <f t="shared" si="53"/>
        <v>19</v>
      </c>
      <c r="AA37" s="107"/>
      <c r="AB37" s="106">
        <f t="shared" si="67"/>
        <v>19</v>
      </c>
      <c r="AC37" s="195">
        <f t="shared" si="4"/>
        <v>11.385881285441215</v>
      </c>
      <c r="AD37" s="81">
        <f>$H$37*月別販売比率!R5</f>
        <v>6.0271844660194169</v>
      </c>
      <c r="AE37" s="79">
        <f t="shared" si="54"/>
        <v>19</v>
      </c>
      <c r="AF37" s="107">
        <v>40</v>
      </c>
      <c r="AG37" s="80">
        <f t="shared" si="55"/>
        <v>59</v>
      </c>
      <c r="AH37" s="195">
        <f t="shared" si="6"/>
        <v>52.97281553398058</v>
      </c>
      <c r="AI37" s="81">
        <f>$H$37*月別販売比率!W5</f>
        <v>5.7383859198903133</v>
      </c>
      <c r="AJ37" s="79">
        <f t="shared" si="56"/>
        <v>19</v>
      </c>
      <c r="AK37" s="107">
        <v>40</v>
      </c>
      <c r="AL37" s="106">
        <f t="shared" si="7"/>
        <v>59</v>
      </c>
      <c r="AM37" s="195">
        <f t="shared" si="8"/>
        <v>53.261614080109688</v>
      </c>
      <c r="AN37" s="81">
        <f>$H$37*月別販売比率!AB5</f>
        <v>9.0407766990291236</v>
      </c>
      <c r="AO37" s="107">
        <f t="shared" si="57"/>
        <v>19</v>
      </c>
      <c r="AP37" s="107"/>
      <c r="AQ37" s="106">
        <f t="shared" si="9"/>
        <v>19</v>
      </c>
      <c r="AR37" s="195">
        <f t="shared" si="10"/>
        <v>9.9592233009708764</v>
      </c>
      <c r="AS37" s="81">
        <f>$H$37*月別販売比率!AG5</f>
        <v>7.5339805825242712</v>
      </c>
      <c r="AT37" s="79">
        <f t="shared" si="58"/>
        <v>19</v>
      </c>
      <c r="AU37" s="107"/>
      <c r="AV37" s="106">
        <f t="shared" si="11"/>
        <v>19</v>
      </c>
      <c r="AW37" s="195">
        <f t="shared" si="12"/>
        <v>11.466019417475728</v>
      </c>
      <c r="AX37" s="81">
        <f>$H$37*月別販売比率!AL5</f>
        <v>6.7805825242718436</v>
      </c>
      <c r="AY37" s="79">
        <f t="shared" si="59"/>
        <v>19</v>
      </c>
      <c r="AZ37" s="79"/>
      <c r="BA37" s="78">
        <f t="shared" si="45"/>
        <v>19</v>
      </c>
      <c r="BB37" s="195">
        <f t="shared" si="13"/>
        <v>12.219417475728157</v>
      </c>
      <c r="BC37" s="81">
        <f>$H$37*月別販売比率!AQ5</f>
        <v>7.5339805825242712</v>
      </c>
      <c r="BD37" s="80">
        <f t="shared" si="60"/>
        <v>19</v>
      </c>
      <c r="BE37" s="79"/>
      <c r="BF37" s="78">
        <f t="shared" si="46"/>
        <v>19</v>
      </c>
      <c r="BG37" s="195">
        <f t="shared" si="14"/>
        <v>11.466019417475728</v>
      </c>
      <c r="BH37" s="81">
        <f>$H$37*月別販売比率!AV5</f>
        <v>4.5877704259830008</v>
      </c>
      <c r="BI37" s="80">
        <f t="shared" si="61"/>
        <v>19</v>
      </c>
      <c r="BJ37" s="79"/>
      <c r="BK37" s="98">
        <f t="shared" si="47"/>
        <v>19</v>
      </c>
      <c r="BL37" s="195">
        <f t="shared" si="15"/>
        <v>14.412229574016999</v>
      </c>
      <c r="BM37" s="81">
        <f>$H$37*月別販売比率!BA5</f>
        <v>4.1906351133122994</v>
      </c>
      <c r="BN37" s="79">
        <f t="shared" si="68"/>
        <v>19</v>
      </c>
      <c r="BO37" s="79"/>
      <c r="BP37" s="78">
        <f t="shared" si="48"/>
        <v>19</v>
      </c>
      <c r="BQ37" s="195">
        <f t="shared" si="16"/>
        <v>14.8093648866877</v>
      </c>
      <c r="BR37" s="81">
        <f>$H$37*月別販売比率!BF5</f>
        <v>6.0271844660194169</v>
      </c>
      <c r="BS37" s="79">
        <f t="shared" si="69"/>
        <v>19</v>
      </c>
      <c r="BT37" s="79"/>
      <c r="BU37" s="108">
        <f t="shared" si="70"/>
        <v>19</v>
      </c>
      <c r="BV37" s="92">
        <f t="shared" si="17"/>
        <v>12.972815533980583</v>
      </c>
      <c r="BW37" s="161">
        <f t="shared" si="62"/>
        <v>99</v>
      </c>
      <c r="BX37" s="116">
        <f t="shared" si="49"/>
        <v>23.660194174757294</v>
      </c>
    </row>
    <row r="38" spans="2:76" ht="30.75" customHeight="1">
      <c r="B38" s="2">
        <v>3</v>
      </c>
      <c r="C38" s="435" t="s">
        <v>8</v>
      </c>
      <c r="D38" s="436"/>
      <c r="E38" s="445"/>
      <c r="F38" s="130">
        <v>585</v>
      </c>
      <c r="G38" s="131">
        <v>2124943.0351875001</v>
      </c>
      <c r="H38" s="132">
        <v>1100</v>
      </c>
      <c r="I38" s="131">
        <f t="shared" si="42"/>
        <v>3995619.3824038464</v>
      </c>
      <c r="J38" s="133">
        <f>SUM(J40:J49)</f>
        <v>17</v>
      </c>
      <c r="K38" s="134">
        <f t="shared" ref="K38:N38" si="77">SUM(K40:K49)</f>
        <v>30</v>
      </c>
      <c r="L38" s="134">
        <f t="shared" si="77"/>
        <v>0</v>
      </c>
      <c r="M38" s="134">
        <f t="shared" si="77"/>
        <v>30</v>
      </c>
      <c r="N38" s="135">
        <f t="shared" si="77"/>
        <v>0</v>
      </c>
      <c r="O38" s="150">
        <f>H38/12</f>
        <v>91.666666666666671</v>
      </c>
      <c r="P38" s="151">
        <f>K38</f>
        <v>30</v>
      </c>
      <c r="Q38" s="148">
        <f>SUM(Q40:Q49)</f>
        <v>0</v>
      </c>
      <c r="R38" s="152">
        <f>Q38+K38</f>
        <v>30</v>
      </c>
      <c r="S38" s="153">
        <f t="shared" si="22"/>
        <v>-61.666666666666671</v>
      </c>
      <c r="T38" s="150">
        <f>H38/12</f>
        <v>91.666666666666671</v>
      </c>
      <c r="U38" s="151">
        <f>K38</f>
        <v>30</v>
      </c>
      <c r="V38" s="148">
        <f>SUM(V40:V49)</f>
        <v>540</v>
      </c>
      <c r="W38" s="152">
        <f>K38+V38</f>
        <v>570</v>
      </c>
      <c r="X38" s="153">
        <f t="shared" si="2"/>
        <v>478.33333333333331</v>
      </c>
      <c r="Y38" s="150">
        <f>H38/12</f>
        <v>91.666666666666671</v>
      </c>
      <c r="Z38" s="151">
        <f>K38</f>
        <v>30</v>
      </c>
      <c r="AA38" s="148">
        <f>SUM(AA40:AA49)</f>
        <v>0</v>
      </c>
      <c r="AB38" s="154">
        <f>K38+AA38</f>
        <v>30</v>
      </c>
      <c r="AC38" s="153">
        <f t="shared" si="4"/>
        <v>-61.666666666666671</v>
      </c>
      <c r="AD38" s="150">
        <f>H38/12</f>
        <v>91.666666666666671</v>
      </c>
      <c r="AE38" s="151">
        <f>K38</f>
        <v>30</v>
      </c>
      <c r="AF38" s="148">
        <f>SUM(AF40:AF49)</f>
        <v>0</v>
      </c>
      <c r="AG38" s="152">
        <f>K38+AF38</f>
        <v>30</v>
      </c>
      <c r="AH38" s="153">
        <f t="shared" si="6"/>
        <v>-61.666666666666671</v>
      </c>
      <c r="AI38" s="150">
        <f>H38/12</f>
        <v>91.666666666666671</v>
      </c>
      <c r="AJ38" s="151">
        <f>K38</f>
        <v>30</v>
      </c>
      <c r="AK38" s="148">
        <f>SUM(AK40:AK49)</f>
        <v>0</v>
      </c>
      <c r="AL38" s="152">
        <f>K38+AK38</f>
        <v>30</v>
      </c>
      <c r="AM38" s="153">
        <f t="shared" si="8"/>
        <v>-61.666666666666671</v>
      </c>
      <c r="AN38" s="150">
        <f>H38/12</f>
        <v>91.666666666666671</v>
      </c>
      <c r="AO38" s="151">
        <f>K38</f>
        <v>30</v>
      </c>
      <c r="AP38" s="148">
        <f>SUM(AP40:AP49)</f>
        <v>0</v>
      </c>
      <c r="AQ38" s="152">
        <f>K38+AP38</f>
        <v>30</v>
      </c>
      <c r="AR38" s="153">
        <f t="shared" si="10"/>
        <v>-61.666666666666671</v>
      </c>
      <c r="AS38" s="150">
        <f>H38/12</f>
        <v>91.666666666666671</v>
      </c>
      <c r="AT38" s="151">
        <f>K38</f>
        <v>30</v>
      </c>
      <c r="AU38" s="148">
        <f>SUM(AU40:AU49)</f>
        <v>0</v>
      </c>
      <c r="AV38" s="152">
        <f>K38+AU38</f>
        <v>30</v>
      </c>
      <c r="AW38" s="153">
        <f t="shared" si="12"/>
        <v>-61.666666666666671</v>
      </c>
      <c r="AX38" s="150">
        <f>H38/12</f>
        <v>91.666666666666671</v>
      </c>
      <c r="AY38" s="151">
        <f>K38</f>
        <v>30</v>
      </c>
      <c r="AZ38" s="148">
        <f>SUM(AZ40:AZ49)</f>
        <v>0</v>
      </c>
      <c r="BA38" s="152">
        <f>K38+AZ38</f>
        <v>30</v>
      </c>
      <c r="BB38" s="153">
        <f t="shared" si="13"/>
        <v>-61.666666666666671</v>
      </c>
      <c r="BC38" s="150">
        <f>H38/12</f>
        <v>91.666666666666671</v>
      </c>
      <c r="BD38" s="151">
        <f>K38</f>
        <v>30</v>
      </c>
      <c r="BE38" s="148">
        <f>SUM(BE40:BE49)</f>
        <v>0</v>
      </c>
      <c r="BF38" s="152">
        <f>K38+BE38</f>
        <v>30</v>
      </c>
      <c r="BG38" s="153">
        <f t="shared" si="14"/>
        <v>-61.666666666666671</v>
      </c>
      <c r="BH38" s="150">
        <f>H38/12</f>
        <v>91.666666666666671</v>
      </c>
      <c r="BI38" s="151">
        <f>K38</f>
        <v>30</v>
      </c>
      <c r="BJ38" s="148">
        <f>SUM(BJ40:BJ49)</f>
        <v>0</v>
      </c>
      <c r="BK38" s="152">
        <f>K38+BJ38</f>
        <v>30</v>
      </c>
      <c r="BL38" s="153">
        <f t="shared" si="15"/>
        <v>-61.666666666666671</v>
      </c>
      <c r="BM38" s="150">
        <f>H38/12</f>
        <v>91.666666666666671</v>
      </c>
      <c r="BN38" s="151">
        <f>K38</f>
        <v>30</v>
      </c>
      <c r="BO38" s="148">
        <f>SUM(BO40:BO49)</f>
        <v>0</v>
      </c>
      <c r="BP38" s="152">
        <f>K38+BO38</f>
        <v>30</v>
      </c>
      <c r="BQ38" s="153">
        <f t="shared" si="16"/>
        <v>-61.666666666666671</v>
      </c>
      <c r="BR38" s="202">
        <f>H38/12</f>
        <v>91.666666666666671</v>
      </c>
      <c r="BS38" s="201">
        <f>K38</f>
        <v>30</v>
      </c>
      <c r="BT38" s="206">
        <f>SUM(BT40:BT49)</f>
        <v>0</v>
      </c>
      <c r="BU38" s="207">
        <f>K38+BT38</f>
        <v>30</v>
      </c>
      <c r="BV38" s="208">
        <f t="shared" si="17"/>
        <v>-61.666666666666671</v>
      </c>
      <c r="BW38" s="160">
        <f>AF38+AA38+V38+Q38+AK38+AP38+AU38+AZ38+BE38+BJ38+BO38+BT38+K38</f>
        <v>570</v>
      </c>
      <c r="BX38" s="209">
        <f t="shared" si="49"/>
        <v>-530</v>
      </c>
    </row>
    <row r="39" spans="2:76" ht="30.75" customHeight="1">
      <c r="C39" s="167" t="s">
        <v>81</v>
      </c>
      <c r="D39" s="168"/>
      <c r="E39" s="169"/>
      <c r="F39" s="170">
        <f>SUM(F40:F49)</f>
        <v>453</v>
      </c>
      <c r="G39" s="171">
        <f>SUM(G40:G49)</f>
        <v>1644390</v>
      </c>
      <c r="H39" s="170">
        <f>SUM(H40:H49)</f>
        <v>851.79487179487171</v>
      </c>
      <c r="I39" s="171">
        <f>SUM(I40:I49)</f>
        <v>3092015.384615385</v>
      </c>
      <c r="J39" s="172"/>
      <c r="K39" s="173"/>
      <c r="L39" s="173"/>
      <c r="M39" s="173"/>
      <c r="N39" s="174"/>
      <c r="O39" s="175">
        <f>SUM(O40:O49)</f>
        <v>60.361805694056706</v>
      </c>
      <c r="P39" s="176"/>
      <c r="Q39" s="173"/>
      <c r="R39" s="177"/>
      <c r="S39" s="178"/>
      <c r="T39" s="175">
        <f>SUM(T40:T49)</f>
        <v>59.625641025641031</v>
      </c>
      <c r="U39" s="176"/>
      <c r="V39" s="173"/>
      <c r="W39" s="177"/>
      <c r="X39" s="178"/>
      <c r="Y39" s="175">
        <f>SUM(Y40:Y49)</f>
        <v>86.08553212019963</v>
      </c>
      <c r="Z39" s="176"/>
      <c r="AA39" s="173"/>
      <c r="AB39" s="177"/>
      <c r="AC39" s="178"/>
      <c r="AD39" s="175">
        <f>SUM(AD40:AD49)</f>
        <v>68.143589743589743</v>
      </c>
      <c r="AE39" s="176"/>
      <c r="AF39" s="173"/>
      <c r="AG39" s="177"/>
      <c r="AH39" s="178"/>
      <c r="AI39" s="175">
        <f>SUM(AI40:AI49)</f>
        <v>64.878421777200288</v>
      </c>
      <c r="AJ39" s="176"/>
      <c r="AK39" s="173"/>
      <c r="AL39" s="177"/>
      <c r="AM39" s="178"/>
      <c r="AN39" s="175">
        <f>SUM(AN40:AN49)</f>
        <v>102.21538461538461</v>
      </c>
      <c r="AO39" s="176"/>
      <c r="AP39" s="173"/>
      <c r="AQ39" s="177"/>
      <c r="AR39" s="178"/>
      <c r="AS39" s="175">
        <f>SUM(AS40:AS49)</f>
        <v>85.179487179487182</v>
      </c>
      <c r="AT39" s="176"/>
      <c r="AU39" s="173"/>
      <c r="AV39" s="177"/>
      <c r="AW39" s="178"/>
      <c r="AX39" s="175">
        <f>SUM(AX40:AX49)</f>
        <v>76.66153846153847</v>
      </c>
      <c r="AY39" s="176"/>
      <c r="AZ39" s="173"/>
      <c r="BA39" s="177"/>
      <c r="BB39" s="178"/>
      <c r="BC39" s="175">
        <f>SUM(BC40:BC49)</f>
        <v>85.179487179487182</v>
      </c>
      <c r="BD39" s="176"/>
      <c r="BE39" s="173"/>
      <c r="BF39" s="177"/>
      <c r="BG39" s="178"/>
      <c r="BH39" s="175">
        <f>SUM(BH40:BH49)</f>
        <v>51.86951677163956</v>
      </c>
      <c r="BI39" s="176"/>
      <c r="BJ39" s="173"/>
      <c r="BK39" s="177"/>
      <c r="BL39" s="178"/>
      <c r="BM39" s="175">
        <f>SUM(BM40:BM49)</f>
        <v>47.379488969786429</v>
      </c>
      <c r="BN39" s="176"/>
      <c r="BO39" s="173"/>
      <c r="BP39" s="177"/>
      <c r="BQ39" s="178"/>
      <c r="BR39" s="175">
        <f>SUM(BR40:BR49)</f>
        <v>68.143589743589743</v>
      </c>
      <c r="BS39" s="210"/>
      <c r="BT39" s="211"/>
      <c r="BU39" s="212"/>
      <c r="BV39" s="213"/>
      <c r="BW39" s="214"/>
      <c r="BX39" s="215"/>
    </row>
    <row r="40" spans="2:76" ht="30.75" customHeight="1">
      <c r="C40" s="509"/>
      <c r="D40" s="443">
        <v>1</v>
      </c>
      <c r="E40" s="99" t="s">
        <v>46</v>
      </c>
      <c r="F40" s="56">
        <v>31</v>
      </c>
      <c r="G40" s="46">
        <f>F40*3630</f>
        <v>112530</v>
      </c>
      <c r="H40" s="45">
        <f>F40*($H$38/$F$38)</f>
        <v>58.29059829059829</v>
      </c>
      <c r="I40" s="46">
        <f t="shared" ref="I40:I49" si="78">H40*3630</f>
        <v>211594.87179487178</v>
      </c>
      <c r="J40" s="49">
        <v>0</v>
      </c>
      <c r="K40" s="39">
        <f t="shared" si="20"/>
        <v>0</v>
      </c>
      <c r="L40" s="39"/>
      <c r="M40" s="39"/>
      <c r="N40" s="42"/>
      <c r="O40" s="81">
        <f>$H$40*月別販売比率!C5</f>
        <v>4.1307195949575224</v>
      </c>
      <c r="P40" s="40">
        <f t="shared" ref="P40:P49" si="79">K40</f>
        <v>0</v>
      </c>
      <c r="Q40" s="39"/>
      <c r="R40" s="43">
        <f>Q40+K40</f>
        <v>0</v>
      </c>
      <c r="S40" s="91">
        <f t="shared" si="22"/>
        <v>-4.1307195949575224</v>
      </c>
      <c r="T40" s="81">
        <f>$H$40*月別販売比率!H5</f>
        <v>4.0803418803418809</v>
      </c>
      <c r="U40" s="40">
        <f>K40</f>
        <v>0</v>
      </c>
      <c r="V40" s="39">
        <v>52</v>
      </c>
      <c r="W40" s="40">
        <f t="shared" ref="W40:W48" si="80">K40+V40</f>
        <v>52</v>
      </c>
      <c r="X40" s="91">
        <f t="shared" si="2"/>
        <v>47.919658119658116</v>
      </c>
      <c r="Y40" s="81">
        <f>$H$40*月別販売比率!M5</f>
        <v>5.8910629044728227</v>
      </c>
      <c r="Z40" s="40">
        <f>K40</f>
        <v>0</v>
      </c>
      <c r="AA40" s="39"/>
      <c r="AB40" s="96">
        <f t="shared" ref="AB40:AB49" si="81">K40+AA40</f>
        <v>0</v>
      </c>
      <c r="AC40" s="91">
        <f t="shared" si="4"/>
        <v>-5.8910629044728227</v>
      </c>
      <c r="AD40" s="81">
        <f>$H$40*月別販売比率!R5</f>
        <v>4.6632478632478636</v>
      </c>
      <c r="AE40" s="40">
        <f>K40</f>
        <v>0</v>
      </c>
      <c r="AF40" s="39"/>
      <c r="AG40" s="40">
        <f t="shared" ref="AG40:AG49" si="82">K40+AF40</f>
        <v>0</v>
      </c>
      <c r="AH40" s="91">
        <f t="shared" si="6"/>
        <v>-4.6632478632478636</v>
      </c>
      <c r="AI40" s="81">
        <f>$H$40*月別販売比率!W5</f>
        <v>4.4398036977775028</v>
      </c>
      <c r="AJ40" s="40">
        <f>K40</f>
        <v>0</v>
      </c>
      <c r="AK40" s="39"/>
      <c r="AL40" s="40">
        <f t="shared" ref="AL40:AL49" si="83">K40+AK40</f>
        <v>0</v>
      </c>
      <c r="AM40" s="91">
        <f t="shared" si="8"/>
        <v>-4.4398036977775028</v>
      </c>
      <c r="AN40" s="81">
        <f>$H$40*月別販売比率!AB5</f>
        <v>6.9948717948717949</v>
      </c>
      <c r="AO40" s="40">
        <f>K40</f>
        <v>0</v>
      </c>
      <c r="AP40" s="39"/>
      <c r="AQ40" s="40">
        <f t="shared" ref="AQ40:AQ49" si="84">K40+AP40</f>
        <v>0</v>
      </c>
      <c r="AR40" s="91">
        <f t="shared" si="10"/>
        <v>-6.9948717948717949</v>
      </c>
      <c r="AS40" s="81">
        <f>$H$40*月別販売比率!AG5</f>
        <v>5.8290598290598297</v>
      </c>
      <c r="AT40" s="40">
        <f>K40</f>
        <v>0</v>
      </c>
      <c r="AU40" s="39"/>
      <c r="AV40" s="40">
        <f t="shared" ref="AV40:AV49" si="85">K40+AU40</f>
        <v>0</v>
      </c>
      <c r="AW40" s="91">
        <f t="shared" si="12"/>
        <v>-5.8290598290598297</v>
      </c>
      <c r="AX40" s="81">
        <f>$H$40*月別販売比率!AL5</f>
        <v>5.2461538461538462</v>
      </c>
      <c r="AY40" s="40">
        <f>K40</f>
        <v>0</v>
      </c>
      <c r="AZ40" s="39"/>
      <c r="BA40" s="43">
        <f>K40+AZ40</f>
        <v>0</v>
      </c>
      <c r="BB40" s="91">
        <f t="shared" si="13"/>
        <v>-5.2461538461538462</v>
      </c>
      <c r="BC40" s="81">
        <f>$H$40*月別販売比率!AQ5</f>
        <v>5.8290598290598297</v>
      </c>
      <c r="BD40" s="40">
        <f>K40</f>
        <v>0</v>
      </c>
      <c r="BE40" s="39"/>
      <c r="BF40" s="43">
        <f>K40+BE40</f>
        <v>0</v>
      </c>
      <c r="BG40" s="91">
        <f t="shared" si="14"/>
        <v>-5.8290598290598297</v>
      </c>
      <c r="BH40" s="81">
        <f>$H$40*月別販売比率!AV5</f>
        <v>3.5495695803991754</v>
      </c>
      <c r="BI40" s="40">
        <f>K40</f>
        <v>0</v>
      </c>
      <c r="BJ40" s="39"/>
      <c r="BK40" s="43">
        <f>K40+BJ40</f>
        <v>0</v>
      </c>
      <c r="BL40" s="91">
        <f t="shared" si="15"/>
        <v>-3.5495695803991754</v>
      </c>
      <c r="BM40" s="81">
        <f>$H$40*月別販売比率!BA5</f>
        <v>3.2423049846873715</v>
      </c>
      <c r="BN40" s="40">
        <f>K40</f>
        <v>0</v>
      </c>
      <c r="BO40" s="39"/>
      <c r="BP40" s="43">
        <f>K40+BO40</f>
        <v>0</v>
      </c>
      <c r="BQ40" s="91">
        <f t="shared" si="16"/>
        <v>-3.2423049846873715</v>
      </c>
      <c r="BR40" s="81">
        <f>$H$40*月別販売比率!BF5</f>
        <v>4.6632478632478636</v>
      </c>
      <c r="BS40" s="40">
        <f>K40</f>
        <v>0</v>
      </c>
      <c r="BT40" s="39"/>
      <c r="BU40" s="43">
        <f>K40+BT40</f>
        <v>0</v>
      </c>
      <c r="BV40" s="91">
        <f t="shared" si="17"/>
        <v>-4.6632478632478636</v>
      </c>
      <c r="BW40" s="157">
        <f t="shared" ref="BW40:BW49" si="86">AF40+AA40+V40+Q40+AK40+AP40+AU40+AZ40+BE40+BJ40+BO40+BT40+K40</f>
        <v>52</v>
      </c>
      <c r="BX40" s="51">
        <f t="shared" si="49"/>
        <v>-6.2905982905982896</v>
      </c>
    </row>
    <row r="41" spans="2:76" ht="30.75" customHeight="1">
      <c r="C41" s="507"/>
      <c r="D41" s="441"/>
      <c r="E41" s="94" t="s">
        <v>47</v>
      </c>
      <c r="F41" s="57">
        <v>32</v>
      </c>
      <c r="G41" s="5">
        <f t="shared" ref="G41:G49" si="87">F41*3630</f>
        <v>116160</v>
      </c>
      <c r="H41" s="7">
        <f t="shared" ref="H41:H49" si="88">F41*($H$38/$F$38)</f>
        <v>60.17094017094017</v>
      </c>
      <c r="I41" s="5">
        <f t="shared" si="78"/>
        <v>218420.51282051281</v>
      </c>
      <c r="J41" s="9">
        <v>0</v>
      </c>
      <c r="K41" s="21">
        <f t="shared" si="20"/>
        <v>0</v>
      </c>
      <c r="L41" s="21"/>
      <c r="M41" s="21"/>
      <c r="N41" s="42"/>
      <c r="O41" s="81">
        <f>$H$41*月別販売比率!C5</f>
        <v>4.2639686141497011</v>
      </c>
      <c r="P41" s="10">
        <f t="shared" si="79"/>
        <v>0</v>
      </c>
      <c r="Q41" s="21"/>
      <c r="R41" s="19">
        <f t="shared" ref="R41:R49" si="89">Q41+K41</f>
        <v>0</v>
      </c>
      <c r="S41" s="24">
        <f t="shared" si="22"/>
        <v>-4.2639686141497011</v>
      </c>
      <c r="T41" s="81">
        <f>$H$41*月別販売比率!H5</f>
        <v>4.2119658119658121</v>
      </c>
      <c r="U41" s="10">
        <f t="shared" ref="U41:U49" si="90">K41</f>
        <v>0</v>
      </c>
      <c r="V41" s="21">
        <v>64</v>
      </c>
      <c r="W41" s="10">
        <f t="shared" si="80"/>
        <v>64</v>
      </c>
      <c r="X41" s="24">
        <f t="shared" si="2"/>
        <v>59.788034188034189</v>
      </c>
      <c r="Y41" s="81">
        <f>$H$41*月別販売比率!M5</f>
        <v>6.0810971917138819</v>
      </c>
      <c r="Z41" s="10">
        <f t="shared" ref="Z41:Z49" si="91">K41</f>
        <v>0</v>
      </c>
      <c r="AA41" s="21"/>
      <c r="AB41" s="97">
        <f t="shared" si="81"/>
        <v>0</v>
      </c>
      <c r="AC41" s="24">
        <f t="shared" si="4"/>
        <v>-6.0810971917138819</v>
      </c>
      <c r="AD41" s="81">
        <f>$H$41*月別販売比率!R5</f>
        <v>4.8136752136752134</v>
      </c>
      <c r="AE41" s="10">
        <f t="shared" ref="AE41:AE49" si="92">K41</f>
        <v>0</v>
      </c>
      <c r="AF41" s="21"/>
      <c r="AG41" s="10">
        <f t="shared" si="82"/>
        <v>0</v>
      </c>
      <c r="AH41" s="24">
        <f t="shared" si="6"/>
        <v>-4.8136752136752134</v>
      </c>
      <c r="AI41" s="81">
        <f>$H$41*月別販売比率!W5</f>
        <v>4.5830231718993577</v>
      </c>
      <c r="AJ41" s="10">
        <f t="shared" ref="AJ41:AJ49" si="93">K41</f>
        <v>0</v>
      </c>
      <c r="AK41" s="21"/>
      <c r="AL41" s="10">
        <f t="shared" si="83"/>
        <v>0</v>
      </c>
      <c r="AM41" s="24">
        <f t="shared" si="8"/>
        <v>-4.5830231718993577</v>
      </c>
      <c r="AN41" s="81">
        <f>$H$41*月別販売比率!AB5</f>
        <v>7.2205128205128197</v>
      </c>
      <c r="AO41" s="10">
        <f t="shared" ref="AO41:AO49" si="94">K41</f>
        <v>0</v>
      </c>
      <c r="AP41" s="21"/>
      <c r="AQ41" s="10">
        <f t="shared" si="84"/>
        <v>0</v>
      </c>
      <c r="AR41" s="24">
        <f t="shared" si="10"/>
        <v>-7.2205128205128197</v>
      </c>
      <c r="AS41" s="81">
        <f>$H$41*月別販売比率!AG5</f>
        <v>6.017094017094017</v>
      </c>
      <c r="AT41" s="10">
        <f t="shared" ref="AT41:AT49" si="95">K41</f>
        <v>0</v>
      </c>
      <c r="AU41" s="21"/>
      <c r="AV41" s="10">
        <f t="shared" si="85"/>
        <v>0</v>
      </c>
      <c r="AW41" s="24">
        <f t="shared" si="12"/>
        <v>-6.017094017094017</v>
      </c>
      <c r="AX41" s="81">
        <f>$H$41*月別販売比率!AL5</f>
        <v>5.4153846153846148</v>
      </c>
      <c r="AY41" s="10">
        <f t="shared" ref="AY41:AY49" si="96">K41</f>
        <v>0</v>
      </c>
      <c r="AZ41" s="21"/>
      <c r="BA41" s="19">
        <f t="shared" ref="BA41:BA49" si="97">K41+AZ41</f>
        <v>0</v>
      </c>
      <c r="BB41" s="24">
        <f t="shared" si="13"/>
        <v>-5.4153846153846148</v>
      </c>
      <c r="BC41" s="81">
        <f>$H$41*月別販売比率!AQ5</f>
        <v>6.017094017094017</v>
      </c>
      <c r="BD41" s="10">
        <f t="shared" ref="BD41:BD49" si="98">K41</f>
        <v>0</v>
      </c>
      <c r="BE41" s="21"/>
      <c r="BF41" s="19">
        <f t="shared" ref="BF41:BF49" si="99">K41+BE41</f>
        <v>0</v>
      </c>
      <c r="BG41" s="24">
        <f t="shared" si="14"/>
        <v>-6.017094017094017</v>
      </c>
      <c r="BH41" s="81">
        <f>$H$41*月別販売比率!AV5</f>
        <v>3.6640718249281807</v>
      </c>
      <c r="BI41" s="10">
        <f t="shared" ref="BI41:BI49" si="100">K41</f>
        <v>0</v>
      </c>
      <c r="BJ41" s="21"/>
      <c r="BK41" s="19">
        <f t="shared" ref="BK41:BK49" si="101">K41+BJ41</f>
        <v>0</v>
      </c>
      <c r="BL41" s="24">
        <f t="shared" si="15"/>
        <v>-3.6640718249281807</v>
      </c>
      <c r="BM41" s="81">
        <f>$H$41*月別販売比率!BA5</f>
        <v>3.3468954680643836</v>
      </c>
      <c r="BN41" s="10">
        <f t="shared" ref="BN41:BN49" si="102">K41</f>
        <v>0</v>
      </c>
      <c r="BO41" s="21"/>
      <c r="BP41" s="19">
        <f>K41+BO41</f>
        <v>0</v>
      </c>
      <c r="BQ41" s="24">
        <f t="shared" si="16"/>
        <v>-3.3468954680643836</v>
      </c>
      <c r="BR41" s="81">
        <f>$H$41*月別販売比率!BF5</f>
        <v>4.8136752136752134</v>
      </c>
      <c r="BS41" s="10">
        <f t="shared" ref="BS41:BS49" si="103">K41</f>
        <v>0</v>
      </c>
      <c r="BT41" s="21"/>
      <c r="BU41" s="19">
        <f t="shared" ref="BU41:BU49" si="104">K41+BT41</f>
        <v>0</v>
      </c>
      <c r="BV41" s="24">
        <f t="shared" si="17"/>
        <v>-4.8136752136752134</v>
      </c>
      <c r="BW41" s="157">
        <f t="shared" si="86"/>
        <v>64</v>
      </c>
      <c r="BX41" s="29">
        <f t="shared" si="49"/>
        <v>3.8290598290598297</v>
      </c>
    </row>
    <row r="42" spans="2:76" ht="30.75" customHeight="1">
      <c r="C42" s="507"/>
      <c r="D42" s="441"/>
      <c r="E42" s="94" t="s">
        <v>51</v>
      </c>
      <c r="F42" s="57">
        <v>25</v>
      </c>
      <c r="G42" s="5">
        <f t="shared" si="87"/>
        <v>90750</v>
      </c>
      <c r="H42" s="7">
        <f t="shared" si="88"/>
        <v>47.008547008547005</v>
      </c>
      <c r="I42" s="5">
        <f t="shared" si="78"/>
        <v>170641.02564102563</v>
      </c>
      <c r="J42" s="9">
        <v>0</v>
      </c>
      <c r="K42" s="21">
        <f t="shared" si="20"/>
        <v>0</v>
      </c>
      <c r="L42" s="21"/>
      <c r="M42" s="21"/>
      <c r="N42" s="42"/>
      <c r="O42" s="81">
        <f>$H$42*月別販売比率!C5</f>
        <v>3.3312254798044538</v>
      </c>
      <c r="P42" s="10">
        <f t="shared" si="79"/>
        <v>0</v>
      </c>
      <c r="Q42" s="21"/>
      <c r="R42" s="19">
        <f t="shared" si="89"/>
        <v>0</v>
      </c>
      <c r="S42" s="24">
        <f t="shared" si="22"/>
        <v>-3.3312254798044538</v>
      </c>
      <c r="T42" s="81">
        <f>$H$42*月別販売比率!H5</f>
        <v>3.2905982905982905</v>
      </c>
      <c r="U42" s="10">
        <f t="shared" si="90"/>
        <v>0</v>
      </c>
      <c r="V42" s="21">
        <v>64</v>
      </c>
      <c r="W42" s="10">
        <f t="shared" si="80"/>
        <v>64</v>
      </c>
      <c r="X42" s="24">
        <f t="shared" si="2"/>
        <v>60.70940170940171</v>
      </c>
      <c r="Y42" s="81">
        <f>$H$42*月別販売比率!M5</f>
        <v>4.7508571810264701</v>
      </c>
      <c r="Z42" s="10">
        <f t="shared" si="91"/>
        <v>0</v>
      </c>
      <c r="AA42" s="21"/>
      <c r="AB42" s="97">
        <f t="shared" si="81"/>
        <v>0</v>
      </c>
      <c r="AC42" s="24">
        <f t="shared" si="4"/>
        <v>-4.7508571810264701</v>
      </c>
      <c r="AD42" s="81">
        <f>$H$42*月別販売比率!R5</f>
        <v>3.7606837606837606</v>
      </c>
      <c r="AE42" s="10">
        <f t="shared" si="92"/>
        <v>0</v>
      </c>
      <c r="AF42" s="21"/>
      <c r="AG42" s="10">
        <f t="shared" si="82"/>
        <v>0</v>
      </c>
      <c r="AH42" s="24">
        <f t="shared" si="6"/>
        <v>-3.7606837606837606</v>
      </c>
      <c r="AI42" s="81">
        <f>$H$42*月別販売比率!W5</f>
        <v>3.5804868530463732</v>
      </c>
      <c r="AJ42" s="10">
        <f t="shared" si="93"/>
        <v>0</v>
      </c>
      <c r="AK42" s="21"/>
      <c r="AL42" s="10">
        <f t="shared" si="83"/>
        <v>0</v>
      </c>
      <c r="AM42" s="24">
        <f t="shared" si="8"/>
        <v>-3.5804868530463732</v>
      </c>
      <c r="AN42" s="81">
        <f>$H$42*月別販売比率!AB5</f>
        <v>5.6410256410256405</v>
      </c>
      <c r="AO42" s="10">
        <f t="shared" si="94"/>
        <v>0</v>
      </c>
      <c r="AP42" s="21"/>
      <c r="AQ42" s="10">
        <f t="shared" si="84"/>
        <v>0</v>
      </c>
      <c r="AR42" s="24">
        <f t="shared" si="10"/>
        <v>-5.6410256410256405</v>
      </c>
      <c r="AS42" s="81">
        <f>$H$42*月別販売比率!AG5</f>
        <v>4.700854700854701</v>
      </c>
      <c r="AT42" s="10">
        <f t="shared" si="95"/>
        <v>0</v>
      </c>
      <c r="AU42" s="21"/>
      <c r="AV42" s="10">
        <f t="shared" si="85"/>
        <v>0</v>
      </c>
      <c r="AW42" s="24">
        <f t="shared" si="12"/>
        <v>-4.700854700854701</v>
      </c>
      <c r="AX42" s="81">
        <f>$H$42*月別販売比率!AL5</f>
        <v>4.2307692307692299</v>
      </c>
      <c r="AY42" s="10">
        <f t="shared" si="96"/>
        <v>0</v>
      </c>
      <c r="AZ42" s="21"/>
      <c r="BA42" s="19">
        <f t="shared" si="97"/>
        <v>0</v>
      </c>
      <c r="BB42" s="24">
        <f t="shared" si="13"/>
        <v>-4.2307692307692299</v>
      </c>
      <c r="BC42" s="81">
        <f>$H$42*月別販売比率!AQ5</f>
        <v>4.700854700854701</v>
      </c>
      <c r="BD42" s="10">
        <f t="shared" si="98"/>
        <v>0</v>
      </c>
      <c r="BE42" s="21"/>
      <c r="BF42" s="19">
        <f t="shared" si="99"/>
        <v>0</v>
      </c>
      <c r="BG42" s="24">
        <f t="shared" si="14"/>
        <v>-4.700854700854701</v>
      </c>
      <c r="BH42" s="81">
        <f>$H$42*月別販売比率!AV5</f>
        <v>2.8625561132251414</v>
      </c>
      <c r="BI42" s="10">
        <f t="shared" si="100"/>
        <v>0</v>
      </c>
      <c r="BJ42" s="21"/>
      <c r="BK42" s="19">
        <f t="shared" si="101"/>
        <v>0</v>
      </c>
      <c r="BL42" s="24">
        <f t="shared" si="15"/>
        <v>-2.8625561132251414</v>
      </c>
      <c r="BM42" s="81">
        <f>$H$42*月別販売比率!BA5</f>
        <v>2.6147620844252994</v>
      </c>
      <c r="BN42" s="10">
        <f t="shared" si="102"/>
        <v>0</v>
      </c>
      <c r="BO42" s="21"/>
      <c r="BP42" s="19">
        <f t="shared" ref="BP42:BP49" si="105">K42+BO42</f>
        <v>0</v>
      </c>
      <c r="BQ42" s="24">
        <f t="shared" si="16"/>
        <v>-2.6147620844252994</v>
      </c>
      <c r="BR42" s="81">
        <f>$H$42*月別販売比率!BF5</f>
        <v>3.7606837606837606</v>
      </c>
      <c r="BS42" s="10">
        <f t="shared" si="103"/>
        <v>0</v>
      </c>
      <c r="BT42" s="21"/>
      <c r="BU42" s="19">
        <f t="shared" si="104"/>
        <v>0</v>
      </c>
      <c r="BV42" s="24">
        <f t="shared" si="17"/>
        <v>-3.7606837606837606</v>
      </c>
      <c r="BW42" s="157">
        <f t="shared" si="86"/>
        <v>64</v>
      </c>
      <c r="BX42" s="29">
        <f t="shared" si="49"/>
        <v>16.991452991452995</v>
      </c>
    </row>
    <row r="43" spans="2:76" ht="30.75" customHeight="1">
      <c r="C43" s="507"/>
      <c r="D43" s="441"/>
      <c r="E43" s="94" t="s">
        <v>49</v>
      </c>
      <c r="F43" s="57">
        <v>28</v>
      </c>
      <c r="G43" s="5">
        <f t="shared" si="87"/>
        <v>101640</v>
      </c>
      <c r="H43" s="7">
        <f t="shared" si="88"/>
        <v>52.649572649572647</v>
      </c>
      <c r="I43" s="5">
        <f t="shared" si="78"/>
        <v>191117.94871794872</v>
      </c>
      <c r="J43" s="9">
        <v>0</v>
      </c>
      <c r="K43" s="21">
        <f t="shared" si="20"/>
        <v>3</v>
      </c>
      <c r="L43" s="21"/>
      <c r="M43" s="21">
        <v>3</v>
      </c>
      <c r="N43" s="42"/>
      <c r="O43" s="81">
        <f>$H$43*月別販売比率!C5</f>
        <v>3.7309725373809881</v>
      </c>
      <c r="P43" s="10">
        <f t="shared" si="79"/>
        <v>3</v>
      </c>
      <c r="Q43" s="21"/>
      <c r="R43" s="19">
        <f t="shared" si="89"/>
        <v>3</v>
      </c>
      <c r="S43" s="24">
        <f t="shared" si="22"/>
        <v>-0.73097253738098811</v>
      </c>
      <c r="T43" s="81">
        <f>$H$43*月別販売比率!H5</f>
        <v>3.6854700854700857</v>
      </c>
      <c r="U43" s="10">
        <f t="shared" si="90"/>
        <v>3</v>
      </c>
      <c r="V43" s="21">
        <v>36</v>
      </c>
      <c r="W43" s="10">
        <f t="shared" si="80"/>
        <v>39</v>
      </c>
      <c r="X43" s="24">
        <f t="shared" si="2"/>
        <v>35.314529914529913</v>
      </c>
      <c r="Y43" s="81">
        <f>$H$43*月別販売比率!M5</f>
        <v>5.320960042749646</v>
      </c>
      <c r="Z43" s="10">
        <f t="shared" si="91"/>
        <v>3</v>
      </c>
      <c r="AA43" s="21"/>
      <c r="AB43" s="97">
        <f t="shared" si="81"/>
        <v>3</v>
      </c>
      <c r="AC43" s="24">
        <f t="shared" si="4"/>
        <v>-2.320960042749646</v>
      </c>
      <c r="AD43" s="81">
        <f>$H$43*月別販売比率!R5</f>
        <v>4.2119658119658121</v>
      </c>
      <c r="AE43" s="10">
        <f t="shared" si="92"/>
        <v>3</v>
      </c>
      <c r="AF43" s="21"/>
      <c r="AG43" s="10">
        <f t="shared" si="82"/>
        <v>3</v>
      </c>
      <c r="AH43" s="24">
        <f t="shared" si="6"/>
        <v>-1.2119658119658121</v>
      </c>
      <c r="AI43" s="81">
        <f>$H$43*月別販売比率!W5</f>
        <v>4.0101452754119382</v>
      </c>
      <c r="AJ43" s="10">
        <f t="shared" si="93"/>
        <v>3</v>
      </c>
      <c r="AK43" s="21"/>
      <c r="AL43" s="10">
        <f t="shared" si="83"/>
        <v>3</v>
      </c>
      <c r="AM43" s="24">
        <f t="shared" si="8"/>
        <v>-1.0101452754119382</v>
      </c>
      <c r="AN43" s="81">
        <f>$H$43*月別販売比率!AB5</f>
        <v>6.3179487179487177</v>
      </c>
      <c r="AO43" s="10">
        <f t="shared" si="94"/>
        <v>3</v>
      </c>
      <c r="AP43" s="21"/>
      <c r="AQ43" s="10">
        <f t="shared" si="84"/>
        <v>3</v>
      </c>
      <c r="AR43" s="24">
        <f t="shared" si="10"/>
        <v>-3.3179487179487177</v>
      </c>
      <c r="AS43" s="81">
        <f>$H$43*月別販売比率!AG5</f>
        <v>5.2649572649572649</v>
      </c>
      <c r="AT43" s="10">
        <f t="shared" si="95"/>
        <v>3</v>
      </c>
      <c r="AU43" s="21"/>
      <c r="AV43" s="10">
        <f t="shared" si="85"/>
        <v>3</v>
      </c>
      <c r="AW43" s="24">
        <f t="shared" si="12"/>
        <v>-2.2649572649572649</v>
      </c>
      <c r="AX43" s="81">
        <f>$H$43*月別販売比率!AL5</f>
        <v>4.7384615384615385</v>
      </c>
      <c r="AY43" s="10">
        <f t="shared" si="96"/>
        <v>3</v>
      </c>
      <c r="AZ43" s="21"/>
      <c r="BA43" s="19">
        <f t="shared" si="97"/>
        <v>3</v>
      </c>
      <c r="BB43" s="24">
        <f t="shared" si="13"/>
        <v>-1.7384615384615385</v>
      </c>
      <c r="BC43" s="81">
        <f>$H$43*月別販売比率!AQ5</f>
        <v>5.2649572649572649</v>
      </c>
      <c r="BD43" s="10">
        <f t="shared" si="98"/>
        <v>3</v>
      </c>
      <c r="BE43" s="21"/>
      <c r="BF43" s="19">
        <f t="shared" si="99"/>
        <v>3</v>
      </c>
      <c r="BG43" s="24">
        <f t="shared" si="14"/>
        <v>-2.2649572649572649</v>
      </c>
      <c r="BH43" s="81">
        <f>$H$43*月別販売比率!AV5</f>
        <v>3.2060628468121584</v>
      </c>
      <c r="BI43" s="10">
        <f t="shared" si="100"/>
        <v>3</v>
      </c>
      <c r="BJ43" s="21"/>
      <c r="BK43" s="19">
        <f t="shared" si="101"/>
        <v>3</v>
      </c>
      <c r="BL43" s="24">
        <f t="shared" si="15"/>
        <v>-0.20606284681215836</v>
      </c>
      <c r="BM43" s="81">
        <f>$H$43*月別販売比率!BA5</f>
        <v>2.9285335345563355</v>
      </c>
      <c r="BN43" s="10">
        <f t="shared" si="102"/>
        <v>3</v>
      </c>
      <c r="BO43" s="21"/>
      <c r="BP43" s="19">
        <f t="shared" si="105"/>
        <v>3</v>
      </c>
      <c r="BQ43" s="24">
        <f t="shared" si="16"/>
        <v>7.1466465443664529E-2</v>
      </c>
      <c r="BR43" s="81">
        <f>$H$43*月別販売比率!BF5</f>
        <v>4.2119658119658121</v>
      </c>
      <c r="BS43" s="10">
        <f t="shared" si="103"/>
        <v>3</v>
      </c>
      <c r="BT43" s="21"/>
      <c r="BU43" s="19">
        <f t="shared" si="104"/>
        <v>3</v>
      </c>
      <c r="BV43" s="24">
        <f t="shared" si="17"/>
        <v>-1.2119658119658121</v>
      </c>
      <c r="BW43" s="157">
        <f t="shared" si="86"/>
        <v>39</v>
      </c>
      <c r="BX43" s="29">
        <f t="shared" si="49"/>
        <v>-13.649572649572647</v>
      </c>
    </row>
    <row r="44" spans="2:76" ht="30.75" customHeight="1">
      <c r="C44" s="507"/>
      <c r="D44" s="442"/>
      <c r="E44" s="94" t="s">
        <v>50</v>
      </c>
      <c r="F44" s="57">
        <v>17</v>
      </c>
      <c r="G44" s="5">
        <f t="shared" si="87"/>
        <v>61710</v>
      </c>
      <c r="H44" s="7">
        <f t="shared" si="88"/>
        <v>31.965811965811966</v>
      </c>
      <c r="I44" s="5">
        <f t="shared" si="78"/>
        <v>116035.89743589744</v>
      </c>
      <c r="J44" s="9">
        <v>0</v>
      </c>
      <c r="K44" s="21">
        <f t="shared" si="20"/>
        <v>1</v>
      </c>
      <c r="L44" s="21"/>
      <c r="M44" s="21">
        <v>1</v>
      </c>
      <c r="N44" s="42"/>
      <c r="O44" s="81">
        <f>$H$44*月別販売比率!C5</f>
        <v>2.2652333262670288</v>
      </c>
      <c r="P44" s="10">
        <f t="shared" si="79"/>
        <v>1</v>
      </c>
      <c r="Q44" s="21"/>
      <c r="R44" s="19">
        <f t="shared" si="89"/>
        <v>1</v>
      </c>
      <c r="S44" s="24">
        <f t="shared" si="22"/>
        <v>-1.2652333262670288</v>
      </c>
      <c r="T44" s="81">
        <f>$H$44*月別販売比率!H5</f>
        <v>2.2376068376068377</v>
      </c>
      <c r="U44" s="10">
        <f t="shared" si="90"/>
        <v>1</v>
      </c>
      <c r="V44" s="21">
        <v>24</v>
      </c>
      <c r="W44" s="10">
        <f t="shared" si="80"/>
        <v>25</v>
      </c>
      <c r="X44" s="24">
        <f t="shared" si="2"/>
        <v>22.762393162393163</v>
      </c>
      <c r="Y44" s="81">
        <f>$H$44*月別販売比率!M5</f>
        <v>3.2305828830979997</v>
      </c>
      <c r="Z44" s="10">
        <f t="shared" si="91"/>
        <v>1</v>
      </c>
      <c r="AA44" s="21"/>
      <c r="AB44" s="97">
        <f t="shared" si="81"/>
        <v>1</v>
      </c>
      <c r="AC44" s="24">
        <f t="shared" si="4"/>
        <v>-2.2305828830979997</v>
      </c>
      <c r="AD44" s="81">
        <f>$H$44*月別販売比率!R5</f>
        <v>2.5572649572649575</v>
      </c>
      <c r="AE44" s="10">
        <f t="shared" si="92"/>
        <v>1</v>
      </c>
      <c r="AF44" s="21"/>
      <c r="AG44" s="10">
        <f t="shared" si="82"/>
        <v>1</v>
      </c>
      <c r="AH44" s="24">
        <f t="shared" si="6"/>
        <v>-1.5572649572649575</v>
      </c>
      <c r="AI44" s="81">
        <f>$H$44*月別販売比率!W5</f>
        <v>2.4347310600715337</v>
      </c>
      <c r="AJ44" s="10">
        <f t="shared" si="93"/>
        <v>1</v>
      </c>
      <c r="AK44" s="21"/>
      <c r="AL44" s="10">
        <f t="shared" si="83"/>
        <v>1</v>
      </c>
      <c r="AM44" s="24">
        <f t="shared" si="8"/>
        <v>-1.4347310600715337</v>
      </c>
      <c r="AN44" s="81">
        <f>$H$44*月別販売比率!AB5</f>
        <v>3.8358974358974356</v>
      </c>
      <c r="AO44" s="10">
        <f t="shared" si="94"/>
        <v>1</v>
      </c>
      <c r="AP44" s="21"/>
      <c r="AQ44" s="10">
        <f t="shared" si="84"/>
        <v>1</v>
      </c>
      <c r="AR44" s="24">
        <f t="shared" si="10"/>
        <v>-2.8358974358974356</v>
      </c>
      <c r="AS44" s="81">
        <f>$H$44*月別販売比率!AG5</f>
        <v>3.1965811965811968</v>
      </c>
      <c r="AT44" s="10">
        <f t="shared" si="95"/>
        <v>1</v>
      </c>
      <c r="AU44" s="21"/>
      <c r="AV44" s="10">
        <f t="shared" si="85"/>
        <v>1</v>
      </c>
      <c r="AW44" s="24">
        <f t="shared" si="12"/>
        <v>-2.1965811965811968</v>
      </c>
      <c r="AX44" s="81">
        <f>$H$44*月別販売比率!AL5</f>
        <v>2.8769230769230769</v>
      </c>
      <c r="AY44" s="10">
        <f t="shared" si="96"/>
        <v>1</v>
      </c>
      <c r="AZ44" s="21"/>
      <c r="BA44" s="19">
        <f t="shared" si="97"/>
        <v>1</v>
      </c>
      <c r="BB44" s="24">
        <f t="shared" si="13"/>
        <v>-1.8769230769230769</v>
      </c>
      <c r="BC44" s="81">
        <f>$H$44*月別販売比率!AQ5</f>
        <v>3.1965811965811968</v>
      </c>
      <c r="BD44" s="10">
        <f t="shared" si="98"/>
        <v>1</v>
      </c>
      <c r="BE44" s="21"/>
      <c r="BF44" s="19">
        <f t="shared" si="99"/>
        <v>1</v>
      </c>
      <c r="BG44" s="24">
        <f t="shared" si="14"/>
        <v>-2.1965811965811968</v>
      </c>
      <c r="BH44" s="81">
        <f>$H$44*月別販売比率!AV5</f>
        <v>1.9465381569930962</v>
      </c>
      <c r="BI44" s="10">
        <f t="shared" si="100"/>
        <v>1</v>
      </c>
      <c r="BJ44" s="21"/>
      <c r="BK44" s="19">
        <f t="shared" si="101"/>
        <v>1</v>
      </c>
      <c r="BL44" s="24">
        <f t="shared" si="15"/>
        <v>-0.94653815699309618</v>
      </c>
      <c r="BM44" s="81">
        <f>$H$44*月別販売比率!BA5</f>
        <v>1.7780382174092038</v>
      </c>
      <c r="BN44" s="10">
        <f t="shared" si="102"/>
        <v>1</v>
      </c>
      <c r="BO44" s="21"/>
      <c r="BP44" s="19">
        <f t="shared" si="105"/>
        <v>1</v>
      </c>
      <c r="BQ44" s="24">
        <f t="shared" si="16"/>
        <v>-0.77803821740920376</v>
      </c>
      <c r="BR44" s="81">
        <f>$H$44*月別販売比率!BF5</f>
        <v>2.5572649572649575</v>
      </c>
      <c r="BS44" s="10">
        <f t="shared" si="103"/>
        <v>1</v>
      </c>
      <c r="BT44" s="21"/>
      <c r="BU44" s="19">
        <f t="shared" si="104"/>
        <v>1</v>
      </c>
      <c r="BV44" s="24">
        <f t="shared" si="17"/>
        <v>-1.5572649572649575</v>
      </c>
      <c r="BW44" s="157">
        <f t="shared" si="86"/>
        <v>25</v>
      </c>
      <c r="BX44" s="29">
        <f t="shared" si="49"/>
        <v>-6.9658119658119659</v>
      </c>
    </row>
    <row r="45" spans="2:76" ht="30.75" customHeight="1">
      <c r="C45" s="507"/>
      <c r="D45" s="443">
        <v>2</v>
      </c>
      <c r="E45" s="94" t="s">
        <v>46</v>
      </c>
      <c r="F45" s="57">
        <v>76</v>
      </c>
      <c r="G45" s="5">
        <f t="shared" si="87"/>
        <v>275880</v>
      </c>
      <c r="H45" s="7">
        <f t="shared" si="88"/>
        <v>142.90598290598291</v>
      </c>
      <c r="I45" s="5">
        <f t="shared" si="78"/>
        <v>518748.71794871794</v>
      </c>
      <c r="J45" s="9">
        <v>2</v>
      </c>
      <c r="K45" s="21">
        <f t="shared" si="20"/>
        <v>2</v>
      </c>
      <c r="L45" s="21"/>
      <c r="M45" s="21">
        <v>2</v>
      </c>
      <c r="N45" s="42"/>
      <c r="O45" s="81">
        <f>$H$45*月別販売比率!C5</f>
        <v>10.126925458605541</v>
      </c>
      <c r="P45" s="10">
        <f t="shared" si="79"/>
        <v>2</v>
      </c>
      <c r="Q45" s="21"/>
      <c r="R45" s="19">
        <f t="shared" si="89"/>
        <v>2</v>
      </c>
      <c r="S45" s="24">
        <f t="shared" si="22"/>
        <v>-8.1269254586055411</v>
      </c>
      <c r="T45" s="81">
        <f>$H$45*月別販売比率!H5</f>
        <v>10.003418803418805</v>
      </c>
      <c r="U45" s="10">
        <f t="shared" si="90"/>
        <v>2</v>
      </c>
      <c r="V45" s="21">
        <v>72</v>
      </c>
      <c r="W45" s="10">
        <f t="shared" si="80"/>
        <v>74</v>
      </c>
      <c r="X45" s="24">
        <f t="shared" si="2"/>
        <v>63.996581196581197</v>
      </c>
      <c r="Y45" s="81">
        <f>$H$45*月別販売比率!M5</f>
        <v>14.442605830320471</v>
      </c>
      <c r="Z45" s="10">
        <f t="shared" si="91"/>
        <v>2</v>
      </c>
      <c r="AA45" s="21"/>
      <c r="AB45" s="97">
        <f t="shared" si="81"/>
        <v>2</v>
      </c>
      <c r="AC45" s="24">
        <f t="shared" si="4"/>
        <v>-12.442605830320471</v>
      </c>
      <c r="AD45" s="81">
        <f>$H$45*月別販売比率!R5</f>
        <v>11.432478632478633</v>
      </c>
      <c r="AE45" s="10">
        <f t="shared" si="92"/>
        <v>2</v>
      </c>
      <c r="AF45" s="21"/>
      <c r="AG45" s="10">
        <f t="shared" si="82"/>
        <v>2</v>
      </c>
      <c r="AH45" s="24">
        <f t="shared" si="6"/>
        <v>-9.4324786324786327</v>
      </c>
      <c r="AI45" s="81">
        <f>$H$45*月別販売比率!W5</f>
        <v>10.884680033260976</v>
      </c>
      <c r="AJ45" s="10">
        <f t="shared" si="93"/>
        <v>2</v>
      </c>
      <c r="AK45" s="21"/>
      <c r="AL45" s="10">
        <f t="shared" si="83"/>
        <v>2</v>
      </c>
      <c r="AM45" s="24">
        <f t="shared" si="8"/>
        <v>-8.8846800332609757</v>
      </c>
      <c r="AN45" s="81">
        <f>$H$45*月別販売比率!AB5</f>
        <v>17.148717948717948</v>
      </c>
      <c r="AO45" s="10">
        <f t="shared" si="94"/>
        <v>2</v>
      </c>
      <c r="AP45" s="21"/>
      <c r="AQ45" s="10">
        <f t="shared" si="84"/>
        <v>2</v>
      </c>
      <c r="AR45" s="24">
        <f t="shared" si="10"/>
        <v>-15.148717948717948</v>
      </c>
      <c r="AS45" s="81">
        <f>$H$45*月別販売比率!AG5</f>
        <v>14.290598290598291</v>
      </c>
      <c r="AT45" s="10">
        <f t="shared" si="95"/>
        <v>2</v>
      </c>
      <c r="AU45" s="21"/>
      <c r="AV45" s="10">
        <f t="shared" si="85"/>
        <v>2</v>
      </c>
      <c r="AW45" s="24">
        <f t="shared" si="12"/>
        <v>-12.290598290598291</v>
      </c>
      <c r="AX45" s="81">
        <f>$H$45*月別販売比率!AL5</f>
        <v>12.861538461538462</v>
      </c>
      <c r="AY45" s="10">
        <f t="shared" si="96"/>
        <v>2</v>
      </c>
      <c r="AZ45" s="21"/>
      <c r="BA45" s="19">
        <f t="shared" si="97"/>
        <v>2</v>
      </c>
      <c r="BB45" s="24">
        <f t="shared" si="13"/>
        <v>-10.861538461538462</v>
      </c>
      <c r="BC45" s="81">
        <f>$H$45*月別販売比率!AQ5</f>
        <v>14.290598290598291</v>
      </c>
      <c r="BD45" s="10">
        <f t="shared" si="98"/>
        <v>2</v>
      </c>
      <c r="BE45" s="21"/>
      <c r="BF45" s="19">
        <f t="shared" si="99"/>
        <v>2</v>
      </c>
      <c r="BG45" s="24">
        <f t="shared" si="14"/>
        <v>-12.290598290598291</v>
      </c>
      <c r="BH45" s="81">
        <f>$H$45*月別販売比率!AV5</f>
        <v>8.7021705842044295</v>
      </c>
      <c r="BI45" s="10">
        <f t="shared" si="100"/>
        <v>2</v>
      </c>
      <c r="BJ45" s="21"/>
      <c r="BK45" s="19">
        <f t="shared" si="101"/>
        <v>2</v>
      </c>
      <c r="BL45" s="24">
        <f t="shared" si="15"/>
        <v>-6.7021705842044295</v>
      </c>
      <c r="BM45" s="81">
        <f>$H$45*月別販売比率!BA5</f>
        <v>7.9488767366529114</v>
      </c>
      <c r="BN45" s="10">
        <f t="shared" si="102"/>
        <v>2</v>
      </c>
      <c r="BO45" s="21"/>
      <c r="BP45" s="19">
        <f t="shared" si="105"/>
        <v>2</v>
      </c>
      <c r="BQ45" s="24">
        <f t="shared" si="16"/>
        <v>-5.9488767366529114</v>
      </c>
      <c r="BR45" s="81">
        <f>$H$45*月別販売比率!BF5</f>
        <v>11.432478632478633</v>
      </c>
      <c r="BS45" s="10">
        <f t="shared" si="103"/>
        <v>2</v>
      </c>
      <c r="BT45" s="21"/>
      <c r="BU45" s="19">
        <f t="shared" si="104"/>
        <v>2</v>
      </c>
      <c r="BV45" s="24">
        <f t="shared" si="17"/>
        <v>-9.4324786324786327</v>
      </c>
      <c r="BW45" s="157">
        <f t="shared" si="86"/>
        <v>74</v>
      </c>
      <c r="BX45" s="29">
        <f t="shared" si="49"/>
        <v>-68.90598290598291</v>
      </c>
    </row>
    <row r="46" spans="2:76" ht="30.75" customHeight="1">
      <c r="C46" s="507"/>
      <c r="D46" s="441"/>
      <c r="E46" s="94" t="s">
        <v>47</v>
      </c>
      <c r="F46" s="57">
        <v>94</v>
      </c>
      <c r="G46" s="5">
        <f t="shared" si="87"/>
        <v>341220</v>
      </c>
      <c r="H46" s="7">
        <f t="shared" si="88"/>
        <v>176.75213675213675</v>
      </c>
      <c r="I46" s="5">
        <f t="shared" si="78"/>
        <v>641610.25641025638</v>
      </c>
      <c r="J46" s="9">
        <v>0</v>
      </c>
      <c r="K46" s="21">
        <f t="shared" si="20"/>
        <v>5</v>
      </c>
      <c r="L46" s="21"/>
      <c r="M46" s="21">
        <v>5</v>
      </c>
      <c r="N46" s="42"/>
      <c r="O46" s="81">
        <f>$H$46*月別販売比率!C5</f>
        <v>12.525407804064747</v>
      </c>
      <c r="P46" s="10">
        <f t="shared" si="79"/>
        <v>5</v>
      </c>
      <c r="Q46" s="21"/>
      <c r="R46" s="19">
        <f t="shared" si="89"/>
        <v>5</v>
      </c>
      <c r="S46" s="24">
        <f t="shared" si="22"/>
        <v>-7.5254078040647467</v>
      </c>
      <c r="T46" s="81">
        <f>$H$46*月別販売比率!H5</f>
        <v>12.372649572649573</v>
      </c>
      <c r="U46" s="10">
        <f t="shared" si="90"/>
        <v>5</v>
      </c>
      <c r="V46" s="21">
        <v>96</v>
      </c>
      <c r="W46" s="10">
        <f t="shared" si="80"/>
        <v>101</v>
      </c>
      <c r="X46" s="24">
        <f t="shared" si="2"/>
        <v>88.627350427350422</v>
      </c>
      <c r="Y46" s="81">
        <f>$H$46*月別販売比率!M5</f>
        <v>17.863223000659527</v>
      </c>
      <c r="Z46" s="10">
        <f t="shared" si="91"/>
        <v>5</v>
      </c>
      <c r="AA46" s="21"/>
      <c r="AB46" s="97">
        <f t="shared" si="81"/>
        <v>5</v>
      </c>
      <c r="AC46" s="24">
        <f t="shared" si="4"/>
        <v>-12.863223000659527</v>
      </c>
      <c r="AD46" s="81">
        <f>$H$46*月別販売比率!R5</f>
        <v>14.14017094017094</v>
      </c>
      <c r="AE46" s="10">
        <f t="shared" si="92"/>
        <v>5</v>
      </c>
      <c r="AF46" s="21"/>
      <c r="AG46" s="10">
        <f t="shared" si="82"/>
        <v>5</v>
      </c>
      <c r="AH46" s="24">
        <f t="shared" si="6"/>
        <v>-9.1401709401709397</v>
      </c>
      <c r="AI46" s="81">
        <f>$H$46*月別販売比率!W5</f>
        <v>13.462630567454363</v>
      </c>
      <c r="AJ46" s="10">
        <f t="shared" si="93"/>
        <v>5</v>
      </c>
      <c r="AK46" s="21"/>
      <c r="AL46" s="10">
        <f t="shared" si="83"/>
        <v>5</v>
      </c>
      <c r="AM46" s="24">
        <f t="shared" si="8"/>
        <v>-8.4626305674543634</v>
      </c>
      <c r="AN46" s="81">
        <f>$H$46*月別販売比率!AB5</f>
        <v>21.21025641025641</v>
      </c>
      <c r="AO46" s="10">
        <f t="shared" si="94"/>
        <v>5</v>
      </c>
      <c r="AP46" s="21"/>
      <c r="AQ46" s="10">
        <f t="shared" si="84"/>
        <v>5</v>
      </c>
      <c r="AR46" s="24">
        <f t="shared" si="10"/>
        <v>-16.21025641025641</v>
      </c>
      <c r="AS46" s="81">
        <f>$H$46*月別販売比率!AG5</f>
        <v>17.675213675213676</v>
      </c>
      <c r="AT46" s="10">
        <f t="shared" si="95"/>
        <v>5</v>
      </c>
      <c r="AU46" s="21"/>
      <c r="AV46" s="10">
        <f t="shared" si="85"/>
        <v>5</v>
      </c>
      <c r="AW46" s="24">
        <f t="shared" si="12"/>
        <v>-12.675213675213676</v>
      </c>
      <c r="AX46" s="81">
        <f>$H$46*月別販売比率!AL5</f>
        <v>15.907692307692306</v>
      </c>
      <c r="AY46" s="10">
        <f t="shared" si="96"/>
        <v>5</v>
      </c>
      <c r="AZ46" s="21"/>
      <c r="BA46" s="19">
        <f t="shared" si="97"/>
        <v>5</v>
      </c>
      <c r="BB46" s="24">
        <f t="shared" si="13"/>
        <v>-10.907692307692306</v>
      </c>
      <c r="BC46" s="81">
        <f>$H$46*月別販売比率!AQ5</f>
        <v>17.675213675213676</v>
      </c>
      <c r="BD46" s="10">
        <f t="shared" si="98"/>
        <v>5</v>
      </c>
      <c r="BE46" s="21"/>
      <c r="BF46" s="19">
        <f t="shared" si="99"/>
        <v>5</v>
      </c>
      <c r="BG46" s="24">
        <f t="shared" si="14"/>
        <v>-12.675213675213676</v>
      </c>
      <c r="BH46" s="81">
        <f>$H$46*月別販売比率!AV5</f>
        <v>10.763210985726531</v>
      </c>
      <c r="BI46" s="10">
        <f t="shared" si="100"/>
        <v>5</v>
      </c>
      <c r="BJ46" s="21"/>
      <c r="BK46" s="19">
        <f t="shared" si="101"/>
        <v>5</v>
      </c>
      <c r="BL46" s="24">
        <f t="shared" si="15"/>
        <v>-5.7632109857265306</v>
      </c>
      <c r="BM46" s="81">
        <f>$H$46*月別販売比率!BA5</f>
        <v>9.8315054374391266</v>
      </c>
      <c r="BN46" s="10">
        <f t="shared" si="102"/>
        <v>5</v>
      </c>
      <c r="BO46" s="21"/>
      <c r="BP46" s="19">
        <f t="shared" si="105"/>
        <v>5</v>
      </c>
      <c r="BQ46" s="24">
        <f t="shared" si="16"/>
        <v>-4.8315054374391266</v>
      </c>
      <c r="BR46" s="81">
        <f>$H$46*月別販売比率!BF5</f>
        <v>14.14017094017094</v>
      </c>
      <c r="BS46" s="10">
        <f t="shared" si="103"/>
        <v>5</v>
      </c>
      <c r="BT46" s="21"/>
      <c r="BU46" s="19">
        <f t="shared" si="104"/>
        <v>5</v>
      </c>
      <c r="BV46" s="24">
        <f t="shared" si="17"/>
        <v>-9.1401709401709397</v>
      </c>
      <c r="BW46" s="157">
        <f t="shared" si="86"/>
        <v>101</v>
      </c>
      <c r="BX46" s="29">
        <f t="shared" si="49"/>
        <v>-75.752136752136749</v>
      </c>
    </row>
    <row r="47" spans="2:76" ht="30.75" customHeight="1">
      <c r="C47" s="507"/>
      <c r="D47" s="441"/>
      <c r="E47" s="94" t="s">
        <v>51</v>
      </c>
      <c r="F47" s="57">
        <v>96</v>
      </c>
      <c r="G47" s="5">
        <f t="shared" si="87"/>
        <v>348480</v>
      </c>
      <c r="H47" s="7">
        <f t="shared" si="88"/>
        <v>180.5128205128205</v>
      </c>
      <c r="I47" s="5">
        <f t="shared" si="78"/>
        <v>655261.53846153838</v>
      </c>
      <c r="J47" s="9">
        <v>0</v>
      </c>
      <c r="K47" s="21">
        <f t="shared" si="20"/>
        <v>11</v>
      </c>
      <c r="L47" s="21"/>
      <c r="M47" s="21">
        <v>11</v>
      </c>
      <c r="N47" s="42"/>
      <c r="O47" s="81">
        <f>$H$47*月別販売比率!C5</f>
        <v>12.791905842449102</v>
      </c>
      <c r="P47" s="10">
        <f t="shared" si="79"/>
        <v>11</v>
      </c>
      <c r="Q47" s="21"/>
      <c r="R47" s="19">
        <f t="shared" si="89"/>
        <v>11</v>
      </c>
      <c r="S47" s="24">
        <f t="shared" si="22"/>
        <v>-1.7919058424491023</v>
      </c>
      <c r="T47" s="81">
        <f>$H$47*月別販売比率!H5</f>
        <v>12.635897435897435</v>
      </c>
      <c r="U47" s="10">
        <f t="shared" si="90"/>
        <v>11</v>
      </c>
      <c r="V47" s="21">
        <v>96</v>
      </c>
      <c r="W47" s="10">
        <f t="shared" si="80"/>
        <v>107</v>
      </c>
      <c r="X47" s="24">
        <f t="shared" si="2"/>
        <v>94.364102564102566</v>
      </c>
      <c r="Y47" s="81">
        <f>$H$47*月別販売比率!M5</f>
        <v>18.243291575141644</v>
      </c>
      <c r="Z47" s="10">
        <f t="shared" si="91"/>
        <v>11</v>
      </c>
      <c r="AA47" s="21"/>
      <c r="AB47" s="97">
        <f t="shared" si="81"/>
        <v>11</v>
      </c>
      <c r="AC47" s="24">
        <f t="shared" si="4"/>
        <v>-7.2432915751416438</v>
      </c>
      <c r="AD47" s="81">
        <f>$H$47*月別販売比率!R5</f>
        <v>14.441025641025639</v>
      </c>
      <c r="AE47" s="10">
        <f t="shared" si="92"/>
        <v>11</v>
      </c>
      <c r="AF47" s="21"/>
      <c r="AG47" s="10">
        <f t="shared" si="82"/>
        <v>11</v>
      </c>
      <c r="AH47" s="24">
        <f t="shared" si="6"/>
        <v>-3.4410256410256395</v>
      </c>
      <c r="AI47" s="81">
        <f>$H$47*月別販売比率!W5</f>
        <v>13.749069515698071</v>
      </c>
      <c r="AJ47" s="10">
        <f t="shared" si="93"/>
        <v>11</v>
      </c>
      <c r="AK47" s="21"/>
      <c r="AL47" s="10">
        <f t="shared" si="83"/>
        <v>11</v>
      </c>
      <c r="AM47" s="24">
        <f t="shared" si="8"/>
        <v>-2.7490695156980713</v>
      </c>
      <c r="AN47" s="81">
        <f>$H$47*月別販売比率!AB5</f>
        <v>21.661538461538459</v>
      </c>
      <c r="AO47" s="10">
        <f t="shared" si="94"/>
        <v>11</v>
      </c>
      <c r="AP47" s="21"/>
      <c r="AQ47" s="10">
        <f t="shared" si="84"/>
        <v>11</v>
      </c>
      <c r="AR47" s="24">
        <f t="shared" si="10"/>
        <v>-10.661538461538459</v>
      </c>
      <c r="AS47" s="81">
        <f>$H$47*月別販売比率!AG5</f>
        <v>18.051282051282051</v>
      </c>
      <c r="AT47" s="10">
        <f t="shared" si="95"/>
        <v>11</v>
      </c>
      <c r="AU47" s="21"/>
      <c r="AV47" s="10">
        <f t="shared" si="85"/>
        <v>11</v>
      </c>
      <c r="AW47" s="24">
        <f t="shared" si="12"/>
        <v>-7.0512820512820511</v>
      </c>
      <c r="AX47" s="81">
        <f>$H$47*月別販売比率!AL5</f>
        <v>16.246153846153845</v>
      </c>
      <c r="AY47" s="10">
        <f t="shared" si="96"/>
        <v>11</v>
      </c>
      <c r="AZ47" s="21"/>
      <c r="BA47" s="19">
        <f t="shared" si="97"/>
        <v>11</v>
      </c>
      <c r="BB47" s="24">
        <f t="shared" si="13"/>
        <v>-5.2461538461538453</v>
      </c>
      <c r="BC47" s="81">
        <f>$H$47*月別販売比率!AQ5</f>
        <v>18.051282051282051</v>
      </c>
      <c r="BD47" s="10">
        <f t="shared" si="98"/>
        <v>11</v>
      </c>
      <c r="BE47" s="21"/>
      <c r="BF47" s="19">
        <f t="shared" si="99"/>
        <v>11</v>
      </c>
      <c r="BG47" s="24">
        <f t="shared" si="14"/>
        <v>-7.0512820512820511</v>
      </c>
      <c r="BH47" s="81">
        <f>$H$47*月別販売比率!AV5</f>
        <v>10.992215474784542</v>
      </c>
      <c r="BI47" s="10">
        <f t="shared" si="100"/>
        <v>11</v>
      </c>
      <c r="BJ47" s="21"/>
      <c r="BK47" s="19">
        <f t="shared" si="101"/>
        <v>11</v>
      </c>
      <c r="BL47" s="24">
        <f t="shared" si="15"/>
        <v>7.7845252154578048E-3</v>
      </c>
      <c r="BM47" s="81">
        <f>$H$47*月別販売比率!BA5</f>
        <v>10.040686404193149</v>
      </c>
      <c r="BN47" s="10">
        <f t="shared" si="102"/>
        <v>11</v>
      </c>
      <c r="BO47" s="21"/>
      <c r="BP47" s="19">
        <f t="shared" si="105"/>
        <v>11</v>
      </c>
      <c r="BQ47" s="24">
        <f t="shared" si="16"/>
        <v>0.95931359580685083</v>
      </c>
      <c r="BR47" s="81">
        <f>$H$47*月別販売比率!BF5</f>
        <v>14.441025641025639</v>
      </c>
      <c r="BS47" s="10">
        <f t="shared" si="103"/>
        <v>11</v>
      </c>
      <c r="BT47" s="21"/>
      <c r="BU47" s="19">
        <f t="shared" si="104"/>
        <v>11</v>
      </c>
      <c r="BV47" s="24">
        <f t="shared" si="17"/>
        <v>-3.4410256410256395</v>
      </c>
      <c r="BW47" s="157">
        <f t="shared" si="86"/>
        <v>107</v>
      </c>
      <c r="BX47" s="29">
        <f t="shared" si="49"/>
        <v>-73.512820512820497</v>
      </c>
    </row>
    <row r="48" spans="2:76" ht="30.75" customHeight="1">
      <c r="C48" s="507"/>
      <c r="D48" s="441"/>
      <c r="E48" s="94" t="s">
        <v>49</v>
      </c>
      <c r="F48" s="57">
        <v>31</v>
      </c>
      <c r="G48" s="5">
        <f t="shared" si="87"/>
        <v>112530</v>
      </c>
      <c r="H48" s="7">
        <f t="shared" si="88"/>
        <v>58.29059829059829</v>
      </c>
      <c r="I48" s="5">
        <f t="shared" si="78"/>
        <v>211594.87179487178</v>
      </c>
      <c r="J48" s="9">
        <v>15</v>
      </c>
      <c r="K48" s="21">
        <f t="shared" si="20"/>
        <v>4</v>
      </c>
      <c r="L48" s="21"/>
      <c r="M48" s="21">
        <v>4</v>
      </c>
      <c r="N48" s="42"/>
      <c r="O48" s="81">
        <f>$H$48*月別販売比率!C5</f>
        <v>4.1307195949575224</v>
      </c>
      <c r="P48" s="10">
        <f t="shared" si="79"/>
        <v>4</v>
      </c>
      <c r="Q48" s="21"/>
      <c r="R48" s="19">
        <f t="shared" si="89"/>
        <v>4</v>
      </c>
      <c r="S48" s="24">
        <f t="shared" si="22"/>
        <v>-0.13071959495752239</v>
      </c>
      <c r="T48" s="81">
        <f>$H$48*月別販売比率!H5</f>
        <v>4.0803418803418809</v>
      </c>
      <c r="U48" s="10">
        <f t="shared" si="90"/>
        <v>4</v>
      </c>
      <c r="V48" s="21">
        <v>12</v>
      </c>
      <c r="W48" s="10">
        <f t="shared" si="80"/>
        <v>16</v>
      </c>
      <c r="X48" s="24">
        <f t="shared" si="2"/>
        <v>11.91965811965812</v>
      </c>
      <c r="Y48" s="81">
        <f>$H$48*月別販売比率!M5</f>
        <v>5.8910629044728227</v>
      </c>
      <c r="Z48" s="10">
        <f t="shared" si="91"/>
        <v>4</v>
      </c>
      <c r="AA48" s="21"/>
      <c r="AB48" s="97">
        <f t="shared" si="81"/>
        <v>4</v>
      </c>
      <c r="AC48" s="24">
        <f t="shared" si="4"/>
        <v>-1.8910629044728227</v>
      </c>
      <c r="AD48" s="81">
        <f>$H$48*月別販売比率!R5</f>
        <v>4.6632478632478636</v>
      </c>
      <c r="AE48" s="10">
        <f t="shared" si="92"/>
        <v>4</v>
      </c>
      <c r="AF48" s="21"/>
      <c r="AG48" s="10">
        <f t="shared" si="82"/>
        <v>4</v>
      </c>
      <c r="AH48" s="24">
        <f t="shared" si="6"/>
        <v>-0.66324786324786356</v>
      </c>
      <c r="AI48" s="81">
        <f>$H$48*月別販売比率!W5</f>
        <v>4.4398036977775028</v>
      </c>
      <c r="AJ48" s="10">
        <f t="shared" si="93"/>
        <v>4</v>
      </c>
      <c r="AK48" s="21"/>
      <c r="AL48" s="10">
        <f t="shared" si="83"/>
        <v>4</v>
      </c>
      <c r="AM48" s="24">
        <f t="shared" si="8"/>
        <v>-0.43980369777750283</v>
      </c>
      <c r="AN48" s="81">
        <f>$H$48*月別販売比率!AB5</f>
        <v>6.9948717948717949</v>
      </c>
      <c r="AO48" s="10">
        <f t="shared" si="94"/>
        <v>4</v>
      </c>
      <c r="AP48" s="21"/>
      <c r="AQ48" s="10">
        <f t="shared" si="84"/>
        <v>4</v>
      </c>
      <c r="AR48" s="24">
        <f t="shared" si="10"/>
        <v>-2.9948717948717949</v>
      </c>
      <c r="AS48" s="81">
        <f>$H$48*月別販売比率!AG5</f>
        <v>5.8290598290598297</v>
      </c>
      <c r="AT48" s="10">
        <f t="shared" si="95"/>
        <v>4</v>
      </c>
      <c r="AU48" s="21"/>
      <c r="AV48" s="10">
        <f t="shared" si="85"/>
        <v>4</v>
      </c>
      <c r="AW48" s="24">
        <f t="shared" si="12"/>
        <v>-1.8290598290598297</v>
      </c>
      <c r="AX48" s="81">
        <f>$H$48*月別販売比率!AL5</f>
        <v>5.2461538461538462</v>
      </c>
      <c r="AY48" s="10">
        <f t="shared" si="96"/>
        <v>4</v>
      </c>
      <c r="AZ48" s="21"/>
      <c r="BA48" s="19">
        <f t="shared" si="97"/>
        <v>4</v>
      </c>
      <c r="BB48" s="24">
        <f t="shared" si="13"/>
        <v>-1.2461538461538462</v>
      </c>
      <c r="BC48" s="81">
        <f>$H$48*月別販売比率!AQ5</f>
        <v>5.8290598290598297</v>
      </c>
      <c r="BD48" s="10">
        <f t="shared" si="98"/>
        <v>4</v>
      </c>
      <c r="BE48" s="21"/>
      <c r="BF48" s="19">
        <f t="shared" si="99"/>
        <v>4</v>
      </c>
      <c r="BG48" s="24">
        <f t="shared" si="14"/>
        <v>-1.8290598290598297</v>
      </c>
      <c r="BH48" s="81">
        <f>$H$48*月別販売比率!AV5</f>
        <v>3.5495695803991754</v>
      </c>
      <c r="BI48" s="10">
        <f t="shared" si="100"/>
        <v>4</v>
      </c>
      <c r="BJ48" s="21"/>
      <c r="BK48" s="19">
        <f t="shared" si="101"/>
        <v>4</v>
      </c>
      <c r="BL48" s="24">
        <f t="shared" si="15"/>
        <v>0.45043041960082464</v>
      </c>
      <c r="BM48" s="81">
        <f>$H$48*月別販売比率!BA5</f>
        <v>3.2423049846873715</v>
      </c>
      <c r="BN48" s="10">
        <f t="shared" si="102"/>
        <v>4</v>
      </c>
      <c r="BO48" s="21"/>
      <c r="BP48" s="19">
        <f t="shared" si="105"/>
        <v>4</v>
      </c>
      <c r="BQ48" s="24">
        <f t="shared" si="16"/>
        <v>0.75769501531262851</v>
      </c>
      <c r="BR48" s="81">
        <f>$H$48*月別販売比率!BF5</f>
        <v>4.6632478632478636</v>
      </c>
      <c r="BS48" s="10">
        <f t="shared" si="103"/>
        <v>4</v>
      </c>
      <c r="BT48" s="21"/>
      <c r="BU48" s="19">
        <f t="shared" si="104"/>
        <v>4</v>
      </c>
      <c r="BV48" s="24">
        <f t="shared" si="17"/>
        <v>-0.66324786324786356</v>
      </c>
      <c r="BW48" s="157">
        <f t="shared" si="86"/>
        <v>16</v>
      </c>
      <c r="BX48" s="29">
        <f t="shared" si="49"/>
        <v>-42.29059829059829</v>
      </c>
    </row>
    <row r="49" spans="2:76" ht="30.75" customHeight="1">
      <c r="C49" s="508"/>
      <c r="D49" s="444"/>
      <c r="E49" s="101" t="s">
        <v>50</v>
      </c>
      <c r="F49" s="58">
        <v>23</v>
      </c>
      <c r="G49" s="35">
        <f t="shared" si="87"/>
        <v>83490</v>
      </c>
      <c r="H49" s="181">
        <f t="shared" si="88"/>
        <v>43.247863247863251</v>
      </c>
      <c r="I49" s="35">
        <f t="shared" si="78"/>
        <v>156989.74358974359</v>
      </c>
      <c r="J49" s="113">
        <v>0</v>
      </c>
      <c r="K49" s="103">
        <f t="shared" si="20"/>
        <v>4</v>
      </c>
      <c r="L49" s="104"/>
      <c r="M49" s="104">
        <v>4</v>
      </c>
      <c r="N49" s="117"/>
      <c r="O49" s="81">
        <f>$H$49*月別販売比率!C5</f>
        <v>3.0647274414200978</v>
      </c>
      <c r="P49" s="106">
        <f t="shared" si="79"/>
        <v>4</v>
      </c>
      <c r="Q49" s="107"/>
      <c r="R49" s="2">
        <f t="shared" si="89"/>
        <v>4</v>
      </c>
      <c r="S49" s="195">
        <f t="shared" si="22"/>
        <v>0.93527255857990221</v>
      </c>
      <c r="T49" s="81">
        <f>$H$49*月別販売比率!H5</f>
        <v>3.0273504273504277</v>
      </c>
      <c r="U49" s="106">
        <f t="shared" si="90"/>
        <v>4</v>
      </c>
      <c r="V49" s="107">
        <v>24</v>
      </c>
      <c r="W49" s="106">
        <f>K49+V49</f>
        <v>28</v>
      </c>
      <c r="X49" s="195">
        <f t="shared" si="2"/>
        <v>24.972649572649573</v>
      </c>
      <c r="Y49" s="81">
        <f>$H$49*月別販売比率!M5</f>
        <v>4.3707886065443526</v>
      </c>
      <c r="Z49" s="106">
        <f t="shared" si="91"/>
        <v>4</v>
      </c>
      <c r="AA49" s="107"/>
      <c r="AB49" s="196">
        <f t="shared" si="81"/>
        <v>4</v>
      </c>
      <c r="AC49" s="195">
        <f t="shared" si="4"/>
        <v>-0.37078860654435264</v>
      </c>
      <c r="AD49" s="81">
        <f>$H$49*月別販売比率!R5</f>
        <v>3.45982905982906</v>
      </c>
      <c r="AE49" s="106">
        <f t="shared" si="92"/>
        <v>4</v>
      </c>
      <c r="AF49" s="107"/>
      <c r="AG49" s="106">
        <f t="shared" si="82"/>
        <v>4</v>
      </c>
      <c r="AH49" s="195">
        <f t="shared" si="6"/>
        <v>0.54017094017094003</v>
      </c>
      <c r="AI49" s="81">
        <f>$H$49*月別販売比率!W5</f>
        <v>3.2940479048026634</v>
      </c>
      <c r="AJ49" s="106">
        <f t="shared" si="93"/>
        <v>4</v>
      </c>
      <c r="AK49" s="107"/>
      <c r="AL49" s="106">
        <f t="shared" si="83"/>
        <v>4</v>
      </c>
      <c r="AM49" s="195">
        <f t="shared" si="8"/>
        <v>0.70595209519733659</v>
      </c>
      <c r="AN49" s="81">
        <f>$H$49*月別販売比率!AB5</f>
        <v>5.18974358974359</v>
      </c>
      <c r="AO49" s="106">
        <f t="shared" si="94"/>
        <v>4</v>
      </c>
      <c r="AP49" s="107"/>
      <c r="AQ49" s="106">
        <f t="shared" si="84"/>
        <v>4</v>
      </c>
      <c r="AR49" s="195">
        <f t="shared" si="10"/>
        <v>-1.18974358974359</v>
      </c>
      <c r="AS49" s="81">
        <f>$H$49*月別販売比率!AG5</f>
        <v>4.3247863247863254</v>
      </c>
      <c r="AT49" s="106">
        <f t="shared" si="95"/>
        <v>4</v>
      </c>
      <c r="AU49" s="107"/>
      <c r="AV49" s="106">
        <f t="shared" si="85"/>
        <v>4</v>
      </c>
      <c r="AW49" s="195">
        <f t="shared" si="12"/>
        <v>-0.32478632478632541</v>
      </c>
      <c r="AX49" s="81">
        <f>$H$49*月別販売比率!AL5</f>
        <v>3.8923076923076922</v>
      </c>
      <c r="AY49" s="106">
        <f t="shared" si="96"/>
        <v>4</v>
      </c>
      <c r="AZ49" s="107"/>
      <c r="BA49" s="2">
        <f t="shared" si="97"/>
        <v>4</v>
      </c>
      <c r="BB49" s="195">
        <f t="shared" si="13"/>
        <v>0.10769230769230775</v>
      </c>
      <c r="BC49" s="81">
        <f>$H$49*月別販売比率!AQ5</f>
        <v>4.3247863247863254</v>
      </c>
      <c r="BD49" s="106">
        <f t="shared" si="98"/>
        <v>4</v>
      </c>
      <c r="BE49" s="107"/>
      <c r="BF49" s="2">
        <f t="shared" si="99"/>
        <v>4</v>
      </c>
      <c r="BG49" s="195">
        <f t="shared" si="14"/>
        <v>-0.32478632478632541</v>
      </c>
      <c r="BH49" s="81">
        <f>$H$49*月別販売比率!AV5</f>
        <v>2.6335516241671302</v>
      </c>
      <c r="BI49" s="106">
        <f t="shared" si="100"/>
        <v>4</v>
      </c>
      <c r="BJ49" s="107"/>
      <c r="BK49" s="2">
        <f t="shared" si="101"/>
        <v>4</v>
      </c>
      <c r="BL49" s="195">
        <f t="shared" si="15"/>
        <v>1.3664483758328698</v>
      </c>
      <c r="BM49" s="81">
        <f>$H$49*月別販売比率!BA5</f>
        <v>2.4055811176712756</v>
      </c>
      <c r="BN49" s="106">
        <f t="shared" si="102"/>
        <v>4</v>
      </c>
      <c r="BO49" s="107"/>
      <c r="BP49" s="2">
        <f t="shared" si="105"/>
        <v>4</v>
      </c>
      <c r="BQ49" s="195">
        <f t="shared" si="16"/>
        <v>1.5944188823287244</v>
      </c>
      <c r="BR49" s="81">
        <f>$H$49*月別販売比率!BF5</f>
        <v>3.45982905982906</v>
      </c>
      <c r="BS49" s="106">
        <f t="shared" si="103"/>
        <v>4</v>
      </c>
      <c r="BT49" s="107"/>
      <c r="BU49" s="115">
        <f t="shared" si="104"/>
        <v>4</v>
      </c>
      <c r="BV49" s="92">
        <f t="shared" si="17"/>
        <v>0.54017094017094003</v>
      </c>
      <c r="BW49" s="161">
        <f t="shared" si="86"/>
        <v>28</v>
      </c>
      <c r="BX49" s="116">
        <f t="shared" si="49"/>
        <v>-15.247863247863251</v>
      </c>
    </row>
    <row r="50" spans="2:76" ht="30.75" customHeight="1">
      <c r="B50" s="2">
        <v>4</v>
      </c>
      <c r="C50" s="435" t="s">
        <v>2</v>
      </c>
      <c r="D50" s="436"/>
      <c r="E50" s="445"/>
      <c r="F50" s="130">
        <v>867</v>
      </c>
      <c r="G50" s="131">
        <v>3433672.9844999998</v>
      </c>
      <c r="H50" s="132">
        <v>1000</v>
      </c>
      <c r="I50" s="131">
        <f t="shared" si="42"/>
        <v>3960407.1332179927</v>
      </c>
      <c r="J50" s="133">
        <f>SUM(J52:J61)</f>
        <v>688</v>
      </c>
      <c r="K50" s="134">
        <f t="shared" ref="K50:N50" si="106">SUM(K52:K61)</f>
        <v>179</v>
      </c>
      <c r="L50" s="134">
        <f t="shared" si="106"/>
        <v>124</v>
      </c>
      <c r="M50" s="134">
        <f t="shared" si="106"/>
        <v>55</v>
      </c>
      <c r="N50" s="135">
        <f t="shared" si="106"/>
        <v>0</v>
      </c>
      <c r="O50" s="150">
        <f>H50/12</f>
        <v>83.333333333333329</v>
      </c>
      <c r="P50" s="151">
        <f t="shared" ref="P50:P254" si="107">K50</f>
        <v>179</v>
      </c>
      <c r="Q50" s="148">
        <f>SUM(Q52:Q61)</f>
        <v>0</v>
      </c>
      <c r="R50" s="152">
        <f t="shared" ref="R50:R259" si="108">Q50+K50</f>
        <v>179</v>
      </c>
      <c r="S50" s="153">
        <f t="shared" si="22"/>
        <v>95.666666666666671</v>
      </c>
      <c r="T50" s="150">
        <f t="shared" ref="T50:T259" si="109">O50</f>
        <v>83.333333333333329</v>
      </c>
      <c r="U50" s="151">
        <f t="shared" ref="U50:U259" si="110">K50</f>
        <v>179</v>
      </c>
      <c r="V50" s="148">
        <f>SUM(V52:V61)</f>
        <v>0</v>
      </c>
      <c r="W50" s="152">
        <f t="shared" ref="W50:W259" si="111">K50+V50</f>
        <v>179</v>
      </c>
      <c r="X50" s="153">
        <f t="shared" si="2"/>
        <v>95.666666666666671</v>
      </c>
      <c r="Y50" s="150">
        <f t="shared" ref="Y50:Y259" si="112">H50/12</f>
        <v>83.333333333333329</v>
      </c>
      <c r="Z50" s="151">
        <f t="shared" ref="Z50:Z259" si="113">K50</f>
        <v>179</v>
      </c>
      <c r="AA50" s="148">
        <f>SUM(AA52:AA61)</f>
        <v>0</v>
      </c>
      <c r="AB50" s="154">
        <f t="shared" ref="AB50:AB259" si="114">K50+AA50</f>
        <v>179</v>
      </c>
      <c r="AC50" s="153">
        <f t="shared" si="4"/>
        <v>95.666666666666671</v>
      </c>
      <c r="AD50" s="150">
        <f t="shared" ref="AD50:AD259" si="115">H50/12</f>
        <v>83.333333333333329</v>
      </c>
      <c r="AE50" s="151">
        <f t="shared" ref="AE50:AE259" si="116">K50</f>
        <v>179</v>
      </c>
      <c r="AF50" s="148">
        <f>SUM(AF52:AF61)</f>
        <v>0</v>
      </c>
      <c r="AG50" s="152">
        <f t="shared" ref="AG50:AG259" si="117">K50+AF50</f>
        <v>179</v>
      </c>
      <c r="AH50" s="153">
        <f t="shared" si="6"/>
        <v>95.666666666666671</v>
      </c>
      <c r="AI50" s="150">
        <f t="shared" ref="AI50:AI259" si="118">H50/12</f>
        <v>83.333333333333329</v>
      </c>
      <c r="AJ50" s="151">
        <f t="shared" ref="AJ50:AJ259" si="119">K50</f>
        <v>179</v>
      </c>
      <c r="AK50" s="148">
        <f>SUM(AK52:AK61)</f>
        <v>0</v>
      </c>
      <c r="AL50" s="152">
        <f t="shared" ref="AL50:AL259" si="120">K50+AK50</f>
        <v>179</v>
      </c>
      <c r="AM50" s="153">
        <f t="shared" si="8"/>
        <v>95.666666666666671</v>
      </c>
      <c r="AN50" s="150">
        <f t="shared" ref="AN50:AN259" si="121">H50/12</f>
        <v>83.333333333333329</v>
      </c>
      <c r="AO50" s="151">
        <f t="shared" ref="AO50:AO259" si="122">K50</f>
        <v>179</v>
      </c>
      <c r="AP50" s="148">
        <f>SUM(AP52:AP61)</f>
        <v>0</v>
      </c>
      <c r="AQ50" s="152">
        <f t="shared" ref="AQ50:AQ259" si="123">K50+AP50</f>
        <v>179</v>
      </c>
      <c r="AR50" s="153">
        <f t="shared" si="10"/>
        <v>95.666666666666671</v>
      </c>
      <c r="AS50" s="150">
        <f t="shared" ref="AS50:AS259" si="124">H50/12</f>
        <v>83.333333333333329</v>
      </c>
      <c r="AT50" s="151">
        <f t="shared" ref="AT50:AT259" si="125">K50</f>
        <v>179</v>
      </c>
      <c r="AU50" s="148">
        <f>SUM(AU52:AU61)</f>
        <v>0</v>
      </c>
      <c r="AV50" s="201">
        <f t="shared" ref="AV50:AV259" si="126">K50+AU50</f>
        <v>179</v>
      </c>
      <c r="AW50" s="153">
        <f t="shared" si="12"/>
        <v>95.666666666666671</v>
      </c>
      <c r="AX50" s="150">
        <f t="shared" ref="AX50:AX259" si="127">H50/12</f>
        <v>83.333333333333329</v>
      </c>
      <c r="AY50" s="151">
        <f t="shared" ref="AY50:AY259" si="128">K50</f>
        <v>179</v>
      </c>
      <c r="AZ50" s="148">
        <f>SUM(AZ52:AZ61)</f>
        <v>0</v>
      </c>
      <c r="BA50" s="152">
        <f t="shared" ref="BA50:BA259" si="129">K50+AZ50</f>
        <v>179</v>
      </c>
      <c r="BB50" s="153">
        <f t="shared" si="13"/>
        <v>95.666666666666671</v>
      </c>
      <c r="BC50" s="150">
        <f t="shared" ref="BC50:BC259" si="130">H50/12</f>
        <v>83.333333333333329</v>
      </c>
      <c r="BD50" s="151">
        <f t="shared" ref="BD50:BD259" si="131">K50</f>
        <v>179</v>
      </c>
      <c r="BE50" s="148">
        <f>SUM(BE52:BE61)</f>
        <v>0</v>
      </c>
      <c r="BF50" s="152">
        <f t="shared" ref="BF50:BF259" si="132">K50+BE50</f>
        <v>179</v>
      </c>
      <c r="BG50" s="153">
        <f t="shared" si="14"/>
        <v>95.666666666666671</v>
      </c>
      <c r="BH50" s="150">
        <f t="shared" ref="BH50:BH259" si="133">H50/12</f>
        <v>83.333333333333329</v>
      </c>
      <c r="BI50" s="151">
        <f t="shared" ref="BI50:BI259" si="134">K50</f>
        <v>179</v>
      </c>
      <c r="BJ50" s="148">
        <f>SUM(BJ52:BJ61)</f>
        <v>0</v>
      </c>
      <c r="BK50" s="152">
        <f t="shared" ref="BK50:BK259" si="135">K50+BJ50</f>
        <v>179</v>
      </c>
      <c r="BL50" s="153">
        <f t="shared" si="15"/>
        <v>95.666666666666671</v>
      </c>
      <c r="BM50" s="150">
        <f t="shared" ref="BM50:BM259" si="136">H50/12</f>
        <v>83.333333333333329</v>
      </c>
      <c r="BN50" s="151">
        <f t="shared" ref="BN50:BN259" si="137">K50</f>
        <v>179</v>
      </c>
      <c r="BO50" s="148">
        <f>SUM(BO52:BO61)</f>
        <v>0</v>
      </c>
      <c r="BP50" s="152">
        <f t="shared" ref="BP50:BP259" si="138">K50+BO50</f>
        <v>179</v>
      </c>
      <c r="BQ50" s="153">
        <f t="shared" si="16"/>
        <v>95.666666666666671</v>
      </c>
      <c r="BR50" s="150">
        <f t="shared" ref="BR50:BR259" si="139">H50/12</f>
        <v>83.333333333333329</v>
      </c>
      <c r="BS50" s="151">
        <f t="shared" ref="BS50:BS259" si="140">K50</f>
        <v>179</v>
      </c>
      <c r="BT50" s="148">
        <f>SUM(BT52:BT61)</f>
        <v>0</v>
      </c>
      <c r="BU50" s="138">
        <f t="shared" ref="BU50:BU259" si="141">K50+BT50</f>
        <v>179</v>
      </c>
      <c r="BV50" s="139">
        <f t="shared" si="17"/>
        <v>95.666666666666671</v>
      </c>
      <c r="BW50" s="143">
        <f>AF50+AA50+V50+Q50+AK50+AP50+AU50+AZ50+BE50+BJ50+BO50+BT50+K50</f>
        <v>179</v>
      </c>
      <c r="BX50" s="142">
        <f t="shared" si="49"/>
        <v>-821</v>
      </c>
    </row>
    <row r="51" spans="2:76" ht="30.75" customHeight="1">
      <c r="C51" s="167" t="s">
        <v>81</v>
      </c>
      <c r="D51" s="168"/>
      <c r="E51" s="169"/>
      <c r="F51" s="170">
        <f>SUM(F52:F61)</f>
        <v>954</v>
      </c>
      <c r="G51" s="171">
        <f>SUM(G52:G61)</f>
        <v>3777840</v>
      </c>
      <c r="H51" s="170">
        <f>SUM(H52:H61)</f>
        <v>1100.3460207612457</v>
      </c>
      <c r="I51" s="171">
        <f>SUM(I52:I61)</f>
        <v>4357370.2422145335</v>
      </c>
      <c r="J51" s="172"/>
      <c r="K51" s="173"/>
      <c r="L51" s="173"/>
      <c r="M51" s="173"/>
      <c r="N51" s="174"/>
      <c r="O51" s="175">
        <f>SUM(O52:O61)</f>
        <v>77.975196729540443</v>
      </c>
      <c r="P51" s="176"/>
      <c r="Q51" s="173"/>
      <c r="R51" s="177"/>
      <c r="S51" s="178"/>
      <c r="T51" s="175">
        <f>SUM(T52:T61)</f>
        <v>77.024221453287211</v>
      </c>
      <c r="U51" s="176"/>
      <c r="V51" s="173"/>
      <c r="W51" s="177"/>
      <c r="X51" s="178"/>
      <c r="Y51" s="175">
        <f>SUM(Y52:Y61)</f>
        <v>111.20502817066428</v>
      </c>
      <c r="Z51" s="176"/>
      <c r="AA51" s="173"/>
      <c r="AB51" s="177"/>
      <c r="AC51" s="178"/>
      <c r="AD51" s="175">
        <f>SUM(AD52:AD61)</f>
        <v>88.027681660899674</v>
      </c>
      <c r="AE51" s="176"/>
      <c r="AF51" s="173"/>
      <c r="AG51" s="177"/>
      <c r="AH51" s="178"/>
      <c r="AI51" s="175">
        <f>SUM(AI52:AI61)</f>
        <v>83.809747627834781</v>
      </c>
      <c r="AJ51" s="176"/>
      <c r="AK51" s="173"/>
      <c r="AL51" s="177"/>
      <c r="AM51" s="178"/>
      <c r="AN51" s="175">
        <f>SUM(AN52:AN61)</f>
        <v>132.04152249134947</v>
      </c>
      <c r="AO51" s="176"/>
      <c r="AP51" s="173"/>
      <c r="AQ51" s="177"/>
      <c r="AR51" s="178"/>
      <c r="AS51" s="175">
        <f>SUM(AS52:AS61)</f>
        <v>110.03460207612457</v>
      </c>
      <c r="AT51" s="176"/>
      <c r="AU51" s="173"/>
      <c r="AV51" s="177"/>
      <c r="AW51" s="178"/>
      <c r="AX51" s="175">
        <f>SUM(AX52:AX61)</f>
        <v>99.031141868512123</v>
      </c>
      <c r="AY51" s="176"/>
      <c r="AZ51" s="173"/>
      <c r="BA51" s="177"/>
      <c r="BB51" s="178"/>
      <c r="BC51" s="175">
        <f>SUM(BC52:BC61)</f>
        <v>110.03460207612457</v>
      </c>
      <c r="BD51" s="176"/>
      <c r="BE51" s="173"/>
      <c r="BF51" s="177"/>
      <c r="BG51" s="178"/>
      <c r="BH51" s="175">
        <f>SUM(BH52:BH61)</f>
        <v>67.00488376763424</v>
      </c>
      <c r="BI51" s="176"/>
      <c r="BJ51" s="173"/>
      <c r="BK51" s="177"/>
      <c r="BL51" s="178"/>
      <c r="BM51" s="175">
        <f>SUM(BM52:BM61)</f>
        <v>61.204679530121233</v>
      </c>
      <c r="BN51" s="176"/>
      <c r="BO51" s="173"/>
      <c r="BP51" s="177"/>
      <c r="BQ51" s="178"/>
      <c r="BR51" s="175">
        <f>SUM(BR52:BR61)</f>
        <v>88.027681660899674</v>
      </c>
      <c r="BS51" s="176"/>
      <c r="BT51" s="173"/>
      <c r="BU51" s="177"/>
      <c r="BV51" s="178"/>
      <c r="BW51" s="179"/>
      <c r="BX51" s="180"/>
    </row>
    <row r="52" spans="2:76" ht="30.75" customHeight="1">
      <c r="C52" s="512" t="s">
        <v>70</v>
      </c>
      <c r="D52" s="443">
        <v>1</v>
      </c>
      <c r="E52" s="99" t="s">
        <v>46</v>
      </c>
      <c r="F52" s="56">
        <v>136</v>
      </c>
      <c r="G52" s="46">
        <f>F52*3960</f>
        <v>538560</v>
      </c>
      <c r="H52" s="7">
        <f>F52*($H$50/$F$50)</f>
        <v>156.86274509803923</v>
      </c>
      <c r="I52" s="46">
        <f t="shared" ref="I52:I61" si="142">H52*3960</f>
        <v>621176.4705882353</v>
      </c>
      <c r="J52" s="49">
        <v>38</v>
      </c>
      <c r="K52" s="39">
        <f t="shared" si="20"/>
        <v>22</v>
      </c>
      <c r="L52" s="39">
        <v>16</v>
      </c>
      <c r="M52" s="39">
        <v>6</v>
      </c>
      <c r="N52" s="42"/>
      <c r="O52" s="192">
        <f>$H$52*月別販売比率!C5</f>
        <v>11.115960959347483</v>
      </c>
      <c r="P52" s="40">
        <f t="shared" si="107"/>
        <v>22</v>
      </c>
      <c r="Q52" s="39"/>
      <c r="R52" s="43">
        <f>Q52+K52</f>
        <v>22</v>
      </c>
      <c r="S52" s="91">
        <f t="shared" si="22"/>
        <v>10.884039040652517</v>
      </c>
      <c r="T52" s="192">
        <f>$H$52*月別販売比率!H5</f>
        <v>10.980392156862747</v>
      </c>
      <c r="U52" s="40">
        <f>K52</f>
        <v>22</v>
      </c>
      <c r="V52" s="39"/>
      <c r="W52" s="43">
        <f t="shared" ref="W52:W61" si="143">K52+V52</f>
        <v>22</v>
      </c>
      <c r="X52" s="91">
        <f t="shared" si="2"/>
        <v>11.019607843137253</v>
      </c>
      <c r="Y52" s="192">
        <f>$H$52*月別販売比率!M5</f>
        <v>15.853127705671216</v>
      </c>
      <c r="Z52" s="40">
        <f>K52</f>
        <v>22</v>
      </c>
      <c r="AA52" s="39"/>
      <c r="AB52" s="96">
        <f t="shared" ref="AB52:AB61" si="144">K52+AA52</f>
        <v>22</v>
      </c>
      <c r="AC52" s="91">
        <f t="shared" si="4"/>
        <v>6.1468722943287837</v>
      </c>
      <c r="AD52" s="192">
        <f>$H$52*月別販売比率!R5</f>
        <v>12.549019607843139</v>
      </c>
      <c r="AE52" s="40">
        <f>K52</f>
        <v>22</v>
      </c>
      <c r="AF52" s="39"/>
      <c r="AG52" s="40">
        <f t="shared" ref="AG52:AG61" si="145">K52+AF52</f>
        <v>22</v>
      </c>
      <c r="AH52" s="91">
        <f t="shared" si="6"/>
        <v>9.4509803921568611</v>
      </c>
      <c r="AI52" s="192">
        <f>$H$52*月別販売比率!W5</f>
        <v>11.947720835833888</v>
      </c>
      <c r="AJ52" s="40">
        <f>K52</f>
        <v>22</v>
      </c>
      <c r="AK52" s="39"/>
      <c r="AL52" s="40">
        <f t="shared" ref="AL52:AL61" si="146">K52+AK52</f>
        <v>22</v>
      </c>
      <c r="AM52" s="91">
        <f t="shared" si="8"/>
        <v>10.052279164166112</v>
      </c>
      <c r="AN52" s="192">
        <f>$H$52*月別販売比率!AB5</f>
        <v>18.823529411764707</v>
      </c>
      <c r="AO52" s="40">
        <f>K52</f>
        <v>22</v>
      </c>
      <c r="AP52" s="39"/>
      <c r="AQ52" s="40">
        <f t="shared" ref="AQ52:AQ61" si="147">K52+AP52</f>
        <v>22</v>
      </c>
      <c r="AR52" s="91">
        <f t="shared" si="10"/>
        <v>3.1764705882352935</v>
      </c>
      <c r="AS52" s="192">
        <f>$H$52*月別販売比率!AG5</f>
        <v>15.686274509803923</v>
      </c>
      <c r="AT52" s="40">
        <f>K52</f>
        <v>22</v>
      </c>
      <c r="AU52" s="39"/>
      <c r="AV52" s="40">
        <f t="shared" ref="AV52:AV61" si="148">K52+AU52</f>
        <v>22</v>
      </c>
      <c r="AW52" s="91">
        <f t="shared" si="12"/>
        <v>6.3137254901960773</v>
      </c>
      <c r="AX52" s="192">
        <f>$H$52*月別販売比率!AL5</f>
        <v>14.117647058823531</v>
      </c>
      <c r="AY52" s="40">
        <f>K52</f>
        <v>22</v>
      </c>
      <c r="AZ52" s="39"/>
      <c r="BA52" s="43">
        <f>K52+AZ52</f>
        <v>22</v>
      </c>
      <c r="BB52" s="91">
        <f t="shared" si="13"/>
        <v>7.8823529411764692</v>
      </c>
      <c r="BC52" s="192">
        <f>$H$52*月別販売比率!AQ5</f>
        <v>15.686274509803923</v>
      </c>
      <c r="BD52" s="40">
        <f>K52</f>
        <v>22</v>
      </c>
      <c r="BE52" s="39"/>
      <c r="BF52" s="43">
        <f>K52+BE52</f>
        <v>22</v>
      </c>
      <c r="BG52" s="91">
        <f t="shared" si="14"/>
        <v>6.3137254901960773</v>
      </c>
      <c r="BH52" s="192">
        <f>$H$52*月別販売比率!AV5</f>
        <v>9.5520589018849638</v>
      </c>
      <c r="BI52" s="40">
        <f>K52</f>
        <v>22</v>
      </c>
      <c r="BJ52" s="39"/>
      <c r="BK52" s="43">
        <f>K52+BJ52</f>
        <v>22</v>
      </c>
      <c r="BL52" s="91">
        <f t="shared" si="15"/>
        <v>12.447941098115036</v>
      </c>
      <c r="BM52" s="192">
        <f>$H$52*月別販売比率!BA5</f>
        <v>8.7251954047133005</v>
      </c>
      <c r="BN52" s="40">
        <f>K52</f>
        <v>22</v>
      </c>
      <c r="BO52" s="39"/>
      <c r="BP52" s="43">
        <f>K52+BO52</f>
        <v>22</v>
      </c>
      <c r="BQ52" s="91">
        <f t="shared" si="16"/>
        <v>13.2748045952867</v>
      </c>
      <c r="BR52" s="192">
        <f>$H$52*月別販売比率!BF5</f>
        <v>12.549019607843139</v>
      </c>
      <c r="BS52" s="40">
        <f>K52</f>
        <v>22</v>
      </c>
      <c r="BT52" s="39"/>
      <c r="BU52" s="43">
        <f>K52+BT52</f>
        <v>22</v>
      </c>
      <c r="BV52" s="91">
        <f t="shared" si="17"/>
        <v>9.4509803921568611</v>
      </c>
      <c r="BW52" s="157">
        <f t="shared" ref="BW52:BW61" si="149">AF52+AA52+V52+Q52+AK52+AP52+AU52+AZ52+BE52+BJ52+BO52+BT52+K52</f>
        <v>22</v>
      </c>
      <c r="BX52" s="51">
        <f t="shared" ref="BX52:BX61" si="150">BW52-H52</f>
        <v>-134.86274509803923</v>
      </c>
    </row>
    <row r="53" spans="2:76" ht="30.75" customHeight="1">
      <c r="C53" s="504"/>
      <c r="D53" s="441"/>
      <c r="E53" s="94" t="s">
        <v>47</v>
      </c>
      <c r="F53" s="57">
        <v>130</v>
      </c>
      <c r="G53" s="5">
        <f t="shared" ref="G53:I73" si="151">F53*3960</f>
        <v>514800</v>
      </c>
      <c r="H53" s="57">
        <f t="shared" ref="H53:H61" si="152">F53*($H$50/$F$50)</f>
        <v>149.94232987312571</v>
      </c>
      <c r="I53" s="5">
        <f t="shared" si="142"/>
        <v>593771.62629757787</v>
      </c>
      <c r="J53" s="9">
        <v>96</v>
      </c>
      <c r="K53" s="21">
        <f t="shared" si="20"/>
        <v>19</v>
      </c>
      <c r="L53" s="21">
        <v>13</v>
      </c>
      <c r="M53" s="21">
        <v>6</v>
      </c>
      <c r="N53" s="42"/>
      <c r="O53" s="81">
        <f>$H$53*月別販売比率!C5</f>
        <v>10.625550917023329</v>
      </c>
      <c r="P53" s="10">
        <f t="shared" si="107"/>
        <v>19</v>
      </c>
      <c r="Q53" s="21"/>
      <c r="R53" s="19">
        <f t="shared" ref="R53:R61" si="153">Q53+K53</f>
        <v>19</v>
      </c>
      <c r="S53" s="24">
        <f t="shared" si="22"/>
        <v>8.3744490829766711</v>
      </c>
      <c r="T53" s="81">
        <f>$H$53*月別販売比率!H5</f>
        <v>10.495963091118801</v>
      </c>
      <c r="U53" s="10">
        <f t="shared" ref="U53:U61" si="154">K53</f>
        <v>19</v>
      </c>
      <c r="V53" s="21"/>
      <c r="W53" s="19">
        <f t="shared" si="143"/>
        <v>19</v>
      </c>
      <c r="X53" s="24">
        <f t="shared" si="2"/>
        <v>8.5040369088811989</v>
      </c>
      <c r="Y53" s="81">
        <f>$H$53*月別販売比率!M5</f>
        <v>15.153725012773956</v>
      </c>
      <c r="Z53" s="10">
        <f t="shared" ref="Z53:Z61" si="155">K53</f>
        <v>19</v>
      </c>
      <c r="AA53" s="21"/>
      <c r="AB53" s="97">
        <f t="shared" si="144"/>
        <v>19</v>
      </c>
      <c r="AC53" s="24">
        <f t="shared" si="4"/>
        <v>3.8462749872260442</v>
      </c>
      <c r="AD53" s="81">
        <f>$H$53*月別販売比率!R5</f>
        <v>11.995386389850058</v>
      </c>
      <c r="AE53" s="10">
        <f t="shared" ref="AE53:AE61" si="156">K53</f>
        <v>19</v>
      </c>
      <c r="AF53" s="21"/>
      <c r="AG53" s="10">
        <f t="shared" si="145"/>
        <v>19</v>
      </c>
      <c r="AH53" s="24">
        <f t="shared" si="6"/>
        <v>7.0046136101499421</v>
      </c>
      <c r="AI53" s="81">
        <f>$H$53*月別販売比率!W5</f>
        <v>11.420615504841216</v>
      </c>
      <c r="AJ53" s="10">
        <f t="shared" ref="AJ53:AJ61" si="157">K53</f>
        <v>19</v>
      </c>
      <c r="AK53" s="21"/>
      <c r="AL53" s="10">
        <f t="shared" si="146"/>
        <v>19</v>
      </c>
      <c r="AM53" s="24">
        <f t="shared" si="8"/>
        <v>7.5793844951587843</v>
      </c>
      <c r="AN53" s="81">
        <f>$H$53*月別販売比率!AB5</f>
        <v>17.993079584775085</v>
      </c>
      <c r="AO53" s="10">
        <f t="shared" ref="AO53:AO61" si="158">K53</f>
        <v>19</v>
      </c>
      <c r="AP53" s="21"/>
      <c r="AQ53" s="10">
        <f t="shared" si="147"/>
        <v>19</v>
      </c>
      <c r="AR53" s="24">
        <f t="shared" si="10"/>
        <v>1.0069204152249149</v>
      </c>
      <c r="AS53" s="81">
        <f>$H$53*月別販売比率!AG5</f>
        <v>14.994232987312571</v>
      </c>
      <c r="AT53" s="10">
        <f t="shared" ref="AT53:AT61" si="159">K53</f>
        <v>19</v>
      </c>
      <c r="AU53" s="21"/>
      <c r="AV53" s="40">
        <f t="shared" si="148"/>
        <v>19</v>
      </c>
      <c r="AW53" s="24">
        <f t="shared" si="12"/>
        <v>4.0057670126874285</v>
      </c>
      <c r="AX53" s="81">
        <f>$H$53*月別販売比率!AL5</f>
        <v>13.494809688581315</v>
      </c>
      <c r="AY53" s="10">
        <f t="shared" ref="AY53:AY61" si="160">K53</f>
        <v>19</v>
      </c>
      <c r="AZ53" s="21"/>
      <c r="BA53" s="19">
        <f t="shared" ref="BA53:BA61" si="161">K53+AZ53</f>
        <v>19</v>
      </c>
      <c r="BB53" s="24">
        <f t="shared" si="13"/>
        <v>5.5051903114186853</v>
      </c>
      <c r="BC53" s="81">
        <f>$H$53*月別販売比率!AQ5</f>
        <v>14.994232987312571</v>
      </c>
      <c r="BD53" s="10">
        <f t="shared" ref="BD53:BD61" si="162">K53</f>
        <v>19</v>
      </c>
      <c r="BE53" s="21"/>
      <c r="BF53" s="19">
        <f t="shared" ref="BF53:BF61" si="163">K53+BE53</f>
        <v>19</v>
      </c>
      <c r="BG53" s="24">
        <f t="shared" si="14"/>
        <v>4.0057670126874285</v>
      </c>
      <c r="BH53" s="81">
        <f>$H$53*月別販売比率!AV5</f>
        <v>9.1306445385665089</v>
      </c>
      <c r="BI53" s="10">
        <f t="shared" ref="BI53:BI61" si="164">K53</f>
        <v>19</v>
      </c>
      <c r="BJ53" s="21"/>
      <c r="BK53" s="19">
        <f t="shared" ref="BK53:BK61" si="165">K53+BJ53</f>
        <v>19</v>
      </c>
      <c r="BL53" s="24">
        <f t="shared" si="15"/>
        <v>9.8693554614334911</v>
      </c>
      <c r="BM53" s="81">
        <f>$H$53*月別販売比率!BA5</f>
        <v>8.3402603133288888</v>
      </c>
      <c r="BN53" s="10">
        <f t="shared" ref="BN53:BN61" si="166">K53</f>
        <v>19</v>
      </c>
      <c r="BO53" s="21"/>
      <c r="BP53" s="19">
        <f>K53+BO53</f>
        <v>19</v>
      </c>
      <c r="BQ53" s="24">
        <f t="shared" si="16"/>
        <v>10.659739686671111</v>
      </c>
      <c r="BR53" s="81">
        <f>$H$53*月別販売比率!BF5</f>
        <v>11.995386389850058</v>
      </c>
      <c r="BS53" s="10">
        <f t="shared" ref="BS53:BS61" si="167">K53</f>
        <v>19</v>
      </c>
      <c r="BT53" s="21"/>
      <c r="BU53" s="19">
        <f t="shared" ref="BU53:BU61" si="168">K53+BT53</f>
        <v>19</v>
      </c>
      <c r="BV53" s="24">
        <f t="shared" si="17"/>
        <v>7.0046136101499421</v>
      </c>
      <c r="BW53" s="158">
        <f t="shared" si="149"/>
        <v>19</v>
      </c>
      <c r="BX53" s="29">
        <f t="shared" si="150"/>
        <v>-130.94232987312571</v>
      </c>
    </row>
    <row r="54" spans="2:76" ht="30.75" customHeight="1">
      <c r="C54" s="504"/>
      <c r="D54" s="441"/>
      <c r="E54" s="94" t="s">
        <v>51</v>
      </c>
      <c r="F54" s="57">
        <v>133</v>
      </c>
      <c r="G54" s="5">
        <f t="shared" si="151"/>
        <v>526680</v>
      </c>
      <c r="H54" s="57">
        <f t="shared" si="152"/>
        <v>153.40253748558249</v>
      </c>
      <c r="I54" s="5">
        <f t="shared" si="142"/>
        <v>607474.04844290658</v>
      </c>
      <c r="J54" s="9">
        <v>103</v>
      </c>
      <c r="K54" s="21">
        <f t="shared" si="20"/>
        <v>16</v>
      </c>
      <c r="L54" s="21">
        <v>10</v>
      </c>
      <c r="M54" s="21">
        <v>6</v>
      </c>
      <c r="N54" s="42"/>
      <c r="O54" s="81">
        <f>$H$54*月別販売比率!C5</f>
        <v>10.870755938185408</v>
      </c>
      <c r="P54" s="10">
        <f t="shared" si="107"/>
        <v>16</v>
      </c>
      <c r="Q54" s="21"/>
      <c r="R54" s="19">
        <f t="shared" si="153"/>
        <v>16</v>
      </c>
      <c r="S54" s="24">
        <f t="shared" si="22"/>
        <v>5.1292440618145925</v>
      </c>
      <c r="T54" s="81">
        <f>$H$54*月別販売比率!H5</f>
        <v>10.738177623990776</v>
      </c>
      <c r="U54" s="10">
        <f t="shared" si="154"/>
        <v>16</v>
      </c>
      <c r="V54" s="21"/>
      <c r="W54" s="19">
        <f t="shared" si="143"/>
        <v>16</v>
      </c>
      <c r="X54" s="24">
        <f t="shared" si="2"/>
        <v>5.2618223760092242</v>
      </c>
      <c r="Y54" s="81">
        <f>$H$54*月別販売比率!M5</f>
        <v>15.503426359222589</v>
      </c>
      <c r="Z54" s="10">
        <f t="shared" si="155"/>
        <v>16</v>
      </c>
      <c r="AA54" s="21"/>
      <c r="AB54" s="97">
        <f t="shared" si="144"/>
        <v>16</v>
      </c>
      <c r="AC54" s="24">
        <f t="shared" si="4"/>
        <v>0.49657364077741128</v>
      </c>
      <c r="AD54" s="81">
        <f>$H$54*月別販売比率!R5</f>
        <v>12.272202998846598</v>
      </c>
      <c r="AE54" s="10">
        <f t="shared" si="156"/>
        <v>16</v>
      </c>
      <c r="AF54" s="21"/>
      <c r="AG54" s="10">
        <f t="shared" si="145"/>
        <v>16</v>
      </c>
      <c r="AH54" s="24">
        <f t="shared" si="6"/>
        <v>3.7277970011534016</v>
      </c>
      <c r="AI54" s="81">
        <f>$H$54*月別販売比率!W5</f>
        <v>11.684168170337554</v>
      </c>
      <c r="AJ54" s="10">
        <f t="shared" si="157"/>
        <v>16</v>
      </c>
      <c r="AK54" s="21"/>
      <c r="AL54" s="10">
        <f t="shared" si="146"/>
        <v>16</v>
      </c>
      <c r="AM54" s="24">
        <f t="shared" si="8"/>
        <v>4.3158318296624465</v>
      </c>
      <c r="AN54" s="81">
        <f>$H$54*月別販売比率!AB5</f>
        <v>18.408304498269896</v>
      </c>
      <c r="AO54" s="10">
        <f t="shared" si="158"/>
        <v>16</v>
      </c>
      <c r="AP54" s="21"/>
      <c r="AQ54" s="10">
        <f t="shared" si="147"/>
        <v>16</v>
      </c>
      <c r="AR54" s="24">
        <f t="shared" si="10"/>
        <v>-2.4083044982698958</v>
      </c>
      <c r="AS54" s="81">
        <f>$H$54*月別販売比率!AG5</f>
        <v>15.340253748558249</v>
      </c>
      <c r="AT54" s="10">
        <f t="shared" si="159"/>
        <v>16</v>
      </c>
      <c r="AU54" s="21"/>
      <c r="AV54" s="40">
        <f t="shared" si="148"/>
        <v>16</v>
      </c>
      <c r="AW54" s="24">
        <f t="shared" si="12"/>
        <v>0.65974625144175114</v>
      </c>
      <c r="AX54" s="81">
        <f>$H$54*月別販売比率!AL5</f>
        <v>13.806228373702423</v>
      </c>
      <c r="AY54" s="10">
        <f t="shared" si="160"/>
        <v>16</v>
      </c>
      <c r="AZ54" s="21"/>
      <c r="BA54" s="19">
        <f t="shared" si="161"/>
        <v>16</v>
      </c>
      <c r="BB54" s="24">
        <f t="shared" si="13"/>
        <v>2.1937716262975773</v>
      </c>
      <c r="BC54" s="81">
        <f>$H$54*月別販売比率!AQ5</f>
        <v>15.340253748558249</v>
      </c>
      <c r="BD54" s="10">
        <f t="shared" si="162"/>
        <v>16</v>
      </c>
      <c r="BE54" s="21"/>
      <c r="BF54" s="19">
        <f t="shared" si="163"/>
        <v>16</v>
      </c>
      <c r="BG54" s="24">
        <f t="shared" si="14"/>
        <v>0.65974625144175114</v>
      </c>
      <c r="BH54" s="81">
        <f>$H$54*月別販売比率!AV5</f>
        <v>9.3413517202257381</v>
      </c>
      <c r="BI54" s="10">
        <f t="shared" si="164"/>
        <v>16</v>
      </c>
      <c r="BJ54" s="21"/>
      <c r="BK54" s="19">
        <f t="shared" si="165"/>
        <v>16</v>
      </c>
      <c r="BL54" s="24">
        <f t="shared" si="15"/>
        <v>6.6586482797742619</v>
      </c>
      <c r="BM54" s="81">
        <f>$H$54*月別販売比率!BA5</f>
        <v>8.5327278590210955</v>
      </c>
      <c r="BN54" s="10">
        <f t="shared" si="166"/>
        <v>16</v>
      </c>
      <c r="BO54" s="21"/>
      <c r="BP54" s="19">
        <f t="shared" ref="BP54:BP61" si="169">K54+BO54</f>
        <v>16</v>
      </c>
      <c r="BQ54" s="24">
        <f t="shared" si="16"/>
        <v>7.4672721409789045</v>
      </c>
      <c r="BR54" s="81">
        <f>$H$54*月別販売比率!BF5</f>
        <v>12.272202998846598</v>
      </c>
      <c r="BS54" s="10">
        <f t="shared" si="167"/>
        <v>16</v>
      </c>
      <c r="BT54" s="21"/>
      <c r="BU54" s="19">
        <f t="shared" si="168"/>
        <v>16</v>
      </c>
      <c r="BV54" s="24">
        <f t="shared" si="17"/>
        <v>3.7277970011534016</v>
      </c>
      <c r="BW54" s="158">
        <f t="shared" si="149"/>
        <v>16</v>
      </c>
      <c r="BX54" s="29">
        <f t="shared" si="150"/>
        <v>-137.40253748558249</v>
      </c>
    </row>
    <row r="55" spans="2:76" ht="30.75" customHeight="1">
      <c r="C55" s="504"/>
      <c r="D55" s="441"/>
      <c r="E55" s="94" t="s">
        <v>49</v>
      </c>
      <c r="F55" s="57">
        <v>58</v>
      </c>
      <c r="G55" s="5">
        <f t="shared" si="151"/>
        <v>229680</v>
      </c>
      <c r="H55" s="57">
        <f t="shared" si="152"/>
        <v>66.897347174163784</v>
      </c>
      <c r="I55" s="5">
        <f t="shared" si="142"/>
        <v>264913.49480968859</v>
      </c>
      <c r="J55" s="9">
        <v>17</v>
      </c>
      <c r="K55" s="21">
        <f t="shared" si="20"/>
        <v>23</v>
      </c>
      <c r="L55" s="21">
        <v>17</v>
      </c>
      <c r="M55" s="21">
        <v>6</v>
      </c>
      <c r="N55" s="42"/>
      <c r="O55" s="81">
        <f>$H$55*月別販売比率!C5</f>
        <v>4.7406304091334857</v>
      </c>
      <c r="P55" s="10">
        <f t="shared" si="107"/>
        <v>23</v>
      </c>
      <c r="Q55" s="21"/>
      <c r="R55" s="19">
        <f t="shared" si="153"/>
        <v>23</v>
      </c>
      <c r="S55" s="24">
        <f t="shared" si="22"/>
        <v>18.259369590866513</v>
      </c>
      <c r="T55" s="81">
        <f>$H$55*月別販売比率!H5</f>
        <v>4.6828143021914652</v>
      </c>
      <c r="U55" s="10">
        <f t="shared" si="154"/>
        <v>23</v>
      </c>
      <c r="V55" s="21"/>
      <c r="W55" s="19">
        <f t="shared" si="143"/>
        <v>23</v>
      </c>
      <c r="X55" s="24">
        <f t="shared" si="2"/>
        <v>18.317185697808533</v>
      </c>
      <c r="Y55" s="81">
        <f>$H$55*月別販売比率!M5</f>
        <v>6.7608926980068418</v>
      </c>
      <c r="Z55" s="10">
        <f t="shared" si="155"/>
        <v>23</v>
      </c>
      <c r="AA55" s="21"/>
      <c r="AB55" s="97">
        <f t="shared" si="144"/>
        <v>23</v>
      </c>
      <c r="AC55" s="24">
        <f t="shared" si="4"/>
        <v>16.239107301993158</v>
      </c>
      <c r="AD55" s="81">
        <f>$H$55*月別販売比率!R5</f>
        <v>5.3517877739331032</v>
      </c>
      <c r="AE55" s="10">
        <f t="shared" si="156"/>
        <v>23</v>
      </c>
      <c r="AF55" s="21"/>
      <c r="AG55" s="10">
        <f t="shared" si="145"/>
        <v>23</v>
      </c>
      <c r="AH55" s="24">
        <f t="shared" si="6"/>
        <v>17.648212226066896</v>
      </c>
      <c r="AI55" s="81">
        <f>$H$55*月別販売比率!W5</f>
        <v>5.0953515329291577</v>
      </c>
      <c r="AJ55" s="10">
        <f t="shared" si="157"/>
        <v>23</v>
      </c>
      <c r="AK55" s="21"/>
      <c r="AL55" s="10">
        <f t="shared" si="146"/>
        <v>23</v>
      </c>
      <c r="AM55" s="24">
        <f t="shared" si="8"/>
        <v>17.904648467070842</v>
      </c>
      <c r="AN55" s="81">
        <f>$H$55*月別販売比率!AB5</f>
        <v>8.0276816608996544</v>
      </c>
      <c r="AO55" s="10">
        <f t="shared" si="158"/>
        <v>23</v>
      </c>
      <c r="AP55" s="21"/>
      <c r="AQ55" s="10">
        <f t="shared" si="147"/>
        <v>23</v>
      </c>
      <c r="AR55" s="24">
        <f t="shared" si="10"/>
        <v>14.972318339100346</v>
      </c>
      <c r="AS55" s="81">
        <f>$H$55*月別販売比率!AG5</f>
        <v>6.6897347174163784</v>
      </c>
      <c r="AT55" s="10">
        <f t="shared" si="159"/>
        <v>23</v>
      </c>
      <c r="AU55" s="21"/>
      <c r="AV55" s="40">
        <f t="shared" si="148"/>
        <v>23</v>
      </c>
      <c r="AW55" s="24">
        <f t="shared" si="12"/>
        <v>16.310265282583622</v>
      </c>
      <c r="AX55" s="81">
        <f>$H$55*月別販売比率!AL5</f>
        <v>6.0207612456747404</v>
      </c>
      <c r="AY55" s="10">
        <f t="shared" si="160"/>
        <v>23</v>
      </c>
      <c r="AZ55" s="21"/>
      <c r="BA55" s="19">
        <f t="shared" si="161"/>
        <v>23</v>
      </c>
      <c r="BB55" s="24">
        <f t="shared" si="13"/>
        <v>16.979238754325259</v>
      </c>
      <c r="BC55" s="81">
        <f>$H$55*月別販売比率!AQ5</f>
        <v>6.6897347174163784</v>
      </c>
      <c r="BD55" s="10">
        <f t="shared" si="162"/>
        <v>23</v>
      </c>
      <c r="BE55" s="21"/>
      <c r="BF55" s="19">
        <f t="shared" si="163"/>
        <v>23</v>
      </c>
      <c r="BG55" s="24">
        <f t="shared" si="14"/>
        <v>16.310265282583622</v>
      </c>
      <c r="BH55" s="81">
        <f>$H$55*月別販売比率!AV5</f>
        <v>4.073672178745058</v>
      </c>
      <c r="BI55" s="10">
        <f t="shared" si="164"/>
        <v>23</v>
      </c>
      <c r="BJ55" s="21"/>
      <c r="BK55" s="19">
        <f t="shared" si="165"/>
        <v>23</v>
      </c>
      <c r="BL55" s="24">
        <f t="shared" si="15"/>
        <v>18.926327821254944</v>
      </c>
      <c r="BM55" s="81">
        <f>$H$55*月別販売比率!BA5</f>
        <v>3.7210392167159658</v>
      </c>
      <c r="BN55" s="10">
        <f t="shared" si="166"/>
        <v>23</v>
      </c>
      <c r="BO55" s="21"/>
      <c r="BP55" s="19">
        <f t="shared" si="169"/>
        <v>23</v>
      </c>
      <c r="BQ55" s="24">
        <f t="shared" si="16"/>
        <v>19.278960783284035</v>
      </c>
      <c r="BR55" s="81">
        <f>$H$55*月別販売比率!BF5</f>
        <v>5.3517877739331032</v>
      </c>
      <c r="BS55" s="10">
        <f t="shared" si="167"/>
        <v>23</v>
      </c>
      <c r="BT55" s="21"/>
      <c r="BU55" s="19">
        <f t="shared" si="168"/>
        <v>23</v>
      </c>
      <c r="BV55" s="24">
        <f t="shared" si="17"/>
        <v>17.648212226066896</v>
      </c>
      <c r="BW55" s="158">
        <f t="shared" si="149"/>
        <v>23</v>
      </c>
      <c r="BX55" s="29">
        <f t="shared" si="150"/>
        <v>-43.897347174163784</v>
      </c>
    </row>
    <row r="56" spans="2:76" ht="30.75" customHeight="1">
      <c r="C56" s="504"/>
      <c r="D56" s="442"/>
      <c r="E56" s="94" t="s">
        <v>50</v>
      </c>
      <c r="F56" s="57">
        <v>44</v>
      </c>
      <c r="G56" s="5">
        <f t="shared" si="151"/>
        <v>174240</v>
      </c>
      <c r="H56" s="57">
        <f t="shared" si="152"/>
        <v>50.749711649365629</v>
      </c>
      <c r="I56" s="5">
        <f t="shared" si="142"/>
        <v>200968.85813148788</v>
      </c>
      <c r="J56" s="9">
        <v>18</v>
      </c>
      <c r="K56" s="21">
        <f t="shared" si="20"/>
        <v>15</v>
      </c>
      <c r="L56" s="21">
        <v>9</v>
      </c>
      <c r="M56" s="21">
        <v>6</v>
      </c>
      <c r="N56" s="42"/>
      <c r="O56" s="81">
        <f>$H$56*月別販売比率!C5</f>
        <v>3.5963403103771268</v>
      </c>
      <c r="P56" s="10">
        <f t="shared" si="107"/>
        <v>15</v>
      </c>
      <c r="Q56" s="21"/>
      <c r="R56" s="19">
        <f t="shared" si="153"/>
        <v>15</v>
      </c>
      <c r="S56" s="24">
        <f t="shared" si="22"/>
        <v>11.403659689622874</v>
      </c>
      <c r="T56" s="81">
        <f>$H$56*月別販売比率!H5</f>
        <v>3.5524798154555945</v>
      </c>
      <c r="U56" s="10">
        <f t="shared" si="154"/>
        <v>15</v>
      </c>
      <c r="V56" s="21"/>
      <c r="W56" s="19">
        <f t="shared" si="143"/>
        <v>15</v>
      </c>
      <c r="X56" s="24">
        <f t="shared" si="2"/>
        <v>11.447520184544405</v>
      </c>
      <c r="Y56" s="81">
        <f>$H$56*月別販売比率!M5</f>
        <v>5.1289530812465696</v>
      </c>
      <c r="Z56" s="10">
        <f t="shared" si="155"/>
        <v>15</v>
      </c>
      <c r="AA56" s="21"/>
      <c r="AB56" s="97">
        <f t="shared" si="144"/>
        <v>15</v>
      </c>
      <c r="AC56" s="24">
        <f t="shared" si="4"/>
        <v>9.8710469187534304</v>
      </c>
      <c r="AD56" s="81">
        <f>$H$56*月別販売比率!R5</f>
        <v>4.05997693194925</v>
      </c>
      <c r="AE56" s="10">
        <f t="shared" si="156"/>
        <v>15</v>
      </c>
      <c r="AF56" s="21"/>
      <c r="AG56" s="10">
        <f t="shared" si="145"/>
        <v>15</v>
      </c>
      <c r="AH56" s="24">
        <f t="shared" si="6"/>
        <v>10.940023068050749</v>
      </c>
      <c r="AI56" s="81">
        <f>$H$56*月別販売比率!W5</f>
        <v>3.8654390939462577</v>
      </c>
      <c r="AJ56" s="10">
        <f t="shared" si="157"/>
        <v>15</v>
      </c>
      <c r="AK56" s="21"/>
      <c r="AL56" s="10">
        <f t="shared" si="146"/>
        <v>15</v>
      </c>
      <c r="AM56" s="24">
        <f t="shared" si="8"/>
        <v>11.134560906053743</v>
      </c>
      <c r="AN56" s="81">
        <f>$H$56*月別販売比率!AB5</f>
        <v>6.0899653979238755</v>
      </c>
      <c r="AO56" s="10">
        <f t="shared" si="158"/>
        <v>15</v>
      </c>
      <c r="AP56" s="21"/>
      <c r="AQ56" s="10">
        <f t="shared" si="147"/>
        <v>15</v>
      </c>
      <c r="AR56" s="24">
        <f t="shared" si="10"/>
        <v>8.9100346020761236</v>
      </c>
      <c r="AS56" s="81">
        <f>$H$56*月別販売比率!AG5</f>
        <v>5.0749711649365636</v>
      </c>
      <c r="AT56" s="10">
        <f t="shared" si="159"/>
        <v>15</v>
      </c>
      <c r="AU56" s="21"/>
      <c r="AV56" s="40">
        <f t="shared" si="148"/>
        <v>15</v>
      </c>
      <c r="AW56" s="24">
        <f t="shared" si="12"/>
        <v>9.9250288350634364</v>
      </c>
      <c r="AX56" s="81">
        <f>$H$56*月別販売比率!AL5</f>
        <v>4.5674740484429064</v>
      </c>
      <c r="AY56" s="10">
        <f t="shared" si="160"/>
        <v>15</v>
      </c>
      <c r="AZ56" s="21"/>
      <c r="BA56" s="19">
        <f t="shared" si="161"/>
        <v>15</v>
      </c>
      <c r="BB56" s="24">
        <f t="shared" si="13"/>
        <v>10.432525951557093</v>
      </c>
      <c r="BC56" s="81">
        <f>$H$56*月別販売比率!AQ5</f>
        <v>5.0749711649365636</v>
      </c>
      <c r="BD56" s="10">
        <f t="shared" si="162"/>
        <v>15</v>
      </c>
      <c r="BE56" s="21"/>
      <c r="BF56" s="19">
        <f t="shared" si="163"/>
        <v>15</v>
      </c>
      <c r="BG56" s="24">
        <f t="shared" si="14"/>
        <v>9.9250288350634364</v>
      </c>
      <c r="BH56" s="81">
        <f>$H$56*月別販売比率!AV5</f>
        <v>3.0903719976686648</v>
      </c>
      <c r="BI56" s="10">
        <f t="shared" si="164"/>
        <v>15</v>
      </c>
      <c r="BJ56" s="21"/>
      <c r="BK56" s="19">
        <f t="shared" si="165"/>
        <v>15</v>
      </c>
      <c r="BL56" s="24">
        <f t="shared" si="15"/>
        <v>11.909628002331335</v>
      </c>
      <c r="BM56" s="81">
        <f>$H$56*月別販売比率!BA5</f>
        <v>2.8228573368190086</v>
      </c>
      <c r="BN56" s="10">
        <f t="shared" si="166"/>
        <v>15</v>
      </c>
      <c r="BO56" s="21"/>
      <c r="BP56" s="19">
        <f t="shared" si="169"/>
        <v>15</v>
      </c>
      <c r="BQ56" s="24">
        <f t="shared" si="16"/>
        <v>12.177142663180991</v>
      </c>
      <c r="BR56" s="81">
        <f>$H$56*月別販売比率!BF5</f>
        <v>4.05997693194925</v>
      </c>
      <c r="BS56" s="10">
        <f t="shared" si="167"/>
        <v>15</v>
      </c>
      <c r="BT56" s="21"/>
      <c r="BU56" s="19">
        <f t="shared" si="168"/>
        <v>15</v>
      </c>
      <c r="BV56" s="24">
        <f t="shared" si="17"/>
        <v>10.940023068050749</v>
      </c>
      <c r="BW56" s="158">
        <f t="shared" si="149"/>
        <v>15</v>
      </c>
      <c r="BX56" s="29">
        <f t="shared" si="150"/>
        <v>-35.749711649365629</v>
      </c>
    </row>
    <row r="57" spans="2:76" ht="30.75" customHeight="1">
      <c r="C57" s="504"/>
      <c r="D57" s="443">
        <v>2</v>
      </c>
      <c r="E57" s="94" t="s">
        <v>46</v>
      </c>
      <c r="F57" s="57">
        <v>85</v>
      </c>
      <c r="G57" s="5">
        <f t="shared" si="151"/>
        <v>336600</v>
      </c>
      <c r="H57" s="57">
        <f t="shared" si="152"/>
        <v>98.039215686274517</v>
      </c>
      <c r="I57" s="5">
        <f t="shared" si="142"/>
        <v>388235.29411764711</v>
      </c>
      <c r="J57" s="9">
        <v>97</v>
      </c>
      <c r="K57" s="21">
        <f t="shared" si="20"/>
        <v>21</v>
      </c>
      <c r="L57" s="21">
        <v>15</v>
      </c>
      <c r="M57" s="21">
        <v>6</v>
      </c>
      <c r="N57" s="42"/>
      <c r="O57" s="81">
        <f>$H$57*月別販売比率!C5</f>
        <v>6.9474755995921775</v>
      </c>
      <c r="P57" s="10">
        <f t="shared" si="107"/>
        <v>21</v>
      </c>
      <c r="Q57" s="21"/>
      <c r="R57" s="19">
        <f t="shared" si="153"/>
        <v>21</v>
      </c>
      <c r="S57" s="24">
        <f t="shared" si="22"/>
        <v>14.052524400407822</v>
      </c>
      <c r="T57" s="81">
        <f>$H$57*月別販売比率!H5</f>
        <v>6.8627450980392171</v>
      </c>
      <c r="U57" s="10">
        <f t="shared" si="154"/>
        <v>21</v>
      </c>
      <c r="V57" s="21"/>
      <c r="W57" s="19">
        <f t="shared" si="143"/>
        <v>21</v>
      </c>
      <c r="X57" s="24">
        <f t="shared" si="2"/>
        <v>14.137254901960784</v>
      </c>
      <c r="Y57" s="81">
        <f>$H$57*月別販売比率!M5</f>
        <v>9.9082048160445115</v>
      </c>
      <c r="Z57" s="10">
        <f t="shared" si="155"/>
        <v>21</v>
      </c>
      <c r="AA57" s="21"/>
      <c r="AB57" s="97">
        <f t="shared" si="144"/>
        <v>21</v>
      </c>
      <c r="AC57" s="24">
        <f t="shared" si="4"/>
        <v>11.091795183955488</v>
      </c>
      <c r="AD57" s="81">
        <f>$H$57*月別販売比率!R5</f>
        <v>7.8431372549019613</v>
      </c>
      <c r="AE57" s="10">
        <f t="shared" si="156"/>
        <v>21</v>
      </c>
      <c r="AF57" s="21"/>
      <c r="AG57" s="10">
        <f t="shared" si="145"/>
        <v>21</v>
      </c>
      <c r="AH57" s="24">
        <f t="shared" si="6"/>
        <v>13.156862745098039</v>
      </c>
      <c r="AI57" s="81">
        <f>$H$57*月別販売比率!W5</f>
        <v>7.4673255223961803</v>
      </c>
      <c r="AJ57" s="10">
        <f t="shared" si="157"/>
        <v>21</v>
      </c>
      <c r="AK57" s="21"/>
      <c r="AL57" s="10">
        <f t="shared" si="146"/>
        <v>21</v>
      </c>
      <c r="AM57" s="24">
        <f t="shared" si="8"/>
        <v>13.53267447760382</v>
      </c>
      <c r="AN57" s="81">
        <f>$H$57*月別販売比率!AB5</f>
        <v>11.764705882352942</v>
      </c>
      <c r="AO57" s="10">
        <f t="shared" si="158"/>
        <v>21</v>
      </c>
      <c r="AP57" s="21"/>
      <c r="AQ57" s="10">
        <f t="shared" si="147"/>
        <v>21</v>
      </c>
      <c r="AR57" s="24">
        <f t="shared" si="10"/>
        <v>9.235294117647058</v>
      </c>
      <c r="AS57" s="81">
        <f>$H$57*月別販売比率!AG5</f>
        <v>9.8039215686274517</v>
      </c>
      <c r="AT57" s="10">
        <f t="shared" si="159"/>
        <v>21</v>
      </c>
      <c r="AU57" s="21"/>
      <c r="AV57" s="40">
        <f t="shared" si="148"/>
        <v>21</v>
      </c>
      <c r="AW57" s="24">
        <f t="shared" si="12"/>
        <v>11.196078431372548</v>
      </c>
      <c r="AX57" s="81">
        <f>$H$57*月別販売比率!AL5</f>
        <v>8.8235294117647065</v>
      </c>
      <c r="AY57" s="10">
        <f t="shared" si="160"/>
        <v>21</v>
      </c>
      <c r="AZ57" s="21"/>
      <c r="BA57" s="19">
        <f t="shared" si="161"/>
        <v>21</v>
      </c>
      <c r="BB57" s="24">
        <f t="shared" si="13"/>
        <v>12.176470588235293</v>
      </c>
      <c r="BC57" s="81">
        <f>$H$57*月別販売比率!AQ5</f>
        <v>9.8039215686274517</v>
      </c>
      <c r="BD57" s="10">
        <f t="shared" si="162"/>
        <v>21</v>
      </c>
      <c r="BE57" s="21"/>
      <c r="BF57" s="19">
        <f t="shared" si="163"/>
        <v>21</v>
      </c>
      <c r="BG57" s="24">
        <f t="shared" si="14"/>
        <v>11.196078431372548</v>
      </c>
      <c r="BH57" s="81">
        <f>$H$57*月別販売比率!AV5</f>
        <v>5.970036813678103</v>
      </c>
      <c r="BI57" s="10">
        <f t="shared" si="164"/>
        <v>21</v>
      </c>
      <c r="BJ57" s="21"/>
      <c r="BK57" s="19">
        <f t="shared" si="165"/>
        <v>21</v>
      </c>
      <c r="BL57" s="24">
        <f t="shared" si="15"/>
        <v>15.029963186321897</v>
      </c>
      <c r="BM57" s="81">
        <f>$H$57*月別販売比率!BA5</f>
        <v>5.4532471279458123</v>
      </c>
      <c r="BN57" s="10">
        <f t="shared" si="166"/>
        <v>21</v>
      </c>
      <c r="BO57" s="21"/>
      <c r="BP57" s="19">
        <f t="shared" si="169"/>
        <v>21</v>
      </c>
      <c r="BQ57" s="24">
        <f t="shared" si="16"/>
        <v>15.546752872054189</v>
      </c>
      <c r="BR57" s="81">
        <f>$H$57*月別販売比率!BF5</f>
        <v>7.8431372549019613</v>
      </c>
      <c r="BS57" s="10">
        <f t="shared" si="167"/>
        <v>21</v>
      </c>
      <c r="BT57" s="21"/>
      <c r="BU57" s="19">
        <f t="shared" si="168"/>
        <v>21</v>
      </c>
      <c r="BV57" s="24">
        <f t="shared" si="17"/>
        <v>13.156862745098039</v>
      </c>
      <c r="BW57" s="158">
        <f t="shared" si="149"/>
        <v>21</v>
      </c>
      <c r="BX57" s="29">
        <f t="shared" si="150"/>
        <v>-77.039215686274517</v>
      </c>
    </row>
    <row r="58" spans="2:76" ht="30.75" customHeight="1">
      <c r="C58" s="504"/>
      <c r="D58" s="441"/>
      <c r="E58" s="94" t="s">
        <v>47</v>
      </c>
      <c r="F58" s="57">
        <v>151</v>
      </c>
      <c r="G58" s="5">
        <f t="shared" si="151"/>
        <v>597960</v>
      </c>
      <c r="H58" s="57">
        <f t="shared" si="152"/>
        <v>174.16378316032296</v>
      </c>
      <c r="I58" s="5">
        <f t="shared" si="142"/>
        <v>689688.58131487889</v>
      </c>
      <c r="J58" s="9">
        <v>120</v>
      </c>
      <c r="K58" s="21">
        <f t="shared" si="20"/>
        <v>20</v>
      </c>
      <c r="L58" s="21">
        <v>15</v>
      </c>
      <c r="M58" s="21">
        <v>5</v>
      </c>
      <c r="N58" s="42"/>
      <c r="O58" s="81">
        <f>$H$58*月別販売比率!C5</f>
        <v>12.341986065157867</v>
      </c>
      <c r="P58" s="10">
        <f t="shared" si="107"/>
        <v>20</v>
      </c>
      <c r="Q58" s="21"/>
      <c r="R58" s="19">
        <f t="shared" si="153"/>
        <v>20</v>
      </c>
      <c r="S58" s="24">
        <f t="shared" si="22"/>
        <v>7.658013934842133</v>
      </c>
      <c r="T58" s="81">
        <f>$H$58*月別販売比率!H5</f>
        <v>12.191464821222608</v>
      </c>
      <c r="U58" s="10">
        <f t="shared" si="154"/>
        <v>20</v>
      </c>
      <c r="V58" s="21"/>
      <c r="W58" s="19">
        <f t="shared" si="143"/>
        <v>20</v>
      </c>
      <c r="X58" s="24">
        <f t="shared" si="2"/>
        <v>7.808535178777392</v>
      </c>
      <c r="Y58" s="81">
        <f>$H$58*月別販売比率!M5</f>
        <v>17.601634437914367</v>
      </c>
      <c r="Z58" s="10">
        <f t="shared" si="155"/>
        <v>20</v>
      </c>
      <c r="AA58" s="21"/>
      <c r="AB58" s="97">
        <f t="shared" si="144"/>
        <v>20</v>
      </c>
      <c r="AC58" s="24">
        <f t="shared" si="4"/>
        <v>2.3983655620856332</v>
      </c>
      <c r="AD58" s="81">
        <f>$H$58*月別販売比率!R5</f>
        <v>13.933102652825838</v>
      </c>
      <c r="AE58" s="10">
        <f t="shared" si="156"/>
        <v>20</v>
      </c>
      <c r="AF58" s="21"/>
      <c r="AG58" s="10">
        <f t="shared" si="145"/>
        <v>20</v>
      </c>
      <c r="AH58" s="24">
        <f t="shared" si="6"/>
        <v>6.0668973471741623</v>
      </c>
      <c r="AI58" s="81">
        <f>$H$58*月別販売比率!W5</f>
        <v>13.265484163315566</v>
      </c>
      <c r="AJ58" s="10">
        <f t="shared" si="157"/>
        <v>20</v>
      </c>
      <c r="AK58" s="21"/>
      <c r="AL58" s="10">
        <f t="shared" si="146"/>
        <v>20</v>
      </c>
      <c r="AM58" s="24">
        <f t="shared" si="8"/>
        <v>6.7345158366844338</v>
      </c>
      <c r="AN58" s="81">
        <f>$H$58*月別販売比率!AB5</f>
        <v>20.899653979238757</v>
      </c>
      <c r="AO58" s="10">
        <f t="shared" si="158"/>
        <v>20</v>
      </c>
      <c r="AP58" s="21"/>
      <c r="AQ58" s="10">
        <f t="shared" si="147"/>
        <v>20</v>
      </c>
      <c r="AR58" s="24">
        <f t="shared" si="10"/>
        <v>-0.89965397923875656</v>
      </c>
      <c r="AS58" s="81">
        <f>$H$58*月別販売比率!AG5</f>
        <v>17.416378316032297</v>
      </c>
      <c r="AT58" s="10">
        <f t="shared" si="159"/>
        <v>20</v>
      </c>
      <c r="AU58" s="21"/>
      <c r="AV58" s="40">
        <f t="shared" si="148"/>
        <v>20</v>
      </c>
      <c r="AW58" s="24">
        <f t="shared" si="12"/>
        <v>2.5836216839677029</v>
      </c>
      <c r="AX58" s="81">
        <f>$H$58*月別販売比率!AL5</f>
        <v>15.674740484429066</v>
      </c>
      <c r="AY58" s="10">
        <f t="shared" si="160"/>
        <v>20</v>
      </c>
      <c r="AZ58" s="21"/>
      <c r="BA58" s="19">
        <f t="shared" si="161"/>
        <v>20</v>
      </c>
      <c r="BB58" s="24">
        <f t="shared" si="13"/>
        <v>4.3252595155709344</v>
      </c>
      <c r="BC58" s="81">
        <f>$H$58*月別販売比率!AQ5</f>
        <v>17.416378316032297</v>
      </c>
      <c r="BD58" s="10">
        <f t="shared" si="162"/>
        <v>20</v>
      </c>
      <c r="BE58" s="21"/>
      <c r="BF58" s="19">
        <f t="shared" si="163"/>
        <v>20</v>
      </c>
      <c r="BG58" s="24">
        <f t="shared" si="14"/>
        <v>2.5836216839677029</v>
      </c>
      <c r="BH58" s="81">
        <f>$H$58*月別販売比率!AV5</f>
        <v>10.605594810181101</v>
      </c>
      <c r="BI58" s="10">
        <f t="shared" si="164"/>
        <v>20</v>
      </c>
      <c r="BJ58" s="21"/>
      <c r="BK58" s="19">
        <f t="shared" si="165"/>
        <v>20</v>
      </c>
      <c r="BL58" s="24">
        <f t="shared" si="15"/>
        <v>9.3944051898188992</v>
      </c>
      <c r="BM58" s="81">
        <f>$H$58*月別販売比率!BA5</f>
        <v>9.6875331331743251</v>
      </c>
      <c r="BN58" s="10">
        <f t="shared" si="166"/>
        <v>20</v>
      </c>
      <c r="BO58" s="21"/>
      <c r="BP58" s="19">
        <f t="shared" si="169"/>
        <v>20</v>
      </c>
      <c r="BQ58" s="24">
        <f t="shared" si="16"/>
        <v>10.312466866825675</v>
      </c>
      <c r="BR58" s="81">
        <f>$H$58*月別販売比率!BF5</f>
        <v>13.933102652825838</v>
      </c>
      <c r="BS58" s="10">
        <f t="shared" si="167"/>
        <v>20</v>
      </c>
      <c r="BT58" s="21"/>
      <c r="BU58" s="19">
        <f t="shared" si="168"/>
        <v>20</v>
      </c>
      <c r="BV58" s="24">
        <f t="shared" si="17"/>
        <v>6.0668973471741623</v>
      </c>
      <c r="BW58" s="158">
        <f t="shared" si="149"/>
        <v>20</v>
      </c>
      <c r="BX58" s="29">
        <f t="shared" si="150"/>
        <v>-154.16378316032296</v>
      </c>
    </row>
    <row r="59" spans="2:76" ht="30.75" customHeight="1">
      <c r="C59" s="504"/>
      <c r="D59" s="441"/>
      <c r="E59" s="94" t="s">
        <v>51</v>
      </c>
      <c r="F59" s="57">
        <v>132</v>
      </c>
      <c r="G59" s="5">
        <f t="shared" si="151"/>
        <v>522720</v>
      </c>
      <c r="H59" s="57">
        <f t="shared" si="152"/>
        <v>152.24913494809689</v>
      </c>
      <c r="I59" s="5">
        <f t="shared" si="142"/>
        <v>602906.57439446368</v>
      </c>
      <c r="J59" s="9">
        <v>135</v>
      </c>
      <c r="K59" s="21">
        <f t="shared" si="20"/>
        <v>20</v>
      </c>
      <c r="L59" s="21">
        <v>14</v>
      </c>
      <c r="M59" s="21">
        <v>6</v>
      </c>
      <c r="N59" s="42"/>
      <c r="O59" s="81">
        <f>$H$59*月別販売比率!C5</f>
        <v>10.789020931131381</v>
      </c>
      <c r="P59" s="10">
        <f t="shared" si="107"/>
        <v>20</v>
      </c>
      <c r="Q59" s="21"/>
      <c r="R59" s="19">
        <f t="shared" si="153"/>
        <v>20</v>
      </c>
      <c r="S59" s="24">
        <f t="shared" si="22"/>
        <v>9.2109790688686193</v>
      </c>
      <c r="T59" s="81">
        <f>$H$59*月別販売比率!H5</f>
        <v>10.657439446366784</v>
      </c>
      <c r="U59" s="10">
        <f t="shared" si="154"/>
        <v>20</v>
      </c>
      <c r="V59" s="21"/>
      <c r="W59" s="19">
        <f t="shared" si="143"/>
        <v>20</v>
      </c>
      <c r="X59" s="24">
        <f t="shared" si="2"/>
        <v>9.3425605536332164</v>
      </c>
      <c r="Y59" s="81">
        <f>$H$59*月別販売比率!M5</f>
        <v>15.38685924373971</v>
      </c>
      <c r="Z59" s="10">
        <f t="shared" si="155"/>
        <v>20</v>
      </c>
      <c r="AA59" s="21"/>
      <c r="AB59" s="97">
        <f t="shared" si="144"/>
        <v>20</v>
      </c>
      <c r="AC59" s="24">
        <f t="shared" si="4"/>
        <v>4.6131407562602895</v>
      </c>
      <c r="AD59" s="81">
        <f>$H$59*月別販売比率!R5</f>
        <v>12.179930795847753</v>
      </c>
      <c r="AE59" s="10">
        <f t="shared" si="156"/>
        <v>20</v>
      </c>
      <c r="AF59" s="21"/>
      <c r="AG59" s="10">
        <f t="shared" si="145"/>
        <v>20</v>
      </c>
      <c r="AH59" s="24">
        <f t="shared" si="6"/>
        <v>7.8200692041522473</v>
      </c>
      <c r="AI59" s="81">
        <f>$H$59*月別販売比率!W5</f>
        <v>11.596317281838774</v>
      </c>
      <c r="AJ59" s="10">
        <f t="shared" si="157"/>
        <v>20</v>
      </c>
      <c r="AK59" s="21"/>
      <c r="AL59" s="10">
        <f t="shared" si="146"/>
        <v>20</v>
      </c>
      <c r="AM59" s="24">
        <f t="shared" si="8"/>
        <v>8.4036827181612264</v>
      </c>
      <c r="AN59" s="81">
        <f>$H$59*月別販売比率!AB5</f>
        <v>18.269896193771626</v>
      </c>
      <c r="AO59" s="10">
        <f t="shared" si="158"/>
        <v>20</v>
      </c>
      <c r="AP59" s="21"/>
      <c r="AQ59" s="10">
        <f t="shared" si="147"/>
        <v>20</v>
      </c>
      <c r="AR59" s="24">
        <f t="shared" si="10"/>
        <v>1.7301038062283745</v>
      </c>
      <c r="AS59" s="81">
        <f>$H$59*月別販売比率!AG5</f>
        <v>15.224913494809691</v>
      </c>
      <c r="AT59" s="10">
        <f t="shared" si="159"/>
        <v>20</v>
      </c>
      <c r="AU59" s="21"/>
      <c r="AV59" s="40">
        <f t="shared" si="148"/>
        <v>20</v>
      </c>
      <c r="AW59" s="24">
        <f t="shared" si="12"/>
        <v>4.7750865051903091</v>
      </c>
      <c r="AX59" s="81">
        <f>$H$59*月別販売比率!AL5</f>
        <v>13.70242214532872</v>
      </c>
      <c r="AY59" s="10">
        <f t="shared" si="160"/>
        <v>20</v>
      </c>
      <c r="AZ59" s="21"/>
      <c r="BA59" s="19">
        <f t="shared" si="161"/>
        <v>20</v>
      </c>
      <c r="BB59" s="24">
        <f t="shared" si="13"/>
        <v>6.29757785467128</v>
      </c>
      <c r="BC59" s="81">
        <f>$H$59*月別販売比率!AQ5</f>
        <v>15.224913494809691</v>
      </c>
      <c r="BD59" s="10">
        <f t="shared" si="162"/>
        <v>20</v>
      </c>
      <c r="BE59" s="21"/>
      <c r="BF59" s="19">
        <f t="shared" si="163"/>
        <v>20</v>
      </c>
      <c r="BG59" s="24">
        <f t="shared" si="14"/>
        <v>4.7750865051903091</v>
      </c>
      <c r="BH59" s="81">
        <f>$H$59*月別販売比率!AV5</f>
        <v>9.2711159930059956</v>
      </c>
      <c r="BI59" s="10">
        <f t="shared" si="164"/>
        <v>20</v>
      </c>
      <c r="BJ59" s="21"/>
      <c r="BK59" s="19">
        <f t="shared" si="165"/>
        <v>20</v>
      </c>
      <c r="BL59" s="24">
        <f t="shared" si="15"/>
        <v>10.728884006994004</v>
      </c>
      <c r="BM59" s="81">
        <f>$H$59*月別販売比率!BA5</f>
        <v>8.4685720104570255</v>
      </c>
      <c r="BN59" s="10">
        <f t="shared" si="166"/>
        <v>20</v>
      </c>
      <c r="BO59" s="21"/>
      <c r="BP59" s="19">
        <f t="shared" si="169"/>
        <v>20</v>
      </c>
      <c r="BQ59" s="24">
        <f t="shared" si="16"/>
        <v>11.531427989542975</v>
      </c>
      <c r="BR59" s="81">
        <f>$H$59*月別販売比率!BF5</f>
        <v>12.179930795847753</v>
      </c>
      <c r="BS59" s="10">
        <f t="shared" si="167"/>
        <v>20</v>
      </c>
      <c r="BT59" s="21"/>
      <c r="BU59" s="19">
        <f t="shared" si="168"/>
        <v>20</v>
      </c>
      <c r="BV59" s="24">
        <f t="shared" si="17"/>
        <v>7.8200692041522473</v>
      </c>
      <c r="BW59" s="158">
        <f t="shared" si="149"/>
        <v>20</v>
      </c>
      <c r="BX59" s="29">
        <f t="shared" si="150"/>
        <v>-132.24913494809689</v>
      </c>
    </row>
    <row r="60" spans="2:76" ht="30.75" customHeight="1">
      <c r="C60" s="504"/>
      <c r="D60" s="441"/>
      <c r="E60" s="94" t="s">
        <v>49</v>
      </c>
      <c r="F60" s="57">
        <v>52</v>
      </c>
      <c r="G60" s="5">
        <f t="shared" si="151"/>
        <v>205920</v>
      </c>
      <c r="H60" s="57">
        <f t="shared" si="152"/>
        <v>59.976931949250293</v>
      </c>
      <c r="I60" s="5">
        <f t="shared" si="142"/>
        <v>237508.65051903116</v>
      </c>
      <c r="J60" s="9">
        <v>38</v>
      </c>
      <c r="K60" s="21">
        <f t="shared" si="20"/>
        <v>11</v>
      </c>
      <c r="L60" s="21">
        <v>7</v>
      </c>
      <c r="M60" s="21">
        <v>4</v>
      </c>
      <c r="N60" s="42"/>
      <c r="O60" s="81">
        <f>$H$60*月別販売比率!C5</f>
        <v>4.2502203668093319</v>
      </c>
      <c r="P60" s="10">
        <f t="shared" si="107"/>
        <v>11</v>
      </c>
      <c r="Q60" s="21"/>
      <c r="R60" s="19">
        <f t="shared" si="153"/>
        <v>11</v>
      </c>
      <c r="S60" s="24">
        <f t="shared" si="22"/>
        <v>6.7497796331906681</v>
      </c>
      <c r="T60" s="81">
        <f>$H$60*月別販売比率!H5</f>
        <v>4.1983852364475212</v>
      </c>
      <c r="U60" s="10">
        <f t="shared" si="154"/>
        <v>11</v>
      </c>
      <c r="V60" s="21"/>
      <c r="W60" s="19">
        <f t="shared" si="143"/>
        <v>11</v>
      </c>
      <c r="X60" s="24">
        <f t="shared" si="2"/>
        <v>6.8016147635524788</v>
      </c>
      <c r="Y60" s="81">
        <f>$H$60*月別販売比率!M5</f>
        <v>6.061490005109583</v>
      </c>
      <c r="Z60" s="10">
        <f t="shared" si="155"/>
        <v>11</v>
      </c>
      <c r="AA60" s="21"/>
      <c r="AB60" s="97">
        <f t="shared" si="144"/>
        <v>11</v>
      </c>
      <c r="AC60" s="24">
        <f t="shared" si="4"/>
        <v>4.938509994890417</v>
      </c>
      <c r="AD60" s="81">
        <f>$H$60*月別販売比率!R5</f>
        <v>4.7981545559400232</v>
      </c>
      <c r="AE60" s="10">
        <f t="shared" si="156"/>
        <v>11</v>
      </c>
      <c r="AF60" s="21"/>
      <c r="AG60" s="10">
        <f t="shared" si="145"/>
        <v>11</v>
      </c>
      <c r="AH60" s="24">
        <f t="shared" si="6"/>
        <v>6.2018454440599768</v>
      </c>
      <c r="AI60" s="81">
        <f>$H$60*月別販売比率!W5</f>
        <v>4.5682462019364865</v>
      </c>
      <c r="AJ60" s="10">
        <f t="shared" si="157"/>
        <v>11</v>
      </c>
      <c r="AK60" s="21"/>
      <c r="AL60" s="10">
        <f t="shared" si="146"/>
        <v>11</v>
      </c>
      <c r="AM60" s="24">
        <f t="shared" si="8"/>
        <v>6.4317537980635135</v>
      </c>
      <c r="AN60" s="81">
        <f>$H$60*月別販売比率!AB5</f>
        <v>7.1972318339100347</v>
      </c>
      <c r="AO60" s="10">
        <f t="shared" si="158"/>
        <v>11</v>
      </c>
      <c r="AP60" s="21"/>
      <c r="AQ60" s="10">
        <f t="shared" si="147"/>
        <v>11</v>
      </c>
      <c r="AR60" s="24">
        <f t="shared" si="10"/>
        <v>3.8027681660899653</v>
      </c>
      <c r="AS60" s="81">
        <f>$H$60*月別販売比率!AG5</f>
        <v>5.9976931949250298</v>
      </c>
      <c r="AT60" s="10">
        <f t="shared" si="159"/>
        <v>11</v>
      </c>
      <c r="AU60" s="21"/>
      <c r="AV60" s="40">
        <f t="shared" si="148"/>
        <v>11</v>
      </c>
      <c r="AW60" s="24">
        <f t="shared" si="12"/>
        <v>5.0023068050749702</v>
      </c>
      <c r="AX60" s="81">
        <f>$H$60*月別販売比率!AL5</f>
        <v>5.3979238754325261</v>
      </c>
      <c r="AY60" s="10">
        <f t="shared" si="160"/>
        <v>11</v>
      </c>
      <c r="AZ60" s="21"/>
      <c r="BA60" s="19">
        <f t="shared" si="161"/>
        <v>11</v>
      </c>
      <c r="BB60" s="24">
        <f t="shared" si="13"/>
        <v>5.6020761245674739</v>
      </c>
      <c r="BC60" s="81">
        <f>$H$60*月別販売比率!AQ5</f>
        <v>5.9976931949250298</v>
      </c>
      <c r="BD60" s="10">
        <f t="shared" si="162"/>
        <v>11</v>
      </c>
      <c r="BE60" s="21"/>
      <c r="BF60" s="19">
        <f t="shared" si="163"/>
        <v>11</v>
      </c>
      <c r="BG60" s="24">
        <f t="shared" si="14"/>
        <v>5.0023068050749702</v>
      </c>
      <c r="BH60" s="81">
        <f>$H$60*月別販売比率!AV5</f>
        <v>3.6522578154266041</v>
      </c>
      <c r="BI60" s="10">
        <f t="shared" si="164"/>
        <v>11</v>
      </c>
      <c r="BJ60" s="21"/>
      <c r="BK60" s="19">
        <f t="shared" si="165"/>
        <v>11</v>
      </c>
      <c r="BL60" s="24">
        <f t="shared" si="15"/>
        <v>7.3477421845733959</v>
      </c>
      <c r="BM60" s="81">
        <f>$H$60*月別販売比率!BA5</f>
        <v>3.336104125331556</v>
      </c>
      <c r="BN60" s="10">
        <f t="shared" si="166"/>
        <v>11</v>
      </c>
      <c r="BO60" s="21"/>
      <c r="BP60" s="19">
        <f t="shared" si="169"/>
        <v>11</v>
      </c>
      <c r="BQ60" s="24">
        <f t="shared" si="16"/>
        <v>7.6638958746684445</v>
      </c>
      <c r="BR60" s="81">
        <f>$H$60*月別販売比率!BF5</f>
        <v>4.7981545559400232</v>
      </c>
      <c r="BS60" s="10">
        <f t="shared" si="167"/>
        <v>11</v>
      </c>
      <c r="BT60" s="21"/>
      <c r="BU60" s="19">
        <f t="shared" si="168"/>
        <v>11</v>
      </c>
      <c r="BV60" s="24">
        <f t="shared" si="17"/>
        <v>6.2018454440599768</v>
      </c>
      <c r="BW60" s="158">
        <f t="shared" si="149"/>
        <v>11</v>
      </c>
      <c r="BX60" s="29">
        <f t="shared" si="150"/>
        <v>-48.976931949250293</v>
      </c>
    </row>
    <row r="61" spans="2:76" ht="30.75" customHeight="1">
      <c r="C61" s="505"/>
      <c r="D61" s="444"/>
      <c r="E61" s="101" t="s">
        <v>50</v>
      </c>
      <c r="F61" s="58">
        <v>33</v>
      </c>
      <c r="G61" s="35">
        <f t="shared" si="151"/>
        <v>130680</v>
      </c>
      <c r="H61" s="58">
        <f t="shared" si="152"/>
        <v>38.062283737024224</v>
      </c>
      <c r="I61" s="35">
        <f t="shared" si="142"/>
        <v>150726.64359861592</v>
      </c>
      <c r="J61" s="113">
        <v>26</v>
      </c>
      <c r="K61" s="103">
        <f t="shared" si="20"/>
        <v>12</v>
      </c>
      <c r="L61" s="104">
        <v>8</v>
      </c>
      <c r="M61" s="104">
        <v>4</v>
      </c>
      <c r="N61" s="117"/>
      <c r="O61" s="81">
        <f>$H$61*月別販売比率!C5</f>
        <v>2.6972552327828452</v>
      </c>
      <c r="P61" s="106">
        <f t="shared" si="107"/>
        <v>12</v>
      </c>
      <c r="Q61" s="107"/>
      <c r="R61" s="2">
        <f t="shared" si="153"/>
        <v>12</v>
      </c>
      <c r="S61" s="195">
        <f t="shared" si="22"/>
        <v>9.3027447672171544</v>
      </c>
      <c r="T61" s="81">
        <f>$H$61*月別販売比率!H5</f>
        <v>2.6643598615916959</v>
      </c>
      <c r="U61" s="106">
        <f t="shared" si="154"/>
        <v>12</v>
      </c>
      <c r="V61" s="107"/>
      <c r="W61" s="80">
        <f t="shared" si="143"/>
        <v>12</v>
      </c>
      <c r="X61" s="195">
        <f t="shared" si="2"/>
        <v>9.335640138408305</v>
      </c>
      <c r="Y61" s="81">
        <f>$H$61*月別販売比率!M5</f>
        <v>3.8467148109349276</v>
      </c>
      <c r="Z61" s="106">
        <f t="shared" si="155"/>
        <v>12</v>
      </c>
      <c r="AA61" s="107"/>
      <c r="AB61" s="196">
        <f t="shared" si="144"/>
        <v>12</v>
      </c>
      <c r="AC61" s="195">
        <f t="shared" si="4"/>
        <v>8.1532851890650733</v>
      </c>
      <c r="AD61" s="81">
        <f>$H$61*月別販売比率!R5</f>
        <v>3.0449826989619382</v>
      </c>
      <c r="AE61" s="106">
        <f t="shared" si="156"/>
        <v>12</v>
      </c>
      <c r="AF61" s="107"/>
      <c r="AG61" s="106">
        <f t="shared" si="145"/>
        <v>12</v>
      </c>
      <c r="AH61" s="195">
        <f t="shared" si="6"/>
        <v>8.9550173010380618</v>
      </c>
      <c r="AI61" s="81">
        <f>$H$61*月別販売比率!W5</f>
        <v>2.8990793204596934</v>
      </c>
      <c r="AJ61" s="106">
        <f t="shared" si="157"/>
        <v>12</v>
      </c>
      <c r="AK61" s="107"/>
      <c r="AL61" s="106">
        <f t="shared" si="146"/>
        <v>12</v>
      </c>
      <c r="AM61" s="195">
        <f t="shared" si="8"/>
        <v>9.100920679540307</v>
      </c>
      <c r="AN61" s="81">
        <f>$H$61*月別販売比率!AB5</f>
        <v>4.5674740484429064</v>
      </c>
      <c r="AO61" s="106">
        <f t="shared" si="158"/>
        <v>12</v>
      </c>
      <c r="AP61" s="107"/>
      <c r="AQ61" s="106">
        <f t="shared" si="147"/>
        <v>12</v>
      </c>
      <c r="AR61" s="195">
        <f t="shared" si="10"/>
        <v>7.4325259515570936</v>
      </c>
      <c r="AS61" s="81">
        <f>$H$61*月別販売比率!AG5</f>
        <v>3.8062283737024227</v>
      </c>
      <c r="AT61" s="106">
        <f t="shared" si="159"/>
        <v>12</v>
      </c>
      <c r="AU61" s="107"/>
      <c r="AV61" s="80">
        <f t="shared" si="148"/>
        <v>12</v>
      </c>
      <c r="AW61" s="195">
        <f t="shared" si="12"/>
        <v>8.1937716262975773</v>
      </c>
      <c r="AX61" s="81">
        <f>$H$61*月別販売比率!AL5</f>
        <v>3.42560553633218</v>
      </c>
      <c r="AY61" s="106">
        <f t="shared" si="160"/>
        <v>12</v>
      </c>
      <c r="AZ61" s="107"/>
      <c r="BA61" s="2">
        <f t="shared" si="161"/>
        <v>12</v>
      </c>
      <c r="BB61" s="195">
        <f t="shared" si="13"/>
        <v>8.5743944636678204</v>
      </c>
      <c r="BC61" s="81">
        <f>$H$61*月別販売比率!AQ5</f>
        <v>3.8062283737024227</v>
      </c>
      <c r="BD61" s="106">
        <f t="shared" si="162"/>
        <v>12</v>
      </c>
      <c r="BE61" s="107"/>
      <c r="BF61" s="2">
        <f t="shared" si="163"/>
        <v>12</v>
      </c>
      <c r="BG61" s="195">
        <f t="shared" si="14"/>
        <v>8.1937716262975773</v>
      </c>
      <c r="BH61" s="81">
        <f>$H$61*月別販売比率!AV5</f>
        <v>2.3177789982514989</v>
      </c>
      <c r="BI61" s="106">
        <f t="shared" si="164"/>
        <v>12</v>
      </c>
      <c r="BJ61" s="107"/>
      <c r="BK61" s="2">
        <f t="shared" si="165"/>
        <v>12</v>
      </c>
      <c r="BL61" s="195">
        <f t="shared" si="15"/>
        <v>9.682221001748502</v>
      </c>
      <c r="BM61" s="81">
        <f>$H$61*月別販売比率!BA5</f>
        <v>2.1171430026142564</v>
      </c>
      <c r="BN61" s="106">
        <f t="shared" si="166"/>
        <v>12</v>
      </c>
      <c r="BO61" s="107"/>
      <c r="BP61" s="2">
        <f t="shared" si="169"/>
        <v>12</v>
      </c>
      <c r="BQ61" s="195">
        <f t="shared" si="16"/>
        <v>9.8828569973857441</v>
      </c>
      <c r="BR61" s="81">
        <f>$H$61*月別販売比率!BF5</f>
        <v>3.0449826989619382</v>
      </c>
      <c r="BS61" s="106">
        <f t="shared" si="167"/>
        <v>12</v>
      </c>
      <c r="BT61" s="107"/>
      <c r="BU61" s="115">
        <f t="shared" si="168"/>
        <v>12</v>
      </c>
      <c r="BV61" s="92">
        <f t="shared" si="17"/>
        <v>8.9550173010380618</v>
      </c>
      <c r="BW61" s="159">
        <f t="shared" si="149"/>
        <v>12</v>
      </c>
      <c r="BX61" s="116">
        <f t="shared" si="150"/>
        <v>-26.062283737024224</v>
      </c>
    </row>
    <row r="62" spans="2:76" ht="30.75" customHeight="1">
      <c r="B62" s="2">
        <v>5</v>
      </c>
      <c r="C62" s="435" t="s">
        <v>1</v>
      </c>
      <c r="D62" s="436"/>
      <c r="E62" s="445"/>
      <c r="F62" s="130">
        <v>973</v>
      </c>
      <c r="G62" s="131">
        <v>3813982.6168124992</v>
      </c>
      <c r="H62" s="132">
        <v>1000</v>
      </c>
      <c r="I62" s="131">
        <f t="shared" si="42"/>
        <v>3919817.6945657753</v>
      </c>
      <c r="J62" s="133">
        <f>SUM(J64:J73)</f>
        <v>344</v>
      </c>
      <c r="K62" s="134">
        <f t="shared" ref="K62:N62" si="170">SUM(K64:K73)</f>
        <v>358</v>
      </c>
      <c r="L62" s="134">
        <f t="shared" si="170"/>
        <v>206</v>
      </c>
      <c r="M62" s="134">
        <f t="shared" si="170"/>
        <v>152</v>
      </c>
      <c r="N62" s="135">
        <f t="shared" si="170"/>
        <v>0</v>
      </c>
      <c r="O62" s="150">
        <f>H62/12</f>
        <v>83.333333333333329</v>
      </c>
      <c r="P62" s="151">
        <f t="shared" si="107"/>
        <v>358</v>
      </c>
      <c r="Q62" s="148">
        <f>SUM(Q64:Q73)</f>
        <v>0</v>
      </c>
      <c r="R62" s="152">
        <f>Q62+K62</f>
        <v>358</v>
      </c>
      <c r="S62" s="153">
        <f t="shared" si="22"/>
        <v>274.66666666666669</v>
      </c>
      <c r="T62" s="150">
        <f t="shared" si="109"/>
        <v>83.333333333333329</v>
      </c>
      <c r="U62" s="151">
        <f t="shared" si="110"/>
        <v>358</v>
      </c>
      <c r="V62" s="148">
        <f>SUM(V64:V73)</f>
        <v>0</v>
      </c>
      <c r="W62" s="152">
        <f>K62+V62</f>
        <v>358</v>
      </c>
      <c r="X62" s="153">
        <f t="shared" si="2"/>
        <v>274.66666666666669</v>
      </c>
      <c r="Y62" s="150">
        <f t="shared" si="112"/>
        <v>83.333333333333329</v>
      </c>
      <c r="Z62" s="151">
        <f t="shared" si="113"/>
        <v>358</v>
      </c>
      <c r="AA62" s="148">
        <f>SUM(AA64:AA73)</f>
        <v>0</v>
      </c>
      <c r="AB62" s="154">
        <f t="shared" si="114"/>
        <v>358</v>
      </c>
      <c r="AC62" s="153">
        <f t="shared" si="4"/>
        <v>274.66666666666669</v>
      </c>
      <c r="AD62" s="150">
        <f t="shared" si="115"/>
        <v>83.333333333333329</v>
      </c>
      <c r="AE62" s="151">
        <f t="shared" si="116"/>
        <v>358</v>
      </c>
      <c r="AF62" s="148">
        <f>SUM(AF64:AF73)</f>
        <v>0</v>
      </c>
      <c r="AG62" s="152">
        <f t="shared" si="117"/>
        <v>358</v>
      </c>
      <c r="AH62" s="153">
        <f t="shared" si="6"/>
        <v>274.66666666666669</v>
      </c>
      <c r="AI62" s="150">
        <f t="shared" si="118"/>
        <v>83.333333333333329</v>
      </c>
      <c r="AJ62" s="151">
        <f t="shared" si="119"/>
        <v>358</v>
      </c>
      <c r="AK62" s="148">
        <f>SUM(AK64:AK73)</f>
        <v>0</v>
      </c>
      <c r="AL62" s="152">
        <f t="shared" si="120"/>
        <v>358</v>
      </c>
      <c r="AM62" s="153">
        <f t="shared" si="8"/>
        <v>274.66666666666669</v>
      </c>
      <c r="AN62" s="150">
        <f t="shared" si="121"/>
        <v>83.333333333333329</v>
      </c>
      <c r="AO62" s="151">
        <f t="shared" si="122"/>
        <v>358</v>
      </c>
      <c r="AP62" s="148">
        <f>SUM(AP64:AP73)</f>
        <v>0</v>
      </c>
      <c r="AQ62" s="152">
        <f t="shared" si="123"/>
        <v>358</v>
      </c>
      <c r="AR62" s="153">
        <f t="shared" si="10"/>
        <v>274.66666666666669</v>
      </c>
      <c r="AS62" s="150">
        <f t="shared" si="124"/>
        <v>83.333333333333329</v>
      </c>
      <c r="AT62" s="151">
        <f t="shared" si="125"/>
        <v>358</v>
      </c>
      <c r="AU62" s="148">
        <f>SUM(AU64:AU73)</f>
        <v>0</v>
      </c>
      <c r="AV62" s="152">
        <f t="shared" si="126"/>
        <v>358</v>
      </c>
      <c r="AW62" s="153">
        <f t="shared" si="12"/>
        <v>274.66666666666669</v>
      </c>
      <c r="AX62" s="150">
        <f t="shared" si="127"/>
        <v>83.333333333333329</v>
      </c>
      <c r="AY62" s="151">
        <f t="shared" si="128"/>
        <v>358</v>
      </c>
      <c r="AZ62" s="148">
        <f>SUM(AZ64:AZ73)</f>
        <v>0</v>
      </c>
      <c r="BA62" s="152">
        <f t="shared" si="129"/>
        <v>358</v>
      </c>
      <c r="BB62" s="153">
        <f t="shared" si="13"/>
        <v>274.66666666666669</v>
      </c>
      <c r="BC62" s="150">
        <f t="shared" si="130"/>
        <v>83.333333333333329</v>
      </c>
      <c r="BD62" s="151">
        <f t="shared" si="131"/>
        <v>358</v>
      </c>
      <c r="BE62" s="148">
        <f>SUM(BE64:BE73)</f>
        <v>0</v>
      </c>
      <c r="BF62" s="152">
        <f t="shared" si="132"/>
        <v>358</v>
      </c>
      <c r="BG62" s="153">
        <f t="shared" si="14"/>
        <v>274.66666666666669</v>
      </c>
      <c r="BH62" s="150">
        <f t="shared" si="133"/>
        <v>83.333333333333329</v>
      </c>
      <c r="BI62" s="151">
        <f t="shared" si="134"/>
        <v>358</v>
      </c>
      <c r="BJ62" s="148">
        <f>SUM(BJ64:BJ73)</f>
        <v>0</v>
      </c>
      <c r="BK62" s="152">
        <f t="shared" si="135"/>
        <v>358</v>
      </c>
      <c r="BL62" s="153">
        <f t="shared" si="15"/>
        <v>274.66666666666669</v>
      </c>
      <c r="BM62" s="150">
        <f t="shared" si="136"/>
        <v>83.333333333333329</v>
      </c>
      <c r="BN62" s="151">
        <f t="shared" si="137"/>
        <v>358</v>
      </c>
      <c r="BO62" s="148">
        <f>SUM(BO64:BO73)</f>
        <v>0</v>
      </c>
      <c r="BP62" s="152">
        <f t="shared" si="138"/>
        <v>358</v>
      </c>
      <c r="BQ62" s="153">
        <f t="shared" si="16"/>
        <v>274.66666666666669</v>
      </c>
      <c r="BR62" s="150">
        <f t="shared" si="139"/>
        <v>83.333333333333329</v>
      </c>
      <c r="BS62" s="151">
        <f t="shared" si="140"/>
        <v>358</v>
      </c>
      <c r="BT62" s="148">
        <f>SUM(BT64:BT73)</f>
        <v>0</v>
      </c>
      <c r="BU62" s="138">
        <f t="shared" si="141"/>
        <v>358</v>
      </c>
      <c r="BV62" s="139">
        <f t="shared" si="17"/>
        <v>274.66666666666669</v>
      </c>
      <c r="BW62" s="143">
        <f>AF62+AA62+V62+Q62+AK62+AP62+AU62+AZ62+BE62+BJ62+BO62+BT62+K62</f>
        <v>358</v>
      </c>
      <c r="BX62" s="142">
        <f t="shared" si="49"/>
        <v>-642</v>
      </c>
    </row>
    <row r="63" spans="2:76" ht="30.75" customHeight="1">
      <c r="C63" s="167" t="s">
        <v>81</v>
      </c>
      <c r="D63" s="168"/>
      <c r="E63" s="169"/>
      <c r="F63" s="170">
        <f>SUM(F64:F73)</f>
        <v>983</v>
      </c>
      <c r="G63" s="171">
        <f>SUM(G64:G73)</f>
        <v>3892680</v>
      </c>
      <c r="H63" s="170">
        <f>SUM(H64:H73)</f>
        <v>1010.2774922918809</v>
      </c>
      <c r="I63" s="171">
        <f>SUM(I64:I73)</f>
        <v>4000698.8694758476</v>
      </c>
      <c r="J63" s="172"/>
      <c r="K63" s="173"/>
      <c r="L63" s="173"/>
      <c r="M63" s="173"/>
      <c r="N63" s="174"/>
      <c r="O63" s="175">
        <f>SUM(O64:O73)</f>
        <v>71.592557910453166</v>
      </c>
      <c r="P63" s="176"/>
      <c r="Q63" s="173"/>
      <c r="R63" s="177"/>
      <c r="S63" s="178"/>
      <c r="T63" s="175">
        <f>SUM(T64:T73)</f>
        <v>70.719424460431668</v>
      </c>
      <c r="U63" s="176"/>
      <c r="V63" s="173"/>
      <c r="W63" s="177"/>
      <c r="X63" s="178"/>
      <c r="Y63" s="175">
        <f>SUM(Y64:Y73)</f>
        <v>102.1023704096114</v>
      </c>
      <c r="Z63" s="176"/>
      <c r="AA63" s="173"/>
      <c r="AB63" s="177"/>
      <c r="AC63" s="178"/>
      <c r="AD63" s="175">
        <f>SUM(AD64:AD73)</f>
        <v>80.822199383350465</v>
      </c>
      <c r="AE63" s="176"/>
      <c r="AF63" s="173"/>
      <c r="AG63" s="177"/>
      <c r="AH63" s="178"/>
      <c r="AI63" s="175">
        <f>SUM(AI64:AI73)</f>
        <v>76.94952320951441</v>
      </c>
      <c r="AJ63" s="176"/>
      <c r="AK63" s="173"/>
      <c r="AL63" s="177"/>
      <c r="AM63" s="178"/>
      <c r="AN63" s="175">
        <f>SUM(AN64:AN73)</f>
        <v>121.2332990750257</v>
      </c>
      <c r="AO63" s="176"/>
      <c r="AP63" s="173"/>
      <c r="AQ63" s="177"/>
      <c r="AR63" s="178"/>
      <c r="AS63" s="175">
        <f>SUM(AS64:AS73)</f>
        <v>101.02774922918809</v>
      </c>
      <c r="AT63" s="176"/>
      <c r="AU63" s="173"/>
      <c r="AV63" s="177"/>
      <c r="AW63" s="178"/>
      <c r="AX63" s="175">
        <f>SUM(AX64:AX73)</f>
        <v>90.924974306269263</v>
      </c>
      <c r="AY63" s="176"/>
      <c r="AZ63" s="173"/>
      <c r="BA63" s="177"/>
      <c r="BB63" s="178"/>
      <c r="BC63" s="175">
        <f>SUM(BC64:BC73)</f>
        <v>101.02774922918809</v>
      </c>
      <c r="BD63" s="176"/>
      <c r="BE63" s="173"/>
      <c r="BF63" s="177"/>
      <c r="BG63" s="178"/>
      <c r="BH63" s="175">
        <f>SUM(BH64:BH73)</f>
        <v>61.520216974331817</v>
      </c>
      <c r="BI63" s="176"/>
      <c r="BJ63" s="173"/>
      <c r="BK63" s="177"/>
      <c r="BL63" s="178"/>
      <c r="BM63" s="175">
        <f>SUM(BM64:BM73)</f>
        <v>56.194786899343754</v>
      </c>
      <c r="BN63" s="176"/>
      <c r="BO63" s="173"/>
      <c r="BP63" s="177"/>
      <c r="BQ63" s="178"/>
      <c r="BR63" s="175">
        <f>SUM(BR64:BR73)</f>
        <v>80.822199383350465</v>
      </c>
      <c r="BS63" s="176"/>
      <c r="BT63" s="173"/>
      <c r="BU63" s="177"/>
      <c r="BV63" s="178"/>
      <c r="BW63" s="179"/>
      <c r="BX63" s="180"/>
    </row>
    <row r="64" spans="2:76" ht="30.75" customHeight="1">
      <c r="C64" s="509" t="s">
        <v>72</v>
      </c>
      <c r="D64" s="443">
        <v>1</v>
      </c>
      <c r="E64" s="99" t="s">
        <v>46</v>
      </c>
      <c r="F64" s="56">
        <v>144</v>
      </c>
      <c r="G64" s="46">
        <f t="shared" si="151"/>
        <v>570240</v>
      </c>
      <c r="H64" s="45">
        <f>F64*($H$62/$F$62)</f>
        <v>147.99588900308325</v>
      </c>
      <c r="I64" s="46">
        <f t="shared" si="151"/>
        <v>586063.7204522097</v>
      </c>
      <c r="J64" s="49">
        <v>114</v>
      </c>
      <c r="K64" s="39">
        <f t="shared" si="20"/>
        <v>38</v>
      </c>
      <c r="L64" s="39">
        <v>25</v>
      </c>
      <c r="M64" s="39">
        <v>13</v>
      </c>
      <c r="N64" s="42"/>
      <c r="O64" s="81">
        <f>$H$64*月別販売比率!C5</f>
        <v>10.487617842426506</v>
      </c>
      <c r="P64" s="40">
        <f t="shared" ref="P64:P73" si="171">K64</f>
        <v>38</v>
      </c>
      <c r="Q64" s="39"/>
      <c r="R64" s="43">
        <f>Q64+K64</f>
        <v>38</v>
      </c>
      <c r="S64" s="91">
        <f t="shared" si="22"/>
        <v>27.512382157573494</v>
      </c>
      <c r="T64" s="81">
        <f>$H$64*月別販売比率!H5</f>
        <v>10.359712230215829</v>
      </c>
      <c r="U64" s="40">
        <f>K64</f>
        <v>38</v>
      </c>
      <c r="V64" s="39"/>
      <c r="W64" s="43">
        <f t="shared" ref="W64:W73" si="172">K64+V64</f>
        <v>38</v>
      </c>
      <c r="X64" s="91">
        <f t="shared" si="2"/>
        <v>27.640287769784173</v>
      </c>
      <c r="Y64" s="81">
        <f>$H$64*月別販売比率!M5</f>
        <v>14.95701051778641</v>
      </c>
      <c r="Z64" s="40">
        <f>K64</f>
        <v>38</v>
      </c>
      <c r="AA64" s="39"/>
      <c r="AB64" s="129">
        <f t="shared" ref="AB64:AB73" si="173">K64+AA64</f>
        <v>38</v>
      </c>
      <c r="AC64" s="91">
        <f t="shared" si="4"/>
        <v>23.042989482213592</v>
      </c>
      <c r="AD64" s="81">
        <f>$H$64*月別販売比率!R5</f>
        <v>11.83967112024666</v>
      </c>
      <c r="AE64" s="40">
        <f>K64</f>
        <v>38</v>
      </c>
      <c r="AF64" s="39"/>
      <c r="AG64" s="43">
        <f t="shared" ref="AG64:AG73" si="174">K64+AF64</f>
        <v>38</v>
      </c>
      <c r="AH64" s="91">
        <f t="shared" si="6"/>
        <v>26.16032887975334</v>
      </c>
      <c r="AI64" s="81">
        <f>$H$64*月別販売比率!W5</f>
        <v>11.272361487456843</v>
      </c>
      <c r="AJ64" s="40">
        <f>K64</f>
        <v>38</v>
      </c>
      <c r="AK64" s="39"/>
      <c r="AL64" s="40">
        <f t="shared" ref="AL64:AL73" si="175">K64+AK64</f>
        <v>38</v>
      </c>
      <c r="AM64" s="91">
        <f t="shared" si="8"/>
        <v>26.727638512543159</v>
      </c>
      <c r="AN64" s="81">
        <f>$H$64*月別販売比率!AB5</f>
        <v>17.759506680369988</v>
      </c>
      <c r="AO64" s="40">
        <f>K64</f>
        <v>38</v>
      </c>
      <c r="AP64" s="39"/>
      <c r="AQ64" s="40">
        <f t="shared" ref="AQ64:AQ73" si="176">K64+AP64</f>
        <v>38</v>
      </c>
      <c r="AR64" s="91">
        <f t="shared" si="10"/>
        <v>20.240493319630012</v>
      </c>
      <c r="AS64" s="81">
        <f>$H$64*月別販売比率!AG5</f>
        <v>14.799588900308326</v>
      </c>
      <c r="AT64" s="40">
        <f>K64</f>
        <v>38</v>
      </c>
      <c r="AU64" s="39"/>
      <c r="AV64" s="40">
        <f t="shared" ref="AV64:AV73" si="177">K64+AU64</f>
        <v>38</v>
      </c>
      <c r="AW64" s="91">
        <f t="shared" si="12"/>
        <v>23.200411099691674</v>
      </c>
      <c r="AX64" s="81">
        <f>$H$64*月別販売比率!AL5</f>
        <v>13.319630010277493</v>
      </c>
      <c r="AY64" s="40">
        <f>K64</f>
        <v>38</v>
      </c>
      <c r="AZ64" s="39"/>
      <c r="BA64" s="43">
        <f>K64+AZ64</f>
        <v>38</v>
      </c>
      <c r="BB64" s="91">
        <f t="shared" si="13"/>
        <v>24.680369989722507</v>
      </c>
      <c r="BC64" s="81">
        <f>$H$64*月別販売比率!AQ5</f>
        <v>14.799588900308326</v>
      </c>
      <c r="BD64" s="40">
        <f>K64</f>
        <v>38</v>
      </c>
      <c r="BE64" s="39"/>
      <c r="BF64" s="43">
        <f>K64+BE64</f>
        <v>38</v>
      </c>
      <c r="BG64" s="91">
        <f t="shared" si="14"/>
        <v>23.200411099691674</v>
      </c>
      <c r="BH64" s="81">
        <f>$H$64*月別販売比率!AV5</f>
        <v>9.0121172373385381</v>
      </c>
      <c r="BI64" s="40">
        <f>K64</f>
        <v>38</v>
      </c>
      <c r="BJ64" s="39"/>
      <c r="BK64" s="43">
        <f>K64+BJ64</f>
        <v>38</v>
      </c>
      <c r="BL64" s="91">
        <f t="shared" si="15"/>
        <v>28.987882762661464</v>
      </c>
      <c r="BM64" s="81">
        <f>$H$64*月別販売比率!BA5</f>
        <v>8.2319931978692793</v>
      </c>
      <c r="BN64" s="40">
        <f>K64</f>
        <v>38</v>
      </c>
      <c r="BO64" s="39"/>
      <c r="BP64" s="43">
        <f>K64+BO64</f>
        <v>38</v>
      </c>
      <c r="BQ64" s="91">
        <f t="shared" si="16"/>
        <v>29.768006802130721</v>
      </c>
      <c r="BR64" s="81">
        <f>$H$64*月別販売比率!BF5</f>
        <v>11.83967112024666</v>
      </c>
      <c r="BS64" s="40">
        <f>K64</f>
        <v>38</v>
      </c>
      <c r="BT64" s="39"/>
      <c r="BU64" s="43">
        <f>K64+BT64</f>
        <v>38</v>
      </c>
      <c r="BV64" s="91">
        <f t="shared" si="17"/>
        <v>26.16032887975334</v>
      </c>
      <c r="BW64" s="157">
        <f t="shared" ref="BW64:BW73" si="178">AF64+AA64+V64+Q64+AK64+AP64+AU64+AZ64+BE64+BJ64+BO64+BT64+K64</f>
        <v>38</v>
      </c>
      <c r="BX64" s="51">
        <f t="shared" ref="BX64:BX73" si="179">BW64-H64</f>
        <v>-109.99588900308325</v>
      </c>
    </row>
    <row r="65" spans="2:76" ht="30.75" customHeight="1">
      <c r="C65" s="507"/>
      <c r="D65" s="441"/>
      <c r="E65" s="94" t="s">
        <v>47</v>
      </c>
      <c r="F65" s="57">
        <v>226</v>
      </c>
      <c r="G65" s="5">
        <f t="shared" si="151"/>
        <v>894960</v>
      </c>
      <c r="H65" s="7">
        <f t="shared" ref="H65:H73" si="180">F65*($H$62/$F$62)</f>
        <v>232.27132579650564</v>
      </c>
      <c r="I65" s="5">
        <f t="shared" si="151"/>
        <v>919794.45015416236</v>
      </c>
      <c r="J65" s="9">
        <v>55</v>
      </c>
      <c r="K65" s="21">
        <f t="shared" si="20"/>
        <v>40</v>
      </c>
      <c r="L65" s="21">
        <v>23</v>
      </c>
      <c r="M65" s="21">
        <v>17</v>
      </c>
      <c r="N65" s="95"/>
      <c r="O65" s="81">
        <f>$H$65*月別販売比率!C5</f>
        <v>16.459733558252708</v>
      </c>
      <c r="P65" s="10">
        <f t="shared" si="171"/>
        <v>40</v>
      </c>
      <c r="Q65" s="21"/>
      <c r="R65" s="19">
        <f t="shared" ref="R65:R73" si="181">Q65+K65</f>
        <v>40</v>
      </c>
      <c r="S65" s="24">
        <f t="shared" si="22"/>
        <v>23.540266441747292</v>
      </c>
      <c r="T65" s="81">
        <f>$H$65*月別販売比率!H5</f>
        <v>16.258992805755398</v>
      </c>
      <c r="U65" s="10">
        <f t="shared" ref="U65:U73" si="182">K65</f>
        <v>40</v>
      </c>
      <c r="V65" s="21"/>
      <c r="W65" s="19">
        <f t="shared" si="172"/>
        <v>40</v>
      </c>
      <c r="X65" s="24">
        <f t="shared" si="2"/>
        <v>23.741007194244602</v>
      </c>
      <c r="Y65" s="81">
        <f>$H$65*月別販売比率!M5</f>
        <v>23.474197062637003</v>
      </c>
      <c r="Z65" s="10">
        <f t="shared" ref="Z65:Z73" si="183">K65</f>
        <v>40</v>
      </c>
      <c r="AA65" s="21"/>
      <c r="AB65" s="124">
        <f t="shared" si="173"/>
        <v>40</v>
      </c>
      <c r="AC65" s="24">
        <f t="shared" si="4"/>
        <v>16.525802937362997</v>
      </c>
      <c r="AD65" s="81">
        <f>$H$65*月別販売比率!R5</f>
        <v>18.58170606372045</v>
      </c>
      <c r="AE65" s="10">
        <f t="shared" ref="AE65:AE73" si="184">K65</f>
        <v>40</v>
      </c>
      <c r="AF65" s="21"/>
      <c r="AG65" s="19">
        <f t="shared" si="174"/>
        <v>40</v>
      </c>
      <c r="AH65" s="24">
        <f t="shared" si="6"/>
        <v>21.41829393627955</v>
      </c>
      <c r="AI65" s="81">
        <f>$H$65*月別販売比率!W5</f>
        <v>17.691345112258656</v>
      </c>
      <c r="AJ65" s="10">
        <f t="shared" ref="AJ65:AJ73" si="185">K65</f>
        <v>40</v>
      </c>
      <c r="AK65" s="21"/>
      <c r="AL65" s="10">
        <f t="shared" si="175"/>
        <v>40</v>
      </c>
      <c r="AM65" s="24">
        <f t="shared" si="8"/>
        <v>22.308654887741344</v>
      </c>
      <c r="AN65" s="81">
        <f>$H$65*月別販売比率!AB5</f>
        <v>27.872559095580677</v>
      </c>
      <c r="AO65" s="10">
        <f t="shared" ref="AO65:AO73" si="186">K65</f>
        <v>40</v>
      </c>
      <c r="AP65" s="21"/>
      <c r="AQ65" s="10">
        <f t="shared" si="176"/>
        <v>40</v>
      </c>
      <c r="AR65" s="24">
        <f t="shared" si="10"/>
        <v>12.127440904419323</v>
      </c>
      <c r="AS65" s="81">
        <f>$H$65*月別販売比率!AG5</f>
        <v>23.227132579650565</v>
      </c>
      <c r="AT65" s="10">
        <f t="shared" ref="AT65:AT73" si="187">K65</f>
        <v>40</v>
      </c>
      <c r="AU65" s="21"/>
      <c r="AV65" s="10">
        <f t="shared" si="177"/>
        <v>40</v>
      </c>
      <c r="AW65" s="24">
        <f t="shared" si="12"/>
        <v>16.772867420349435</v>
      </c>
      <c r="AX65" s="81">
        <f>$H$65*月別販売比率!AL5</f>
        <v>20.904419321685506</v>
      </c>
      <c r="AY65" s="10">
        <f t="shared" ref="AY65:AY73" si="188">K65</f>
        <v>40</v>
      </c>
      <c r="AZ65" s="21"/>
      <c r="BA65" s="19">
        <f t="shared" ref="BA65:BA73" si="189">K65+AZ65</f>
        <v>40</v>
      </c>
      <c r="BB65" s="24">
        <f t="shared" si="13"/>
        <v>19.095580678314494</v>
      </c>
      <c r="BC65" s="81">
        <f>$H$65*月別販売比率!AQ5</f>
        <v>23.227132579650565</v>
      </c>
      <c r="BD65" s="10">
        <f t="shared" ref="BD65:BD73" si="190">K65</f>
        <v>40</v>
      </c>
      <c r="BE65" s="21"/>
      <c r="BF65" s="19">
        <f t="shared" ref="BF65:BF73" si="191">K65+BE65</f>
        <v>40</v>
      </c>
      <c r="BG65" s="24">
        <f t="shared" si="14"/>
        <v>16.772867420349435</v>
      </c>
      <c r="BH65" s="81">
        <f>$H$65*月別販売比率!AV5</f>
        <v>14.144017330822981</v>
      </c>
      <c r="BI65" s="10">
        <f t="shared" ref="BI65:BI73" si="192">K65</f>
        <v>40</v>
      </c>
      <c r="BJ65" s="21"/>
      <c r="BK65" s="19">
        <f t="shared" ref="BK65:BK73" si="193">K65+BJ65</f>
        <v>40</v>
      </c>
      <c r="BL65" s="24">
        <f t="shared" si="15"/>
        <v>25.855982669177017</v>
      </c>
      <c r="BM65" s="81">
        <f>$H$65*月別販売比率!BA5</f>
        <v>12.919655991100395</v>
      </c>
      <c r="BN65" s="10">
        <f t="shared" ref="BN65:BN73" si="194">K65</f>
        <v>40</v>
      </c>
      <c r="BO65" s="21"/>
      <c r="BP65" s="19">
        <f>K65+BO65</f>
        <v>40</v>
      </c>
      <c r="BQ65" s="24">
        <f t="shared" si="16"/>
        <v>27.080344008899605</v>
      </c>
      <c r="BR65" s="81">
        <f>$H$65*月別販売比率!BF5</f>
        <v>18.58170606372045</v>
      </c>
      <c r="BS65" s="10">
        <f t="shared" ref="BS65:BS73" si="195">K65</f>
        <v>40</v>
      </c>
      <c r="BT65" s="21"/>
      <c r="BU65" s="19">
        <f t="shared" ref="BU65:BU73" si="196">K65+BT65</f>
        <v>40</v>
      </c>
      <c r="BV65" s="24">
        <f t="shared" si="17"/>
        <v>21.41829393627955</v>
      </c>
      <c r="BW65" s="158">
        <f t="shared" si="178"/>
        <v>40</v>
      </c>
      <c r="BX65" s="29">
        <f t="shared" si="179"/>
        <v>-192.27132579650564</v>
      </c>
    </row>
    <row r="66" spans="2:76" ht="30.75" customHeight="1">
      <c r="C66" s="507"/>
      <c r="D66" s="441"/>
      <c r="E66" s="94" t="s">
        <v>51</v>
      </c>
      <c r="F66" s="57">
        <v>204</v>
      </c>
      <c r="G66" s="5">
        <f t="shared" si="151"/>
        <v>807840</v>
      </c>
      <c r="H66" s="7">
        <f t="shared" si="180"/>
        <v>209.66084275436793</v>
      </c>
      <c r="I66" s="5">
        <f t="shared" si="151"/>
        <v>830256.93730729702</v>
      </c>
      <c r="J66" s="9">
        <v>69</v>
      </c>
      <c r="K66" s="21">
        <f t="shared" si="20"/>
        <v>32</v>
      </c>
      <c r="L66" s="21">
        <v>18</v>
      </c>
      <c r="M66" s="21">
        <v>14</v>
      </c>
      <c r="N66" s="95"/>
      <c r="O66" s="81">
        <f>$H$66*月別販売比率!C5</f>
        <v>14.857458610104215</v>
      </c>
      <c r="P66" s="10">
        <f t="shared" si="171"/>
        <v>32</v>
      </c>
      <c r="Q66" s="21"/>
      <c r="R66" s="19">
        <f t="shared" si="181"/>
        <v>32</v>
      </c>
      <c r="S66" s="24">
        <f t="shared" si="22"/>
        <v>17.142541389895783</v>
      </c>
      <c r="T66" s="81">
        <f>$H$66*月別販売比率!H5</f>
        <v>14.676258992805757</v>
      </c>
      <c r="U66" s="10">
        <f t="shared" si="182"/>
        <v>32</v>
      </c>
      <c r="V66" s="21"/>
      <c r="W66" s="19">
        <f t="shared" si="172"/>
        <v>32</v>
      </c>
      <c r="X66" s="24">
        <f t="shared" si="2"/>
        <v>17.323741007194243</v>
      </c>
      <c r="Y66" s="81">
        <f>$H$66*月別販売比率!M5</f>
        <v>21.189098233530746</v>
      </c>
      <c r="Z66" s="10">
        <f t="shared" si="183"/>
        <v>32</v>
      </c>
      <c r="AA66" s="21"/>
      <c r="AB66" s="124">
        <f t="shared" si="173"/>
        <v>32</v>
      </c>
      <c r="AC66" s="24">
        <f t="shared" si="4"/>
        <v>10.810901766469254</v>
      </c>
      <c r="AD66" s="81">
        <f>$H$66*月別販売比率!R5</f>
        <v>16.772867420349435</v>
      </c>
      <c r="AE66" s="10">
        <f t="shared" si="184"/>
        <v>32</v>
      </c>
      <c r="AF66" s="21"/>
      <c r="AG66" s="19">
        <f t="shared" si="174"/>
        <v>32</v>
      </c>
      <c r="AH66" s="24">
        <f t="shared" si="6"/>
        <v>15.227132579650565</v>
      </c>
      <c r="AI66" s="81">
        <f>$H$66*月別販売比率!W5</f>
        <v>15.969178773897195</v>
      </c>
      <c r="AJ66" s="10">
        <f t="shared" si="185"/>
        <v>32</v>
      </c>
      <c r="AK66" s="21"/>
      <c r="AL66" s="10">
        <f t="shared" si="175"/>
        <v>32</v>
      </c>
      <c r="AM66" s="24">
        <f t="shared" si="8"/>
        <v>16.030821226102805</v>
      </c>
      <c r="AN66" s="81">
        <f>$H$66*月別販売比率!AB5</f>
        <v>25.159301130524153</v>
      </c>
      <c r="AO66" s="10">
        <f t="shared" si="186"/>
        <v>32</v>
      </c>
      <c r="AP66" s="21"/>
      <c r="AQ66" s="10">
        <f t="shared" si="176"/>
        <v>32</v>
      </c>
      <c r="AR66" s="24">
        <f t="shared" si="10"/>
        <v>6.8406988694758475</v>
      </c>
      <c r="AS66" s="81">
        <f>$H$66*月別販売比率!AG5</f>
        <v>20.966084275436796</v>
      </c>
      <c r="AT66" s="10">
        <f t="shared" si="187"/>
        <v>32</v>
      </c>
      <c r="AU66" s="21"/>
      <c r="AV66" s="10">
        <f t="shared" si="177"/>
        <v>32</v>
      </c>
      <c r="AW66" s="24">
        <f t="shared" si="12"/>
        <v>11.033915724563204</v>
      </c>
      <c r="AX66" s="81">
        <f>$H$66*月別販売比率!AL5</f>
        <v>18.869475847893113</v>
      </c>
      <c r="AY66" s="10">
        <f t="shared" si="188"/>
        <v>32</v>
      </c>
      <c r="AZ66" s="21"/>
      <c r="BA66" s="19">
        <f t="shared" si="189"/>
        <v>32</v>
      </c>
      <c r="BB66" s="24">
        <f t="shared" si="13"/>
        <v>13.130524152106887</v>
      </c>
      <c r="BC66" s="81">
        <f>$H$66*月別販売比率!AQ5</f>
        <v>20.966084275436796</v>
      </c>
      <c r="BD66" s="10">
        <f t="shared" si="190"/>
        <v>32</v>
      </c>
      <c r="BE66" s="21"/>
      <c r="BF66" s="19">
        <f t="shared" si="191"/>
        <v>32</v>
      </c>
      <c r="BG66" s="24">
        <f t="shared" si="14"/>
        <v>11.033915724563204</v>
      </c>
      <c r="BH66" s="81">
        <f>$H$66*月別販売比率!AV5</f>
        <v>12.767166086229594</v>
      </c>
      <c r="BI66" s="10">
        <f t="shared" si="192"/>
        <v>32</v>
      </c>
      <c r="BJ66" s="21"/>
      <c r="BK66" s="19">
        <f t="shared" si="193"/>
        <v>32</v>
      </c>
      <c r="BL66" s="24">
        <f t="shared" si="15"/>
        <v>19.232833913770406</v>
      </c>
      <c r="BM66" s="81">
        <f>$H$66*月別販売比率!BA5</f>
        <v>11.661990363648146</v>
      </c>
      <c r="BN66" s="10">
        <f t="shared" si="194"/>
        <v>32</v>
      </c>
      <c r="BO66" s="21"/>
      <c r="BP66" s="19">
        <f t="shared" ref="BP66:BP73" si="197">K66+BO66</f>
        <v>32</v>
      </c>
      <c r="BQ66" s="24">
        <f t="shared" si="16"/>
        <v>20.338009636351856</v>
      </c>
      <c r="BR66" s="81">
        <f>$H$66*月別販売比率!BF5</f>
        <v>16.772867420349435</v>
      </c>
      <c r="BS66" s="10">
        <f t="shared" si="195"/>
        <v>32</v>
      </c>
      <c r="BT66" s="21"/>
      <c r="BU66" s="19">
        <f t="shared" si="196"/>
        <v>32</v>
      </c>
      <c r="BV66" s="24">
        <f t="shared" si="17"/>
        <v>15.227132579650565</v>
      </c>
      <c r="BW66" s="158">
        <f t="shared" si="178"/>
        <v>32</v>
      </c>
      <c r="BX66" s="29">
        <f t="shared" si="179"/>
        <v>-177.66084275436793</v>
      </c>
    </row>
    <row r="67" spans="2:76" ht="30.75" customHeight="1">
      <c r="C67" s="507"/>
      <c r="D67" s="441"/>
      <c r="E67" s="94" t="s">
        <v>49</v>
      </c>
      <c r="F67" s="57">
        <v>89</v>
      </c>
      <c r="G67" s="5">
        <f t="shared" si="151"/>
        <v>352440</v>
      </c>
      <c r="H67" s="7">
        <f t="shared" si="180"/>
        <v>91.469681397738952</v>
      </c>
      <c r="I67" s="5">
        <f t="shared" si="151"/>
        <v>362219.93833504623</v>
      </c>
      <c r="J67" s="9">
        <v>0</v>
      </c>
      <c r="K67" s="21">
        <f t="shared" si="20"/>
        <v>37</v>
      </c>
      <c r="L67" s="21">
        <v>20</v>
      </c>
      <c r="M67" s="21">
        <v>17</v>
      </c>
      <c r="N67" s="95"/>
      <c r="O67" s="81">
        <f>$H$67*月別販売比率!C5</f>
        <v>6.4819304720552706</v>
      </c>
      <c r="P67" s="10">
        <f t="shared" si="171"/>
        <v>37</v>
      </c>
      <c r="Q67" s="21"/>
      <c r="R67" s="19">
        <f t="shared" si="181"/>
        <v>37</v>
      </c>
      <c r="S67" s="24">
        <f t="shared" si="22"/>
        <v>30.518069527944728</v>
      </c>
      <c r="T67" s="81">
        <f>$H$67*月別販売比率!H5</f>
        <v>6.4028776978417277</v>
      </c>
      <c r="U67" s="10">
        <f t="shared" si="182"/>
        <v>37</v>
      </c>
      <c r="V67" s="21"/>
      <c r="W67" s="19">
        <f t="shared" si="172"/>
        <v>37</v>
      </c>
      <c r="X67" s="24">
        <f t="shared" si="2"/>
        <v>30.597122302158272</v>
      </c>
      <c r="Y67" s="81">
        <f>$H$67*月別販売比率!M5</f>
        <v>9.244263445020767</v>
      </c>
      <c r="Z67" s="10">
        <f t="shared" si="183"/>
        <v>37</v>
      </c>
      <c r="AA67" s="21"/>
      <c r="AB67" s="124">
        <f t="shared" si="173"/>
        <v>37</v>
      </c>
      <c r="AC67" s="24">
        <f t="shared" si="4"/>
        <v>27.755736554979233</v>
      </c>
      <c r="AD67" s="81">
        <f>$H$67*月別販売比率!R5</f>
        <v>7.3175745118191164</v>
      </c>
      <c r="AE67" s="10">
        <f t="shared" si="184"/>
        <v>37</v>
      </c>
      <c r="AF67" s="21"/>
      <c r="AG67" s="19">
        <f t="shared" si="174"/>
        <v>37</v>
      </c>
      <c r="AH67" s="24">
        <f t="shared" si="6"/>
        <v>29.682425488180883</v>
      </c>
      <c r="AI67" s="81">
        <f>$H$67*月別販売比率!W5</f>
        <v>6.9669456415531883</v>
      </c>
      <c r="AJ67" s="10">
        <f t="shared" si="185"/>
        <v>37</v>
      </c>
      <c r="AK67" s="21"/>
      <c r="AL67" s="10">
        <f t="shared" si="175"/>
        <v>37</v>
      </c>
      <c r="AM67" s="24">
        <f t="shared" si="8"/>
        <v>30.033054358446812</v>
      </c>
      <c r="AN67" s="81">
        <f>$H$67*月別販売比率!AB5</f>
        <v>10.976361767728674</v>
      </c>
      <c r="AO67" s="10">
        <f t="shared" si="186"/>
        <v>37</v>
      </c>
      <c r="AP67" s="21"/>
      <c r="AQ67" s="10">
        <f t="shared" si="176"/>
        <v>37</v>
      </c>
      <c r="AR67" s="24">
        <f t="shared" si="10"/>
        <v>26.023638232271324</v>
      </c>
      <c r="AS67" s="81">
        <f>$H$67*月別販売比率!AG5</f>
        <v>9.1469681397738949</v>
      </c>
      <c r="AT67" s="10">
        <f t="shared" si="187"/>
        <v>37</v>
      </c>
      <c r="AU67" s="21"/>
      <c r="AV67" s="10">
        <f t="shared" si="177"/>
        <v>37</v>
      </c>
      <c r="AW67" s="24">
        <f t="shared" si="12"/>
        <v>27.853031860226103</v>
      </c>
      <c r="AX67" s="81">
        <f>$H$67*月別販売比率!AL5</f>
        <v>8.2322713257965052</v>
      </c>
      <c r="AY67" s="10">
        <f t="shared" si="188"/>
        <v>37</v>
      </c>
      <c r="AZ67" s="21"/>
      <c r="BA67" s="19">
        <f t="shared" si="189"/>
        <v>37</v>
      </c>
      <c r="BB67" s="24">
        <f t="shared" si="13"/>
        <v>28.767728674203497</v>
      </c>
      <c r="BC67" s="81">
        <f>$H$67*月別販売比率!AQ5</f>
        <v>9.1469681397738949</v>
      </c>
      <c r="BD67" s="10">
        <f t="shared" si="190"/>
        <v>37</v>
      </c>
      <c r="BE67" s="21"/>
      <c r="BF67" s="19">
        <f t="shared" si="191"/>
        <v>37</v>
      </c>
      <c r="BG67" s="24">
        <f t="shared" si="14"/>
        <v>27.853031860226103</v>
      </c>
      <c r="BH67" s="81">
        <f>$H$67*月別販売比率!AV5</f>
        <v>5.5699891258550682</v>
      </c>
      <c r="BI67" s="10">
        <f t="shared" si="192"/>
        <v>37</v>
      </c>
      <c r="BJ67" s="21"/>
      <c r="BK67" s="19">
        <f t="shared" si="193"/>
        <v>37</v>
      </c>
      <c r="BL67" s="24">
        <f t="shared" si="15"/>
        <v>31.430010874144934</v>
      </c>
      <c r="BM67" s="81">
        <f>$H$67*月別販売比率!BA5</f>
        <v>5.0878291292386519</v>
      </c>
      <c r="BN67" s="10">
        <f t="shared" si="194"/>
        <v>37</v>
      </c>
      <c r="BO67" s="21"/>
      <c r="BP67" s="19">
        <f t="shared" si="197"/>
        <v>37</v>
      </c>
      <c r="BQ67" s="24">
        <f t="shared" si="16"/>
        <v>31.912170870761347</v>
      </c>
      <c r="BR67" s="81">
        <f>$H$67*月別販売比率!BF5</f>
        <v>7.3175745118191164</v>
      </c>
      <c r="BS67" s="10">
        <f t="shared" si="195"/>
        <v>37</v>
      </c>
      <c r="BT67" s="21"/>
      <c r="BU67" s="19">
        <f t="shared" si="196"/>
        <v>37</v>
      </c>
      <c r="BV67" s="24">
        <f t="shared" si="17"/>
        <v>29.682425488180883</v>
      </c>
      <c r="BW67" s="158">
        <f t="shared" si="178"/>
        <v>37</v>
      </c>
      <c r="BX67" s="29">
        <f t="shared" si="179"/>
        <v>-54.469681397738952</v>
      </c>
    </row>
    <row r="68" spans="2:76" ht="30.75" customHeight="1">
      <c r="C68" s="507"/>
      <c r="D68" s="442"/>
      <c r="E68" s="94" t="s">
        <v>50</v>
      </c>
      <c r="F68" s="57">
        <v>50</v>
      </c>
      <c r="G68" s="5">
        <f t="shared" si="151"/>
        <v>198000</v>
      </c>
      <c r="H68" s="7">
        <f t="shared" si="180"/>
        <v>51.387461459403902</v>
      </c>
      <c r="I68" s="5">
        <f t="shared" si="151"/>
        <v>203494.34737923945</v>
      </c>
      <c r="J68" s="9">
        <v>42</v>
      </c>
      <c r="K68" s="21">
        <f t="shared" si="20"/>
        <v>34</v>
      </c>
      <c r="L68" s="21">
        <v>19</v>
      </c>
      <c r="M68" s="21">
        <v>15</v>
      </c>
      <c r="N68" s="95"/>
      <c r="O68" s="81">
        <f>$H$68*月別販売比率!C5</f>
        <v>3.6415339730647585</v>
      </c>
      <c r="P68" s="10">
        <f t="shared" si="171"/>
        <v>34</v>
      </c>
      <c r="Q68" s="21"/>
      <c r="R68" s="19">
        <f t="shared" si="181"/>
        <v>34</v>
      </c>
      <c r="S68" s="24">
        <f t="shared" si="22"/>
        <v>30.35846602693524</v>
      </c>
      <c r="T68" s="81">
        <f>$H$68*月別販売比率!H5</f>
        <v>3.5971223021582737</v>
      </c>
      <c r="U68" s="10">
        <f t="shared" si="182"/>
        <v>34</v>
      </c>
      <c r="V68" s="21"/>
      <c r="W68" s="19">
        <f t="shared" si="172"/>
        <v>34</v>
      </c>
      <c r="X68" s="24">
        <f t="shared" si="2"/>
        <v>30.402877697841728</v>
      </c>
      <c r="Y68" s="81">
        <f>$H$68*月別販売比率!M5</f>
        <v>5.1934064297869469</v>
      </c>
      <c r="Z68" s="10">
        <f t="shared" si="183"/>
        <v>34</v>
      </c>
      <c r="AA68" s="21"/>
      <c r="AB68" s="124">
        <f t="shared" si="173"/>
        <v>34</v>
      </c>
      <c r="AC68" s="24">
        <f t="shared" si="4"/>
        <v>28.806593570213053</v>
      </c>
      <c r="AD68" s="81">
        <f>$H$68*月別販売比率!R5</f>
        <v>4.1109969167523124</v>
      </c>
      <c r="AE68" s="10">
        <f t="shared" si="184"/>
        <v>34</v>
      </c>
      <c r="AF68" s="21"/>
      <c r="AG68" s="19">
        <f t="shared" si="174"/>
        <v>34</v>
      </c>
      <c r="AH68" s="24">
        <f t="shared" si="6"/>
        <v>29.889003083247687</v>
      </c>
      <c r="AI68" s="81">
        <f>$H$68*月別販売比率!W5</f>
        <v>3.914014405366959</v>
      </c>
      <c r="AJ68" s="10">
        <f t="shared" si="185"/>
        <v>34</v>
      </c>
      <c r="AK68" s="21"/>
      <c r="AL68" s="10">
        <f t="shared" si="175"/>
        <v>34</v>
      </c>
      <c r="AM68" s="24">
        <f t="shared" si="8"/>
        <v>30.085985594633041</v>
      </c>
      <c r="AN68" s="81">
        <f>$H$68*月別販売比率!AB5</f>
        <v>6.1664953751284681</v>
      </c>
      <c r="AO68" s="10">
        <f t="shared" si="186"/>
        <v>34</v>
      </c>
      <c r="AP68" s="21"/>
      <c r="AQ68" s="10">
        <f t="shared" si="176"/>
        <v>34</v>
      </c>
      <c r="AR68" s="24">
        <f t="shared" si="10"/>
        <v>27.83350462487153</v>
      </c>
      <c r="AS68" s="81">
        <f>$H$68*月別販売比率!AG5</f>
        <v>5.1387461459403907</v>
      </c>
      <c r="AT68" s="10">
        <f t="shared" si="187"/>
        <v>34</v>
      </c>
      <c r="AU68" s="21"/>
      <c r="AV68" s="10">
        <f t="shared" si="177"/>
        <v>34</v>
      </c>
      <c r="AW68" s="24">
        <f t="shared" si="12"/>
        <v>28.861253854059608</v>
      </c>
      <c r="AX68" s="81">
        <f>$H$68*月別販売比率!AL5</f>
        <v>4.6248715313463507</v>
      </c>
      <c r="AY68" s="10">
        <f t="shared" si="188"/>
        <v>34</v>
      </c>
      <c r="AZ68" s="21"/>
      <c r="BA68" s="19">
        <f t="shared" si="189"/>
        <v>34</v>
      </c>
      <c r="BB68" s="24">
        <f t="shared" si="13"/>
        <v>29.375128468653649</v>
      </c>
      <c r="BC68" s="81">
        <f>$H$68*月別販売比率!AQ5</f>
        <v>5.1387461459403907</v>
      </c>
      <c r="BD68" s="10">
        <f t="shared" si="190"/>
        <v>34</v>
      </c>
      <c r="BE68" s="21"/>
      <c r="BF68" s="19">
        <f t="shared" si="191"/>
        <v>34</v>
      </c>
      <c r="BG68" s="24">
        <f t="shared" si="14"/>
        <v>28.861253854059608</v>
      </c>
      <c r="BH68" s="81">
        <f>$H$68*月別販売比率!AV5</f>
        <v>3.1292073740758806</v>
      </c>
      <c r="BI68" s="10">
        <f t="shared" si="192"/>
        <v>34</v>
      </c>
      <c r="BJ68" s="21"/>
      <c r="BK68" s="19">
        <f t="shared" si="193"/>
        <v>34</v>
      </c>
      <c r="BL68" s="24">
        <f t="shared" si="15"/>
        <v>30.870792625924118</v>
      </c>
      <c r="BM68" s="81">
        <f>$H$68*月別販売比率!BA5</f>
        <v>2.8583309714823883</v>
      </c>
      <c r="BN68" s="10">
        <f t="shared" si="194"/>
        <v>34</v>
      </c>
      <c r="BO68" s="21"/>
      <c r="BP68" s="19">
        <f t="shared" si="197"/>
        <v>34</v>
      </c>
      <c r="BQ68" s="24">
        <f t="shared" si="16"/>
        <v>31.141669028517612</v>
      </c>
      <c r="BR68" s="81">
        <f>$H$68*月別販売比率!BF5</f>
        <v>4.1109969167523124</v>
      </c>
      <c r="BS68" s="10">
        <f t="shared" si="195"/>
        <v>34</v>
      </c>
      <c r="BT68" s="21"/>
      <c r="BU68" s="19">
        <f t="shared" si="196"/>
        <v>34</v>
      </c>
      <c r="BV68" s="24">
        <f t="shared" si="17"/>
        <v>29.889003083247687</v>
      </c>
      <c r="BW68" s="158">
        <f t="shared" si="178"/>
        <v>34</v>
      </c>
      <c r="BX68" s="29">
        <f t="shared" si="179"/>
        <v>-17.387461459403902</v>
      </c>
    </row>
    <row r="69" spans="2:76" ht="30.75" customHeight="1">
      <c r="C69" s="507"/>
      <c r="D69" s="443">
        <v>2</v>
      </c>
      <c r="E69" s="94" t="s">
        <v>46</v>
      </c>
      <c r="F69" s="57">
        <v>56</v>
      </c>
      <c r="G69" s="5">
        <f t="shared" si="151"/>
        <v>221760</v>
      </c>
      <c r="H69" s="7">
        <f t="shared" si="180"/>
        <v>57.553956834532372</v>
      </c>
      <c r="I69" s="5">
        <f t="shared" si="151"/>
        <v>227913.66906474819</v>
      </c>
      <c r="J69" s="9">
        <v>0</v>
      </c>
      <c r="K69" s="21">
        <f t="shared" si="20"/>
        <v>41</v>
      </c>
      <c r="L69" s="21">
        <v>25</v>
      </c>
      <c r="M69" s="21">
        <v>16</v>
      </c>
      <c r="N69" s="95"/>
      <c r="O69" s="81">
        <f>$H$69*月別販売比率!C5</f>
        <v>4.0785180498325291</v>
      </c>
      <c r="P69" s="10">
        <f t="shared" si="171"/>
        <v>41</v>
      </c>
      <c r="Q69" s="21"/>
      <c r="R69" s="19">
        <f t="shared" si="181"/>
        <v>41</v>
      </c>
      <c r="S69" s="24">
        <f t="shared" si="22"/>
        <v>36.921481950167468</v>
      </c>
      <c r="T69" s="81">
        <f>$H$69*月別販売比率!H5</f>
        <v>4.028776978417266</v>
      </c>
      <c r="U69" s="10">
        <f t="shared" si="182"/>
        <v>41</v>
      </c>
      <c r="V69" s="21"/>
      <c r="W69" s="19">
        <f t="shared" si="172"/>
        <v>41</v>
      </c>
      <c r="X69" s="24">
        <f t="shared" si="2"/>
        <v>36.97122302158273</v>
      </c>
      <c r="Y69" s="81">
        <f>$H$69*月別販売比率!M5</f>
        <v>5.8166152013613814</v>
      </c>
      <c r="Z69" s="10">
        <f t="shared" si="183"/>
        <v>41</v>
      </c>
      <c r="AA69" s="21"/>
      <c r="AB69" s="124">
        <f t="shared" si="173"/>
        <v>41</v>
      </c>
      <c r="AC69" s="24">
        <f t="shared" si="4"/>
        <v>35.18338479863862</v>
      </c>
      <c r="AD69" s="81">
        <f>$H$69*月別販売比率!R5</f>
        <v>4.6043165467625897</v>
      </c>
      <c r="AE69" s="10">
        <f t="shared" si="184"/>
        <v>41</v>
      </c>
      <c r="AF69" s="21"/>
      <c r="AG69" s="19">
        <f t="shared" si="174"/>
        <v>41</v>
      </c>
      <c r="AH69" s="24">
        <f t="shared" si="6"/>
        <v>36.39568345323741</v>
      </c>
      <c r="AI69" s="81">
        <f>$H$69*月別販売比率!W5</f>
        <v>4.3836961340109948</v>
      </c>
      <c r="AJ69" s="10">
        <f t="shared" si="185"/>
        <v>41</v>
      </c>
      <c r="AK69" s="21"/>
      <c r="AL69" s="10">
        <f t="shared" si="175"/>
        <v>41</v>
      </c>
      <c r="AM69" s="24">
        <f t="shared" si="8"/>
        <v>36.616303865989003</v>
      </c>
      <c r="AN69" s="81">
        <f>$H$69*月別販売比率!AB5</f>
        <v>6.9064748201438846</v>
      </c>
      <c r="AO69" s="10">
        <f t="shared" si="186"/>
        <v>41</v>
      </c>
      <c r="AP69" s="21"/>
      <c r="AQ69" s="10">
        <f t="shared" si="176"/>
        <v>41</v>
      </c>
      <c r="AR69" s="24">
        <f t="shared" si="10"/>
        <v>34.093525179856115</v>
      </c>
      <c r="AS69" s="81">
        <f>$H$69*月別販売比率!AG5</f>
        <v>5.7553956834532372</v>
      </c>
      <c r="AT69" s="10">
        <f t="shared" si="187"/>
        <v>41</v>
      </c>
      <c r="AU69" s="21"/>
      <c r="AV69" s="10">
        <f t="shared" si="177"/>
        <v>41</v>
      </c>
      <c r="AW69" s="24">
        <f t="shared" si="12"/>
        <v>35.244604316546763</v>
      </c>
      <c r="AX69" s="81">
        <f>$H$69*月別販売比率!AL5</f>
        <v>5.1798561151079134</v>
      </c>
      <c r="AY69" s="10">
        <f t="shared" si="188"/>
        <v>41</v>
      </c>
      <c r="AZ69" s="21"/>
      <c r="BA69" s="19">
        <f t="shared" si="189"/>
        <v>41</v>
      </c>
      <c r="BB69" s="24">
        <f t="shared" si="13"/>
        <v>35.82014388489209</v>
      </c>
      <c r="BC69" s="81">
        <f>$H$69*月別販売比率!AQ5</f>
        <v>5.7553956834532372</v>
      </c>
      <c r="BD69" s="10">
        <f t="shared" si="190"/>
        <v>41</v>
      </c>
      <c r="BE69" s="21"/>
      <c r="BF69" s="19">
        <f t="shared" si="191"/>
        <v>41</v>
      </c>
      <c r="BG69" s="24">
        <f t="shared" si="14"/>
        <v>35.244604316546763</v>
      </c>
      <c r="BH69" s="81">
        <f>$H$69*月別販売比率!AV5</f>
        <v>3.5047122589649864</v>
      </c>
      <c r="BI69" s="10">
        <f t="shared" si="192"/>
        <v>41</v>
      </c>
      <c r="BJ69" s="21"/>
      <c r="BK69" s="19">
        <f t="shared" si="193"/>
        <v>41</v>
      </c>
      <c r="BL69" s="24">
        <f t="shared" si="15"/>
        <v>37.495287741035014</v>
      </c>
      <c r="BM69" s="81">
        <f>$H$69*月別販売比率!BA5</f>
        <v>3.201330688060275</v>
      </c>
      <c r="BN69" s="10">
        <f t="shared" si="194"/>
        <v>41</v>
      </c>
      <c r="BO69" s="21"/>
      <c r="BP69" s="19">
        <f t="shared" si="197"/>
        <v>41</v>
      </c>
      <c r="BQ69" s="24">
        <f t="shared" si="16"/>
        <v>37.798669311939726</v>
      </c>
      <c r="BR69" s="81">
        <f>$H$69*月別販売比率!BF5</f>
        <v>4.6043165467625897</v>
      </c>
      <c r="BS69" s="10">
        <f t="shared" si="195"/>
        <v>41</v>
      </c>
      <c r="BT69" s="21"/>
      <c r="BU69" s="19">
        <f t="shared" si="196"/>
        <v>41</v>
      </c>
      <c r="BV69" s="24">
        <f t="shared" si="17"/>
        <v>36.39568345323741</v>
      </c>
      <c r="BW69" s="158">
        <f t="shared" si="178"/>
        <v>41</v>
      </c>
      <c r="BX69" s="29">
        <f t="shared" si="179"/>
        <v>-16.553956834532372</v>
      </c>
    </row>
    <row r="70" spans="2:76" ht="30.75" customHeight="1">
      <c r="C70" s="507"/>
      <c r="D70" s="441"/>
      <c r="E70" s="94" t="s">
        <v>47</v>
      </c>
      <c r="F70" s="57">
        <v>88</v>
      </c>
      <c r="G70" s="5">
        <f t="shared" si="151"/>
        <v>348480</v>
      </c>
      <c r="H70" s="7">
        <f t="shared" si="180"/>
        <v>90.441932168550878</v>
      </c>
      <c r="I70" s="5">
        <f t="shared" si="151"/>
        <v>358150.05138746148</v>
      </c>
      <c r="J70" s="9">
        <v>1</v>
      </c>
      <c r="K70" s="21">
        <f t="shared" si="20"/>
        <v>35</v>
      </c>
      <c r="L70" s="21">
        <v>20</v>
      </c>
      <c r="M70" s="21">
        <v>15</v>
      </c>
      <c r="N70" s="95"/>
      <c r="O70" s="81">
        <f>$H$70*月別販売比率!C5</f>
        <v>6.4090997925939757</v>
      </c>
      <c r="P70" s="10">
        <f t="shared" si="171"/>
        <v>35</v>
      </c>
      <c r="Q70" s="21"/>
      <c r="R70" s="19">
        <f t="shared" si="181"/>
        <v>35</v>
      </c>
      <c r="S70" s="24">
        <f t="shared" si="22"/>
        <v>28.590900207406023</v>
      </c>
      <c r="T70" s="81">
        <f>$H$70*月別販売比率!H5</f>
        <v>6.3309352517985618</v>
      </c>
      <c r="U70" s="10">
        <f t="shared" si="182"/>
        <v>35</v>
      </c>
      <c r="V70" s="21"/>
      <c r="W70" s="19">
        <f t="shared" si="172"/>
        <v>35</v>
      </c>
      <c r="X70" s="24">
        <f t="shared" si="2"/>
        <v>28.669064748201439</v>
      </c>
      <c r="Y70" s="81">
        <f>$H$70*月別販売比率!M5</f>
        <v>9.1403953164250282</v>
      </c>
      <c r="Z70" s="10">
        <f t="shared" si="183"/>
        <v>35</v>
      </c>
      <c r="AA70" s="21"/>
      <c r="AB70" s="124">
        <f t="shared" si="173"/>
        <v>35</v>
      </c>
      <c r="AC70" s="24">
        <f t="shared" si="4"/>
        <v>25.859604683574972</v>
      </c>
      <c r="AD70" s="81">
        <f>$H$70*月別販売比率!R5</f>
        <v>7.2353545734840701</v>
      </c>
      <c r="AE70" s="10">
        <f t="shared" si="184"/>
        <v>35</v>
      </c>
      <c r="AF70" s="21"/>
      <c r="AG70" s="19">
        <f t="shared" si="174"/>
        <v>35</v>
      </c>
      <c r="AH70" s="24">
        <f t="shared" si="6"/>
        <v>27.76464542651593</v>
      </c>
      <c r="AI70" s="81">
        <f>$H$70*月別販売比率!W5</f>
        <v>6.8886653534458491</v>
      </c>
      <c r="AJ70" s="10">
        <f t="shared" si="185"/>
        <v>35</v>
      </c>
      <c r="AK70" s="21"/>
      <c r="AL70" s="10">
        <f t="shared" si="175"/>
        <v>35</v>
      </c>
      <c r="AM70" s="24">
        <f t="shared" si="8"/>
        <v>28.111334646554152</v>
      </c>
      <c r="AN70" s="81">
        <f>$H$70*月別販売比率!AB5</f>
        <v>10.853031860226105</v>
      </c>
      <c r="AO70" s="10">
        <f t="shared" si="186"/>
        <v>35</v>
      </c>
      <c r="AP70" s="21"/>
      <c r="AQ70" s="10">
        <f t="shared" si="176"/>
        <v>35</v>
      </c>
      <c r="AR70" s="24">
        <f t="shared" si="10"/>
        <v>24.146968139773897</v>
      </c>
      <c r="AS70" s="81">
        <f>$H$70*月別販売比率!AG5</f>
        <v>9.0441932168550885</v>
      </c>
      <c r="AT70" s="10">
        <f t="shared" si="187"/>
        <v>35</v>
      </c>
      <c r="AU70" s="21"/>
      <c r="AV70" s="10">
        <f t="shared" si="177"/>
        <v>35</v>
      </c>
      <c r="AW70" s="24">
        <f t="shared" si="12"/>
        <v>25.955806783144912</v>
      </c>
      <c r="AX70" s="81">
        <f>$H$70*月別販売比率!AL5</f>
        <v>8.1397738951695793</v>
      </c>
      <c r="AY70" s="10">
        <f t="shared" si="188"/>
        <v>35</v>
      </c>
      <c r="AZ70" s="21"/>
      <c r="BA70" s="19">
        <f t="shared" si="189"/>
        <v>35</v>
      </c>
      <c r="BB70" s="24">
        <f t="shared" si="13"/>
        <v>26.860226104830421</v>
      </c>
      <c r="BC70" s="81">
        <f>$H$70*月別販売比率!AQ5</f>
        <v>9.0441932168550885</v>
      </c>
      <c r="BD70" s="10">
        <f t="shared" si="190"/>
        <v>35</v>
      </c>
      <c r="BE70" s="21"/>
      <c r="BF70" s="19">
        <f t="shared" si="191"/>
        <v>35</v>
      </c>
      <c r="BG70" s="24">
        <f t="shared" si="14"/>
        <v>25.955806783144912</v>
      </c>
      <c r="BH70" s="81">
        <f>$H$70*月別販売比率!AV5</f>
        <v>5.5074049783735504</v>
      </c>
      <c r="BI70" s="10">
        <f t="shared" si="192"/>
        <v>35</v>
      </c>
      <c r="BJ70" s="21"/>
      <c r="BK70" s="19">
        <f t="shared" si="193"/>
        <v>35</v>
      </c>
      <c r="BL70" s="24">
        <f t="shared" si="15"/>
        <v>29.49259502162645</v>
      </c>
      <c r="BM70" s="81">
        <f>$H$70*月別販売比率!BA5</f>
        <v>5.0306625098090043</v>
      </c>
      <c r="BN70" s="10">
        <f t="shared" si="194"/>
        <v>35</v>
      </c>
      <c r="BO70" s="21"/>
      <c r="BP70" s="19">
        <f t="shared" si="197"/>
        <v>35</v>
      </c>
      <c r="BQ70" s="24">
        <f t="shared" si="16"/>
        <v>29.969337490190995</v>
      </c>
      <c r="BR70" s="81">
        <f>$H$70*月別販売比率!BF5</f>
        <v>7.2353545734840701</v>
      </c>
      <c r="BS70" s="10">
        <f t="shared" si="195"/>
        <v>35</v>
      </c>
      <c r="BT70" s="21"/>
      <c r="BU70" s="19">
        <f t="shared" si="196"/>
        <v>35</v>
      </c>
      <c r="BV70" s="24">
        <f t="shared" si="17"/>
        <v>27.76464542651593</v>
      </c>
      <c r="BW70" s="158">
        <f t="shared" si="178"/>
        <v>35</v>
      </c>
      <c r="BX70" s="29">
        <f t="shared" si="179"/>
        <v>-55.441932168550878</v>
      </c>
    </row>
    <row r="71" spans="2:76" ht="30.75" customHeight="1">
      <c r="C71" s="507"/>
      <c r="D71" s="441"/>
      <c r="E71" s="94" t="s">
        <v>51</v>
      </c>
      <c r="F71" s="57">
        <v>66</v>
      </c>
      <c r="G71" s="5">
        <f t="shared" si="151"/>
        <v>261360</v>
      </c>
      <c r="H71" s="7">
        <f t="shared" si="180"/>
        <v>67.831449126413148</v>
      </c>
      <c r="I71" s="5">
        <f t="shared" si="151"/>
        <v>268612.53854059608</v>
      </c>
      <c r="J71" s="9">
        <v>0</v>
      </c>
      <c r="K71" s="21">
        <f t="shared" si="20"/>
        <v>35</v>
      </c>
      <c r="L71" s="21">
        <v>18</v>
      </c>
      <c r="M71" s="21">
        <v>17</v>
      </c>
      <c r="N71" s="95"/>
      <c r="O71" s="81">
        <f>$H$71*月別販売比率!C5</f>
        <v>4.8068248444454804</v>
      </c>
      <c r="P71" s="10">
        <f t="shared" si="171"/>
        <v>35</v>
      </c>
      <c r="Q71" s="21"/>
      <c r="R71" s="19">
        <f t="shared" si="181"/>
        <v>35</v>
      </c>
      <c r="S71" s="24">
        <f t="shared" si="22"/>
        <v>30.19317515555452</v>
      </c>
      <c r="T71" s="81">
        <f>$H$71*月別販売比率!H5</f>
        <v>4.7482014388489207</v>
      </c>
      <c r="U71" s="10">
        <f t="shared" si="182"/>
        <v>35</v>
      </c>
      <c r="V71" s="21"/>
      <c r="W71" s="19">
        <f t="shared" si="172"/>
        <v>35</v>
      </c>
      <c r="X71" s="24">
        <f t="shared" si="2"/>
        <v>30.25179856115108</v>
      </c>
      <c r="Y71" s="81">
        <f>$H$71*月別販売比率!M5</f>
        <v>6.8552964873187703</v>
      </c>
      <c r="Z71" s="10">
        <f t="shared" si="183"/>
        <v>35</v>
      </c>
      <c r="AA71" s="21"/>
      <c r="AB71" s="124">
        <f t="shared" si="173"/>
        <v>35</v>
      </c>
      <c r="AC71" s="24">
        <f t="shared" si="4"/>
        <v>28.144703512681229</v>
      </c>
      <c r="AD71" s="81">
        <f>$H$71*月別販売比率!R5</f>
        <v>5.4265159301130517</v>
      </c>
      <c r="AE71" s="10">
        <f t="shared" si="184"/>
        <v>35</v>
      </c>
      <c r="AF71" s="21"/>
      <c r="AG71" s="19">
        <f t="shared" si="174"/>
        <v>35</v>
      </c>
      <c r="AH71" s="24">
        <f t="shared" si="6"/>
        <v>29.573484069886948</v>
      </c>
      <c r="AI71" s="81">
        <f>$H$71*月別販売比率!W5</f>
        <v>5.1664990150843861</v>
      </c>
      <c r="AJ71" s="10">
        <f t="shared" si="185"/>
        <v>35</v>
      </c>
      <c r="AK71" s="21"/>
      <c r="AL71" s="10">
        <f t="shared" si="175"/>
        <v>35</v>
      </c>
      <c r="AM71" s="24">
        <f t="shared" si="8"/>
        <v>29.833500984915613</v>
      </c>
      <c r="AN71" s="81">
        <f>$H$71*月別販売比率!AB5</f>
        <v>8.1397738951695775</v>
      </c>
      <c r="AO71" s="10">
        <f t="shared" si="186"/>
        <v>35</v>
      </c>
      <c r="AP71" s="21"/>
      <c r="AQ71" s="10">
        <f t="shared" si="176"/>
        <v>35</v>
      </c>
      <c r="AR71" s="24">
        <f t="shared" si="10"/>
        <v>26.860226104830424</v>
      </c>
      <c r="AS71" s="81">
        <f>$H$71*月別販売比率!AG5</f>
        <v>6.7831449126413155</v>
      </c>
      <c r="AT71" s="10">
        <f t="shared" si="187"/>
        <v>35</v>
      </c>
      <c r="AU71" s="21"/>
      <c r="AV71" s="10">
        <f t="shared" si="177"/>
        <v>35</v>
      </c>
      <c r="AW71" s="24">
        <f t="shared" si="12"/>
        <v>28.216855087358685</v>
      </c>
      <c r="AX71" s="81">
        <f>$H$71*月別販売比率!AL5</f>
        <v>6.1048304213771827</v>
      </c>
      <c r="AY71" s="10">
        <f t="shared" si="188"/>
        <v>35</v>
      </c>
      <c r="AZ71" s="21"/>
      <c r="BA71" s="19">
        <f t="shared" si="189"/>
        <v>35</v>
      </c>
      <c r="BB71" s="24">
        <f t="shared" si="13"/>
        <v>28.895169578622816</v>
      </c>
      <c r="BC71" s="81">
        <f>$H$71*月別販売比率!AQ5</f>
        <v>6.7831449126413155</v>
      </c>
      <c r="BD71" s="10">
        <f t="shared" si="190"/>
        <v>35</v>
      </c>
      <c r="BE71" s="21"/>
      <c r="BF71" s="19">
        <f t="shared" si="191"/>
        <v>35</v>
      </c>
      <c r="BG71" s="24">
        <f t="shared" si="14"/>
        <v>28.216855087358685</v>
      </c>
      <c r="BH71" s="81">
        <f>$H$71*月別販売比率!AV5</f>
        <v>4.1305537337801628</v>
      </c>
      <c r="BI71" s="10">
        <f t="shared" si="192"/>
        <v>35</v>
      </c>
      <c r="BJ71" s="21"/>
      <c r="BK71" s="19">
        <f t="shared" si="193"/>
        <v>35</v>
      </c>
      <c r="BL71" s="24">
        <f t="shared" si="15"/>
        <v>30.869446266219839</v>
      </c>
      <c r="BM71" s="81">
        <f>$H$71*月別販売比率!BA5</f>
        <v>3.7729968823567526</v>
      </c>
      <c r="BN71" s="10">
        <f t="shared" si="194"/>
        <v>35</v>
      </c>
      <c r="BO71" s="21"/>
      <c r="BP71" s="19">
        <f t="shared" si="197"/>
        <v>35</v>
      </c>
      <c r="BQ71" s="24">
        <f t="shared" si="16"/>
        <v>31.227003117643246</v>
      </c>
      <c r="BR71" s="81">
        <f>$H$71*月別販売比率!BF5</f>
        <v>5.4265159301130517</v>
      </c>
      <c r="BS71" s="10">
        <f t="shared" si="195"/>
        <v>35</v>
      </c>
      <c r="BT71" s="21"/>
      <c r="BU71" s="19">
        <f t="shared" si="196"/>
        <v>35</v>
      </c>
      <c r="BV71" s="24">
        <f t="shared" si="17"/>
        <v>29.573484069886948</v>
      </c>
      <c r="BW71" s="158">
        <f t="shared" si="178"/>
        <v>35</v>
      </c>
      <c r="BX71" s="29">
        <f t="shared" si="179"/>
        <v>-32.831449126413148</v>
      </c>
    </row>
    <row r="72" spans="2:76" ht="30.75" customHeight="1">
      <c r="C72" s="507"/>
      <c r="D72" s="441"/>
      <c r="E72" s="94" t="s">
        <v>49</v>
      </c>
      <c r="F72" s="57">
        <v>37</v>
      </c>
      <c r="G72" s="5">
        <f t="shared" si="151"/>
        <v>146520</v>
      </c>
      <c r="H72" s="7">
        <f t="shared" si="180"/>
        <v>38.026721479958887</v>
      </c>
      <c r="I72" s="5">
        <f t="shared" si="151"/>
        <v>150585.8170606372</v>
      </c>
      <c r="J72" s="9">
        <v>27</v>
      </c>
      <c r="K72" s="21">
        <f t="shared" si="20"/>
        <v>32</v>
      </c>
      <c r="L72" s="21">
        <v>19</v>
      </c>
      <c r="M72" s="21">
        <v>13</v>
      </c>
      <c r="N72" s="95"/>
      <c r="O72" s="81">
        <f>$H$72*月別販売比率!C5</f>
        <v>2.6947351400679209</v>
      </c>
      <c r="P72" s="10">
        <f t="shared" si="171"/>
        <v>32</v>
      </c>
      <c r="Q72" s="21"/>
      <c r="R72" s="19">
        <f t="shared" si="181"/>
        <v>32</v>
      </c>
      <c r="S72" s="24">
        <f t="shared" si="22"/>
        <v>29.30526485993208</v>
      </c>
      <c r="T72" s="81">
        <f>$H$72*月別販売比率!H5</f>
        <v>2.6618705035971222</v>
      </c>
      <c r="U72" s="10">
        <f t="shared" si="182"/>
        <v>32</v>
      </c>
      <c r="V72" s="21"/>
      <c r="W72" s="19">
        <f t="shared" si="172"/>
        <v>32</v>
      </c>
      <c r="X72" s="24">
        <f t="shared" si="2"/>
        <v>29.338129496402878</v>
      </c>
      <c r="Y72" s="81">
        <f>$H$72*月別販売比率!M5</f>
        <v>3.8431207580423408</v>
      </c>
      <c r="Z72" s="10">
        <f t="shared" si="183"/>
        <v>32</v>
      </c>
      <c r="AA72" s="21"/>
      <c r="AB72" s="124">
        <f t="shared" si="173"/>
        <v>32</v>
      </c>
      <c r="AC72" s="24">
        <f t="shared" si="4"/>
        <v>28.156879241957661</v>
      </c>
      <c r="AD72" s="81">
        <f>$H$72*月別販売比率!R5</f>
        <v>3.0421377183967109</v>
      </c>
      <c r="AE72" s="10">
        <f t="shared" si="184"/>
        <v>32</v>
      </c>
      <c r="AF72" s="21"/>
      <c r="AG72" s="19">
        <f t="shared" si="174"/>
        <v>32</v>
      </c>
      <c r="AH72" s="24">
        <f t="shared" si="6"/>
        <v>28.95786228160329</v>
      </c>
      <c r="AI72" s="81">
        <f>$H$72*月別販売比率!W5</f>
        <v>2.89637065997155</v>
      </c>
      <c r="AJ72" s="10">
        <f t="shared" si="185"/>
        <v>32</v>
      </c>
      <c r="AK72" s="21"/>
      <c r="AL72" s="10">
        <f t="shared" si="175"/>
        <v>32</v>
      </c>
      <c r="AM72" s="24">
        <f t="shared" si="8"/>
        <v>29.103629340028451</v>
      </c>
      <c r="AN72" s="81">
        <f>$H$72*月別販売比率!AB5</f>
        <v>4.5632065775950661</v>
      </c>
      <c r="AO72" s="10">
        <f t="shared" si="186"/>
        <v>32</v>
      </c>
      <c r="AP72" s="21"/>
      <c r="AQ72" s="10">
        <f t="shared" si="176"/>
        <v>32</v>
      </c>
      <c r="AR72" s="24">
        <f t="shared" si="10"/>
        <v>27.436793422404932</v>
      </c>
      <c r="AS72" s="81">
        <f>$H$72*月別販売比率!AG5</f>
        <v>3.8026721479958887</v>
      </c>
      <c r="AT72" s="10">
        <f t="shared" si="187"/>
        <v>32</v>
      </c>
      <c r="AU72" s="21"/>
      <c r="AV72" s="10">
        <f t="shared" si="177"/>
        <v>32</v>
      </c>
      <c r="AW72" s="24">
        <f t="shared" si="12"/>
        <v>28.197327852004111</v>
      </c>
      <c r="AX72" s="81">
        <f>$H$72*月別販売比率!AL5</f>
        <v>3.4224049331962996</v>
      </c>
      <c r="AY72" s="10">
        <f t="shared" si="188"/>
        <v>32</v>
      </c>
      <c r="AZ72" s="21"/>
      <c r="BA72" s="19">
        <f t="shared" si="189"/>
        <v>32</v>
      </c>
      <c r="BB72" s="24">
        <f t="shared" si="13"/>
        <v>28.577595066803699</v>
      </c>
      <c r="BC72" s="81">
        <f>$H$72*月別販売比率!AQ5</f>
        <v>3.8026721479958887</v>
      </c>
      <c r="BD72" s="10">
        <f t="shared" si="190"/>
        <v>32</v>
      </c>
      <c r="BE72" s="21"/>
      <c r="BF72" s="19">
        <f t="shared" si="191"/>
        <v>32</v>
      </c>
      <c r="BG72" s="24">
        <f t="shared" si="14"/>
        <v>28.197327852004111</v>
      </c>
      <c r="BH72" s="81">
        <f>$H$72*月別販売比率!AV5</f>
        <v>2.3156134568161519</v>
      </c>
      <c r="BI72" s="10">
        <f t="shared" si="192"/>
        <v>32</v>
      </c>
      <c r="BJ72" s="21"/>
      <c r="BK72" s="19">
        <f t="shared" si="193"/>
        <v>32</v>
      </c>
      <c r="BL72" s="24">
        <f t="shared" si="15"/>
        <v>29.684386543183848</v>
      </c>
      <c r="BM72" s="81">
        <f>$H$72*月別販売比率!BA5</f>
        <v>2.1151649188969674</v>
      </c>
      <c r="BN72" s="10">
        <f t="shared" si="194"/>
        <v>32</v>
      </c>
      <c r="BO72" s="21"/>
      <c r="BP72" s="19">
        <f t="shared" si="197"/>
        <v>32</v>
      </c>
      <c r="BQ72" s="24">
        <f t="shared" si="16"/>
        <v>29.884835081103034</v>
      </c>
      <c r="BR72" s="81">
        <f>$H$72*月別販売比率!BF5</f>
        <v>3.0421377183967109</v>
      </c>
      <c r="BS72" s="10">
        <f t="shared" si="195"/>
        <v>32</v>
      </c>
      <c r="BT72" s="21"/>
      <c r="BU72" s="19">
        <f t="shared" si="196"/>
        <v>32</v>
      </c>
      <c r="BV72" s="24">
        <f t="shared" si="17"/>
        <v>28.95786228160329</v>
      </c>
      <c r="BW72" s="158">
        <f t="shared" si="178"/>
        <v>32</v>
      </c>
      <c r="BX72" s="29">
        <f t="shared" si="179"/>
        <v>-6.0267214799588871</v>
      </c>
    </row>
    <row r="73" spans="2:76" ht="30.75" customHeight="1">
      <c r="C73" s="508"/>
      <c r="D73" s="444"/>
      <c r="E73" s="101" t="s">
        <v>50</v>
      </c>
      <c r="F73" s="58">
        <v>23</v>
      </c>
      <c r="G73" s="35">
        <f t="shared" si="151"/>
        <v>91080</v>
      </c>
      <c r="H73" s="181">
        <f t="shared" si="180"/>
        <v>23.638232271325798</v>
      </c>
      <c r="I73" s="35">
        <f t="shared" si="151"/>
        <v>93607.399794450161</v>
      </c>
      <c r="J73" s="113">
        <v>36</v>
      </c>
      <c r="K73" s="104">
        <f t="shared" si="20"/>
        <v>34</v>
      </c>
      <c r="L73" s="104">
        <v>19</v>
      </c>
      <c r="M73" s="104">
        <v>15</v>
      </c>
      <c r="N73" s="105"/>
      <c r="O73" s="81">
        <f>$H$73*月別販売比率!C5</f>
        <v>1.6751056276097891</v>
      </c>
      <c r="P73" s="106">
        <f t="shared" si="171"/>
        <v>34</v>
      </c>
      <c r="Q73" s="107"/>
      <c r="R73" s="2">
        <f t="shared" si="181"/>
        <v>34</v>
      </c>
      <c r="S73" s="195">
        <f t="shared" si="22"/>
        <v>32.324894372390212</v>
      </c>
      <c r="T73" s="81">
        <f>$H$73*月別販売比率!H5</f>
        <v>1.6546762589928059</v>
      </c>
      <c r="U73" s="106">
        <f t="shared" si="182"/>
        <v>34</v>
      </c>
      <c r="V73" s="107"/>
      <c r="W73" s="2">
        <f t="shared" si="172"/>
        <v>34</v>
      </c>
      <c r="X73" s="195">
        <f t="shared" si="2"/>
        <v>32.345323741007192</v>
      </c>
      <c r="Y73" s="81">
        <f>$H$73*月別販売比率!M5</f>
        <v>2.3889669577019959</v>
      </c>
      <c r="Z73" s="106">
        <f t="shared" si="183"/>
        <v>34</v>
      </c>
      <c r="AA73" s="107"/>
      <c r="AB73" s="25">
        <f t="shared" si="173"/>
        <v>34</v>
      </c>
      <c r="AC73" s="195">
        <f t="shared" si="4"/>
        <v>31.611033042298004</v>
      </c>
      <c r="AD73" s="81">
        <f>$H$73*月別販売比率!R5</f>
        <v>1.8910585817060639</v>
      </c>
      <c r="AE73" s="106">
        <f t="shared" si="184"/>
        <v>34</v>
      </c>
      <c r="AF73" s="107"/>
      <c r="AG73" s="2">
        <f t="shared" si="174"/>
        <v>34</v>
      </c>
      <c r="AH73" s="195">
        <f t="shared" si="6"/>
        <v>32.108941418293938</v>
      </c>
      <c r="AI73" s="81">
        <f>$H$73*月別販売比率!W5</f>
        <v>1.8004466264688015</v>
      </c>
      <c r="AJ73" s="106">
        <f t="shared" si="185"/>
        <v>34</v>
      </c>
      <c r="AK73" s="107"/>
      <c r="AL73" s="106">
        <f t="shared" si="175"/>
        <v>34</v>
      </c>
      <c r="AM73" s="195">
        <f t="shared" si="8"/>
        <v>32.199553373531195</v>
      </c>
      <c r="AN73" s="81">
        <f>$H$73*月別販売比率!AB5</f>
        <v>2.8365878725590958</v>
      </c>
      <c r="AO73" s="106">
        <f t="shared" si="186"/>
        <v>34</v>
      </c>
      <c r="AP73" s="107"/>
      <c r="AQ73" s="106">
        <f t="shared" si="176"/>
        <v>34</v>
      </c>
      <c r="AR73" s="195">
        <f t="shared" si="10"/>
        <v>31.163412127440903</v>
      </c>
      <c r="AS73" s="81">
        <f>$H$73*月別販売比率!AG5</f>
        <v>2.3638232271325799</v>
      </c>
      <c r="AT73" s="106">
        <f t="shared" si="187"/>
        <v>34</v>
      </c>
      <c r="AU73" s="107"/>
      <c r="AV73" s="106">
        <f t="shared" si="177"/>
        <v>34</v>
      </c>
      <c r="AW73" s="195">
        <f t="shared" si="12"/>
        <v>31.636176772867419</v>
      </c>
      <c r="AX73" s="81">
        <f>$H$73*月別販売比率!AL5</f>
        <v>2.1274409044193217</v>
      </c>
      <c r="AY73" s="106">
        <f t="shared" si="188"/>
        <v>34</v>
      </c>
      <c r="AZ73" s="107"/>
      <c r="BA73" s="2">
        <f t="shared" si="189"/>
        <v>34</v>
      </c>
      <c r="BB73" s="195">
        <f t="shared" si="13"/>
        <v>31.872559095580677</v>
      </c>
      <c r="BC73" s="81">
        <f>$H$73*月別販売比率!AQ5</f>
        <v>2.3638232271325799</v>
      </c>
      <c r="BD73" s="106">
        <f t="shared" si="190"/>
        <v>34</v>
      </c>
      <c r="BE73" s="107"/>
      <c r="BF73" s="2">
        <f t="shared" si="191"/>
        <v>34</v>
      </c>
      <c r="BG73" s="195">
        <f t="shared" si="14"/>
        <v>31.636176772867419</v>
      </c>
      <c r="BH73" s="81">
        <f>$H$73*月別販売比率!AV5</f>
        <v>1.4394353920749052</v>
      </c>
      <c r="BI73" s="106">
        <f t="shared" si="192"/>
        <v>34</v>
      </c>
      <c r="BJ73" s="107"/>
      <c r="BK73" s="2">
        <f t="shared" si="193"/>
        <v>34</v>
      </c>
      <c r="BL73" s="195">
        <f t="shared" si="15"/>
        <v>32.560564607925095</v>
      </c>
      <c r="BM73" s="81">
        <f>$H$73*月別販売比率!BA5</f>
        <v>1.3148322468818989</v>
      </c>
      <c r="BN73" s="106">
        <f t="shared" si="194"/>
        <v>34</v>
      </c>
      <c r="BO73" s="107"/>
      <c r="BP73" s="2">
        <f t="shared" si="197"/>
        <v>34</v>
      </c>
      <c r="BQ73" s="195">
        <f t="shared" si="16"/>
        <v>32.685167753118101</v>
      </c>
      <c r="BR73" s="81">
        <f>$H$73*月別販売比率!BF5</f>
        <v>1.8910585817060639</v>
      </c>
      <c r="BS73" s="106">
        <f t="shared" si="195"/>
        <v>34</v>
      </c>
      <c r="BT73" s="107"/>
      <c r="BU73" s="115">
        <f t="shared" si="196"/>
        <v>34</v>
      </c>
      <c r="BV73" s="92">
        <f t="shared" si="17"/>
        <v>32.108941418293938</v>
      </c>
      <c r="BW73" s="159">
        <f t="shared" si="178"/>
        <v>34</v>
      </c>
      <c r="BX73" s="116">
        <f t="shared" si="179"/>
        <v>10.361767728674202</v>
      </c>
    </row>
    <row r="74" spans="2:76" ht="30.75" customHeight="1">
      <c r="B74" s="2">
        <v>6</v>
      </c>
      <c r="C74" s="435" t="s">
        <v>5</v>
      </c>
      <c r="D74" s="436"/>
      <c r="E74" s="445"/>
      <c r="F74" s="130">
        <v>649</v>
      </c>
      <c r="G74" s="131">
        <v>2069641.6949999998</v>
      </c>
      <c r="H74" s="132">
        <v>1100</v>
      </c>
      <c r="I74" s="131">
        <f t="shared" si="42"/>
        <v>3507867.2796610165</v>
      </c>
      <c r="J74" s="133">
        <f>SUM(J76:J85)</f>
        <v>2</v>
      </c>
      <c r="K74" s="134">
        <f t="shared" ref="K74:N74" si="198">SUM(K76:K85)</f>
        <v>9</v>
      </c>
      <c r="L74" s="134">
        <f t="shared" si="198"/>
        <v>9</v>
      </c>
      <c r="M74" s="134">
        <f t="shared" si="198"/>
        <v>0</v>
      </c>
      <c r="N74" s="135">
        <f t="shared" si="198"/>
        <v>0</v>
      </c>
      <c r="O74" s="150">
        <f>H74/12</f>
        <v>91.666666666666671</v>
      </c>
      <c r="P74" s="151">
        <f t="shared" si="107"/>
        <v>9</v>
      </c>
      <c r="Q74" s="148">
        <f>SUM(Q76:Q85)</f>
        <v>200</v>
      </c>
      <c r="R74" s="152">
        <f>Q74+K74</f>
        <v>209</v>
      </c>
      <c r="S74" s="153">
        <f t="shared" si="22"/>
        <v>117.33333333333333</v>
      </c>
      <c r="T74" s="150">
        <f>H74/12</f>
        <v>91.666666666666671</v>
      </c>
      <c r="U74" s="151">
        <f t="shared" si="110"/>
        <v>9</v>
      </c>
      <c r="V74" s="148">
        <f>SUM(V76:V85)</f>
        <v>0</v>
      </c>
      <c r="W74" s="152">
        <f>K74+V74</f>
        <v>9</v>
      </c>
      <c r="X74" s="153">
        <f t="shared" si="2"/>
        <v>-82.666666666666671</v>
      </c>
      <c r="Y74" s="150">
        <f>H74/12</f>
        <v>91.666666666666671</v>
      </c>
      <c r="Z74" s="151">
        <f t="shared" si="113"/>
        <v>9</v>
      </c>
      <c r="AA74" s="148">
        <f>SUM(AA76:AA85)</f>
        <v>0</v>
      </c>
      <c r="AB74" s="200">
        <f t="shared" si="114"/>
        <v>9</v>
      </c>
      <c r="AC74" s="153">
        <f t="shared" si="4"/>
        <v>-82.666666666666671</v>
      </c>
      <c r="AD74" s="150">
        <f t="shared" si="115"/>
        <v>91.666666666666671</v>
      </c>
      <c r="AE74" s="151">
        <f t="shared" si="116"/>
        <v>9</v>
      </c>
      <c r="AF74" s="148">
        <f>SUM(AF76:AF85)</f>
        <v>0</v>
      </c>
      <c r="AG74" s="197">
        <f t="shared" si="117"/>
        <v>9</v>
      </c>
      <c r="AH74" s="153">
        <f t="shared" si="6"/>
        <v>-82.666666666666671</v>
      </c>
      <c r="AI74" s="150">
        <f t="shared" si="118"/>
        <v>91.666666666666671</v>
      </c>
      <c r="AJ74" s="151">
        <f t="shared" si="119"/>
        <v>9</v>
      </c>
      <c r="AK74" s="148">
        <f>SUM(AK76:AK85)</f>
        <v>0</v>
      </c>
      <c r="AL74" s="197">
        <f t="shared" si="120"/>
        <v>9</v>
      </c>
      <c r="AM74" s="153">
        <f t="shared" si="8"/>
        <v>-82.666666666666671</v>
      </c>
      <c r="AN74" s="150">
        <f t="shared" si="121"/>
        <v>91.666666666666671</v>
      </c>
      <c r="AO74" s="151">
        <f t="shared" si="122"/>
        <v>9</v>
      </c>
      <c r="AP74" s="148">
        <f>SUM(AP76:AP85)</f>
        <v>0</v>
      </c>
      <c r="AQ74" s="197">
        <f t="shared" si="123"/>
        <v>9</v>
      </c>
      <c r="AR74" s="153">
        <f t="shared" si="10"/>
        <v>-82.666666666666671</v>
      </c>
      <c r="AS74" s="150">
        <f t="shared" si="124"/>
        <v>91.666666666666671</v>
      </c>
      <c r="AT74" s="151">
        <f t="shared" si="125"/>
        <v>9</v>
      </c>
      <c r="AU74" s="148">
        <f>SUM(AU76:AU85)</f>
        <v>0</v>
      </c>
      <c r="AV74" s="197">
        <f t="shared" si="126"/>
        <v>9</v>
      </c>
      <c r="AW74" s="153">
        <f t="shared" si="12"/>
        <v>-82.666666666666671</v>
      </c>
      <c r="AX74" s="150">
        <f t="shared" si="127"/>
        <v>91.666666666666671</v>
      </c>
      <c r="AY74" s="151">
        <f t="shared" si="128"/>
        <v>9</v>
      </c>
      <c r="AZ74" s="148">
        <f>SUM(AZ76:AZ85)</f>
        <v>0</v>
      </c>
      <c r="BA74" s="152">
        <f t="shared" si="129"/>
        <v>9</v>
      </c>
      <c r="BB74" s="153">
        <f t="shared" si="13"/>
        <v>-82.666666666666671</v>
      </c>
      <c r="BC74" s="150">
        <f t="shared" si="130"/>
        <v>91.666666666666671</v>
      </c>
      <c r="BD74" s="151">
        <f t="shared" si="131"/>
        <v>9</v>
      </c>
      <c r="BE74" s="148">
        <f>SUM(BE76:BE85)</f>
        <v>0</v>
      </c>
      <c r="BF74" s="152">
        <f t="shared" si="132"/>
        <v>9</v>
      </c>
      <c r="BG74" s="153">
        <f t="shared" si="14"/>
        <v>-82.666666666666671</v>
      </c>
      <c r="BH74" s="150">
        <f t="shared" si="133"/>
        <v>91.666666666666671</v>
      </c>
      <c r="BI74" s="151">
        <f t="shared" si="134"/>
        <v>9</v>
      </c>
      <c r="BJ74" s="148">
        <f>SUM(BJ76:BJ85)</f>
        <v>0</v>
      </c>
      <c r="BK74" s="152">
        <f t="shared" si="135"/>
        <v>9</v>
      </c>
      <c r="BL74" s="153">
        <f t="shared" si="15"/>
        <v>-82.666666666666671</v>
      </c>
      <c r="BM74" s="150">
        <f t="shared" si="136"/>
        <v>91.666666666666671</v>
      </c>
      <c r="BN74" s="151">
        <f t="shared" si="137"/>
        <v>9</v>
      </c>
      <c r="BO74" s="148">
        <f>SUM(BO76:BO85)</f>
        <v>0</v>
      </c>
      <c r="BP74" s="152">
        <f t="shared" si="138"/>
        <v>9</v>
      </c>
      <c r="BQ74" s="153">
        <f t="shared" si="16"/>
        <v>-82.666666666666671</v>
      </c>
      <c r="BR74" s="150">
        <f t="shared" si="139"/>
        <v>91.666666666666671</v>
      </c>
      <c r="BS74" s="151">
        <f t="shared" si="140"/>
        <v>9</v>
      </c>
      <c r="BT74" s="148">
        <f>SUM(BT76:BT85)</f>
        <v>0</v>
      </c>
      <c r="BU74" s="138">
        <f t="shared" si="141"/>
        <v>9</v>
      </c>
      <c r="BV74" s="139">
        <f t="shared" si="17"/>
        <v>-82.666666666666671</v>
      </c>
      <c r="BW74" s="143">
        <f>AF74+AA74+V74+Q74+AK74+AP74+AU74+AZ74+BE74+BJ74+BO74+BT74+K74</f>
        <v>209</v>
      </c>
      <c r="BX74" s="142">
        <f t="shared" si="49"/>
        <v>-891</v>
      </c>
    </row>
    <row r="75" spans="2:76" ht="30.75" customHeight="1">
      <c r="C75" s="167" t="s">
        <v>81</v>
      </c>
      <c r="D75" s="168"/>
      <c r="E75" s="169"/>
      <c r="F75" s="170">
        <f>SUM(F76:F85)</f>
        <v>691</v>
      </c>
      <c r="G75" s="171">
        <f>SUM(G76:G85)</f>
        <v>2280300</v>
      </c>
      <c r="H75" s="170">
        <f>SUM(H76:H85)</f>
        <v>1171.1864406779659</v>
      </c>
      <c r="I75" s="171">
        <f>SUM(I76:I85)</f>
        <v>3864915.2542372877</v>
      </c>
      <c r="J75" s="172"/>
      <c r="K75" s="173"/>
      <c r="L75" s="173"/>
      <c r="M75" s="173"/>
      <c r="N75" s="174"/>
      <c r="O75" s="175">
        <f>SUM(O76:O85)</f>
        <v>82.99525003567048</v>
      </c>
      <c r="P75" s="176"/>
      <c r="Q75" s="173"/>
      <c r="R75" s="177"/>
      <c r="S75" s="178"/>
      <c r="T75" s="175">
        <f>SUM(T76:T85)</f>
        <v>81.983050847457633</v>
      </c>
      <c r="U75" s="176"/>
      <c r="V75" s="173"/>
      <c r="W75" s="177"/>
      <c r="X75" s="178"/>
      <c r="Y75" s="175">
        <f>SUM(Y76:Y85)</f>
        <v>118.36442234651682</v>
      </c>
      <c r="Z75" s="176"/>
      <c r="AA75" s="173"/>
      <c r="AB75" s="177"/>
      <c r="AC75" s="178"/>
      <c r="AD75" s="175">
        <f>SUM(AD76:AD85)</f>
        <v>93.694915254237273</v>
      </c>
      <c r="AE75" s="176"/>
      <c r="AF75" s="173"/>
      <c r="AG75" s="177"/>
      <c r="AH75" s="178"/>
      <c r="AI75" s="175">
        <f>SUM(AI76:AI85)</f>
        <v>89.205430079580935</v>
      </c>
      <c r="AJ75" s="176"/>
      <c r="AK75" s="173"/>
      <c r="AL75" s="177"/>
      <c r="AM75" s="178"/>
      <c r="AN75" s="175">
        <f>SUM(AN76:AN85)</f>
        <v>140.5423728813559</v>
      </c>
      <c r="AO75" s="176"/>
      <c r="AP75" s="173"/>
      <c r="AQ75" s="177"/>
      <c r="AR75" s="178"/>
      <c r="AS75" s="175">
        <f>SUM(AS76:AS85)</f>
        <v>117.11864406779664</v>
      </c>
      <c r="AT75" s="176"/>
      <c r="AU75" s="173"/>
      <c r="AV75" s="177"/>
      <c r="AW75" s="178"/>
      <c r="AX75" s="175">
        <f>SUM(AX76:AX85)</f>
        <v>105.40677966101696</v>
      </c>
      <c r="AY75" s="176"/>
      <c r="AZ75" s="173"/>
      <c r="BA75" s="177"/>
      <c r="BB75" s="178"/>
      <c r="BC75" s="175">
        <f>SUM(BC76:BC85)</f>
        <v>117.11864406779664</v>
      </c>
      <c r="BD75" s="176"/>
      <c r="BE75" s="173"/>
      <c r="BF75" s="177"/>
      <c r="BG75" s="178"/>
      <c r="BH75" s="175">
        <f>SUM(BH76:BH85)</f>
        <v>71.318666898586429</v>
      </c>
      <c r="BI75" s="176"/>
      <c r="BJ75" s="173"/>
      <c r="BK75" s="177"/>
      <c r="BL75" s="178"/>
      <c r="BM75" s="175">
        <f>SUM(BM76:BM85)</f>
        <v>65.145044757945186</v>
      </c>
      <c r="BN75" s="176"/>
      <c r="BO75" s="173"/>
      <c r="BP75" s="177"/>
      <c r="BQ75" s="178"/>
      <c r="BR75" s="175">
        <f>SUM(BR76:BR85)</f>
        <v>93.694915254237273</v>
      </c>
      <c r="BS75" s="176"/>
      <c r="BT75" s="173"/>
      <c r="BU75" s="177"/>
      <c r="BV75" s="178"/>
      <c r="BW75" s="179"/>
      <c r="BX75" s="180"/>
    </row>
    <row r="76" spans="2:76" ht="30.75" customHeight="1">
      <c r="C76" s="503" t="s">
        <v>107</v>
      </c>
      <c r="D76" s="443">
        <v>1</v>
      </c>
      <c r="E76" s="99" t="s">
        <v>46</v>
      </c>
      <c r="F76" s="56">
        <v>60</v>
      </c>
      <c r="G76" s="46">
        <f>F76*3300</f>
        <v>198000</v>
      </c>
      <c r="H76" s="45">
        <f>F76*($H$74/$F$74)</f>
        <v>101.69491525423729</v>
      </c>
      <c r="I76" s="46">
        <f>H76*3300</f>
        <v>335593.22033898305</v>
      </c>
      <c r="J76" s="49">
        <v>0</v>
      </c>
      <c r="K76" s="39">
        <f t="shared" si="20"/>
        <v>0</v>
      </c>
      <c r="L76" s="39"/>
      <c r="M76" s="118"/>
      <c r="N76" s="42"/>
      <c r="O76" s="81">
        <f>$H$76*月別販売比率!C5</f>
        <v>7.2065340117803594</v>
      </c>
      <c r="P76" s="40">
        <f t="shared" si="107"/>
        <v>0</v>
      </c>
      <c r="Q76" s="39">
        <v>24</v>
      </c>
      <c r="R76" s="43">
        <f>Q76+K76</f>
        <v>24</v>
      </c>
      <c r="S76" s="91">
        <f t="shared" si="22"/>
        <v>16.793465988219641</v>
      </c>
      <c r="T76" s="81">
        <f>$H$76*月別販売比率!H5</f>
        <v>7.1186440677966107</v>
      </c>
      <c r="U76" s="40">
        <f>K76</f>
        <v>0</v>
      </c>
      <c r="V76" s="39"/>
      <c r="W76" s="43">
        <f>K76+V76</f>
        <v>0</v>
      </c>
      <c r="X76" s="91">
        <f t="shared" si="2"/>
        <v>-7.1186440677966107</v>
      </c>
      <c r="Y76" s="81">
        <f>$H$76*月別販売比率!M5</f>
        <v>10.277663300710577</v>
      </c>
      <c r="Z76" s="40">
        <f>K76</f>
        <v>0</v>
      </c>
      <c r="AA76" s="39"/>
      <c r="AB76" s="96">
        <f t="shared" ref="AB76:AB85" si="199">K76+AA76</f>
        <v>0</v>
      </c>
      <c r="AC76" s="91">
        <f t="shared" si="4"/>
        <v>-10.277663300710577</v>
      </c>
      <c r="AD76" s="81">
        <f>$H$76*月別販売比率!R5</f>
        <v>8.1355932203389827</v>
      </c>
      <c r="AE76" s="40">
        <f>K76</f>
        <v>0</v>
      </c>
      <c r="AF76" s="39"/>
      <c r="AG76" s="40">
        <f t="shared" ref="AG76:AG85" si="200">K76+AF76</f>
        <v>0</v>
      </c>
      <c r="AH76" s="91">
        <f t="shared" si="6"/>
        <v>-8.1355932203389827</v>
      </c>
      <c r="AI76" s="81">
        <f>$H$76*月別販売比率!W5</f>
        <v>7.7457681689940028</v>
      </c>
      <c r="AJ76" s="40">
        <f>K76</f>
        <v>0</v>
      </c>
      <c r="AK76" s="39"/>
      <c r="AL76" s="40">
        <f t="shared" ref="AL76:AL85" si="201">K76+AK76</f>
        <v>0</v>
      </c>
      <c r="AM76" s="91">
        <f t="shared" si="8"/>
        <v>-7.7457681689940028</v>
      </c>
      <c r="AN76" s="81">
        <f>$H$76*月別販売比率!AB5</f>
        <v>12.203389830508474</v>
      </c>
      <c r="AO76" s="40">
        <f>K76</f>
        <v>0</v>
      </c>
      <c r="AP76" s="39"/>
      <c r="AQ76" s="40">
        <f t="shared" ref="AQ76:AQ85" si="202">K76+AP76</f>
        <v>0</v>
      </c>
      <c r="AR76" s="91">
        <f t="shared" si="10"/>
        <v>-12.203389830508474</v>
      </c>
      <c r="AS76" s="81">
        <f>$H$76*月別販売比率!AG5</f>
        <v>10.16949152542373</v>
      </c>
      <c r="AT76" s="40">
        <f>K76</f>
        <v>0</v>
      </c>
      <c r="AU76" s="39"/>
      <c r="AV76" s="40">
        <f t="shared" ref="AV76:AV85" si="203">K76+AU76</f>
        <v>0</v>
      </c>
      <c r="AW76" s="91">
        <f t="shared" si="12"/>
        <v>-10.16949152542373</v>
      </c>
      <c r="AX76" s="81">
        <f>$H$76*月別販売比率!AL5</f>
        <v>9.1525423728813546</v>
      </c>
      <c r="AY76" s="40">
        <f>K76</f>
        <v>0</v>
      </c>
      <c r="AZ76" s="39"/>
      <c r="BA76" s="43">
        <f>K76+AZ76</f>
        <v>0</v>
      </c>
      <c r="BB76" s="91">
        <f t="shared" si="13"/>
        <v>-9.1525423728813546</v>
      </c>
      <c r="BC76" s="81">
        <f>$H$76*月別販売比率!AQ5</f>
        <v>10.16949152542373</v>
      </c>
      <c r="BD76" s="40">
        <f>K76</f>
        <v>0</v>
      </c>
      <c r="BE76" s="39"/>
      <c r="BF76" s="43">
        <f>K76+BE76</f>
        <v>0</v>
      </c>
      <c r="BG76" s="91">
        <f t="shared" si="14"/>
        <v>-10.16949152542373</v>
      </c>
      <c r="BH76" s="81">
        <f>$H$76*月別販売比率!AV5</f>
        <v>6.1926483558830485</v>
      </c>
      <c r="BI76" s="40">
        <f>K76</f>
        <v>0</v>
      </c>
      <c r="BJ76" s="39"/>
      <c r="BK76" s="43">
        <f>K76+BJ76</f>
        <v>0</v>
      </c>
      <c r="BL76" s="91">
        <f t="shared" si="15"/>
        <v>-6.1926483558830485</v>
      </c>
      <c r="BM76" s="81">
        <f>$H$76*月別販売比率!BA5</f>
        <v>5.6565885462759944</v>
      </c>
      <c r="BN76" s="40">
        <f>K76</f>
        <v>0</v>
      </c>
      <c r="BO76" s="39"/>
      <c r="BP76" s="43">
        <f>K76+BO76</f>
        <v>0</v>
      </c>
      <c r="BQ76" s="91">
        <f t="shared" si="16"/>
        <v>-5.6565885462759944</v>
      </c>
      <c r="BR76" s="81">
        <f>$H$76*月別販売比率!BF5</f>
        <v>8.1355932203389827</v>
      </c>
      <c r="BS76" s="40">
        <f>K76</f>
        <v>0</v>
      </c>
      <c r="BT76" s="39"/>
      <c r="BU76" s="43">
        <f>K76+BT76</f>
        <v>0</v>
      </c>
      <c r="BV76" s="91">
        <f t="shared" si="17"/>
        <v>-8.1355932203389827</v>
      </c>
      <c r="BW76" s="157">
        <f t="shared" ref="BW76:BW85" si="204">AF76+AA76+V76+Q76+AK76+AP76+AU76+AZ76+BE76+BJ76+BO76+BT76+K76</f>
        <v>24</v>
      </c>
      <c r="BX76" s="51">
        <f t="shared" ref="BX76:BX85" si="205">BW76-H76</f>
        <v>-77.694915254237287</v>
      </c>
    </row>
    <row r="77" spans="2:76" ht="30.75" customHeight="1">
      <c r="C77" s="504"/>
      <c r="D77" s="441"/>
      <c r="E77" s="94" t="s">
        <v>47</v>
      </c>
      <c r="F77" s="57">
        <v>88</v>
      </c>
      <c r="G77" s="5">
        <f t="shared" ref="G77:I85" si="206">F77*3300</f>
        <v>290400</v>
      </c>
      <c r="H77" s="7">
        <f t="shared" ref="H77:H85" si="207">F77*($H$74/$F$74)</f>
        <v>149.15254237288136</v>
      </c>
      <c r="I77" s="5">
        <f t="shared" si="206"/>
        <v>492203.3898305085</v>
      </c>
      <c r="J77" s="9">
        <v>0</v>
      </c>
      <c r="K77" s="21">
        <f t="shared" si="20"/>
        <v>0</v>
      </c>
      <c r="L77" s="21"/>
      <c r="M77" s="118"/>
      <c r="N77" s="95"/>
      <c r="O77" s="81">
        <f>$H$77*月別販売比率!C5</f>
        <v>10.569583217277861</v>
      </c>
      <c r="P77" s="10">
        <f t="shared" si="107"/>
        <v>0</v>
      </c>
      <c r="Q77" s="21">
        <v>14</v>
      </c>
      <c r="R77" s="19">
        <f t="shared" ref="R77:R85" si="208">Q77+K77</f>
        <v>14</v>
      </c>
      <c r="S77" s="24">
        <f t="shared" ref="S77:S144" si="209">R77-O77</f>
        <v>3.4304167827221388</v>
      </c>
      <c r="T77" s="81">
        <f>$H$77*月別販売比率!H5</f>
        <v>10.440677966101696</v>
      </c>
      <c r="U77" s="10">
        <f t="shared" ref="U77:U85" si="210">K77</f>
        <v>0</v>
      </c>
      <c r="V77" s="21"/>
      <c r="W77" s="19">
        <f t="shared" ref="W77:W85" si="211">K77+V77</f>
        <v>0</v>
      </c>
      <c r="X77" s="24">
        <f t="shared" ref="X77:X144" si="212">W77-T77</f>
        <v>-10.440677966101696</v>
      </c>
      <c r="Y77" s="81">
        <f>$H$77*月別販売比率!M5</f>
        <v>15.073906174375512</v>
      </c>
      <c r="Z77" s="10">
        <f t="shared" ref="Z77:Z85" si="213">K77</f>
        <v>0</v>
      </c>
      <c r="AA77" s="21"/>
      <c r="AB77" s="96">
        <f t="shared" si="199"/>
        <v>0</v>
      </c>
      <c r="AC77" s="24">
        <f t="shared" ref="AC77:AC144" si="214">AB77-Y77</f>
        <v>-15.073906174375512</v>
      </c>
      <c r="AD77" s="81">
        <f>$H$77*月別販売比率!R5</f>
        <v>11.932203389830509</v>
      </c>
      <c r="AE77" s="10">
        <f t="shared" ref="AE77:AE85" si="215">K77</f>
        <v>0</v>
      </c>
      <c r="AF77" s="21"/>
      <c r="AG77" s="40">
        <f t="shared" si="200"/>
        <v>0</v>
      </c>
      <c r="AH77" s="24">
        <f t="shared" ref="AH77:AH144" si="216">AG77-AD77</f>
        <v>-11.932203389830509</v>
      </c>
      <c r="AI77" s="81">
        <f>$H$77*月別販売比率!W5</f>
        <v>11.360459981191205</v>
      </c>
      <c r="AJ77" s="10">
        <f t="shared" ref="AJ77:AJ85" si="217">K77</f>
        <v>0</v>
      </c>
      <c r="AK77" s="21"/>
      <c r="AL77" s="40">
        <f t="shared" si="201"/>
        <v>0</v>
      </c>
      <c r="AM77" s="24">
        <f t="shared" ref="AM77:AM144" si="218">AL77-AI77</f>
        <v>-11.360459981191205</v>
      </c>
      <c r="AN77" s="81">
        <f>$H$77*月別販売比率!AB5</f>
        <v>17.898305084745761</v>
      </c>
      <c r="AO77" s="10">
        <f t="shared" ref="AO77:AO85" si="219">K77</f>
        <v>0</v>
      </c>
      <c r="AP77" s="21"/>
      <c r="AQ77" s="40">
        <f t="shared" si="202"/>
        <v>0</v>
      </c>
      <c r="AR77" s="24">
        <f t="shared" ref="AR77:AR144" si="220">AQ77-AN77</f>
        <v>-17.898305084745761</v>
      </c>
      <c r="AS77" s="81">
        <f>$H$77*月別販売比率!AG5</f>
        <v>14.915254237288137</v>
      </c>
      <c r="AT77" s="10">
        <f t="shared" ref="AT77:AT85" si="221">K77</f>
        <v>0</v>
      </c>
      <c r="AU77" s="21"/>
      <c r="AV77" s="40">
        <f t="shared" si="203"/>
        <v>0</v>
      </c>
      <c r="AW77" s="24">
        <f t="shared" ref="AW77:AW144" si="222">AV77-AS77</f>
        <v>-14.915254237288137</v>
      </c>
      <c r="AX77" s="81">
        <f>$H$77*月別販売比率!AL5</f>
        <v>13.423728813559322</v>
      </c>
      <c r="AY77" s="10">
        <f t="shared" ref="AY77:AY85" si="223">K77</f>
        <v>0</v>
      </c>
      <c r="AZ77" s="21"/>
      <c r="BA77" s="19">
        <f t="shared" ref="BA77:BA85" si="224">K77+AZ77</f>
        <v>0</v>
      </c>
      <c r="BB77" s="24">
        <f t="shared" ref="BB77:BB144" si="225">BA77-AX77</f>
        <v>-13.423728813559322</v>
      </c>
      <c r="BC77" s="81">
        <f>$H$77*月別販売比率!AQ5</f>
        <v>14.915254237288137</v>
      </c>
      <c r="BD77" s="10">
        <f t="shared" ref="BD77:BD85" si="226">K77</f>
        <v>0</v>
      </c>
      <c r="BE77" s="21"/>
      <c r="BF77" s="19">
        <f t="shared" ref="BF77:BF85" si="227">K77+BE77</f>
        <v>0</v>
      </c>
      <c r="BG77" s="24">
        <f t="shared" ref="BG77:BG144" si="228">BF77-BC77</f>
        <v>-14.915254237288137</v>
      </c>
      <c r="BH77" s="81">
        <f>$H$77*月別販売比率!AV5</f>
        <v>9.0825509219618041</v>
      </c>
      <c r="BI77" s="10">
        <f t="shared" ref="BI77:BI85" si="229">K77</f>
        <v>0</v>
      </c>
      <c r="BJ77" s="21"/>
      <c r="BK77" s="19">
        <f t="shared" ref="BK77:BK85" si="230">K77+BJ77</f>
        <v>0</v>
      </c>
      <c r="BL77" s="24">
        <f t="shared" ref="BL77:BL144" si="231">BK77-BH77</f>
        <v>-9.0825509219618041</v>
      </c>
      <c r="BM77" s="81">
        <f>$H$77*月別販売比率!BA5</f>
        <v>8.2963298678714583</v>
      </c>
      <c r="BN77" s="10">
        <f t="shared" ref="BN77:BN85" si="232">K77</f>
        <v>0</v>
      </c>
      <c r="BO77" s="21"/>
      <c r="BP77" s="19">
        <f>K77+BO77</f>
        <v>0</v>
      </c>
      <c r="BQ77" s="24">
        <f t="shared" ref="BQ77:BQ144" si="233">BP77-BM77</f>
        <v>-8.2963298678714583</v>
      </c>
      <c r="BR77" s="81">
        <f>$H$77*月別販売比率!BF5</f>
        <v>11.932203389830509</v>
      </c>
      <c r="BS77" s="10">
        <f t="shared" ref="BS77:BS85" si="234">K77</f>
        <v>0</v>
      </c>
      <c r="BT77" s="21"/>
      <c r="BU77" s="19">
        <f t="shared" ref="BU77:BU85" si="235">K77+BT77</f>
        <v>0</v>
      </c>
      <c r="BV77" s="24">
        <f t="shared" ref="BV77:BV144" si="236">BU77-BR77</f>
        <v>-11.932203389830509</v>
      </c>
      <c r="BW77" s="158">
        <f t="shared" si="204"/>
        <v>14</v>
      </c>
      <c r="BX77" s="29">
        <f t="shared" si="205"/>
        <v>-135.15254237288136</v>
      </c>
    </row>
    <row r="78" spans="2:76" ht="30.75" customHeight="1">
      <c r="C78" s="504"/>
      <c r="D78" s="441"/>
      <c r="E78" s="94" t="s">
        <v>51</v>
      </c>
      <c r="F78" s="57">
        <v>66</v>
      </c>
      <c r="G78" s="5">
        <f t="shared" si="206"/>
        <v>217800</v>
      </c>
      <c r="H78" s="7">
        <f t="shared" si="207"/>
        <v>111.86440677966101</v>
      </c>
      <c r="I78" s="5">
        <f t="shared" si="206"/>
        <v>369152.54237288132</v>
      </c>
      <c r="J78" s="9">
        <v>0</v>
      </c>
      <c r="K78" s="21">
        <f t="shared" ref="K78:K145" si="237">SUM(L78:N78)</f>
        <v>0</v>
      </c>
      <c r="L78" s="21"/>
      <c r="M78" s="118"/>
      <c r="N78" s="95"/>
      <c r="O78" s="81">
        <f>$H$78*月別販売比率!C5</f>
        <v>7.9271874129583946</v>
      </c>
      <c r="P78" s="10">
        <f t="shared" si="107"/>
        <v>0</v>
      </c>
      <c r="Q78" s="21">
        <v>14</v>
      </c>
      <c r="R78" s="19">
        <f t="shared" si="208"/>
        <v>14</v>
      </c>
      <c r="S78" s="24">
        <f t="shared" si="209"/>
        <v>6.0728125870416054</v>
      </c>
      <c r="T78" s="81">
        <f>$H$78*月別販売比率!H5</f>
        <v>7.8305084745762716</v>
      </c>
      <c r="U78" s="10">
        <f t="shared" si="210"/>
        <v>0</v>
      </c>
      <c r="V78" s="21"/>
      <c r="W78" s="19">
        <f t="shared" si="211"/>
        <v>0</v>
      </c>
      <c r="X78" s="24">
        <f t="shared" si="212"/>
        <v>-7.8305084745762716</v>
      </c>
      <c r="Y78" s="81">
        <f>$H$78*月別販売比率!M5</f>
        <v>11.305429630781633</v>
      </c>
      <c r="Z78" s="10">
        <f t="shared" si="213"/>
        <v>0</v>
      </c>
      <c r="AA78" s="21"/>
      <c r="AB78" s="96">
        <f t="shared" si="199"/>
        <v>0</v>
      </c>
      <c r="AC78" s="24">
        <f t="shared" si="214"/>
        <v>-11.305429630781633</v>
      </c>
      <c r="AD78" s="81">
        <f>$H$78*月別販売比率!R5</f>
        <v>8.9491525423728806</v>
      </c>
      <c r="AE78" s="10">
        <f t="shared" si="215"/>
        <v>0</v>
      </c>
      <c r="AF78" s="21"/>
      <c r="AG78" s="40">
        <f t="shared" si="200"/>
        <v>0</v>
      </c>
      <c r="AH78" s="24">
        <f t="shared" si="216"/>
        <v>-8.9491525423728806</v>
      </c>
      <c r="AI78" s="81">
        <f>$H$78*月別販売比率!W5</f>
        <v>8.5203449858934022</v>
      </c>
      <c r="AJ78" s="10">
        <f t="shared" si="217"/>
        <v>0</v>
      </c>
      <c r="AK78" s="21"/>
      <c r="AL78" s="40">
        <f t="shared" si="201"/>
        <v>0</v>
      </c>
      <c r="AM78" s="24">
        <f t="shared" si="218"/>
        <v>-8.5203449858934022</v>
      </c>
      <c r="AN78" s="81">
        <f>$H$78*月別販売比率!AB5</f>
        <v>13.42372881355932</v>
      </c>
      <c r="AO78" s="10">
        <f t="shared" si="219"/>
        <v>0</v>
      </c>
      <c r="AP78" s="21"/>
      <c r="AQ78" s="40">
        <f t="shared" si="202"/>
        <v>0</v>
      </c>
      <c r="AR78" s="24">
        <f t="shared" si="220"/>
        <v>-13.42372881355932</v>
      </c>
      <c r="AS78" s="81">
        <f>$H$78*月別販売比率!AG5</f>
        <v>11.186440677966102</v>
      </c>
      <c r="AT78" s="10">
        <f t="shared" si="221"/>
        <v>0</v>
      </c>
      <c r="AU78" s="21"/>
      <c r="AV78" s="40">
        <f t="shared" si="203"/>
        <v>0</v>
      </c>
      <c r="AW78" s="24">
        <f t="shared" si="222"/>
        <v>-11.186440677966102</v>
      </c>
      <c r="AX78" s="81">
        <f>$H$78*月別販売比率!AL5</f>
        <v>10.067796610169491</v>
      </c>
      <c r="AY78" s="10">
        <f t="shared" si="223"/>
        <v>0</v>
      </c>
      <c r="AZ78" s="21"/>
      <c r="BA78" s="19">
        <f t="shared" si="224"/>
        <v>0</v>
      </c>
      <c r="BB78" s="24">
        <f t="shared" si="225"/>
        <v>-10.067796610169491</v>
      </c>
      <c r="BC78" s="81">
        <f>$H$78*月別販売比率!AQ5</f>
        <v>11.186440677966102</v>
      </c>
      <c r="BD78" s="10">
        <f t="shared" si="226"/>
        <v>0</v>
      </c>
      <c r="BE78" s="21"/>
      <c r="BF78" s="19">
        <f t="shared" si="227"/>
        <v>0</v>
      </c>
      <c r="BG78" s="24">
        <f t="shared" si="228"/>
        <v>-11.186440677966102</v>
      </c>
      <c r="BH78" s="81">
        <f>$H$78*月別販売比率!AV5</f>
        <v>6.8119131914713531</v>
      </c>
      <c r="BI78" s="10">
        <f t="shared" si="229"/>
        <v>0</v>
      </c>
      <c r="BJ78" s="21"/>
      <c r="BK78" s="19">
        <f t="shared" si="230"/>
        <v>0</v>
      </c>
      <c r="BL78" s="24">
        <f t="shared" si="231"/>
        <v>-6.8119131914713531</v>
      </c>
      <c r="BM78" s="81">
        <f>$H$78*月別販売比率!BA5</f>
        <v>6.2222474009035942</v>
      </c>
      <c r="BN78" s="10">
        <f t="shared" si="232"/>
        <v>0</v>
      </c>
      <c r="BO78" s="21"/>
      <c r="BP78" s="19">
        <f t="shared" ref="BP78:BP85" si="238">K78+BO78</f>
        <v>0</v>
      </c>
      <c r="BQ78" s="24">
        <f t="shared" si="233"/>
        <v>-6.2222474009035942</v>
      </c>
      <c r="BR78" s="81">
        <f>$H$78*月別販売比率!BF5</f>
        <v>8.9491525423728806</v>
      </c>
      <c r="BS78" s="10">
        <f t="shared" si="234"/>
        <v>0</v>
      </c>
      <c r="BT78" s="21"/>
      <c r="BU78" s="19">
        <f t="shared" si="235"/>
        <v>0</v>
      </c>
      <c r="BV78" s="24">
        <f t="shared" si="236"/>
        <v>-8.9491525423728806</v>
      </c>
      <c r="BW78" s="158">
        <f t="shared" si="204"/>
        <v>14</v>
      </c>
      <c r="BX78" s="29">
        <f t="shared" si="205"/>
        <v>-97.86440677966101</v>
      </c>
    </row>
    <row r="79" spans="2:76" ht="30.75" customHeight="1">
      <c r="C79" s="504"/>
      <c r="D79" s="441"/>
      <c r="E79" s="94" t="s">
        <v>49</v>
      </c>
      <c r="F79" s="57">
        <v>70</v>
      </c>
      <c r="G79" s="5">
        <f t="shared" si="206"/>
        <v>231000</v>
      </c>
      <c r="H79" s="7">
        <f t="shared" si="207"/>
        <v>118.64406779661016</v>
      </c>
      <c r="I79" s="5">
        <f t="shared" si="206"/>
        <v>391525.42372881353</v>
      </c>
      <c r="J79" s="9">
        <v>1</v>
      </c>
      <c r="K79" s="21">
        <f t="shared" si="237"/>
        <v>0</v>
      </c>
      <c r="L79" s="21"/>
      <c r="M79" s="118"/>
      <c r="N79" s="95"/>
      <c r="O79" s="81">
        <f>$H$79*月別販売比率!C5</f>
        <v>8.407623013743752</v>
      </c>
      <c r="P79" s="10">
        <f t="shared" si="107"/>
        <v>0</v>
      </c>
      <c r="Q79" s="21">
        <v>24</v>
      </c>
      <c r="R79" s="19">
        <f t="shared" si="208"/>
        <v>24</v>
      </c>
      <c r="S79" s="24">
        <f t="shared" si="209"/>
        <v>15.592376986256248</v>
      </c>
      <c r="T79" s="81">
        <f>$H$79*月別販売比率!H5</f>
        <v>8.3050847457627111</v>
      </c>
      <c r="U79" s="10">
        <f t="shared" si="210"/>
        <v>0</v>
      </c>
      <c r="V79" s="21"/>
      <c r="W79" s="19">
        <f t="shared" si="211"/>
        <v>0</v>
      </c>
      <c r="X79" s="24">
        <f t="shared" si="212"/>
        <v>-8.3050847457627111</v>
      </c>
      <c r="Y79" s="81">
        <f>$H$79*月別販売比率!M5</f>
        <v>11.990607184162338</v>
      </c>
      <c r="Z79" s="10">
        <f t="shared" si="213"/>
        <v>0</v>
      </c>
      <c r="AA79" s="21"/>
      <c r="AB79" s="96">
        <f t="shared" si="199"/>
        <v>0</v>
      </c>
      <c r="AC79" s="24">
        <f t="shared" si="214"/>
        <v>-11.990607184162338</v>
      </c>
      <c r="AD79" s="81">
        <f>$H$79*月別販売比率!R5</f>
        <v>9.4915254237288131</v>
      </c>
      <c r="AE79" s="10">
        <f t="shared" si="215"/>
        <v>0</v>
      </c>
      <c r="AF79" s="21"/>
      <c r="AG79" s="40">
        <f t="shared" si="200"/>
        <v>0</v>
      </c>
      <c r="AH79" s="24">
        <f t="shared" si="216"/>
        <v>-9.4915254237288131</v>
      </c>
      <c r="AI79" s="81">
        <f>$H$79*月別販売比率!W5</f>
        <v>9.0367295304930035</v>
      </c>
      <c r="AJ79" s="10">
        <f t="shared" si="217"/>
        <v>0</v>
      </c>
      <c r="AK79" s="21"/>
      <c r="AL79" s="40">
        <f t="shared" si="201"/>
        <v>0</v>
      </c>
      <c r="AM79" s="24">
        <f t="shared" si="218"/>
        <v>-9.0367295304930035</v>
      </c>
      <c r="AN79" s="81">
        <f>$H$79*月別販売比率!AB5</f>
        <v>14.237288135593218</v>
      </c>
      <c r="AO79" s="10">
        <f t="shared" si="219"/>
        <v>0</v>
      </c>
      <c r="AP79" s="21"/>
      <c r="AQ79" s="40">
        <f t="shared" si="202"/>
        <v>0</v>
      </c>
      <c r="AR79" s="24">
        <f t="shared" si="220"/>
        <v>-14.237288135593218</v>
      </c>
      <c r="AS79" s="81">
        <f>$H$79*月別販売比率!AG5</f>
        <v>11.864406779661017</v>
      </c>
      <c r="AT79" s="10">
        <f t="shared" si="221"/>
        <v>0</v>
      </c>
      <c r="AU79" s="21"/>
      <c r="AV79" s="40">
        <f t="shared" si="203"/>
        <v>0</v>
      </c>
      <c r="AW79" s="24">
        <f t="shared" si="222"/>
        <v>-11.864406779661017</v>
      </c>
      <c r="AX79" s="81">
        <f>$H$79*月別販売比率!AL5</f>
        <v>10.677966101694913</v>
      </c>
      <c r="AY79" s="10">
        <f t="shared" si="223"/>
        <v>0</v>
      </c>
      <c r="AZ79" s="21"/>
      <c r="BA79" s="19">
        <f t="shared" si="224"/>
        <v>0</v>
      </c>
      <c r="BB79" s="24">
        <f t="shared" si="225"/>
        <v>-10.677966101694913</v>
      </c>
      <c r="BC79" s="81">
        <f>$H$79*月別販売比率!AQ5</f>
        <v>11.864406779661017</v>
      </c>
      <c r="BD79" s="10">
        <f t="shared" si="226"/>
        <v>0</v>
      </c>
      <c r="BE79" s="21"/>
      <c r="BF79" s="19">
        <f t="shared" si="227"/>
        <v>0</v>
      </c>
      <c r="BG79" s="24">
        <f t="shared" si="228"/>
        <v>-11.864406779661017</v>
      </c>
      <c r="BH79" s="81">
        <f>$H$79*月別販売比率!AV5</f>
        <v>7.2247564151968895</v>
      </c>
      <c r="BI79" s="10">
        <f t="shared" si="229"/>
        <v>0</v>
      </c>
      <c r="BJ79" s="21"/>
      <c r="BK79" s="19">
        <f t="shared" si="230"/>
        <v>0</v>
      </c>
      <c r="BL79" s="24">
        <f t="shared" si="231"/>
        <v>-7.2247564151968895</v>
      </c>
      <c r="BM79" s="81">
        <f>$H$79*月別販売比率!BA5</f>
        <v>6.5993533039886598</v>
      </c>
      <c r="BN79" s="10">
        <f t="shared" si="232"/>
        <v>0</v>
      </c>
      <c r="BO79" s="21"/>
      <c r="BP79" s="19">
        <f t="shared" si="238"/>
        <v>0</v>
      </c>
      <c r="BQ79" s="24">
        <f t="shared" si="233"/>
        <v>-6.5993533039886598</v>
      </c>
      <c r="BR79" s="81">
        <f>$H$79*月別販売比率!BF5</f>
        <v>9.4915254237288131</v>
      </c>
      <c r="BS79" s="10">
        <f t="shared" si="234"/>
        <v>0</v>
      </c>
      <c r="BT79" s="21"/>
      <c r="BU79" s="19">
        <f t="shared" si="235"/>
        <v>0</v>
      </c>
      <c r="BV79" s="24">
        <f t="shared" si="236"/>
        <v>-9.4915254237288131</v>
      </c>
      <c r="BW79" s="158">
        <f t="shared" si="204"/>
        <v>24</v>
      </c>
      <c r="BX79" s="29">
        <f t="shared" si="205"/>
        <v>-94.644067796610159</v>
      </c>
    </row>
    <row r="80" spans="2:76" ht="30.75" customHeight="1">
      <c r="C80" s="504"/>
      <c r="D80" s="442"/>
      <c r="E80" s="94" t="s">
        <v>50</v>
      </c>
      <c r="F80" s="57">
        <v>44</v>
      </c>
      <c r="G80" s="5">
        <f t="shared" si="206"/>
        <v>145200</v>
      </c>
      <c r="H80" s="7">
        <f t="shared" si="207"/>
        <v>74.576271186440678</v>
      </c>
      <c r="I80" s="5">
        <f t="shared" si="206"/>
        <v>246101.69491525425</v>
      </c>
      <c r="J80" s="9">
        <v>0</v>
      </c>
      <c r="K80" s="21">
        <f t="shared" si="237"/>
        <v>9</v>
      </c>
      <c r="L80" s="21">
        <v>9</v>
      </c>
      <c r="M80" s="118"/>
      <c r="N80" s="95"/>
      <c r="O80" s="81">
        <f>$H$80*月別販売比率!C5</f>
        <v>5.2847916086389306</v>
      </c>
      <c r="P80" s="10">
        <f t="shared" si="107"/>
        <v>9</v>
      </c>
      <c r="Q80" s="21">
        <v>24</v>
      </c>
      <c r="R80" s="19">
        <f t="shared" si="208"/>
        <v>33</v>
      </c>
      <c r="S80" s="24">
        <f t="shared" si="209"/>
        <v>27.71520839136107</v>
      </c>
      <c r="T80" s="81">
        <f>$H$80*月別販売比率!H5</f>
        <v>5.2203389830508478</v>
      </c>
      <c r="U80" s="10">
        <f t="shared" si="210"/>
        <v>9</v>
      </c>
      <c r="V80" s="21"/>
      <c r="W80" s="19">
        <f t="shared" si="211"/>
        <v>9</v>
      </c>
      <c r="X80" s="24">
        <f t="shared" si="212"/>
        <v>3.7796610169491522</v>
      </c>
      <c r="Y80" s="81">
        <f>$H$80*月別販売比率!M5</f>
        <v>7.5369530871877561</v>
      </c>
      <c r="Z80" s="10">
        <f t="shared" si="213"/>
        <v>9</v>
      </c>
      <c r="AA80" s="21"/>
      <c r="AB80" s="96">
        <f t="shared" si="199"/>
        <v>9</v>
      </c>
      <c r="AC80" s="24">
        <f t="shared" si="214"/>
        <v>1.4630469128122439</v>
      </c>
      <c r="AD80" s="81">
        <f>$H$80*月別販売比率!R5</f>
        <v>5.9661016949152543</v>
      </c>
      <c r="AE80" s="10">
        <f t="shared" si="215"/>
        <v>9</v>
      </c>
      <c r="AF80" s="21"/>
      <c r="AG80" s="40">
        <f t="shared" si="200"/>
        <v>9</v>
      </c>
      <c r="AH80" s="24">
        <f t="shared" si="216"/>
        <v>3.0338983050847457</v>
      </c>
      <c r="AI80" s="81">
        <f>$H$80*月別販売比率!W5</f>
        <v>5.6802299905956026</v>
      </c>
      <c r="AJ80" s="10">
        <f t="shared" si="217"/>
        <v>9</v>
      </c>
      <c r="AK80" s="21"/>
      <c r="AL80" s="40">
        <f t="shared" si="201"/>
        <v>9</v>
      </c>
      <c r="AM80" s="24">
        <f t="shared" si="218"/>
        <v>3.3197700094043974</v>
      </c>
      <c r="AN80" s="81">
        <f>$H$80*月別販売比率!AB5</f>
        <v>8.9491525423728806</v>
      </c>
      <c r="AO80" s="10">
        <f t="shared" si="219"/>
        <v>9</v>
      </c>
      <c r="AP80" s="21"/>
      <c r="AQ80" s="40">
        <f t="shared" si="202"/>
        <v>9</v>
      </c>
      <c r="AR80" s="24">
        <f t="shared" si="220"/>
        <v>5.0847457627119397E-2</v>
      </c>
      <c r="AS80" s="81">
        <f>$H$80*月別販売比率!AG5</f>
        <v>7.4576271186440684</v>
      </c>
      <c r="AT80" s="10">
        <f t="shared" si="221"/>
        <v>9</v>
      </c>
      <c r="AU80" s="21"/>
      <c r="AV80" s="40">
        <f t="shared" si="203"/>
        <v>9</v>
      </c>
      <c r="AW80" s="24">
        <f t="shared" si="222"/>
        <v>1.5423728813559316</v>
      </c>
      <c r="AX80" s="81">
        <f>$H$80*月別販売比率!AL5</f>
        <v>6.7118644067796609</v>
      </c>
      <c r="AY80" s="10">
        <f t="shared" si="223"/>
        <v>9</v>
      </c>
      <c r="AZ80" s="21"/>
      <c r="BA80" s="19">
        <f t="shared" si="224"/>
        <v>9</v>
      </c>
      <c r="BB80" s="24">
        <f t="shared" si="225"/>
        <v>2.2881355932203391</v>
      </c>
      <c r="BC80" s="81">
        <f>$H$80*月別販売比率!AQ5</f>
        <v>7.4576271186440684</v>
      </c>
      <c r="BD80" s="10">
        <f t="shared" si="226"/>
        <v>9</v>
      </c>
      <c r="BE80" s="21"/>
      <c r="BF80" s="19">
        <f t="shared" si="227"/>
        <v>9</v>
      </c>
      <c r="BG80" s="24">
        <f t="shared" si="228"/>
        <v>1.5423728813559316</v>
      </c>
      <c r="BH80" s="81">
        <f>$H$80*月別販売比率!AV5</f>
        <v>4.5412754609809021</v>
      </c>
      <c r="BI80" s="10">
        <f t="shared" si="229"/>
        <v>9</v>
      </c>
      <c r="BJ80" s="21"/>
      <c r="BK80" s="19">
        <f t="shared" si="230"/>
        <v>9</v>
      </c>
      <c r="BL80" s="24">
        <f t="shared" si="231"/>
        <v>4.4587245390190979</v>
      </c>
      <c r="BM80" s="81">
        <f>$H$80*月別販売比率!BA5</f>
        <v>4.1481649339357292</v>
      </c>
      <c r="BN80" s="10">
        <f t="shared" si="232"/>
        <v>9</v>
      </c>
      <c r="BO80" s="21"/>
      <c r="BP80" s="19">
        <f t="shared" si="238"/>
        <v>9</v>
      </c>
      <c r="BQ80" s="24">
        <f t="shared" si="233"/>
        <v>4.8518350660642708</v>
      </c>
      <c r="BR80" s="81">
        <f>$H$80*月別販売比率!BF5</f>
        <v>5.9661016949152543</v>
      </c>
      <c r="BS80" s="10">
        <f t="shared" si="234"/>
        <v>9</v>
      </c>
      <c r="BT80" s="21"/>
      <c r="BU80" s="19">
        <f t="shared" si="235"/>
        <v>9</v>
      </c>
      <c r="BV80" s="24">
        <f t="shared" si="236"/>
        <v>3.0338983050847457</v>
      </c>
      <c r="BW80" s="158">
        <f t="shared" si="204"/>
        <v>33</v>
      </c>
      <c r="BX80" s="29">
        <f t="shared" si="205"/>
        <v>-41.576271186440678</v>
      </c>
    </row>
    <row r="81" spans="2:76" ht="30.75" customHeight="1">
      <c r="C81" s="504"/>
      <c r="D81" s="443">
        <v>2</v>
      </c>
      <c r="E81" s="94" t="s">
        <v>46</v>
      </c>
      <c r="F81" s="57">
        <v>97</v>
      </c>
      <c r="G81" s="5">
        <f t="shared" si="206"/>
        <v>320100</v>
      </c>
      <c r="H81" s="7">
        <f t="shared" si="207"/>
        <v>164.40677966101694</v>
      </c>
      <c r="I81" s="5">
        <f t="shared" si="206"/>
        <v>542542.37288135593</v>
      </c>
      <c r="J81" s="9">
        <v>0</v>
      </c>
      <c r="K81" s="21">
        <f t="shared" si="237"/>
        <v>0</v>
      </c>
      <c r="L81" s="21"/>
      <c r="M81" s="118"/>
      <c r="N81" s="95"/>
      <c r="O81" s="81">
        <f>$H$81*月別販売比率!C5</f>
        <v>11.650563319044913</v>
      </c>
      <c r="P81" s="10">
        <f t="shared" si="107"/>
        <v>0</v>
      </c>
      <c r="Q81" s="21">
        <v>24</v>
      </c>
      <c r="R81" s="19">
        <f t="shared" si="208"/>
        <v>24</v>
      </c>
      <c r="S81" s="24">
        <f t="shared" si="209"/>
        <v>12.349436680955087</v>
      </c>
      <c r="T81" s="81">
        <f>$H$81*月別販売比率!H5</f>
        <v>11.508474576271187</v>
      </c>
      <c r="U81" s="10">
        <f t="shared" si="210"/>
        <v>0</v>
      </c>
      <c r="V81" s="21"/>
      <c r="W81" s="19">
        <f t="shared" si="211"/>
        <v>0</v>
      </c>
      <c r="X81" s="24">
        <f t="shared" si="212"/>
        <v>-11.508474576271187</v>
      </c>
      <c r="Y81" s="81">
        <f>$H$81*月別販売比率!M5</f>
        <v>16.615555669482099</v>
      </c>
      <c r="Z81" s="10">
        <f t="shared" si="213"/>
        <v>0</v>
      </c>
      <c r="AA81" s="21"/>
      <c r="AB81" s="96">
        <f t="shared" si="199"/>
        <v>0</v>
      </c>
      <c r="AC81" s="24">
        <f t="shared" si="214"/>
        <v>-16.615555669482099</v>
      </c>
      <c r="AD81" s="81">
        <f>$H$81*月別販売比率!R5</f>
        <v>13.152542372881356</v>
      </c>
      <c r="AE81" s="10">
        <f t="shared" si="215"/>
        <v>0</v>
      </c>
      <c r="AF81" s="21"/>
      <c r="AG81" s="40">
        <f t="shared" si="200"/>
        <v>0</v>
      </c>
      <c r="AH81" s="24">
        <f t="shared" si="216"/>
        <v>-13.152542372881356</v>
      </c>
      <c r="AI81" s="81">
        <f>$H$81*月別販売比率!W5</f>
        <v>12.522325206540305</v>
      </c>
      <c r="AJ81" s="10">
        <f t="shared" si="217"/>
        <v>0</v>
      </c>
      <c r="AK81" s="21"/>
      <c r="AL81" s="40">
        <f t="shared" si="201"/>
        <v>0</v>
      </c>
      <c r="AM81" s="24">
        <f t="shared" si="218"/>
        <v>-12.522325206540305</v>
      </c>
      <c r="AN81" s="81">
        <f>$H$81*月別販売比率!AB5</f>
        <v>19.728813559322031</v>
      </c>
      <c r="AO81" s="10">
        <f t="shared" si="219"/>
        <v>0</v>
      </c>
      <c r="AP81" s="21"/>
      <c r="AQ81" s="40">
        <f t="shared" si="202"/>
        <v>0</v>
      </c>
      <c r="AR81" s="24">
        <f t="shared" si="220"/>
        <v>-19.728813559322031</v>
      </c>
      <c r="AS81" s="81">
        <f>$H$81*月別販売比率!AG5</f>
        <v>16.440677966101696</v>
      </c>
      <c r="AT81" s="10">
        <f t="shared" si="221"/>
        <v>0</v>
      </c>
      <c r="AU81" s="21"/>
      <c r="AV81" s="40">
        <f t="shared" si="203"/>
        <v>0</v>
      </c>
      <c r="AW81" s="24">
        <f t="shared" si="222"/>
        <v>-16.440677966101696</v>
      </c>
      <c r="AX81" s="81">
        <f>$H$81*月別販売比率!AL5</f>
        <v>14.796610169491524</v>
      </c>
      <c r="AY81" s="10">
        <f t="shared" si="223"/>
        <v>0</v>
      </c>
      <c r="AZ81" s="21"/>
      <c r="BA81" s="19">
        <f t="shared" si="224"/>
        <v>0</v>
      </c>
      <c r="BB81" s="24">
        <f t="shared" si="225"/>
        <v>-14.796610169491524</v>
      </c>
      <c r="BC81" s="81">
        <f>$H$81*月別販売比率!AQ5</f>
        <v>16.440677966101696</v>
      </c>
      <c r="BD81" s="10">
        <f t="shared" si="226"/>
        <v>0</v>
      </c>
      <c r="BE81" s="21"/>
      <c r="BF81" s="19">
        <f t="shared" si="227"/>
        <v>0</v>
      </c>
      <c r="BG81" s="24">
        <f t="shared" si="228"/>
        <v>-16.440677966101696</v>
      </c>
      <c r="BH81" s="81">
        <f>$H$81*月別販売比率!AV5</f>
        <v>10.011448175344261</v>
      </c>
      <c r="BI81" s="10">
        <f t="shared" si="229"/>
        <v>0</v>
      </c>
      <c r="BJ81" s="21"/>
      <c r="BK81" s="19">
        <f t="shared" si="230"/>
        <v>0</v>
      </c>
      <c r="BL81" s="24">
        <f t="shared" si="231"/>
        <v>-10.011448175344261</v>
      </c>
      <c r="BM81" s="81">
        <f>$H$81*月別販売比率!BA5</f>
        <v>9.144818149812858</v>
      </c>
      <c r="BN81" s="10">
        <f t="shared" si="232"/>
        <v>0</v>
      </c>
      <c r="BO81" s="21"/>
      <c r="BP81" s="19">
        <f t="shared" si="238"/>
        <v>0</v>
      </c>
      <c r="BQ81" s="24">
        <f t="shared" si="233"/>
        <v>-9.144818149812858</v>
      </c>
      <c r="BR81" s="81">
        <f>$H$81*月別販売比率!BF5</f>
        <v>13.152542372881356</v>
      </c>
      <c r="BS81" s="10">
        <f t="shared" si="234"/>
        <v>0</v>
      </c>
      <c r="BT81" s="21"/>
      <c r="BU81" s="19">
        <f t="shared" si="235"/>
        <v>0</v>
      </c>
      <c r="BV81" s="24">
        <f t="shared" si="236"/>
        <v>-13.152542372881356</v>
      </c>
      <c r="BW81" s="158">
        <f t="shared" si="204"/>
        <v>24</v>
      </c>
      <c r="BX81" s="29">
        <f t="shared" si="205"/>
        <v>-140.40677966101694</v>
      </c>
    </row>
    <row r="82" spans="2:76" ht="30.75" customHeight="1">
      <c r="C82" s="504"/>
      <c r="D82" s="441"/>
      <c r="E82" s="94" t="s">
        <v>47</v>
      </c>
      <c r="F82" s="57">
        <v>78</v>
      </c>
      <c r="G82" s="5">
        <f t="shared" si="206"/>
        <v>257400</v>
      </c>
      <c r="H82" s="7">
        <f t="shared" si="207"/>
        <v>132.20338983050846</v>
      </c>
      <c r="I82" s="5">
        <f t="shared" si="206"/>
        <v>436271.18644067791</v>
      </c>
      <c r="J82" s="9">
        <v>0</v>
      </c>
      <c r="K82" s="21">
        <f t="shared" si="237"/>
        <v>0</v>
      </c>
      <c r="L82" s="21"/>
      <c r="M82" s="118"/>
      <c r="N82" s="95"/>
      <c r="O82" s="81">
        <f>$H$82*月別販売比率!C5</f>
        <v>9.3684942153144668</v>
      </c>
      <c r="P82" s="10">
        <f t="shared" si="107"/>
        <v>0</v>
      </c>
      <c r="Q82" s="21">
        <v>14</v>
      </c>
      <c r="R82" s="19">
        <f t="shared" si="208"/>
        <v>14</v>
      </c>
      <c r="S82" s="24">
        <f t="shared" si="209"/>
        <v>4.6315057846855332</v>
      </c>
      <c r="T82" s="81">
        <f>$H$82*月別販売比率!H5</f>
        <v>9.2542372881355934</v>
      </c>
      <c r="U82" s="10">
        <f t="shared" si="210"/>
        <v>0</v>
      </c>
      <c r="V82" s="21"/>
      <c r="W82" s="19">
        <f t="shared" si="211"/>
        <v>0</v>
      </c>
      <c r="X82" s="24">
        <f t="shared" si="212"/>
        <v>-9.2542372881355934</v>
      </c>
      <c r="Y82" s="81">
        <f>$H$82*月別販売比率!M5</f>
        <v>13.360962290923748</v>
      </c>
      <c r="Z82" s="10">
        <f t="shared" si="213"/>
        <v>0</v>
      </c>
      <c r="AA82" s="21"/>
      <c r="AB82" s="96">
        <f t="shared" si="199"/>
        <v>0</v>
      </c>
      <c r="AC82" s="24">
        <f t="shared" si="214"/>
        <v>-13.360962290923748</v>
      </c>
      <c r="AD82" s="81">
        <f>$H$82*月別販売比率!R5</f>
        <v>10.576271186440676</v>
      </c>
      <c r="AE82" s="10">
        <f t="shared" si="215"/>
        <v>0</v>
      </c>
      <c r="AF82" s="21"/>
      <c r="AG82" s="40">
        <f t="shared" si="200"/>
        <v>0</v>
      </c>
      <c r="AH82" s="24">
        <f t="shared" si="216"/>
        <v>-10.576271186440676</v>
      </c>
      <c r="AI82" s="81">
        <f>$H$82*月別販売比率!W5</f>
        <v>10.069498619692203</v>
      </c>
      <c r="AJ82" s="10">
        <f t="shared" si="217"/>
        <v>0</v>
      </c>
      <c r="AK82" s="21"/>
      <c r="AL82" s="40">
        <f t="shared" si="201"/>
        <v>0</v>
      </c>
      <c r="AM82" s="24">
        <f t="shared" si="218"/>
        <v>-10.069498619692203</v>
      </c>
      <c r="AN82" s="81">
        <f>$H$82*月別販売比率!AB5</f>
        <v>15.864406779661014</v>
      </c>
      <c r="AO82" s="10">
        <f t="shared" si="219"/>
        <v>0</v>
      </c>
      <c r="AP82" s="21"/>
      <c r="AQ82" s="40">
        <f t="shared" si="202"/>
        <v>0</v>
      </c>
      <c r="AR82" s="24">
        <f t="shared" si="220"/>
        <v>-15.864406779661014</v>
      </c>
      <c r="AS82" s="81">
        <f>$H$82*月別販売比率!AG5</f>
        <v>13.220338983050846</v>
      </c>
      <c r="AT82" s="10">
        <f t="shared" si="221"/>
        <v>0</v>
      </c>
      <c r="AU82" s="21"/>
      <c r="AV82" s="40">
        <f t="shared" si="203"/>
        <v>0</v>
      </c>
      <c r="AW82" s="24">
        <f t="shared" si="222"/>
        <v>-13.220338983050846</v>
      </c>
      <c r="AX82" s="81">
        <f>$H$82*月別販売比率!AL5</f>
        <v>11.898305084745761</v>
      </c>
      <c r="AY82" s="10">
        <f t="shared" si="223"/>
        <v>0</v>
      </c>
      <c r="AZ82" s="21"/>
      <c r="BA82" s="19">
        <f t="shared" si="224"/>
        <v>0</v>
      </c>
      <c r="BB82" s="24">
        <f t="shared" si="225"/>
        <v>-11.898305084745761</v>
      </c>
      <c r="BC82" s="81">
        <f>$H$82*月別販売比率!AQ5</f>
        <v>13.220338983050846</v>
      </c>
      <c r="BD82" s="10">
        <f t="shared" si="226"/>
        <v>0</v>
      </c>
      <c r="BE82" s="21"/>
      <c r="BF82" s="19">
        <f t="shared" si="227"/>
        <v>0</v>
      </c>
      <c r="BG82" s="24">
        <f t="shared" si="228"/>
        <v>-13.220338983050846</v>
      </c>
      <c r="BH82" s="81">
        <f>$H$82*月別販売比率!AV5</f>
        <v>8.0504428626479623</v>
      </c>
      <c r="BI82" s="10">
        <f t="shared" si="229"/>
        <v>0</v>
      </c>
      <c r="BJ82" s="21"/>
      <c r="BK82" s="19">
        <f t="shared" si="230"/>
        <v>0</v>
      </c>
      <c r="BL82" s="24">
        <f t="shared" si="231"/>
        <v>-8.0504428626479623</v>
      </c>
      <c r="BM82" s="81">
        <f>$H$82*月別販売比率!BA5</f>
        <v>7.353565110158792</v>
      </c>
      <c r="BN82" s="10">
        <f t="shared" si="232"/>
        <v>0</v>
      </c>
      <c r="BO82" s="21"/>
      <c r="BP82" s="19">
        <f t="shared" si="238"/>
        <v>0</v>
      </c>
      <c r="BQ82" s="24">
        <f t="shared" si="233"/>
        <v>-7.353565110158792</v>
      </c>
      <c r="BR82" s="81">
        <f>$H$82*月別販売比率!BF5</f>
        <v>10.576271186440676</v>
      </c>
      <c r="BS82" s="10">
        <f t="shared" si="234"/>
        <v>0</v>
      </c>
      <c r="BT82" s="21"/>
      <c r="BU82" s="19">
        <f t="shared" si="235"/>
        <v>0</v>
      </c>
      <c r="BV82" s="24">
        <f t="shared" si="236"/>
        <v>-10.576271186440676</v>
      </c>
      <c r="BW82" s="158">
        <f t="shared" si="204"/>
        <v>14</v>
      </c>
      <c r="BX82" s="29">
        <f t="shared" si="205"/>
        <v>-118.20338983050846</v>
      </c>
    </row>
    <row r="83" spans="2:76" ht="30.75" customHeight="1">
      <c r="C83" s="504"/>
      <c r="D83" s="441"/>
      <c r="E83" s="94" t="s">
        <v>51</v>
      </c>
      <c r="F83" s="57">
        <v>63</v>
      </c>
      <c r="G83" s="5">
        <f t="shared" si="206"/>
        <v>207900</v>
      </c>
      <c r="H83" s="7">
        <f t="shared" si="207"/>
        <v>106.77966101694915</v>
      </c>
      <c r="I83" s="5">
        <f t="shared" si="206"/>
        <v>352372.88135593222</v>
      </c>
      <c r="J83" s="9">
        <v>1</v>
      </c>
      <c r="K83" s="21">
        <f t="shared" si="237"/>
        <v>0</v>
      </c>
      <c r="L83" s="21"/>
      <c r="M83" s="118"/>
      <c r="N83" s="95"/>
      <c r="O83" s="81">
        <f>$H$83*月別販売比率!C5</f>
        <v>7.566860712369377</v>
      </c>
      <c r="P83" s="10">
        <f t="shared" si="107"/>
        <v>0</v>
      </c>
      <c r="Q83" s="21">
        <v>14</v>
      </c>
      <c r="R83" s="19">
        <f t="shared" si="208"/>
        <v>14</v>
      </c>
      <c r="S83" s="24">
        <f t="shared" si="209"/>
        <v>6.433139287630623</v>
      </c>
      <c r="T83" s="81">
        <f>$H$83*月別販売比率!H5</f>
        <v>7.4745762711864412</v>
      </c>
      <c r="U83" s="10">
        <f t="shared" si="210"/>
        <v>0</v>
      </c>
      <c r="V83" s="21"/>
      <c r="W83" s="19">
        <f t="shared" si="211"/>
        <v>0</v>
      </c>
      <c r="X83" s="24">
        <f t="shared" si="212"/>
        <v>-7.4745762711864412</v>
      </c>
      <c r="Y83" s="81">
        <f>$H$83*月別販売比率!M5</f>
        <v>10.791546465746105</v>
      </c>
      <c r="Z83" s="10">
        <f t="shared" si="213"/>
        <v>0</v>
      </c>
      <c r="AA83" s="21"/>
      <c r="AB83" s="96">
        <f t="shared" si="199"/>
        <v>0</v>
      </c>
      <c r="AC83" s="24">
        <f t="shared" si="214"/>
        <v>-10.791546465746105</v>
      </c>
      <c r="AD83" s="81">
        <f>$H$83*月別販売比率!R5</f>
        <v>8.5423728813559325</v>
      </c>
      <c r="AE83" s="10">
        <f t="shared" si="215"/>
        <v>0</v>
      </c>
      <c r="AF83" s="21"/>
      <c r="AG83" s="40">
        <f t="shared" si="200"/>
        <v>0</v>
      </c>
      <c r="AH83" s="24">
        <f t="shared" si="216"/>
        <v>-8.5423728813559325</v>
      </c>
      <c r="AI83" s="81">
        <f>$H$83*月別販売比率!W5</f>
        <v>8.1330565774437034</v>
      </c>
      <c r="AJ83" s="10">
        <f t="shared" si="217"/>
        <v>0</v>
      </c>
      <c r="AK83" s="21"/>
      <c r="AL83" s="40">
        <f t="shared" si="201"/>
        <v>0</v>
      </c>
      <c r="AM83" s="24">
        <f t="shared" si="218"/>
        <v>-8.1330565774437034</v>
      </c>
      <c r="AN83" s="81">
        <f>$H$83*月別販売比率!AB5</f>
        <v>12.813559322033898</v>
      </c>
      <c r="AO83" s="10">
        <f t="shared" si="219"/>
        <v>0</v>
      </c>
      <c r="AP83" s="21"/>
      <c r="AQ83" s="40">
        <f t="shared" si="202"/>
        <v>0</v>
      </c>
      <c r="AR83" s="24">
        <f t="shared" si="220"/>
        <v>-12.813559322033898</v>
      </c>
      <c r="AS83" s="81">
        <f>$H$83*月別販売比率!AG5</f>
        <v>10.677966101694915</v>
      </c>
      <c r="AT83" s="10">
        <f t="shared" si="221"/>
        <v>0</v>
      </c>
      <c r="AU83" s="21"/>
      <c r="AV83" s="40">
        <f t="shared" si="203"/>
        <v>0</v>
      </c>
      <c r="AW83" s="24">
        <f t="shared" si="222"/>
        <v>-10.677966101694915</v>
      </c>
      <c r="AX83" s="81">
        <f>$H$83*月別販売比率!AL5</f>
        <v>9.6101694915254239</v>
      </c>
      <c r="AY83" s="10">
        <f t="shared" si="223"/>
        <v>0</v>
      </c>
      <c r="AZ83" s="21"/>
      <c r="BA83" s="19">
        <f t="shared" si="224"/>
        <v>0</v>
      </c>
      <c r="BB83" s="24">
        <f t="shared" si="225"/>
        <v>-9.6101694915254239</v>
      </c>
      <c r="BC83" s="81">
        <f>$H$83*月別販売比率!AQ5</f>
        <v>10.677966101694915</v>
      </c>
      <c r="BD83" s="10">
        <f t="shared" si="226"/>
        <v>0</v>
      </c>
      <c r="BE83" s="21"/>
      <c r="BF83" s="19">
        <f t="shared" si="227"/>
        <v>0</v>
      </c>
      <c r="BG83" s="24">
        <f t="shared" si="228"/>
        <v>-10.677966101694915</v>
      </c>
      <c r="BH83" s="81">
        <f>$H$83*月別販売比率!AV5</f>
        <v>6.5022807736772004</v>
      </c>
      <c r="BI83" s="10">
        <f t="shared" si="229"/>
        <v>0</v>
      </c>
      <c r="BJ83" s="21"/>
      <c r="BK83" s="19">
        <f t="shared" si="230"/>
        <v>0</v>
      </c>
      <c r="BL83" s="24">
        <f t="shared" si="231"/>
        <v>-6.5022807736772004</v>
      </c>
      <c r="BM83" s="81">
        <f>$H$83*月別販売比率!BA5</f>
        <v>5.9394179735897943</v>
      </c>
      <c r="BN83" s="10">
        <f t="shared" si="232"/>
        <v>0</v>
      </c>
      <c r="BO83" s="21"/>
      <c r="BP83" s="19">
        <f t="shared" si="238"/>
        <v>0</v>
      </c>
      <c r="BQ83" s="24">
        <f t="shared" si="233"/>
        <v>-5.9394179735897943</v>
      </c>
      <c r="BR83" s="81">
        <f>$H$83*月別販売比率!BF5</f>
        <v>8.5423728813559325</v>
      </c>
      <c r="BS83" s="10">
        <f t="shared" si="234"/>
        <v>0</v>
      </c>
      <c r="BT83" s="21"/>
      <c r="BU83" s="19">
        <f t="shared" si="235"/>
        <v>0</v>
      </c>
      <c r="BV83" s="24">
        <f t="shared" si="236"/>
        <v>-8.5423728813559325</v>
      </c>
      <c r="BW83" s="158">
        <f t="shared" si="204"/>
        <v>14</v>
      </c>
      <c r="BX83" s="29">
        <f t="shared" si="205"/>
        <v>-92.779661016949149</v>
      </c>
    </row>
    <row r="84" spans="2:76" ht="30.75" customHeight="1">
      <c r="C84" s="504"/>
      <c r="D84" s="441"/>
      <c r="E84" s="94" t="s">
        <v>49</v>
      </c>
      <c r="F84" s="57">
        <v>69</v>
      </c>
      <c r="G84" s="5">
        <f t="shared" si="206"/>
        <v>227700</v>
      </c>
      <c r="H84" s="7">
        <f t="shared" si="207"/>
        <v>116.94915254237287</v>
      </c>
      <c r="I84" s="5">
        <f t="shared" si="206"/>
        <v>385932.20338983048</v>
      </c>
      <c r="J84" s="9">
        <v>0</v>
      </c>
      <c r="K84" s="21">
        <f t="shared" si="237"/>
        <v>0</v>
      </c>
      <c r="L84" s="21"/>
      <c r="M84" s="118"/>
      <c r="N84" s="95"/>
      <c r="O84" s="81">
        <f>$H$84*月別販売比率!C5</f>
        <v>8.2875141135474131</v>
      </c>
      <c r="P84" s="10">
        <f t="shared" si="107"/>
        <v>0</v>
      </c>
      <c r="Q84" s="21">
        <v>24</v>
      </c>
      <c r="R84" s="19">
        <f t="shared" si="208"/>
        <v>24</v>
      </c>
      <c r="S84" s="24">
        <f t="shared" si="209"/>
        <v>15.712485886452587</v>
      </c>
      <c r="T84" s="81">
        <f>$H$84*月別販売比率!H5</f>
        <v>8.1864406779661021</v>
      </c>
      <c r="U84" s="10">
        <f t="shared" si="210"/>
        <v>0</v>
      </c>
      <c r="V84" s="21"/>
      <c r="W84" s="19">
        <f t="shared" si="211"/>
        <v>0</v>
      </c>
      <c r="X84" s="24">
        <f t="shared" si="212"/>
        <v>-8.1864406779661021</v>
      </c>
      <c r="Y84" s="81">
        <f>$H$84*月別販売比率!M5</f>
        <v>11.819312795817162</v>
      </c>
      <c r="Z84" s="10">
        <f t="shared" si="213"/>
        <v>0</v>
      </c>
      <c r="AA84" s="21"/>
      <c r="AB84" s="96">
        <f t="shared" si="199"/>
        <v>0</v>
      </c>
      <c r="AC84" s="24">
        <f t="shared" si="214"/>
        <v>-11.819312795817162</v>
      </c>
      <c r="AD84" s="81">
        <f>$H$84*月別販売比率!R5</f>
        <v>9.3559322033898304</v>
      </c>
      <c r="AE84" s="10">
        <f t="shared" si="215"/>
        <v>0</v>
      </c>
      <c r="AF84" s="21"/>
      <c r="AG84" s="40">
        <f t="shared" si="200"/>
        <v>0</v>
      </c>
      <c r="AH84" s="24">
        <f t="shared" si="216"/>
        <v>-9.3559322033898304</v>
      </c>
      <c r="AI84" s="81">
        <f>$H$84*月別販売比率!W5</f>
        <v>8.9076333943431028</v>
      </c>
      <c r="AJ84" s="10">
        <f t="shared" si="217"/>
        <v>0</v>
      </c>
      <c r="AK84" s="21"/>
      <c r="AL84" s="40">
        <f t="shared" si="201"/>
        <v>0</v>
      </c>
      <c r="AM84" s="24">
        <f t="shared" si="218"/>
        <v>-8.9076333943431028</v>
      </c>
      <c r="AN84" s="81">
        <f>$H$84*月別販売比率!AB5</f>
        <v>14.033898305084744</v>
      </c>
      <c r="AO84" s="10">
        <f t="shared" si="219"/>
        <v>0</v>
      </c>
      <c r="AP84" s="21"/>
      <c r="AQ84" s="40">
        <f t="shared" si="202"/>
        <v>0</v>
      </c>
      <c r="AR84" s="24">
        <f t="shared" si="220"/>
        <v>-14.033898305084744</v>
      </c>
      <c r="AS84" s="81">
        <f>$H$84*月別販売比率!AG5</f>
        <v>11.694915254237287</v>
      </c>
      <c r="AT84" s="10">
        <f t="shared" si="221"/>
        <v>0</v>
      </c>
      <c r="AU84" s="21"/>
      <c r="AV84" s="40">
        <f t="shared" si="203"/>
        <v>0</v>
      </c>
      <c r="AW84" s="24">
        <f t="shared" si="222"/>
        <v>-11.694915254237287</v>
      </c>
      <c r="AX84" s="81">
        <f>$H$84*月別販売比率!AL5</f>
        <v>10.525423728813559</v>
      </c>
      <c r="AY84" s="10">
        <f t="shared" si="223"/>
        <v>0</v>
      </c>
      <c r="AZ84" s="21"/>
      <c r="BA84" s="19">
        <f t="shared" si="224"/>
        <v>0</v>
      </c>
      <c r="BB84" s="24">
        <f t="shared" si="225"/>
        <v>-10.525423728813559</v>
      </c>
      <c r="BC84" s="81">
        <f>$H$84*月別販売比率!AQ5</f>
        <v>11.694915254237287</v>
      </c>
      <c r="BD84" s="10">
        <f t="shared" si="226"/>
        <v>0</v>
      </c>
      <c r="BE84" s="21"/>
      <c r="BF84" s="19">
        <f t="shared" si="227"/>
        <v>0</v>
      </c>
      <c r="BG84" s="24">
        <f t="shared" si="228"/>
        <v>-11.694915254237287</v>
      </c>
      <c r="BH84" s="81">
        <f>$H$84*月別販売比率!AV5</f>
        <v>7.121545609265505</v>
      </c>
      <c r="BI84" s="10">
        <f t="shared" si="229"/>
        <v>0</v>
      </c>
      <c r="BJ84" s="21"/>
      <c r="BK84" s="19">
        <f t="shared" si="230"/>
        <v>0</v>
      </c>
      <c r="BL84" s="24">
        <f t="shared" si="231"/>
        <v>-7.121545609265505</v>
      </c>
      <c r="BM84" s="81">
        <f>$H$84*月別販売比率!BA5</f>
        <v>6.5050768282173932</v>
      </c>
      <c r="BN84" s="10">
        <f t="shared" si="232"/>
        <v>0</v>
      </c>
      <c r="BO84" s="21"/>
      <c r="BP84" s="19">
        <f t="shared" si="238"/>
        <v>0</v>
      </c>
      <c r="BQ84" s="24">
        <f t="shared" si="233"/>
        <v>-6.5050768282173932</v>
      </c>
      <c r="BR84" s="81">
        <f>$H$84*月別販売比率!BF5</f>
        <v>9.3559322033898304</v>
      </c>
      <c r="BS84" s="10">
        <f t="shared" si="234"/>
        <v>0</v>
      </c>
      <c r="BT84" s="21"/>
      <c r="BU84" s="19">
        <f t="shared" si="235"/>
        <v>0</v>
      </c>
      <c r="BV84" s="24">
        <f t="shared" si="236"/>
        <v>-9.3559322033898304</v>
      </c>
      <c r="BW84" s="158">
        <f t="shared" si="204"/>
        <v>24</v>
      </c>
      <c r="BX84" s="29">
        <f t="shared" si="205"/>
        <v>-92.949152542372872</v>
      </c>
    </row>
    <row r="85" spans="2:76" ht="30.75" customHeight="1">
      <c r="C85" s="505"/>
      <c r="D85" s="444"/>
      <c r="E85" s="101" t="s">
        <v>50</v>
      </c>
      <c r="F85" s="58">
        <v>56</v>
      </c>
      <c r="G85" s="35">
        <f t="shared" si="206"/>
        <v>184800</v>
      </c>
      <c r="H85" s="181">
        <f t="shared" si="207"/>
        <v>94.915254237288138</v>
      </c>
      <c r="I85" s="35">
        <f t="shared" si="206"/>
        <v>313220.33898305084</v>
      </c>
      <c r="J85" s="113">
        <v>0</v>
      </c>
      <c r="K85" s="103">
        <f t="shared" si="237"/>
        <v>0</v>
      </c>
      <c r="L85" s="104"/>
      <c r="M85" s="114"/>
      <c r="N85" s="117"/>
      <c r="O85" s="81">
        <f>$H$85*月別販売比率!C5</f>
        <v>6.7260984109950028</v>
      </c>
      <c r="P85" s="106">
        <f t="shared" si="107"/>
        <v>0</v>
      </c>
      <c r="Q85" s="107">
        <v>24</v>
      </c>
      <c r="R85" s="2">
        <f t="shared" si="208"/>
        <v>24</v>
      </c>
      <c r="S85" s="195">
        <f t="shared" si="209"/>
        <v>17.273901589004996</v>
      </c>
      <c r="T85" s="81">
        <f>$H$85*月別販売比率!H5</f>
        <v>6.6440677966101704</v>
      </c>
      <c r="U85" s="106">
        <f t="shared" si="210"/>
        <v>0</v>
      </c>
      <c r="V85" s="107"/>
      <c r="W85" s="80">
        <f t="shared" si="211"/>
        <v>0</v>
      </c>
      <c r="X85" s="195">
        <f t="shared" si="212"/>
        <v>-6.6440677966101704</v>
      </c>
      <c r="Y85" s="81">
        <f>$H$85*月別販売比率!M5</f>
        <v>9.5924857473298708</v>
      </c>
      <c r="Z85" s="106">
        <f t="shared" si="213"/>
        <v>0</v>
      </c>
      <c r="AA85" s="107"/>
      <c r="AB85" s="199">
        <f t="shared" si="199"/>
        <v>0</v>
      </c>
      <c r="AC85" s="195">
        <f t="shared" si="214"/>
        <v>-9.5924857473298708</v>
      </c>
      <c r="AD85" s="81">
        <f>$H$85*月別販売比率!R5</f>
        <v>7.593220338983051</v>
      </c>
      <c r="AE85" s="106">
        <f t="shared" si="215"/>
        <v>0</v>
      </c>
      <c r="AF85" s="107"/>
      <c r="AG85" s="80">
        <f t="shared" si="200"/>
        <v>0</v>
      </c>
      <c r="AH85" s="195">
        <f t="shared" si="216"/>
        <v>-7.593220338983051</v>
      </c>
      <c r="AI85" s="81">
        <f>$H$85*月別販売比率!W5</f>
        <v>7.2293836243944032</v>
      </c>
      <c r="AJ85" s="106">
        <f t="shared" si="217"/>
        <v>0</v>
      </c>
      <c r="AK85" s="107"/>
      <c r="AL85" s="80">
        <f t="shared" si="201"/>
        <v>0</v>
      </c>
      <c r="AM85" s="195">
        <f t="shared" si="218"/>
        <v>-7.2293836243944032</v>
      </c>
      <c r="AN85" s="81">
        <f>$H$85*月別販売比率!AB5</f>
        <v>11.389830508474576</v>
      </c>
      <c r="AO85" s="106">
        <f t="shared" si="219"/>
        <v>0</v>
      </c>
      <c r="AP85" s="107"/>
      <c r="AQ85" s="80">
        <f t="shared" si="202"/>
        <v>0</v>
      </c>
      <c r="AR85" s="195">
        <f t="shared" si="220"/>
        <v>-11.389830508474576</v>
      </c>
      <c r="AS85" s="81">
        <f>$H$85*月別販売比率!AG5</f>
        <v>9.4915254237288149</v>
      </c>
      <c r="AT85" s="106">
        <f t="shared" si="221"/>
        <v>0</v>
      </c>
      <c r="AU85" s="107"/>
      <c r="AV85" s="80">
        <f t="shared" si="203"/>
        <v>0</v>
      </c>
      <c r="AW85" s="195">
        <f t="shared" si="222"/>
        <v>-9.4915254237288149</v>
      </c>
      <c r="AX85" s="81">
        <f>$H$85*月別販売比率!AL5</f>
        <v>8.5423728813559325</v>
      </c>
      <c r="AY85" s="106">
        <f t="shared" si="223"/>
        <v>0</v>
      </c>
      <c r="AZ85" s="107"/>
      <c r="BA85" s="2">
        <f t="shared" si="224"/>
        <v>0</v>
      </c>
      <c r="BB85" s="195">
        <f t="shared" si="225"/>
        <v>-8.5423728813559325</v>
      </c>
      <c r="BC85" s="81">
        <f>$H$85*月別販売比率!AQ5</f>
        <v>9.4915254237288149</v>
      </c>
      <c r="BD85" s="106">
        <f t="shared" si="226"/>
        <v>0</v>
      </c>
      <c r="BE85" s="107"/>
      <c r="BF85" s="2">
        <f t="shared" si="227"/>
        <v>0</v>
      </c>
      <c r="BG85" s="195">
        <f t="shared" si="228"/>
        <v>-9.4915254237288149</v>
      </c>
      <c r="BH85" s="81">
        <f>$H$85*月別販売比率!AV5</f>
        <v>5.7798051321575121</v>
      </c>
      <c r="BI85" s="106">
        <f t="shared" si="229"/>
        <v>0</v>
      </c>
      <c r="BJ85" s="107"/>
      <c r="BK85" s="2">
        <f t="shared" si="230"/>
        <v>0</v>
      </c>
      <c r="BL85" s="195">
        <f t="shared" si="231"/>
        <v>-5.7798051321575121</v>
      </c>
      <c r="BM85" s="81">
        <f>$H$85*月別販売比率!BA5</f>
        <v>5.2794826431909287</v>
      </c>
      <c r="BN85" s="106">
        <f t="shared" si="232"/>
        <v>0</v>
      </c>
      <c r="BO85" s="107"/>
      <c r="BP85" s="2">
        <f t="shared" si="238"/>
        <v>0</v>
      </c>
      <c r="BQ85" s="195">
        <f t="shared" si="233"/>
        <v>-5.2794826431909287</v>
      </c>
      <c r="BR85" s="81">
        <f>$H$85*月別販売比率!BF5</f>
        <v>7.593220338983051</v>
      </c>
      <c r="BS85" s="106">
        <f t="shared" si="234"/>
        <v>0</v>
      </c>
      <c r="BT85" s="107"/>
      <c r="BU85" s="115">
        <f t="shared" si="235"/>
        <v>0</v>
      </c>
      <c r="BV85" s="92">
        <f t="shared" si="236"/>
        <v>-7.593220338983051</v>
      </c>
      <c r="BW85" s="159">
        <f t="shared" si="204"/>
        <v>24</v>
      </c>
      <c r="BX85" s="116">
        <f t="shared" si="205"/>
        <v>-70.915254237288138</v>
      </c>
    </row>
    <row r="86" spans="2:76" ht="30.75" customHeight="1">
      <c r="B86" s="2">
        <v>7</v>
      </c>
      <c r="C86" s="435" t="s">
        <v>3</v>
      </c>
      <c r="D86" s="436"/>
      <c r="E86" s="445"/>
      <c r="F86" s="130">
        <v>847</v>
      </c>
      <c r="G86" s="131">
        <v>3075975.1068749996</v>
      </c>
      <c r="H86" s="132">
        <v>950</v>
      </c>
      <c r="I86" s="131">
        <f t="shared" si="42"/>
        <v>3450031.1116071427</v>
      </c>
      <c r="J86" s="133">
        <f>SUM(J88:J111)</f>
        <v>374</v>
      </c>
      <c r="K86" s="134">
        <f t="shared" ref="K86:N86" si="239">SUM(K88:K111)</f>
        <v>195</v>
      </c>
      <c r="L86" s="134">
        <f t="shared" si="239"/>
        <v>138</v>
      </c>
      <c r="M86" s="134">
        <f t="shared" si="239"/>
        <v>57</v>
      </c>
      <c r="N86" s="135">
        <f t="shared" si="239"/>
        <v>0</v>
      </c>
      <c r="O86" s="150">
        <f>H86/12</f>
        <v>79.166666666666671</v>
      </c>
      <c r="P86" s="151">
        <f t="shared" si="107"/>
        <v>195</v>
      </c>
      <c r="Q86" s="148">
        <f>SUM(Q88:Q111)</f>
        <v>220</v>
      </c>
      <c r="R86" s="152">
        <f t="shared" si="108"/>
        <v>415</v>
      </c>
      <c r="S86" s="153">
        <f t="shared" si="209"/>
        <v>335.83333333333331</v>
      </c>
      <c r="T86" s="150">
        <f t="shared" si="109"/>
        <v>79.166666666666671</v>
      </c>
      <c r="U86" s="151">
        <f t="shared" si="110"/>
        <v>195</v>
      </c>
      <c r="V86" s="148">
        <f>SUM(V88:V111)</f>
        <v>0</v>
      </c>
      <c r="W86" s="152">
        <f t="shared" si="111"/>
        <v>195</v>
      </c>
      <c r="X86" s="153">
        <f t="shared" si="212"/>
        <v>115.83333333333333</v>
      </c>
      <c r="Y86" s="150">
        <f t="shared" si="112"/>
        <v>79.166666666666671</v>
      </c>
      <c r="Z86" s="151">
        <f t="shared" si="113"/>
        <v>195</v>
      </c>
      <c r="AA86" s="148">
        <f>SUM(AA88:AA111)</f>
        <v>0</v>
      </c>
      <c r="AB86" s="154">
        <f t="shared" si="114"/>
        <v>195</v>
      </c>
      <c r="AC86" s="153">
        <f t="shared" si="214"/>
        <v>115.83333333333333</v>
      </c>
      <c r="AD86" s="150">
        <f t="shared" si="115"/>
        <v>79.166666666666671</v>
      </c>
      <c r="AE86" s="151">
        <f t="shared" si="116"/>
        <v>195</v>
      </c>
      <c r="AF86" s="148">
        <f>SUM(AF88:AF111)</f>
        <v>0</v>
      </c>
      <c r="AG86" s="152">
        <f t="shared" si="117"/>
        <v>195</v>
      </c>
      <c r="AH86" s="153">
        <f t="shared" si="216"/>
        <v>115.83333333333333</v>
      </c>
      <c r="AI86" s="150">
        <f t="shared" si="118"/>
        <v>79.166666666666671</v>
      </c>
      <c r="AJ86" s="151">
        <f t="shared" si="119"/>
        <v>195</v>
      </c>
      <c r="AK86" s="148">
        <f>SUM(AK88:AK111)</f>
        <v>0</v>
      </c>
      <c r="AL86" s="152">
        <f t="shared" si="120"/>
        <v>195</v>
      </c>
      <c r="AM86" s="153">
        <f t="shared" si="218"/>
        <v>115.83333333333333</v>
      </c>
      <c r="AN86" s="150">
        <f t="shared" si="121"/>
        <v>79.166666666666671</v>
      </c>
      <c r="AO86" s="151">
        <f t="shared" si="122"/>
        <v>195</v>
      </c>
      <c r="AP86" s="148">
        <f>SUM(AP88:AP111)</f>
        <v>0</v>
      </c>
      <c r="AQ86" s="152">
        <f t="shared" si="123"/>
        <v>195</v>
      </c>
      <c r="AR86" s="153">
        <f t="shared" si="220"/>
        <v>115.83333333333333</v>
      </c>
      <c r="AS86" s="150">
        <f t="shared" si="124"/>
        <v>79.166666666666671</v>
      </c>
      <c r="AT86" s="151">
        <f t="shared" si="125"/>
        <v>195</v>
      </c>
      <c r="AU86" s="148">
        <f>SUM(AU88:AU111)</f>
        <v>0</v>
      </c>
      <c r="AV86" s="152">
        <f t="shared" si="126"/>
        <v>195</v>
      </c>
      <c r="AW86" s="153">
        <f t="shared" si="222"/>
        <v>115.83333333333333</v>
      </c>
      <c r="AX86" s="150">
        <f t="shared" si="127"/>
        <v>79.166666666666671</v>
      </c>
      <c r="AY86" s="151">
        <f t="shared" si="128"/>
        <v>195</v>
      </c>
      <c r="AZ86" s="148">
        <f>SUM(AZ88:AZ111)</f>
        <v>0</v>
      </c>
      <c r="BA86" s="152">
        <f t="shared" si="129"/>
        <v>195</v>
      </c>
      <c r="BB86" s="153">
        <f t="shared" si="225"/>
        <v>115.83333333333333</v>
      </c>
      <c r="BC86" s="150">
        <f t="shared" si="130"/>
        <v>79.166666666666671</v>
      </c>
      <c r="BD86" s="151">
        <f t="shared" si="131"/>
        <v>195</v>
      </c>
      <c r="BE86" s="148">
        <f>SUM(BE88:BE111)</f>
        <v>0</v>
      </c>
      <c r="BF86" s="152">
        <f t="shared" si="132"/>
        <v>195</v>
      </c>
      <c r="BG86" s="153">
        <f t="shared" si="228"/>
        <v>115.83333333333333</v>
      </c>
      <c r="BH86" s="150">
        <f t="shared" si="133"/>
        <v>79.166666666666671</v>
      </c>
      <c r="BI86" s="151">
        <f t="shared" si="134"/>
        <v>195</v>
      </c>
      <c r="BJ86" s="148">
        <f>SUM(BJ88:BJ111)</f>
        <v>0</v>
      </c>
      <c r="BK86" s="152">
        <f t="shared" si="135"/>
        <v>195</v>
      </c>
      <c r="BL86" s="153">
        <f t="shared" si="231"/>
        <v>115.83333333333333</v>
      </c>
      <c r="BM86" s="150">
        <f t="shared" si="136"/>
        <v>79.166666666666671</v>
      </c>
      <c r="BN86" s="151">
        <f t="shared" si="137"/>
        <v>195</v>
      </c>
      <c r="BO86" s="148">
        <f>SUM(BO88:BO111)</f>
        <v>0</v>
      </c>
      <c r="BP86" s="152">
        <f t="shared" si="138"/>
        <v>195</v>
      </c>
      <c r="BQ86" s="153">
        <f t="shared" si="233"/>
        <v>115.83333333333333</v>
      </c>
      <c r="BR86" s="150">
        <f t="shared" si="139"/>
        <v>79.166666666666671</v>
      </c>
      <c r="BS86" s="151">
        <f t="shared" si="140"/>
        <v>195</v>
      </c>
      <c r="BT86" s="148">
        <f>SUM(BT88:BT111)</f>
        <v>0</v>
      </c>
      <c r="BU86" s="138">
        <f t="shared" si="141"/>
        <v>195</v>
      </c>
      <c r="BV86" s="139">
        <f t="shared" si="236"/>
        <v>115.83333333333333</v>
      </c>
      <c r="BW86" s="143">
        <f>AF86+AA86+V86+Q86+AK86+AP86+AU86+AZ86+BE86+BJ86+BO86+BT86+K86</f>
        <v>415</v>
      </c>
      <c r="BX86" s="142">
        <f t="shared" si="49"/>
        <v>-535</v>
      </c>
    </row>
    <row r="87" spans="2:76" ht="30.75" customHeight="1">
      <c r="C87" s="167" t="s">
        <v>81</v>
      </c>
      <c r="D87" s="168"/>
      <c r="E87" s="169"/>
      <c r="F87" s="170">
        <f>SUM(F88:F111)</f>
        <v>794</v>
      </c>
      <c r="G87" s="171">
        <f>SUM(G88:G111)</f>
        <v>2882220</v>
      </c>
      <c r="H87" s="170">
        <f>SUM(H88:H111)</f>
        <v>890.55489964580863</v>
      </c>
      <c r="I87" s="171">
        <f>SUM(I88:I111)</f>
        <v>3232714.2857142859</v>
      </c>
      <c r="J87" s="172"/>
      <c r="K87" s="173"/>
      <c r="L87" s="173"/>
      <c r="M87" s="173"/>
      <c r="N87" s="174"/>
      <c r="O87" s="175">
        <f>SUM(O88:O111)</f>
        <v>63.108506040942466</v>
      </c>
      <c r="P87" s="176"/>
      <c r="Q87" s="173"/>
      <c r="R87" s="177"/>
      <c r="S87" s="178"/>
      <c r="T87" s="175">
        <f>SUM(T88:T111)</f>
        <v>62.338842975206617</v>
      </c>
      <c r="U87" s="176"/>
      <c r="V87" s="173"/>
      <c r="W87" s="177"/>
      <c r="X87" s="178"/>
      <c r="Y87" s="175">
        <f>SUM(Y88:Y111)</f>
        <v>90.0027635253509</v>
      </c>
      <c r="Z87" s="176"/>
      <c r="AA87" s="173"/>
      <c r="AB87" s="177"/>
      <c r="AC87" s="178"/>
      <c r="AD87" s="175">
        <f>SUM(AD88:AD111)</f>
        <v>71.244391971664683</v>
      </c>
      <c r="AE87" s="176"/>
      <c r="AF87" s="173"/>
      <c r="AG87" s="177"/>
      <c r="AH87" s="178"/>
      <c r="AI87" s="175">
        <f>SUM(AI88:AI111)</f>
        <v>67.83064597844519</v>
      </c>
      <c r="AJ87" s="176"/>
      <c r="AK87" s="173"/>
      <c r="AL87" s="177"/>
      <c r="AM87" s="178"/>
      <c r="AN87" s="175">
        <f>SUM(AN88:AN111)</f>
        <v>106.86658795749707</v>
      </c>
      <c r="AO87" s="176"/>
      <c r="AP87" s="173"/>
      <c r="AQ87" s="177"/>
      <c r="AR87" s="178"/>
      <c r="AS87" s="175">
        <f>SUM(AS88:AS111)</f>
        <v>89.055489964580872</v>
      </c>
      <c r="AT87" s="176"/>
      <c r="AU87" s="173"/>
      <c r="AV87" s="177"/>
      <c r="AW87" s="178"/>
      <c r="AX87" s="175">
        <f>SUM(AX88:AX111)</f>
        <v>80.149940968122792</v>
      </c>
      <c r="AY87" s="176"/>
      <c r="AZ87" s="173"/>
      <c r="BA87" s="177"/>
      <c r="BB87" s="178"/>
      <c r="BC87" s="175">
        <f>SUM(BC88:BC111)</f>
        <v>89.055489964580872</v>
      </c>
      <c r="BD87" s="176"/>
      <c r="BE87" s="173"/>
      <c r="BF87" s="177"/>
      <c r="BG87" s="178"/>
      <c r="BH87" s="175">
        <f>SUM(BH88:BH111)</f>
        <v>54.229784461966247</v>
      </c>
      <c r="BI87" s="176"/>
      <c r="BJ87" s="173"/>
      <c r="BK87" s="177"/>
      <c r="BL87" s="178"/>
      <c r="BM87" s="175">
        <f>SUM(BM88:BM111)</f>
        <v>49.53544267747008</v>
      </c>
      <c r="BN87" s="176"/>
      <c r="BO87" s="173"/>
      <c r="BP87" s="177"/>
      <c r="BQ87" s="178"/>
      <c r="BR87" s="175">
        <f>SUM(BR88:BR111)</f>
        <v>71.244391971664683</v>
      </c>
      <c r="BS87" s="176"/>
      <c r="BT87" s="173"/>
      <c r="BU87" s="177"/>
      <c r="BV87" s="178"/>
      <c r="BW87" s="179"/>
      <c r="BX87" s="180"/>
    </row>
    <row r="88" spans="2:76" ht="30.75" customHeight="1">
      <c r="C88" s="490" t="s">
        <v>78</v>
      </c>
      <c r="D88" s="443">
        <v>1</v>
      </c>
      <c r="E88" s="99" t="s">
        <v>47</v>
      </c>
      <c r="F88" s="56">
        <v>114</v>
      </c>
      <c r="G88" s="46">
        <f>F88*3630</f>
        <v>413820</v>
      </c>
      <c r="H88" s="45">
        <f>F88*($H$86/$F$86)</f>
        <v>127.86304604486423</v>
      </c>
      <c r="I88" s="46">
        <f>H88*3630</f>
        <v>464142.85714285716</v>
      </c>
      <c r="J88" s="49">
        <v>17</v>
      </c>
      <c r="K88" s="39">
        <f t="shared" si="237"/>
        <v>21</v>
      </c>
      <c r="L88" s="39">
        <v>10</v>
      </c>
      <c r="M88" s="39">
        <v>11</v>
      </c>
      <c r="N88" s="42"/>
      <c r="O88" s="81">
        <f>$H$88*月別販売比率!C5</f>
        <v>9.0609190033594977</v>
      </c>
      <c r="P88" s="40">
        <f t="shared" si="107"/>
        <v>21</v>
      </c>
      <c r="Q88" s="39">
        <v>50</v>
      </c>
      <c r="R88" s="43">
        <f t="shared" ref="R88:R103" si="240">Q88+K88</f>
        <v>71</v>
      </c>
      <c r="S88" s="91">
        <f t="shared" si="209"/>
        <v>61.939080996640499</v>
      </c>
      <c r="T88" s="81">
        <f>$H$88*月別販売比率!H5</f>
        <v>8.9504132231404974</v>
      </c>
      <c r="U88" s="40">
        <f t="shared" ref="U88:U102" si="241">K88</f>
        <v>21</v>
      </c>
      <c r="V88" s="39"/>
      <c r="W88" s="40">
        <f t="shared" ref="W88:W97" si="242">K88+V88</f>
        <v>21</v>
      </c>
      <c r="X88" s="91">
        <f t="shared" si="212"/>
        <v>12.049586776859503</v>
      </c>
      <c r="Y88" s="81">
        <f>$H$88*月別販売比率!M5</f>
        <v>12.922311135881616</v>
      </c>
      <c r="Z88" s="40">
        <f t="shared" ref="Z88:Z103" si="243">K88</f>
        <v>21</v>
      </c>
      <c r="AA88" s="39"/>
      <c r="AB88" s="96">
        <f t="shared" ref="AB88:AB111" si="244">K88+AA88</f>
        <v>21</v>
      </c>
      <c r="AC88" s="91">
        <f t="shared" si="214"/>
        <v>8.0776888641183842</v>
      </c>
      <c r="AD88" s="81">
        <f>$H$88*月別販売比率!R5</f>
        <v>10.229043683589138</v>
      </c>
      <c r="AE88" s="40">
        <f t="shared" ref="AE88:AE103" si="245">K88</f>
        <v>21</v>
      </c>
      <c r="AF88" s="39"/>
      <c r="AG88" s="40">
        <f t="shared" ref="AG88:AG111" si="246">K88+AF88</f>
        <v>21</v>
      </c>
      <c r="AH88" s="91">
        <f t="shared" si="216"/>
        <v>10.770956316410862</v>
      </c>
      <c r="AI88" s="81">
        <f>$H$88*月別販売比率!W5</f>
        <v>9.7389088684417526</v>
      </c>
      <c r="AJ88" s="40">
        <f t="shared" ref="AJ88:AJ103" si="247">K88</f>
        <v>21</v>
      </c>
      <c r="AK88" s="39"/>
      <c r="AL88" s="40">
        <f t="shared" ref="AL88:AL111" si="248">K88+AK88</f>
        <v>21</v>
      </c>
      <c r="AM88" s="91">
        <f t="shared" si="218"/>
        <v>11.261091131558247</v>
      </c>
      <c r="AN88" s="81">
        <f>$H$88*月別販売比率!AB5</f>
        <v>15.343565525383708</v>
      </c>
      <c r="AO88" s="40">
        <f t="shared" ref="AO88:AO103" si="249">K88</f>
        <v>21</v>
      </c>
      <c r="AP88" s="39"/>
      <c r="AQ88" s="40">
        <f t="shared" ref="AQ88:AQ111" si="250">K88+AP88</f>
        <v>21</v>
      </c>
      <c r="AR88" s="91">
        <f t="shared" si="220"/>
        <v>5.656434474616292</v>
      </c>
      <c r="AS88" s="81">
        <f>$H$88*月別販売比率!AG5</f>
        <v>12.786304604486425</v>
      </c>
      <c r="AT88" s="40">
        <f t="shared" ref="AT88:AT103" si="251">K88</f>
        <v>21</v>
      </c>
      <c r="AU88" s="39"/>
      <c r="AV88" s="40">
        <f t="shared" ref="AV88:AV111" si="252">K88+AU88</f>
        <v>21</v>
      </c>
      <c r="AW88" s="91">
        <f t="shared" si="222"/>
        <v>8.2136953955135752</v>
      </c>
      <c r="AX88" s="81">
        <f>$H$88*月別販売比率!AL5</f>
        <v>11.507674144037781</v>
      </c>
      <c r="AY88" s="40">
        <f t="shared" ref="AY88:AY103" si="253">K88</f>
        <v>21</v>
      </c>
      <c r="AZ88" s="39"/>
      <c r="BA88" s="43">
        <f t="shared" ref="BA88:BA103" si="254">K88+AZ88</f>
        <v>21</v>
      </c>
      <c r="BB88" s="91">
        <f t="shared" si="225"/>
        <v>9.4923258559622194</v>
      </c>
      <c r="BC88" s="81">
        <f>$H$88*月別販売比率!AQ5</f>
        <v>12.786304604486425</v>
      </c>
      <c r="BD88" s="40">
        <f t="shared" ref="BD88:BD102" si="255">K88</f>
        <v>21</v>
      </c>
      <c r="BE88" s="39"/>
      <c r="BF88" s="43">
        <f t="shared" ref="BF88:BF103" si="256">K88+BE88</f>
        <v>21</v>
      </c>
      <c r="BG88" s="91">
        <f t="shared" si="228"/>
        <v>8.2136953955135752</v>
      </c>
      <c r="BH88" s="81">
        <f>$H$88*月別販売比率!AV5</f>
        <v>7.7861403383679493</v>
      </c>
      <c r="BI88" s="40">
        <f t="shared" ref="BI88:BI103" si="257">K88</f>
        <v>21</v>
      </c>
      <c r="BJ88" s="39"/>
      <c r="BK88" s="43">
        <f t="shared" ref="BK88:BK103" si="258">K88+BJ88</f>
        <v>21</v>
      </c>
      <c r="BL88" s="91">
        <f t="shared" si="231"/>
        <v>13.21385966163205</v>
      </c>
      <c r="BM88" s="81">
        <f>$H$88*月別販売比率!BA5</f>
        <v>7.1121416438685019</v>
      </c>
      <c r="BN88" s="40">
        <f t="shared" ref="BN88:BN103" si="259">K88</f>
        <v>21</v>
      </c>
      <c r="BO88" s="39"/>
      <c r="BP88" s="43">
        <f>K88+BO88</f>
        <v>21</v>
      </c>
      <c r="BQ88" s="91">
        <f t="shared" si="233"/>
        <v>13.887858356131499</v>
      </c>
      <c r="BR88" s="81">
        <f>$H$88*月別販売比率!BF5</f>
        <v>10.229043683589138</v>
      </c>
      <c r="BS88" s="40">
        <f t="shared" ref="BS88:BS103" si="260">K88</f>
        <v>21</v>
      </c>
      <c r="BT88" s="39"/>
      <c r="BU88" s="43">
        <f t="shared" ref="BU88:BU103" si="261">K88+BT88</f>
        <v>21</v>
      </c>
      <c r="BV88" s="91">
        <f t="shared" si="236"/>
        <v>10.770956316410862</v>
      </c>
      <c r="BW88" s="157">
        <f t="shared" ref="BW88:BW111" si="262">AF88+AA88+V88+Q88+AK88+AP88+AU88+AZ88+BE88+BJ88+BO88+BT88+K88</f>
        <v>71</v>
      </c>
      <c r="BX88" s="51">
        <f t="shared" ref="BX88:BX111" si="263">BW88-H88</f>
        <v>-56.863046044864234</v>
      </c>
    </row>
    <row r="89" spans="2:76" ht="30.75" customHeight="1">
      <c r="C89" s="513"/>
      <c r="D89" s="441"/>
      <c r="E89" s="94" t="s">
        <v>51</v>
      </c>
      <c r="F89" s="57">
        <v>108</v>
      </c>
      <c r="G89" s="5">
        <f t="shared" ref="G89:I111" si="264">F89*3630</f>
        <v>392040</v>
      </c>
      <c r="H89" s="7">
        <f t="shared" ref="H89:H111" si="265">F89*($H$86/$F$86)</f>
        <v>121.13341204250295</v>
      </c>
      <c r="I89" s="5">
        <f t="shared" si="264"/>
        <v>439714.28571428574</v>
      </c>
      <c r="J89" s="9">
        <v>0</v>
      </c>
      <c r="K89" s="21">
        <f t="shared" si="237"/>
        <v>0</v>
      </c>
      <c r="L89" s="21"/>
      <c r="M89" s="21"/>
      <c r="N89" s="42"/>
      <c r="O89" s="81">
        <f>$H$89*月別販売比率!C5</f>
        <v>8.5840285294984717</v>
      </c>
      <c r="P89" s="10">
        <f t="shared" si="107"/>
        <v>0</v>
      </c>
      <c r="Q89" s="21">
        <v>50</v>
      </c>
      <c r="R89" s="19">
        <f t="shared" si="240"/>
        <v>50</v>
      </c>
      <c r="S89" s="24">
        <f t="shared" si="209"/>
        <v>41.415971470501532</v>
      </c>
      <c r="T89" s="81">
        <f>$H$89*月別販売比率!H5</f>
        <v>8.4793388429752081</v>
      </c>
      <c r="U89" s="10">
        <f t="shared" si="241"/>
        <v>0</v>
      </c>
      <c r="V89" s="21"/>
      <c r="W89" s="10">
        <f t="shared" si="242"/>
        <v>0</v>
      </c>
      <c r="X89" s="24">
        <f t="shared" si="212"/>
        <v>-8.4793388429752081</v>
      </c>
      <c r="Y89" s="81">
        <f>$H$89*月別販売比率!M5</f>
        <v>12.242189497151005</v>
      </c>
      <c r="Z89" s="10">
        <f t="shared" si="243"/>
        <v>0</v>
      </c>
      <c r="AA89" s="21"/>
      <c r="AB89" s="97">
        <f t="shared" si="244"/>
        <v>0</v>
      </c>
      <c r="AC89" s="24">
        <f t="shared" si="214"/>
        <v>-12.242189497151005</v>
      </c>
      <c r="AD89" s="81">
        <f>$H$89*月別販売比率!R5</f>
        <v>9.6906729634002371</v>
      </c>
      <c r="AE89" s="10">
        <f t="shared" si="245"/>
        <v>0</v>
      </c>
      <c r="AF89" s="21"/>
      <c r="AG89" s="10">
        <f t="shared" si="246"/>
        <v>0</v>
      </c>
      <c r="AH89" s="24">
        <f t="shared" si="216"/>
        <v>-9.6906729634002371</v>
      </c>
      <c r="AI89" s="81">
        <f>$H$89*月別販売比率!W5</f>
        <v>9.2263347174711328</v>
      </c>
      <c r="AJ89" s="10">
        <f t="shared" si="247"/>
        <v>0</v>
      </c>
      <c r="AK89" s="21"/>
      <c r="AL89" s="10">
        <f t="shared" si="248"/>
        <v>0</v>
      </c>
      <c r="AM89" s="24">
        <f t="shared" si="218"/>
        <v>-9.2263347174711328</v>
      </c>
      <c r="AN89" s="81">
        <f>$H$89*月別販売比率!AB5</f>
        <v>14.536009445100355</v>
      </c>
      <c r="AO89" s="10">
        <f t="shared" si="249"/>
        <v>0</v>
      </c>
      <c r="AP89" s="21"/>
      <c r="AQ89" s="10">
        <f t="shared" si="250"/>
        <v>0</v>
      </c>
      <c r="AR89" s="24">
        <f t="shared" si="220"/>
        <v>-14.536009445100355</v>
      </c>
      <c r="AS89" s="81">
        <f>$H$89*月別販売比率!AG5</f>
        <v>12.113341204250297</v>
      </c>
      <c r="AT89" s="10">
        <f t="shared" si="251"/>
        <v>0</v>
      </c>
      <c r="AU89" s="21"/>
      <c r="AV89" s="10">
        <f t="shared" si="252"/>
        <v>0</v>
      </c>
      <c r="AW89" s="24">
        <f t="shared" si="222"/>
        <v>-12.113341204250297</v>
      </c>
      <c r="AX89" s="81">
        <f>$H$89*月別販売比率!AL5</f>
        <v>10.902007083825266</v>
      </c>
      <c r="AY89" s="10">
        <f t="shared" si="253"/>
        <v>0</v>
      </c>
      <c r="AZ89" s="21"/>
      <c r="BA89" s="19">
        <f t="shared" si="254"/>
        <v>0</v>
      </c>
      <c r="BB89" s="24">
        <f t="shared" si="225"/>
        <v>-10.902007083825266</v>
      </c>
      <c r="BC89" s="81">
        <f>$H$89*月別販売比率!AQ5</f>
        <v>12.113341204250297</v>
      </c>
      <c r="BD89" s="10">
        <f t="shared" si="255"/>
        <v>0</v>
      </c>
      <c r="BE89" s="21"/>
      <c r="BF89" s="19">
        <f t="shared" si="256"/>
        <v>0</v>
      </c>
      <c r="BG89" s="24">
        <f t="shared" si="228"/>
        <v>-12.113341204250297</v>
      </c>
      <c r="BH89" s="81">
        <f>$H$89*月別販売比率!AV5</f>
        <v>7.3763434784538466</v>
      </c>
      <c r="BI89" s="10">
        <f t="shared" si="257"/>
        <v>0</v>
      </c>
      <c r="BJ89" s="21"/>
      <c r="BK89" s="19">
        <f t="shared" si="258"/>
        <v>0</v>
      </c>
      <c r="BL89" s="24">
        <f t="shared" si="231"/>
        <v>-7.3763434784538466</v>
      </c>
      <c r="BM89" s="81">
        <f>$H$89*月別販売比率!BA5</f>
        <v>6.7378183994543699</v>
      </c>
      <c r="BN89" s="10">
        <f t="shared" si="259"/>
        <v>0</v>
      </c>
      <c r="BO89" s="21"/>
      <c r="BP89" s="19">
        <f t="shared" ref="BP89:BP103" si="266">K89+BO89</f>
        <v>0</v>
      </c>
      <c r="BQ89" s="24">
        <f t="shared" si="233"/>
        <v>-6.7378183994543699</v>
      </c>
      <c r="BR89" s="81">
        <f>$H$89*月別販売比率!BF5</f>
        <v>9.6906729634002371</v>
      </c>
      <c r="BS89" s="10">
        <f t="shared" si="260"/>
        <v>0</v>
      </c>
      <c r="BT89" s="21"/>
      <c r="BU89" s="19">
        <f t="shared" si="261"/>
        <v>0</v>
      </c>
      <c r="BV89" s="24">
        <f t="shared" si="236"/>
        <v>-9.6906729634002371</v>
      </c>
      <c r="BW89" s="158">
        <f t="shared" si="262"/>
        <v>50</v>
      </c>
      <c r="BX89" s="29">
        <f t="shared" si="263"/>
        <v>-71.133412042502954</v>
      </c>
    </row>
    <row r="90" spans="2:76" ht="30.75" customHeight="1">
      <c r="C90" s="513"/>
      <c r="D90" s="441"/>
      <c r="E90" s="94" t="s">
        <v>49</v>
      </c>
      <c r="F90" s="57">
        <v>24</v>
      </c>
      <c r="G90" s="5">
        <f t="shared" si="264"/>
        <v>87120</v>
      </c>
      <c r="H90" s="7">
        <f t="shared" si="265"/>
        <v>26.918536009445102</v>
      </c>
      <c r="I90" s="5">
        <f t="shared" si="264"/>
        <v>97714.285714285725</v>
      </c>
      <c r="J90" s="9">
        <v>42</v>
      </c>
      <c r="K90" s="21">
        <f t="shared" si="237"/>
        <v>13</v>
      </c>
      <c r="L90" s="21">
        <v>9</v>
      </c>
      <c r="M90" s="21">
        <v>4</v>
      </c>
      <c r="N90" s="42"/>
      <c r="O90" s="81">
        <f>$H$90*月別販売比率!C5</f>
        <v>1.9075618954441047</v>
      </c>
      <c r="P90" s="10">
        <f t="shared" si="107"/>
        <v>13</v>
      </c>
      <c r="Q90" s="21"/>
      <c r="R90" s="19">
        <f t="shared" si="240"/>
        <v>13</v>
      </c>
      <c r="S90" s="24">
        <f t="shared" si="209"/>
        <v>11.092438104555896</v>
      </c>
      <c r="T90" s="81">
        <f>$H$90*月別販売比率!H5</f>
        <v>1.8842975206611574</v>
      </c>
      <c r="U90" s="10">
        <f t="shared" si="241"/>
        <v>13</v>
      </c>
      <c r="V90" s="21"/>
      <c r="W90" s="10">
        <f t="shared" si="242"/>
        <v>13</v>
      </c>
      <c r="X90" s="24">
        <f t="shared" si="212"/>
        <v>11.115702479338843</v>
      </c>
      <c r="Y90" s="81">
        <f>$H$90*月別販売比率!M5</f>
        <v>2.7204865549224455</v>
      </c>
      <c r="Z90" s="10">
        <f t="shared" si="243"/>
        <v>13</v>
      </c>
      <c r="AA90" s="21"/>
      <c r="AB90" s="97">
        <f t="shared" si="244"/>
        <v>13</v>
      </c>
      <c r="AC90" s="24">
        <f t="shared" si="214"/>
        <v>10.279513445077555</v>
      </c>
      <c r="AD90" s="81">
        <f>$H$90*月別販売比率!R5</f>
        <v>2.1534828807556083</v>
      </c>
      <c r="AE90" s="10">
        <f t="shared" si="245"/>
        <v>13</v>
      </c>
      <c r="AF90" s="21"/>
      <c r="AG90" s="10">
        <f t="shared" si="246"/>
        <v>13</v>
      </c>
      <c r="AH90" s="24">
        <f t="shared" si="216"/>
        <v>10.846517119244393</v>
      </c>
      <c r="AI90" s="81">
        <f>$H$90*月別販売比率!W5</f>
        <v>2.0502966038824741</v>
      </c>
      <c r="AJ90" s="10">
        <f t="shared" si="247"/>
        <v>13</v>
      </c>
      <c r="AK90" s="21"/>
      <c r="AL90" s="10">
        <f t="shared" si="248"/>
        <v>13</v>
      </c>
      <c r="AM90" s="24">
        <f t="shared" si="218"/>
        <v>10.949703396117526</v>
      </c>
      <c r="AN90" s="81">
        <f>$H$90*月別販売比率!AB5</f>
        <v>3.2302243211334121</v>
      </c>
      <c r="AO90" s="10">
        <f t="shared" si="249"/>
        <v>13</v>
      </c>
      <c r="AP90" s="21"/>
      <c r="AQ90" s="10">
        <f t="shared" si="250"/>
        <v>13</v>
      </c>
      <c r="AR90" s="24">
        <f t="shared" si="220"/>
        <v>9.769775678866587</v>
      </c>
      <c r="AS90" s="81">
        <f>$H$90*月別販売比率!AG5</f>
        <v>2.6918536009445102</v>
      </c>
      <c r="AT90" s="10">
        <f t="shared" si="251"/>
        <v>13</v>
      </c>
      <c r="AU90" s="21"/>
      <c r="AV90" s="10">
        <f t="shared" si="252"/>
        <v>13</v>
      </c>
      <c r="AW90" s="24">
        <f t="shared" si="222"/>
        <v>10.30814639905549</v>
      </c>
      <c r="AX90" s="81">
        <f>$H$90*月別販売比率!AL5</f>
        <v>2.4226682408500593</v>
      </c>
      <c r="AY90" s="10">
        <f t="shared" si="253"/>
        <v>13</v>
      </c>
      <c r="AZ90" s="21"/>
      <c r="BA90" s="19">
        <f t="shared" si="254"/>
        <v>13</v>
      </c>
      <c r="BB90" s="24">
        <f t="shared" si="225"/>
        <v>10.57733175914994</v>
      </c>
      <c r="BC90" s="81">
        <f>$H$90*月別販売比率!AQ5</f>
        <v>2.6918536009445102</v>
      </c>
      <c r="BD90" s="10">
        <f t="shared" si="255"/>
        <v>13</v>
      </c>
      <c r="BE90" s="21"/>
      <c r="BF90" s="19">
        <f t="shared" si="256"/>
        <v>13</v>
      </c>
      <c r="BG90" s="24">
        <f t="shared" si="228"/>
        <v>10.30814639905549</v>
      </c>
      <c r="BH90" s="81">
        <f>$H$90*月別販売比率!AV5</f>
        <v>1.6391874396564103</v>
      </c>
      <c r="BI90" s="10">
        <f t="shared" si="257"/>
        <v>13</v>
      </c>
      <c r="BJ90" s="21"/>
      <c r="BK90" s="19">
        <f t="shared" si="258"/>
        <v>13</v>
      </c>
      <c r="BL90" s="24">
        <f t="shared" si="231"/>
        <v>11.360812560343589</v>
      </c>
      <c r="BM90" s="81">
        <f>$H$90*月別販売比率!BA5</f>
        <v>1.4972929776565267</v>
      </c>
      <c r="BN90" s="10">
        <f t="shared" si="259"/>
        <v>13</v>
      </c>
      <c r="BO90" s="21"/>
      <c r="BP90" s="19">
        <f t="shared" si="266"/>
        <v>13</v>
      </c>
      <c r="BQ90" s="24">
        <f t="shared" si="233"/>
        <v>11.502707022343474</v>
      </c>
      <c r="BR90" s="81">
        <f>$H$90*月別販売比率!BF5</f>
        <v>2.1534828807556083</v>
      </c>
      <c r="BS90" s="10">
        <f t="shared" si="260"/>
        <v>13</v>
      </c>
      <c r="BT90" s="21"/>
      <c r="BU90" s="19">
        <f t="shared" si="261"/>
        <v>13</v>
      </c>
      <c r="BV90" s="24">
        <f t="shared" si="236"/>
        <v>10.846517119244393</v>
      </c>
      <c r="BW90" s="158">
        <f t="shared" si="262"/>
        <v>13</v>
      </c>
      <c r="BX90" s="29">
        <f t="shared" si="263"/>
        <v>-13.918536009445102</v>
      </c>
    </row>
    <row r="91" spans="2:76" ht="30.75" customHeight="1">
      <c r="C91" s="513"/>
      <c r="D91" s="442"/>
      <c r="E91" s="94" t="s">
        <v>50</v>
      </c>
      <c r="F91" s="57">
        <v>11</v>
      </c>
      <c r="G91" s="5">
        <f t="shared" si="264"/>
        <v>39930</v>
      </c>
      <c r="H91" s="7">
        <f t="shared" si="265"/>
        <v>12.337662337662339</v>
      </c>
      <c r="I91" s="5">
        <f t="shared" si="264"/>
        <v>44785.71428571429</v>
      </c>
      <c r="J91" s="9">
        <v>47</v>
      </c>
      <c r="K91" s="21">
        <f t="shared" si="237"/>
        <v>11</v>
      </c>
      <c r="L91" s="21">
        <v>11</v>
      </c>
      <c r="M91" s="21"/>
      <c r="N91" s="42"/>
      <c r="O91" s="81">
        <f>$H$91*月別販売比率!C5</f>
        <v>0.87429920207854805</v>
      </c>
      <c r="P91" s="10">
        <f t="shared" si="107"/>
        <v>11</v>
      </c>
      <c r="Q91" s="21"/>
      <c r="R91" s="19">
        <f t="shared" si="240"/>
        <v>11</v>
      </c>
      <c r="S91" s="24">
        <f t="shared" si="209"/>
        <v>10.125700797921452</v>
      </c>
      <c r="T91" s="81">
        <f>$H$91*月別販売比率!H5</f>
        <v>0.86363636363636376</v>
      </c>
      <c r="U91" s="10">
        <f t="shared" si="241"/>
        <v>11</v>
      </c>
      <c r="V91" s="21"/>
      <c r="W91" s="10">
        <f t="shared" si="242"/>
        <v>11</v>
      </c>
      <c r="X91" s="24">
        <f t="shared" si="212"/>
        <v>10.136363636363637</v>
      </c>
      <c r="Y91" s="81">
        <f>$H$91*月別販売比率!M5</f>
        <v>1.246889671006121</v>
      </c>
      <c r="Z91" s="10">
        <f t="shared" si="243"/>
        <v>11</v>
      </c>
      <c r="AA91" s="21"/>
      <c r="AB91" s="97">
        <f t="shared" si="244"/>
        <v>11</v>
      </c>
      <c r="AC91" s="24">
        <f t="shared" si="214"/>
        <v>9.7531103289938788</v>
      </c>
      <c r="AD91" s="81">
        <f>$H$91*月別販売比率!R5</f>
        <v>0.98701298701298712</v>
      </c>
      <c r="AE91" s="10">
        <f t="shared" si="245"/>
        <v>11</v>
      </c>
      <c r="AF91" s="21"/>
      <c r="AG91" s="10">
        <f t="shared" si="246"/>
        <v>11</v>
      </c>
      <c r="AH91" s="24">
        <f t="shared" si="216"/>
        <v>10.012987012987013</v>
      </c>
      <c r="AI91" s="81">
        <f>$H$91*月別販売比率!W5</f>
        <v>0.93971927677946732</v>
      </c>
      <c r="AJ91" s="10">
        <f t="shared" si="247"/>
        <v>11</v>
      </c>
      <c r="AK91" s="21"/>
      <c r="AL91" s="10">
        <f t="shared" si="248"/>
        <v>11</v>
      </c>
      <c r="AM91" s="24">
        <f t="shared" si="218"/>
        <v>10.060280723220533</v>
      </c>
      <c r="AN91" s="81">
        <f>$H$91*月別販売比率!AB5</f>
        <v>1.4805194805194806</v>
      </c>
      <c r="AO91" s="10">
        <f t="shared" si="249"/>
        <v>11</v>
      </c>
      <c r="AP91" s="21"/>
      <c r="AQ91" s="10">
        <f t="shared" si="250"/>
        <v>11</v>
      </c>
      <c r="AR91" s="24">
        <f t="shared" si="220"/>
        <v>9.5194805194805188</v>
      </c>
      <c r="AS91" s="81">
        <f>$H$91*月別販売比率!AG5</f>
        <v>1.2337662337662341</v>
      </c>
      <c r="AT91" s="10">
        <f t="shared" si="251"/>
        <v>11</v>
      </c>
      <c r="AU91" s="21"/>
      <c r="AV91" s="10">
        <f t="shared" si="252"/>
        <v>11</v>
      </c>
      <c r="AW91" s="24">
        <f t="shared" si="222"/>
        <v>9.7662337662337659</v>
      </c>
      <c r="AX91" s="81">
        <f>$H$91*月別販売比率!AL5</f>
        <v>1.1103896103896105</v>
      </c>
      <c r="AY91" s="10">
        <f t="shared" si="253"/>
        <v>11</v>
      </c>
      <c r="AZ91" s="21"/>
      <c r="BA91" s="19">
        <f t="shared" si="254"/>
        <v>11</v>
      </c>
      <c r="BB91" s="24">
        <f t="shared" si="225"/>
        <v>9.8896103896103895</v>
      </c>
      <c r="BC91" s="81">
        <f>$H$91*月別販売比率!AQ5</f>
        <v>1.2337662337662341</v>
      </c>
      <c r="BD91" s="10">
        <f t="shared" si="255"/>
        <v>11</v>
      </c>
      <c r="BE91" s="21"/>
      <c r="BF91" s="19">
        <f t="shared" si="256"/>
        <v>11</v>
      </c>
      <c r="BG91" s="24">
        <f t="shared" si="228"/>
        <v>9.7662337662337659</v>
      </c>
      <c r="BH91" s="81">
        <f>$H$91*月別販売比率!AV5</f>
        <v>0.7512942431758548</v>
      </c>
      <c r="BI91" s="10">
        <f t="shared" si="257"/>
        <v>11</v>
      </c>
      <c r="BJ91" s="21"/>
      <c r="BK91" s="19">
        <f t="shared" si="258"/>
        <v>11</v>
      </c>
      <c r="BL91" s="24">
        <f t="shared" si="231"/>
        <v>10.248705756824146</v>
      </c>
      <c r="BM91" s="81">
        <f>$H$91*月別販売比率!BA5</f>
        <v>0.68625928142590809</v>
      </c>
      <c r="BN91" s="10">
        <f t="shared" si="259"/>
        <v>11</v>
      </c>
      <c r="BO91" s="21"/>
      <c r="BP91" s="19">
        <f t="shared" si="266"/>
        <v>11</v>
      </c>
      <c r="BQ91" s="24">
        <f t="shared" si="233"/>
        <v>10.313740718574092</v>
      </c>
      <c r="BR91" s="81">
        <f>$H$91*月別販売比率!BF5</f>
        <v>0.98701298701298712</v>
      </c>
      <c r="BS91" s="10">
        <f t="shared" si="260"/>
        <v>11</v>
      </c>
      <c r="BT91" s="21"/>
      <c r="BU91" s="19">
        <f t="shared" si="261"/>
        <v>11</v>
      </c>
      <c r="BV91" s="24">
        <f t="shared" si="236"/>
        <v>10.012987012987013</v>
      </c>
      <c r="BW91" s="158">
        <f t="shared" si="262"/>
        <v>11</v>
      </c>
      <c r="BX91" s="29">
        <f t="shared" si="263"/>
        <v>-1.3376623376623389</v>
      </c>
    </row>
    <row r="92" spans="2:76" ht="30.75" customHeight="1">
      <c r="C92" s="513"/>
      <c r="D92" s="441">
        <v>2</v>
      </c>
      <c r="E92" s="94" t="s">
        <v>47</v>
      </c>
      <c r="F92" s="57">
        <v>48</v>
      </c>
      <c r="G92" s="5">
        <f t="shared" si="264"/>
        <v>174240</v>
      </c>
      <c r="H92" s="7">
        <f t="shared" si="265"/>
        <v>53.837072018890204</v>
      </c>
      <c r="I92" s="5">
        <f t="shared" si="264"/>
        <v>195428.57142857145</v>
      </c>
      <c r="J92" s="9">
        <v>37</v>
      </c>
      <c r="K92" s="21">
        <f t="shared" si="237"/>
        <v>15</v>
      </c>
      <c r="L92" s="21">
        <v>10</v>
      </c>
      <c r="M92" s="21">
        <v>5</v>
      </c>
      <c r="N92" s="42"/>
      <c r="O92" s="81">
        <f>$H$92*月別販売比率!C5</f>
        <v>3.8151237908882094</v>
      </c>
      <c r="P92" s="10">
        <f t="shared" si="107"/>
        <v>15</v>
      </c>
      <c r="Q92" s="21">
        <v>30</v>
      </c>
      <c r="R92" s="19">
        <f t="shared" si="240"/>
        <v>45</v>
      </c>
      <c r="S92" s="24">
        <f t="shared" si="209"/>
        <v>41.184876209111792</v>
      </c>
      <c r="T92" s="81">
        <f>$H$92*月別販売比率!H5</f>
        <v>3.7685950413223148</v>
      </c>
      <c r="U92" s="10">
        <f t="shared" si="241"/>
        <v>15</v>
      </c>
      <c r="V92" s="21"/>
      <c r="W92" s="10">
        <f t="shared" si="242"/>
        <v>15</v>
      </c>
      <c r="X92" s="24">
        <f t="shared" si="212"/>
        <v>11.231404958677686</v>
      </c>
      <c r="Y92" s="81">
        <f>$H$92*月別販売比率!M5</f>
        <v>5.440973109844891</v>
      </c>
      <c r="Z92" s="10">
        <f t="shared" si="243"/>
        <v>15</v>
      </c>
      <c r="AA92" s="21"/>
      <c r="AB92" s="97">
        <f t="shared" si="244"/>
        <v>15</v>
      </c>
      <c r="AC92" s="24">
        <f t="shared" si="214"/>
        <v>9.5590268901551099</v>
      </c>
      <c r="AD92" s="81">
        <f>$H$92*月別販売比率!R5</f>
        <v>4.3069657615112167</v>
      </c>
      <c r="AE92" s="10">
        <f t="shared" si="245"/>
        <v>15</v>
      </c>
      <c r="AF92" s="21"/>
      <c r="AG92" s="10">
        <f t="shared" si="246"/>
        <v>15</v>
      </c>
      <c r="AH92" s="24">
        <f t="shared" si="216"/>
        <v>10.693034238488783</v>
      </c>
      <c r="AI92" s="81">
        <f>$H$92*月別販売比率!W5</f>
        <v>4.1005932077649483</v>
      </c>
      <c r="AJ92" s="10">
        <f t="shared" si="247"/>
        <v>15</v>
      </c>
      <c r="AK92" s="21"/>
      <c r="AL92" s="10">
        <f t="shared" si="248"/>
        <v>15</v>
      </c>
      <c r="AM92" s="24">
        <f t="shared" si="218"/>
        <v>10.899406792235052</v>
      </c>
      <c r="AN92" s="81">
        <f>$H$92*月別販売比率!AB5</f>
        <v>6.4604486422668241</v>
      </c>
      <c r="AO92" s="10">
        <f t="shared" si="249"/>
        <v>15</v>
      </c>
      <c r="AP92" s="21"/>
      <c r="AQ92" s="10">
        <f t="shared" si="250"/>
        <v>15</v>
      </c>
      <c r="AR92" s="24">
        <f t="shared" si="220"/>
        <v>8.5395513577331759</v>
      </c>
      <c r="AS92" s="81">
        <f>$H$92*月別販売比率!AG5</f>
        <v>5.3837072018890204</v>
      </c>
      <c r="AT92" s="10">
        <f t="shared" si="251"/>
        <v>15</v>
      </c>
      <c r="AU92" s="21"/>
      <c r="AV92" s="10">
        <f t="shared" si="252"/>
        <v>15</v>
      </c>
      <c r="AW92" s="24">
        <f t="shared" si="222"/>
        <v>9.6162927981109796</v>
      </c>
      <c r="AX92" s="81">
        <f>$H$92*月別販売比率!AL5</f>
        <v>4.8453364817001185</v>
      </c>
      <c r="AY92" s="10">
        <f t="shared" si="253"/>
        <v>15</v>
      </c>
      <c r="AZ92" s="21"/>
      <c r="BA92" s="19">
        <f t="shared" si="254"/>
        <v>15</v>
      </c>
      <c r="BB92" s="24">
        <f t="shared" si="225"/>
        <v>10.154663518299881</v>
      </c>
      <c r="BC92" s="81">
        <f>$H$92*月別販売比率!AQ5</f>
        <v>5.3837072018890204</v>
      </c>
      <c r="BD92" s="10">
        <f t="shared" si="255"/>
        <v>15</v>
      </c>
      <c r="BE92" s="21"/>
      <c r="BF92" s="19">
        <f t="shared" si="256"/>
        <v>15</v>
      </c>
      <c r="BG92" s="24">
        <f t="shared" si="228"/>
        <v>9.6162927981109796</v>
      </c>
      <c r="BH92" s="81">
        <f>$H$92*月別販売比率!AV5</f>
        <v>3.2783748793128207</v>
      </c>
      <c r="BI92" s="10">
        <f t="shared" si="257"/>
        <v>15</v>
      </c>
      <c r="BJ92" s="21"/>
      <c r="BK92" s="19">
        <f t="shared" si="258"/>
        <v>15</v>
      </c>
      <c r="BL92" s="24">
        <f t="shared" si="231"/>
        <v>11.721625120687179</v>
      </c>
      <c r="BM92" s="81">
        <f>$H$92*月別販売比率!BA5</f>
        <v>2.9945859553130534</v>
      </c>
      <c r="BN92" s="10">
        <f t="shared" si="259"/>
        <v>15</v>
      </c>
      <c r="BO92" s="21"/>
      <c r="BP92" s="19">
        <f t="shared" si="266"/>
        <v>15</v>
      </c>
      <c r="BQ92" s="24">
        <f t="shared" si="233"/>
        <v>12.005414044686948</v>
      </c>
      <c r="BR92" s="81">
        <f>$H$92*月別販売比率!BF5</f>
        <v>4.3069657615112167</v>
      </c>
      <c r="BS92" s="10">
        <f t="shared" si="260"/>
        <v>15</v>
      </c>
      <c r="BT92" s="21"/>
      <c r="BU92" s="19">
        <f t="shared" si="261"/>
        <v>15</v>
      </c>
      <c r="BV92" s="24">
        <f t="shared" si="236"/>
        <v>10.693034238488783</v>
      </c>
      <c r="BW92" s="158">
        <f t="shared" si="262"/>
        <v>45</v>
      </c>
      <c r="BX92" s="29">
        <f t="shared" si="263"/>
        <v>-8.8370720188902041</v>
      </c>
    </row>
    <row r="93" spans="2:76" ht="30.75" customHeight="1">
      <c r="C93" s="513"/>
      <c r="D93" s="441"/>
      <c r="E93" s="94" t="s">
        <v>51</v>
      </c>
      <c r="F93" s="57">
        <v>48</v>
      </c>
      <c r="G93" s="5">
        <f t="shared" si="264"/>
        <v>174240</v>
      </c>
      <c r="H93" s="7">
        <f t="shared" si="265"/>
        <v>53.837072018890204</v>
      </c>
      <c r="I93" s="5">
        <f t="shared" si="264"/>
        <v>195428.57142857145</v>
      </c>
      <c r="J93" s="9">
        <v>45</v>
      </c>
      <c r="K93" s="21">
        <f t="shared" si="237"/>
        <v>15</v>
      </c>
      <c r="L93" s="21">
        <v>10</v>
      </c>
      <c r="M93" s="21">
        <v>5</v>
      </c>
      <c r="N93" s="42"/>
      <c r="O93" s="81">
        <f>$H$93*月別販売比率!C5</f>
        <v>3.8151237908882094</v>
      </c>
      <c r="P93" s="10">
        <f t="shared" si="107"/>
        <v>15</v>
      </c>
      <c r="Q93" s="21">
        <v>30</v>
      </c>
      <c r="R93" s="19">
        <f t="shared" si="240"/>
        <v>45</v>
      </c>
      <c r="S93" s="24">
        <f t="shared" si="209"/>
        <v>41.184876209111792</v>
      </c>
      <c r="T93" s="81">
        <f>$H$93*月別販売比率!H5</f>
        <v>3.7685950413223148</v>
      </c>
      <c r="U93" s="10">
        <f t="shared" si="241"/>
        <v>15</v>
      </c>
      <c r="V93" s="21"/>
      <c r="W93" s="10">
        <f t="shared" si="242"/>
        <v>15</v>
      </c>
      <c r="X93" s="24">
        <f t="shared" si="212"/>
        <v>11.231404958677686</v>
      </c>
      <c r="Y93" s="81">
        <f>$H$93*月別販売比率!M5</f>
        <v>5.440973109844891</v>
      </c>
      <c r="Z93" s="10">
        <f t="shared" si="243"/>
        <v>15</v>
      </c>
      <c r="AA93" s="21"/>
      <c r="AB93" s="97">
        <f t="shared" si="244"/>
        <v>15</v>
      </c>
      <c r="AC93" s="24">
        <f t="shared" si="214"/>
        <v>9.5590268901551099</v>
      </c>
      <c r="AD93" s="81">
        <f>$H$93*月別販売比率!R5</f>
        <v>4.3069657615112167</v>
      </c>
      <c r="AE93" s="10">
        <f t="shared" si="245"/>
        <v>15</v>
      </c>
      <c r="AF93" s="21"/>
      <c r="AG93" s="10">
        <f t="shared" si="246"/>
        <v>15</v>
      </c>
      <c r="AH93" s="24">
        <f t="shared" si="216"/>
        <v>10.693034238488783</v>
      </c>
      <c r="AI93" s="81">
        <f>$H$93*月別販売比率!W5</f>
        <v>4.1005932077649483</v>
      </c>
      <c r="AJ93" s="10">
        <f t="shared" si="247"/>
        <v>15</v>
      </c>
      <c r="AK93" s="21"/>
      <c r="AL93" s="10">
        <f t="shared" si="248"/>
        <v>15</v>
      </c>
      <c r="AM93" s="24">
        <f t="shared" si="218"/>
        <v>10.899406792235052</v>
      </c>
      <c r="AN93" s="81">
        <f>$H$93*月別販売比率!AB5</f>
        <v>6.4604486422668241</v>
      </c>
      <c r="AO93" s="10">
        <f t="shared" si="249"/>
        <v>15</v>
      </c>
      <c r="AP93" s="21"/>
      <c r="AQ93" s="10">
        <f t="shared" si="250"/>
        <v>15</v>
      </c>
      <c r="AR93" s="24">
        <f t="shared" si="220"/>
        <v>8.5395513577331759</v>
      </c>
      <c r="AS93" s="81">
        <f>$H$93*月別販売比率!AG5</f>
        <v>5.3837072018890204</v>
      </c>
      <c r="AT93" s="10">
        <f t="shared" si="251"/>
        <v>15</v>
      </c>
      <c r="AU93" s="21"/>
      <c r="AV93" s="10">
        <f t="shared" si="252"/>
        <v>15</v>
      </c>
      <c r="AW93" s="24">
        <f t="shared" si="222"/>
        <v>9.6162927981109796</v>
      </c>
      <c r="AX93" s="81">
        <f>$H$93*月別販売比率!AL5</f>
        <v>4.8453364817001185</v>
      </c>
      <c r="AY93" s="10">
        <f t="shared" si="253"/>
        <v>15</v>
      </c>
      <c r="AZ93" s="21"/>
      <c r="BA93" s="19">
        <f t="shared" si="254"/>
        <v>15</v>
      </c>
      <c r="BB93" s="24">
        <f t="shared" si="225"/>
        <v>10.154663518299881</v>
      </c>
      <c r="BC93" s="81">
        <f>$H$93*月別販売比率!AQ5</f>
        <v>5.3837072018890204</v>
      </c>
      <c r="BD93" s="10">
        <f t="shared" si="255"/>
        <v>15</v>
      </c>
      <c r="BE93" s="21"/>
      <c r="BF93" s="19">
        <f t="shared" si="256"/>
        <v>15</v>
      </c>
      <c r="BG93" s="24">
        <f t="shared" si="228"/>
        <v>9.6162927981109796</v>
      </c>
      <c r="BH93" s="81">
        <f>$H$93*月別販売比率!AV5</f>
        <v>3.2783748793128207</v>
      </c>
      <c r="BI93" s="10">
        <f t="shared" si="257"/>
        <v>15</v>
      </c>
      <c r="BJ93" s="21"/>
      <c r="BK93" s="19">
        <f t="shared" si="258"/>
        <v>15</v>
      </c>
      <c r="BL93" s="24">
        <f t="shared" si="231"/>
        <v>11.721625120687179</v>
      </c>
      <c r="BM93" s="81">
        <f>$H$93*月別販売比率!BA5</f>
        <v>2.9945859553130534</v>
      </c>
      <c r="BN93" s="10">
        <f t="shared" si="259"/>
        <v>15</v>
      </c>
      <c r="BO93" s="21"/>
      <c r="BP93" s="19">
        <f t="shared" si="266"/>
        <v>15</v>
      </c>
      <c r="BQ93" s="24">
        <f t="shared" si="233"/>
        <v>12.005414044686948</v>
      </c>
      <c r="BR93" s="81">
        <f>$H$93*月別販売比率!BF5</f>
        <v>4.3069657615112167</v>
      </c>
      <c r="BS93" s="10">
        <f t="shared" si="260"/>
        <v>15</v>
      </c>
      <c r="BT93" s="21"/>
      <c r="BU93" s="19">
        <f t="shared" si="261"/>
        <v>15</v>
      </c>
      <c r="BV93" s="24">
        <f t="shared" si="236"/>
        <v>10.693034238488783</v>
      </c>
      <c r="BW93" s="158">
        <f t="shared" si="262"/>
        <v>45</v>
      </c>
      <c r="BX93" s="29">
        <f t="shared" si="263"/>
        <v>-8.8370720188902041</v>
      </c>
    </row>
    <row r="94" spans="2:76" ht="30.75" customHeight="1">
      <c r="C94" s="513"/>
      <c r="D94" s="441"/>
      <c r="E94" s="94" t="s">
        <v>49</v>
      </c>
      <c r="F94" s="57">
        <v>56</v>
      </c>
      <c r="G94" s="5">
        <f t="shared" si="264"/>
        <v>203280</v>
      </c>
      <c r="H94" s="7">
        <f t="shared" si="265"/>
        <v>62.809917355371908</v>
      </c>
      <c r="I94" s="5">
        <f t="shared" si="264"/>
        <v>228000.00000000003</v>
      </c>
      <c r="J94" s="9">
        <v>0</v>
      </c>
      <c r="K94" s="21">
        <f t="shared" si="237"/>
        <v>2</v>
      </c>
      <c r="L94" s="21"/>
      <c r="M94" s="21">
        <v>2</v>
      </c>
      <c r="N94" s="42"/>
      <c r="O94" s="81">
        <f>$H$94*月別販売比率!C5</f>
        <v>4.4509777560362442</v>
      </c>
      <c r="P94" s="10">
        <f t="shared" si="107"/>
        <v>2</v>
      </c>
      <c r="Q94" s="21">
        <v>30</v>
      </c>
      <c r="R94" s="19">
        <f t="shared" si="240"/>
        <v>32</v>
      </c>
      <c r="S94" s="24">
        <f t="shared" si="209"/>
        <v>27.549022243963755</v>
      </c>
      <c r="T94" s="81">
        <f>$H$94*月別販売比率!H5</f>
        <v>4.3966942148760344</v>
      </c>
      <c r="U94" s="10">
        <f t="shared" si="241"/>
        <v>2</v>
      </c>
      <c r="V94" s="21"/>
      <c r="W94" s="10">
        <f t="shared" si="242"/>
        <v>2</v>
      </c>
      <c r="X94" s="24">
        <f t="shared" si="212"/>
        <v>-2.3966942148760344</v>
      </c>
      <c r="Y94" s="81">
        <f>$H$94*月別販売比率!M5</f>
        <v>6.3478019614857066</v>
      </c>
      <c r="Z94" s="10">
        <f t="shared" si="243"/>
        <v>2</v>
      </c>
      <c r="AA94" s="21"/>
      <c r="AB94" s="97">
        <f t="shared" si="244"/>
        <v>2</v>
      </c>
      <c r="AC94" s="24">
        <f t="shared" si="214"/>
        <v>-4.3478019614857066</v>
      </c>
      <c r="AD94" s="81">
        <f>$H$94*月別販売比率!R5</f>
        <v>5.0247933884297531</v>
      </c>
      <c r="AE94" s="10">
        <f t="shared" si="245"/>
        <v>2</v>
      </c>
      <c r="AF94" s="21"/>
      <c r="AG94" s="10">
        <f t="shared" si="246"/>
        <v>2</v>
      </c>
      <c r="AH94" s="24">
        <f t="shared" si="216"/>
        <v>-3.0247933884297531</v>
      </c>
      <c r="AI94" s="81">
        <f>$H$94*月別販売比率!W5</f>
        <v>4.7840254090591063</v>
      </c>
      <c r="AJ94" s="10">
        <f t="shared" si="247"/>
        <v>2</v>
      </c>
      <c r="AK94" s="21"/>
      <c r="AL94" s="10">
        <f t="shared" si="248"/>
        <v>2</v>
      </c>
      <c r="AM94" s="24">
        <f t="shared" si="218"/>
        <v>-2.7840254090591063</v>
      </c>
      <c r="AN94" s="81">
        <f>$H$94*月別販売比率!AB5</f>
        <v>7.5371900826446288</v>
      </c>
      <c r="AO94" s="10">
        <f t="shared" si="249"/>
        <v>2</v>
      </c>
      <c r="AP94" s="21"/>
      <c r="AQ94" s="10">
        <f t="shared" si="250"/>
        <v>2</v>
      </c>
      <c r="AR94" s="24">
        <f t="shared" si="220"/>
        <v>-5.5371900826446288</v>
      </c>
      <c r="AS94" s="81">
        <f>$H$94*月別販売比率!AG5</f>
        <v>6.2809917355371914</v>
      </c>
      <c r="AT94" s="10">
        <f t="shared" si="251"/>
        <v>2</v>
      </c>
      <c r="AU94" s="21"/>
      <c r="AV94" s="10">
        <f t="shared" si="252"/>
        <v>2</v>
      </c>
      <c r="AW94" s="24">
        <f t="shared" si="222"/>
        <v>-4.2809917355371914</v>
      </c>
      <c r="AX94" s="81">
        <f>$H$94*月別販売比率!AL5</f>
        <v>5.6528925619834718</v>
      </c>
      <c r="AY94" s="10">
        <f t="shared" si="253"/>
        <v>2</v>
      </c>
      <c r="AZ94" s="21"/>
      <c r="BA94" s="19">
        <f t="shared" si="254"/>
        <v>2</v>
      </c>
      <c r="BB94" s="24">
        <f t="shared" si="225"/>
        <v>-3.6528925619834718</v>
      </c>
      <c r="BC94" s="81">
        <f>$H$94*月別販売比率!AQ5</f>
        <v>6.2809917355371914</v>
      </c>
      <c r="BD94" s="10">
        <f t="shared" si="255"/>
        <v>2</v>
      </c>
      <c r="BE94" s="21"/>
      <c r="BF94" s="19">
        <f t="shared" si="256"/>
        <v>2</v>
      </c>
      <c r="BG94" s="24">
        <f t="shared" si="228"/>
        <v>-4.2809917355371914</v>
      </c>
      <c r="BH94" s="81">
        <f>$H$94*月別販売比率!AV5</f>
        <v>3.8247706925316245</v>
      </c>
      <c r="BI94" s="10">
        <f t="shared" si="257"/>
        <v>2</v>
      </c>
      <c r="BJ94" s="21"/>
      <c r="BK94" s="19">
        <f t="shared" si="258"/>
        <v>2</v>
      </c>
      <c r="BL94" s="24">
        <f t="shared" si="231"/>
        <v>-1.8247706925316245</v>
      </c>
      <c r="BM94" s="81">
        <f>$H$94*月別販売比率!BA5</f>
        <v>3.4936836145318959</v>
      </c>
      <c r="BN94" s="10">
        <f t="shared" si="259"/>
        <v>2</v>
      </c>
      <c r="BO94" s="21"/>
      <c r="BP94" s="19">
        <f t="shared" si="266"/>
        <v>2</v>
      </c>
      <c r="BQ94" s="24">
        <f t="shared" si="233"/>
        <v>-1.4936836145318959</v>
      </c>
      <c r="BR94" s="81">
        <f>$H$94*月別販売比率!BF5</f>
        <v>5.0247933884297531</v>
      </c>
      <c r="BS94" s="10">
        <f t="shared" si="260"/>
        <v>2</v>
      </c>
      <c r="BT94" s="21"/>
      <c r="BU94" s="19">
        <f t="shared" si="261"/>
        <v>2</v>
      </c>
      <c r="BV94" s="24">
        <f t="shared" si="236"/>
        <v>-3.0247933884297531</v>
      </c>
      <c r="BW94" s="158">
        <f t="shared" si="262"/>
        <v>32</v>
      </c>
      <c r="BX94" s="29">
        <f t="shared" si="263"/>
        <v>-30.809917355371908</v>
      </c>
    </row>
    <row r="95" spans="2:76" ht="30.75" customHeight="1">
      <c r="C95" s="513"/>
      <c r="D95" s="442"/>
      <c r="E95" s="94" t="s">
        <v>50</v>
      </c>
      <c r="F95" s="57">
        <v>25</v>
      </c>
      <c r="G95" s="5">
        <f t="shared" si="264"/>
        <v>90750</v>
      </c>
      <c r="H95" s="7">
        <f t="shared" si="265"/>
        <v>28.040141676505314</v>
      </c>
      <c r="I95" s="5">
        <f t="shared" si="264"/>
        <v>101785.71428571429</v>
      </c>
      <c r="J95" s="9">
        <v>0</v>
      </c>
      <c r="K95" s="21">
        <f t="shared" si="237"/>
        <v>12</v>
      </c>
      <c r="L95" s="21">
        <v>10</v>
      </c>
      <c r="M95" s="21">
        <v>2</v>
      </c>
      <c r="N95" s="42"/>
      <c r="O95" s="81">
        <f>$H$95*月別販売比率!C5</f>
        <v>1.9870436410876091</v>
      </c>
      <c r="P95" s="10">
        <f t="shared" si="107"/>
        <v>12</v>
      </c>
      <c r="Q95" s="21">
        <v>30</v>
      </c>
      <c r="R95" s="19">
        <f t="shared" si="240"/>
        <v>42</v>
      </c>
      <c r="S95" s="24">
        <f t="shared" si="209"/>
        <v>40.01295635891239</v>
      </c>
      <c r="T95" s="81">
        <f>$H$95*月別販売比率!H5</f>
        <v>1.9628099173553721</v>
      </c>
      <c r="U95" s="10">
        <f t="shared" si="241"/>
        <v>12</v>
      </c>
      <c r="V95" s="21"/>
      <c r="W95" s="10">
        <f t="shared" si="242"/>
        <v>12</v>
      </c>
      <c r="X95" s="24">
        <f t="shared" si="212"/>
        <v>10.037190082644628</v>
      </c>
      <c r="Y95" s="81">
        <f>$H$95*月別販売比率!M5</f>
        <v>2.8338401613775472</v>
      </c>
      <c r="Z95" s="10">
        <f t="shared" si="243"/>
        <v>12</v>
      </c>
      <c r="AA95" s="21"/>
      <c r="AB95" s="97">
        <f t="shared" si="244"/>
        <v>12</v>
      </c>
      <c r="AC95" s="24">
        <f t="shared" si="214"/>
        <v>9.1661598386224519</v>
      </c>
      <c r="AD95" s="81">
        <f>$H$95*月別販売比率!R5</f>
        <v>2.2432113341204252</v>
      </c>
      <c r="AE95" s="10">
        <f t="shared" si="245"/>
        <v>12</v>
      </c>
      <c r="AF95" s="21"/>
      <c r="AG95" s="10">
        <f t="shared" si="246"/>
        <v>12</v>
      </c>
      <c r="AH95" s="24">
        <f t="shared" si="216"/>
        <v>9.7567886658795757</v>
      </c>
      <c r="AI95" s="81">
        <f>$H$95*月別販売比率!W5</f>
        <v>2.1357256290442441</v>
      </c>
      <c r="AJ95" s="10">
        <f t="shared" si="247"/>
        <v>12</v>
      </c>
      <c r="AK95" s="21"/>
      <c r="AL95" s="10">
        <f t="shared" si="248"/>
        <v>12</v>
      </c>
      <c r="AM95" s="24">
        <f t="shared" si="218"/>
        <v>9.864274370955755</v>
      </c>
      <c r="AN95" s="81">
        <f>$H$95*月別販売比率!AB5</f>
        <v>3.3648170011806378</v>
      </c>
      <c r="AO95" s="10">
        <f t="shared" si="249"/>
        <v>12</v>
      </c>
      <c r="AP95" s="21"/>
      <c r="AQ95" s="10">
        <f t="shared" si="250"/>
        <v>12</v>
      </c>
      <c r="AR95" s="24">
        <f t="shared" si="220"/>
        <v>8.6351829988193618</v>
      </c>
      <c r="AS95" s="81">
        <f>$H$95*月別販売比率!AG5</f>
        <v>2.8040141676505317</v>
      </c>
      <c r="AT95" s="10">
        <f t="shared" si="251"/>
        <v>12</v>
      </c>
      <c r="AU95" s="21"/>
      <c r="AV95" s="10">
        <f t="shared" si="252"/>
        <v>12</v>
      </c>
      <c r="AW95" s="24">
        <f t="shared" si="222"/>
        <v>9.1959858323494679</v>
      </c>
      <c r="AX95" s="81">
        <f>$H$95*月別販売比率!AL5</f>
        <v>2.5236127508854782</v>
      </c>
      <c r="AY95" s="10">
        <f t="shared" si="253"/>
        <v>12</v>
      </c>
      <c r="AZ95" s="21"/>
      <c r="BA95" s="19">
        <f t="shared" si="254"/>
        <v>12</v>
      </c>
      <c r="BB95" s="24">
        <f t="shared" si="225"/>
        <v>9.4763872491145218</v>
      </c>
      <c r="BC95" s="81">
        <f>$H$95*月別販売比率!AQ5</f>
        <v>2.8040141676505317</v>
      </c>
      <c r="BD95" s="10">
        <f t="shared" si="255"/>
        <v>12</v>
      </c>
      <c r="BE95" s="21"/>
      <c r="BF95" s="19">
        <f t="shared" si="256"/>
        <v>12</v>
      </c>
      <c r="BG95" s="24">
        <f t="shared" si="228"/>
        <v>9.1959858323494679</v>
      </c>
      <c r="BH95" s="81">
        <f>$H$95*月別販売比率!AV5</f>
        <v>1.7074869163087607</v>
      </c>
      <c r="BI95" s="10">
        <f t="shared" si="257"/>
        <v>12</v>
      </c>
      <c r="BJ95" s="21"/>
      <c r="BK95" s="19">
        <f t="shared" si="258"/>
        <v>12</v>
      </c>
      <c r="BL95" s="24">
        <f t="shared" si="231"/>
        <v>10.29251308369124</v>
      </c>
      <c r="BM95" s="81">
        <f>$H$95*月別販売比率!BA5</f>
        <v>1.559680185058882</v>
      </c>
      <c r="BN95" s="10">
        <f t="shared" si="259"/>
        <v>12</v>
      </c>
      <c r="BO95" s="21"/>
      <c r="BP95" s="19">
        <f t="shared" si="266"/>
        <v>12</v>
      </c>
      <c r="BQ95" s="24">
        <f t="shared" si="233"/>
        <v>10.440319814941118</v>
      </c>
      <c r="BR95" s="81">
        <f>$H$95*月別販売比率!BF5</f>
        <v>2.2432113341204252</v>
      </c>
      <c r="BS95" s="10">
        <f t="shared" si="260"/>
        <v>12</v>
      </c>
      <c r="BT95" s="21"/>
      <c r="BU95" s="19">
        <f t="shared" si="261"/>
        <v>12</v>
      </c>
      <c r="BV95" s="24">
        <f t="shared" si="236"/>
        <v>9.7567886658795757</v>
      </c>
      <c r="BW95" s="158">
        <f t="shared" si="262"/>
        <v>42</v>
      </c>
      <c r="BX95" s="29">
        <f t="shared" si="263"/>
        <v>13.959858323494686</v>
      </c>
    </row>
    <row r="96" spans="2:76" ht="30.75" customHeight="1">
      <c r="C96" s="513"/>
      <c r="D96" s="441">
        <v>3</v>
      </c>
      <c r="E96" s="94" t="s">
        <v>47</v>
      </c>
      <c r="F96" s="57">
        <v>60</v>
      </c>
      <c r="G96" s="5">
        <f t="shared" si="264"/>
        <v>217800</v>
      </c>
      <c r="H96" s="7">
        <f t="shared" si="265"/>
        <v>67.296340023612757</v>
      </c>
      <c r="I96" s="5">
        <f t="shared" si="264"/>
        <v>244285.71428571432</v>
      </c>
      <c r="J96" s="9">
        <v>53</v>
      </c>
      <c r="K96" s="21">
        <f t="shared" si="237"/>
        <v>16</v>
      </c>
      <c r="L96" s="21">
        <v>10</v>
      </c>
      <c r="M96" s="21">
        <v>6</v>
      </c>
      <c r="N96" s="42"/>
      <c r="O96" s="81">
        <f>$H$96*月別販売比率!C5</f>
        <v>4.7689047386102619</v>
      </c>
      <c r="P96" s="10">
        <f t="shared" si="107"/>
        <v>16</v>
      </c>
      <c r="Q96" s="21"/>
      <c r="R96" s="19">
        <f t="shared" si="240"/>
        <v>16</v>
      </c>
      <c r="S96" s="24">
        <f t="shared" si="209"/>
        <v>11.231095261389738</v>
      </c>
      <c r="T96" s="81">
        <f>$H$96*月別販売比率!H5</f>
        <v>4.7107438016528933</v>
      </c>
      <c r="U96" s="10">
        <f t="shared" si="241"/>
        <v>16</v>
      </c>
      <c r="V96" s="21"/>
      <c r="W96" s="10">
        <f t="shared" si="242"/>
        <v>16</v>
      </c>
      <c r="X96" s="24">
        <f t="shared" si="212"/>
        <v>11.289256198347108</v>
      </c>
      <c r="Y96" s="81">
        <f>$H$96*月別販売比率!M5</f>
        <v>6.8012163873061144</v>
      </c>
      <c r="Z96" s="10">
        <f t="shared" si="243"/>
        <v>16</v>
      </c>
      <c r="AA96" s="21"/>
      <c r="AB96" s="97">
        <f t="shared" si="244"/>
        <v>16</v>
      </c>
      <c r="AC96" s="24">
        <f t="shared" si="214"/>
        <v>9.1987836126938856</v>
      </c>
      <c r="AD96" s="81">
        <f>$H$96*月別販売比率!R5</f>
        <v>5.3837072018890204</v>
      </c>
      <c r="AE96" s="10">
        <f t="shared" si="245"/>
        <v>16</v>
      </c>
      <c r="AF96" s="21"/>
      <c r="AG96" s="10">
        <f t="shared" si="246"/>
        <v>16</v>
      </c>
      <c r="AH96" s="24">
        <f t="shared" si="216"/>
        <v>10.61629279811098</v>
      </c>
      <c r="AI96" s="81">
        <f>$H$96*月別販売比率!W5</f>
        <v>5.1257415097061854</v>
      </c>
      <c r="AJ96" s="10">
        <f t="shared" si="247"/>
        <v>16</v>
      </c>
      <c r="AK96" s="21"/>
      <c r="AL96" s="10">
        <f t="shared" si="248"/>
        <v>16</v>
      </c>
      <c r="AM96" s="24">
        <f t="shared" si="218"/>
        <v>10.874258490293816</v>
      </c>
      <c r="AN96" s="81">
        <f>$H$96*月別販売比率!AB5</f>
        <v>8.0755608028335306</v>
      </c>
      <c r="AO96" s="10">
        <f t="shared" si="249"/>
        <v>16</v>
      </c>
      <c r="AP96" s="21"/>
      <c r="AQ96" s="10">
        <f t="shared" si="250"/>
        <v>16</v>
      </c>
      <c r="AR96" s="24">
        <f t="shared" si="220"/>
        <v>7.9244391971664694</v>
      </c>
      <c r="AS96" s="81">
        <f>$H$96*月別販売比率!AG5</f>
        <v>6.7296340023612764</v>
      </c>
      <c r="AT96" s="10">
        <f t="shared" si="251"/>
        <v>16</v>
      </c>
      <c r="AU96" s="21"/>
      <c r="AV96" s="10">
        <f t="shared" si="252"/>
        <v>16</v>
      </c>
      <c r="AW96" s="24">
        <f t="shared" si="222"/>
        <v>9.2703659976387236</v>
      </c>
      <c r="AX96" s="81">
        <f>$H$96*月別販売比率!AL5</f>
        <v>6.0566706021251475</v>
      </c>
      <c r="AY96" s="10">
        <f t="shared" si="253"/>
        <v>16</v>
      </c>
      <c r="AZ96" s="21"/>
      <c r="BA96" s="19">
        <f t="shared" si="254"/>
        <v>16</v>
      </c>
      <c r="BB96" s="24">
        <f t="shared" si="225"/>
        <v>9.9433293978748516</v>
      </c>
      <c r="BC96" s="81">
        <f>$H$96*月別販売比率!AQ5</f>
        <v>6.7296340023612764</v>
      </c>
      <c r="BD96" s="10">
        <f t="shared" si="255"/>
        <v>16</v>
      </c>
      <c r="BE96" s="21"/>
      <c r="BF96" s="19">
        <f t="shared" si="256"/>
        <v>16</v>
      </c>
      <c r="BG96" s="24">
        <f t="shared" si="228"/>
        <v>9.2703659976387236</v>
      </c>
      <c r="BH96" s="81">
        <f>$H$96*月別販売比率!AV5</f>
        <v>4.0979685991410264</v>
      </c>
      <c r="BI96" s="10">
        <f t="shared" si="257"/>
        <v>16</v>
      </c>
      <c r="BJ96" s="21"/>
      <c r="BK96" s="19">
        <f t="shared" si="258"/>
        <v>16</v>
      </c>
      <c r="BL96" s="24">
        <f t="shared" si="231"/>
        <v>11.902031400858974</v>
      </c>
      <c r="BM96" s="81">
        <f>$H$96*月別販売比率!BA5</f>
        <v>3.743232444141317</v>
      </c>
      <c r="BN96" s="10">
        <f t="shared" si="259"/>
        <v>16</v>
      </c>
      <c r="BO96" s="21"/>
      <c r="BP96" s="19">
        <f t="shared" si="266"/>
        <v>16</v>
      </c>
      <c r="BQ96" s="24">
        <f t="shared" si="233"/>
        <v>12.256767555858683</v>
      </c>
      <c r="BR96" s="81">
        <f>$H$96*月別販売比率!BF5</f>
        <v>5.3837072018890204</v>
      </c>
      <c r="BS96" s="10">
        <f t="shared" si="260"/>
        <v>16</v>
      </c>
      <c r="BT96" s="21"/>
      <c r="BU96" s="19">
        <f t="shared" si="261"/>
        <v>16</v>
      </c>
      <c r="BV96" s="24">
        <f t="shared" si="236"/>
        <v>10.61629279811098</v>
      </c>
      <c r="BW96" s="158">
        <f t="shared" si="262"/>
        <v>16</v>
      </c>
      <c r="BX96" s="29">
        <f t="shared" si="263"/>
        <v>-51.296340023612757</v>
      </c>
    </row>
    <row r="97" spans="2:76" ht="30.75" customHeight="1">
      <c r="C97" s="513"/>
      <c r="D97" s="441"/>
      <c r="E97" s="94" t="s">
        <v>51</v>
      </c>
      <c r="F97" s="57">
        <v>65</v>
      </c>
      <c r="G97" s="5">
        <f t="shared" si="264"/>
        <v>235950</v>
      </c>
      <c r="H97" s="7">
        <f t="shared" si="265"/>
        <v>72.904368358913814</v>
      </c>
      <c r="I97" s="5">
        <f t="shared" si="264"/>
        <v>264642.85714285716</v>
      </c>
      <c r="J97" s="9">
        <v>51</v>
      </c>
      <c r="K97" s="21">
        <f t="shared" si="237"/>
        <v>13</v>
      </c>
      <c r="L97" s="21">
        <v>10</v>
      </c>
      <c r="M97" s="21">
        <v>3</v>
      </c>
      <c r="N97" s="42"/>
      <c r="O97" s="81">
        <f>$H$97*月別販売比率!C5</f>
        <v>5.1663134668277833</v>
      </c>
      <c r="P97" s="10">
        <f t="shared" si="107"/>
        <v>13</v>
      </c>
      <c r="Q97" s="21"/>
      <c r="R97" s="19">
        <f t="shared" si="240"/>
        <v>13</v>
      </c>
      <c r="S97" s="24">
        <f t="shared" si="209"/>
        <v>7.8336865331722167</v>
      </c>
      <c r="T97" s="81">
        <f>$H$97*月別販売比率!H5</f>
        <v>5.1033057851239674</v>
      </c>
      <c r="U97" s="10">
        <f t="shared" si="241"/>
        <v>13</v>
      </c>
      <c r="V97" s="21"/>
      <c r="W97" s="10">
        <f t="shared" si="242"/>
        <v>13</v>
      </c>
      <c r="X97" s="24">
        <f t="shared" si="212"/>
        <v>7.8966942148760326</v>
      </c>
      <c r="Y97" s="81">
        <f>$H$97*月別販売比率!M5</f>
        <v>7.3679844195816226</v>
      </c>
      <c r="Z97" s="10">
        <f t="shared" si="243"/>
        <v>13</v>
      </c>
      <c r="AA97" s="21"/>
      <c r="AB97" s="97">
        <f t="shared" si="244"/>
        <v>13</v>
      </c>
      <c r="AC97" s="24">
        <f t="shared" si="214"/>
        <v>5.6320155804183774</v>
      </c>
      <c r="AD97" s="81">
        <f>$H$97*月別販売比率!R5</f>
        <v>5.8323494687131054</v>
      </c>
      <c r="AE97" s="10">
        <f t="shared" si="245"/>
        <v>13</v>
      </c>
      <c r="AF97" s="21"/>
      <c r="AG97" s="10">
        <f t="shared" si="246"/>
        <v>13</v>
      </c>
      <c r="AH97" s="24">
        <f t="shared" si="216"/>
        <v>7.1676505312868946</v>
      </c>
      <c r="AI97" s="81">
        <f>$H$97*月別販売比率!W5</f>
        <v>5.5528866355150344</v>
      </c>
      <c r="AJ97" s="10">
        <f t="shared" si="247"/>
        <v>13</v>
      </c>
      <c r="AK97" s="21"/>
      <c r="AL97" s="10">
        <f t="shared" si="248"/>
        <v>13</v>
      </c>
      <c r="AM97" s="24">
        <f t="shared" si="218"/>
        <v>7.4471133644849656</v>
      </c>
      <c r="AN97" s="81">
        <f>$H$97*月別販売比率!AB5</f>
        <v>8.7485242030696568</v>
      </c>
      <c r="AO97" s="10">
        <f t="shared" si="249"/>
        <v>13</v>
      </c>
      <c r="AP97" s="21"/>
      <c r="AQ97" s="10">
        <f t="shared" si="250"/>
        <v>13</v>
      </c>
      <c r="AR97" s="24">
        <f t="shared" si="220"/>
        <v>4.2514757969303432</v>
      </c>
      <c r="AS97" s="81">
        <f>$H$97*月別販売比率!AG5</f>
        <v>7.2904368358913816</v>
      </c>
      <c r="AT97" s="10">
        <f t="shared" si="251"/>
        <v>13</v>
      </c>
      <c r="AU97" s="21"/>
      <c r="AV97" s="10">
        <f t="shared" si="252"/>
        <v>13</v>
      </c>
      <c r="AW97" s="24">
        <f t="shared" si="222"/>
        <v>5.7095631641086184</v>
      </c>
      <c r="AX97" s="81">
        <f>$H$97*月別販売比率!AL5</f>
        <v>6.5613931523022426</v>
      </c>
      <c r="AY97" s="10">
        <f t="shared" si="253"/>
        <v>13</v>
      </c>
      <c r="AZ97" s="21"/>
      <c r="BA97" s="19">
        <f t="shared" si="254"/>
        <v>13</v>
      </c>
      <c r="BB97" s="24">
        <f t="shared" si="225"/>
        <v>6.4386068476977574</v>
      </c>
      <c r="BC97" s="81">
        <f>$H$97*月別販売比率!AQ5</f>
        <v>7.2904368358913816</v>
      </c>
      <c r="BD97" s="10">
        <f t="shared" si="255"/>
        <v>13</v>
      </c>
      <c r="BE97" s="21"/>
      <c r="BF97" s="19">
        <f t="shared" si="256"/>
        <v>13</v>
      </c>
      <c r="BG97" s="24">
        <f t="shared" si="228"/>
        <v>5.7095631641086184</v>
      </c>
      <c r="BH97" s="81">
        <f>$H$97*月別販売比率!AV5</f>
        <v>4.439465982402778</v>
      </c>
      <c r="BI97" s="10">
        <f t="shared" si="257"/>
        <v>13</v>
      </c>
      <c r="BJ97" s="21"/>
      <c r="BK97" s="19">
        <f t="shared" si="258"/>
        <v>13</v>
      </c>
      <c r="BL97" s="24">
        <f t="shared" si="231"/>
        <v>8.560534017597222</v>
      </c>
      <c r="BM97" s="81">
        <f>$H$97*月別販売比率!BA5</f>
        <v>4.0551684811530926</v>
      </c>
      <c r="BN97" s="10">
        <f t="shared" si="259"/>
        <v>13</v>
      </c>
      <c r="BO97" s="21"/>
      <c r="BP97" s="19">
        <f t="shared" si="266"/>
        <v>13</v>
      </c>
      <c r="BQ97" s="24">
        <f t="shared" si="233"/>
        <v>8.9448315188469074</v>
      </c>
      <c r="BR97" s="81">
        <f>$H$97*月別販売比率!BF5</f>
        <v>5.8323494687131054</v>
      </c>
      <c r="BS97" s="10">
        <f t="shared" si="260"/>
        <v>13</v>
      </c>
      <c r="BT97" s="21"/>
      <c r="BU97" s="19">
        <f t="shared" si="261"/>
        <v>13</v>
      </c>
      <c r="BV97" s="24">
        <f t="shared" si="236"/>
        <v>7.1676505312868946</v>
      </c>
      <c r="BW97" s="158">
        <f t="shared" si="262"/>
        <v>13</v>
      </c>
      <c r="BX97" s="29">
        <f t="shared" si="263"/>
        <v>-59.904368358913814</v>
      </c>
    </row>
    <row r="98" spans="2:76" ht="30.75" customHeight="1">
      <c r="C98" s="513"/>
      <c r="D98" s="441"/>
      <c r="E98" s="94" t="s">
        <v>49</v>
      </c>
      <c r="F98" s="57">
        <v>56</v>
      </c>
      <c r="G98" s="5">
        <f t="shared" si="264"/>
        <v>203280</v>
      </c>
      <c r="H98" s="7">
        <f t="shared" si="265"/>
        <v>62.809917355371908</v>
      </c>
      <c r="I98" s="5">
        <f t="shared" si="264"/>
        <v>228000.00000000003</v>
      </c>
      <c r="J98" s="9">
        <v>4</v>
      </c>
      <c r="K98" s="21">
        <f t="shared" si="237"/>
        <v>14</v>
      </c>
      <c r="L98" s="21">
        <v>10</v>
      </c>
      <c r="M98" s="21">
        <v>4</v>
      </c>
      <c r="N98" s="42"/>
      <c r="O98" s="81">
        <f>$H$98*月別販売比率!C5</f>
        <v>4.4509777560362442</v>
      </c>
      <c r="P98" s="10">
        <f t="shared" si="107"/>
        <v>14</v>
      </c>
      <c r="Q98" s="21"/>
      <c r="R98" s="19">
        <f t="shared" si="240"/>
        <v>14</v>
      </c>
      <c r="S98" s="24">
        <f t="shared" si="209"/>
        <v>9.5490222439637549</v>
      </c>
      <c r="T98" s="81">
        <f>$H$98*月別販売比率!H5</f>
        <v>4.3966942148760344</v>
      </c>
      <c r="U98" s="10">
        <f t="shared" si="241"/>
        <v>14</v>
      </c>
      <c r="V98" s="21"/>
      <c r="W98" s="10">
        <f t="shared" ref="W98:W111" si="267">K98+V98</f>
        <v>14</v>
      </c>
      <c r="X98" s="24">
        <f t="shared" si="212"/>
        <v>9.6033057851239647</v>
      </c>
      <c r="Y98" s="81">
        <f>$H$98*月別販売比率!M5</f>
        <v>6.3478019614857066</v>
      </c>
      <c r="Z98" s="10">
        <f t="shared" si="243"/>
        <v>14</v>
      </c>
      <c r="AA98" s="21"/>
      <c r="AB98" s="97">
        <f t="shared" si="244"/>
        <v>14</v>
      </c>
      <c r="AC98" s="24">
        <f t="shared" si="214"/>
        <v>7.6521980385142934</v>
      </c>
      <c r="AD98" s="81">
        <f>$H$98*月別販売比率!R5</f>
        <v>5.0247933884297531</v>
      </c>
      <c r="AE98" s="10">
        <f t="shared" si="245"/>
        <v>14</v>
      </c>
      <c r="AF98" s="21"/>
      <c r="AG98" s="10">
        <f t="shared" si="246"/>
        <v>14</v>
      </c>
      <c r="AH98" s="24">
        <f t="shared" si="216"/>
        <v>8.9752066115702469</v>
      </c>
      <c r="AI98" s="81">
        <f>$H$98*月別販売比率!W5</f>
        <v>4.7840254090591063</v>
      </c>
      <c r="AJ98" s="10">
        <f t="shared" si="247"/>
        <v>14</v>
      </c>
      <c r="AK98" s="21"/>
      <c r="AL98" s="10">
        <f t="shared" si="248"/>
        <v>14</v>
      </c>
      <c r="AM98" s="24">
        <f t="shared" si="218"/>
        <v>9.2159745909408937</v>
      </c>
      <c r="AN98" s="81">
        <f>$H$98*月別販売比率!AB5</f>
        <v>7.5371900826446288</v>
      </c>
      <c r="AO98" s="10">
        <f t="shared" si="249"/>
        <v>14</v>
      </c>
      <c r="AP98" s="21"/>
      <c r="AQ98" s="10">
        <f t="shared" si="250"/>
        <v>14</v>
      </c>
      <c r="AR98" s="24">
        <f t="shared" si="220"/>
        <v>6.4628099173553712</v>
      </c>
      <c r="AS98" s="81">
        <f>$H$98*月別販売比率!AG5</f>
        <v>6.2809917355371914</v>
      </c>
      <c r="AT98" s="10">
        <f t="shared" si="251"/>
        <v>14</v>
      </c>
      <c r="AU98" s="21"/>
      <c r="AV98" s="10">
        <f t="shared" si="252"/>
        <v>14</v>
      </c>
      <c r="AW98" s="24">
        <f t="shared" si="222"/>
        <v>7.7190082644628086</v>
      </c>
      <c r="AX98" s="81">
        <f>$H$98*月別販売比率!AL5</f>
        <v>5.6528925619834718</v>
      </c>
      <c r="AY98" s="10">
        <f t="shared" si="253"/>
        <v>14</v>
      </c>
      <c r="AZ98" s="21"/>
      <c r="BA98" s="19">
        <f t="shared" si="254"/>
        <v>14</v>
      </c>
      <c r="BB98" s="24">
        <f t="shared" si="225"/>
        <v>8.3471074380165291</v>
      </c>
      <c r="BC98" s="81">
        <f>$H$98*月別販売比率!AQ5</f>
        <v>6.2809917355371914</v>
      </c>
      <c r="BD98" s="10">
        <f t="shared" si="255"/>
        <v>14</v>
      </c>
      <c r="BE98" s="21"/>
      <c r="BF98" s="19">
        <f t="shared" si="256"/>
        <v>14</v>
      </c>
      <c r="BG98" s="24">
        <f t="shared" si="228"/>
        <v>7.7190082644628086</v>
      </c>
      <c r="BH98" s="81">
        <f>$H$98*月別販売比率!AV5</f>
        <v>3.8247706925316245</v>
      </c>
      <c r="BI98" s="10">
        <f t="shared" si="257"/>
        <v>14</v>
      </c>
      <c r="BJ98" s="21"/>
      <c r="BK98" s="19">
        <f t="shared" si="258"/>
        <v>14</v>
      </c>
      <c r="BL98" s="24">
        <f t="shared" si="231"/>
        <v>10.175229307468376</v>
      </c>
      <c r="BM98" s="81">
        <f>$H$98*月別販売比率!BA5</f>
        <v>3.4936836145318959</v>
      </c>
      <c r="BN98" s="10">
        <f t="shared" si="259"/>
        <v>14</v>
      </c>
      <c r="BO98" s="21"/>
      <c r="BP98" s="19">
        <f t="shared" si="266"/>
        <v>14</v>
      </c>
      <c r="BQ98" s="24">
        <f t="shared" si="233"/>
        <v>10.506316385468104</v>
      </c>
      <c r="BR98" s="81">
        <f>$H$98*月別販売比率!BF5</f>
        <v>5.0247933884297531</v>
      </c>
      <c r="BS98" s="10">
        <f t="shared" si="260"/>
        <v>14</v>
      </c>
      <c r="BT98" s="21"/>
      <c r="BU98" s="19">
        <f t="shared" si="261"/>
        <v>14</v>
      </c>
      <c r="BV98" s="24">
        <f t="shared" si="236"/>
        <v>8.9752066115702469</v>
      </c>
      <c r="BW98" s="158">
        <f t="shared" si="262"/>
        <v>14</v>
      </c>
      <c r="BX98" s="29">
        <f t="shared" si="263"/>
        <v>-48.809917355371908</v>
      </c>
    </row>
    <row r="99" spans="2:76" ht="30.75" customHeight="1">
      <c r="C99" s="513"/>
      <c r="D99" s="442"/>
      <c r="E99" s="94" t="s">
        <v>50</v>
      </c>
      <c r="F99" s="57">
        <v>23</v>
      </c>
      <c r="G99" s="5">
        <f t="shared" si="264"/>
        <v>83490</v>
      </c>
      <c r="H99" s="7">
        <f t="shared" si="265"/>
        <v>25.79693034238489</v>
      </c>
      <c r="I99" s="5">
        <f t="shared" si="264"/>
        <v>93642.857142857145</v>
      </c>
      <c r="J99" s="9">
        <v>6</v>
      </c>
      <c r="K99" s="21">
        <f t="shared" si="237"/>
        <v>14</v>
      </c>
      <c r="L99" s="21">
        <v>10</v>
      </c>
      <c r="M99" s="21">
        <v>4</v>
      </c>
      <c r="N99" s="42"/>
      <c r="O99" s="81">
        <f>$H$99*月別販売比率!C5</f>
        <v>1.8280801498006003</v>
      </c>
      <c r="P99" s="10">
        <f t="shared" si="107"/>
        <v>14</v>
      </c>
      <c r="Q99" s="21"/>
      <c r="R99" s="19">
        <f t="shared" si="240"/>
        <v>14</v>
      </c>
      <c r="S99" s="24">
        <f t="shared" si="209"/>
        <v>12.1719198501994</v>
      </c>
      <c r="T99" s="81">
        <f>$H$99*月別販売比率!H5</f>
        <v>1.8057851239669425</v>
      </c>
      <c r="U99" s="10">
        <f t="shared" si="241"/>
        <v>14</v>
      </c>
      <c r="V99" s="21"/>
      <c r="W99" s="10">
        <f t="shared" si="267"/>
        <v>14</v>
      </c>
      <c r="X99" s="24">
        <f t="shared" si="212"/>
        <v>12.194214876033058</v>
      </c>
      <c r="Y99" s="81">
        <f>$H$99*月別販売比率!M5</f>
        <v>2.6071329484673438</v>
      </c>
      <c r="Z99" s="10">
        <f t="shared" si="243"/>
        <v>14</v>
      </c>
      <c r="AA99" s="21"/>
      <c r="AB99" s="97">
        <f t="shared" si="244"/>
        <v>14</v>
      </c>
      <c r="AC99" s="24">
        <f t="shared" si="214"/>
        <v>11.392867051532656</v>
      </c>
      <c r="AD99" s="81">
        <f>$H$99*月別販売比率!R5</f>
        <v>2.0637544273907911</v>
      </c>
      <c r="AE99" s="10">
        <f t="shared" si="245"/>
        <v>14</v>
      </c>
      <c r="AF99" s="21"/>
      <c r="AG99" s="10">
        <f t="shared" si="246"/>
        <v>14</v>
      </c>
      <c r="AH99" s="24">
        <f t="shared" si="216"/>
        <v>11.936245572609209</v>
      </c>
      <c r="AI99" s="81">
        <f>$H$99*月別販売比率!W5</f>
        <v>1.9648675787207044</v>
      </c>
      <c r="AJ99" s="10">
        <f t="shared" si="247"/>
        <v>14</v>
      </c>
      <c r="AK99" s="21"/>
      <c r="AL99" s="10">
        <f t="shared" si="248"/>
        <v>14</v>
      </c>
      <c r="AM99" s="24">
        <f t="shared" si="218"/>
        <v>12.035132421279295</v>
      </c>
      <c r="AN99" s="81">
        <f>$H$99*月別販売比率!AB5</f>
        <v>3.0956316410861868</v>
      </c>
      <c r="AO99" s="10">
        <f t="shared" si="249"/>
        <v>14</v>
      </c>
      <c r="AP99" s="21"/>
      <c r="AQ99" s="10">
        <f t="shared" si="250"/>
        <v>14</v>
      </c>
      <c r="AR99" s="24">
        <f t="shared" si="220"/>
        <v>10.904368358913814</v>
      </c>
      <c r="AS99" s="81">
        <f>$H$99*月別販売比率!AG5</f>
        <v>2.5796930342384892</v>
      </c>
      <c r="AT99" s="10">
        <f t="shared" si="251"/>
        <v>14</v>
      </c>
      <c r="AU99" s="21"/>
      <c r="AV99" s="10">
        <f t="shared" si="252"/>
        <v>14</v>
      </c>
      <c r="AW99" s="24">
        <f t="shared" si="222"/>
        <v>11.420306965761512</v>
      </c>
      <c r="AX99" s="81">
        <f>$H$99*月別販売比率!AL5</f>
        <v>2.3217237308146399</v>
      </c>
      <c r="AY99" s="10">
        <f t="shared" si="253"/>
        <v>14</v>
      </c>
      <c r="AZ99" s="21"/>
      <c r="BA99" s="19">
        <f t="shared" si="254"/>
        <v>14</v>
      </c>
      <c r="BB99" s="24">
        <f t="shared" si="225"/>
        <v>11.678276269185361</v>
      </c>
      <c r="BC99" s="81">
        <f>$H$99*月別販売比率!AQ5</f>
        <v>2.5796930342384892</v>
      </c>
      <c r="BD99" s="10">
        <f t="shared" si="255"/>
        <v>14</v>
      </c>
      <c r="BE99" s="21"/>
      <c r="BF99" s="19">
        <f t="shared" si="256"/>
        <v>14</v>
      </c>
      <c r="BG99" s="24">
        <f t="shared" si="228"/>
        <v>11.420306965761512</v>
      </c>
      <c r="BH99" s="81">
        <f>$H$99*月別販売比率!AV5</f>
        <v>1.57088796300406</v>
      </c>
      <c r="BI99" s="10">
        <f t="shared" si="257"/>
        <v>14</v>
      </c>
      <c r="BJ99" s="21"/>
      <c r="BK99" s="19">
        <f t="shared" si="258"/>
        <v>14</v>
      </c>
      <c r="BL99" s="24">
        <f t="shared" si="231"/>
        <v>12.42911203699594</v>
      </c>
      <c r="BM99" s="81">
        <f>$H$99*月別販売比率!BA5</f>
        <v>1.4349057702541714</v>
      </c>
      <c r="BN99" s="10">
        <f t="shared" si="259"/>
        <v>14</v>
      </c>
      <c r="BO99" s="21"/>
      <c r="BP99" s="19">
        <f t="shared" si="266"/>
        <v>14</v>
      </c>
      <c r="BQ99" s="24">
        <f t="shared" si="233"/>
        <v>12.565094229745828</v>
      </c>
      <c r="BR99" s="81">
        <f>$H$99*月別販売比率!BF5</f>
        <v>2.0637544273907911</v>
      </c>
      <c r="BS99" s="10">
        <f t="shared" si="260"/>
        <v>14</v>
      </c>
      <c r="BT99" s="21"/>
      <c r="BU99" s="19">
        <f t="shared" si="261"/>
        <v>14</v>
      </c>
      <c r="BV99" s="24">
        <f t="shared" si="236"/>
        <v>11.936245572609209</v>
      </c>
      <c r="BW99" s="158">
        <f t="shared" si="262"/>
        <v>14</v>
      </c>
      <c r="BX99" s="29">
        <f t="shared" si="263"/>
        <v>-11.79693034238489</v>
      </c>
    </row>
    <row r="100" spans="2:76" ht="30.75" customHeight="1">
      <c r="C100" s="513"/>
      <c r="D100" s="441">
        <v>4</v>
      </c>
      <c r="E100" s="94" t="s">
        <v>47</v>
      </c>
      <c r="F100" s="57">
        <v>42</v>
      </c>
      <c r="G100" s="5">
        <f t="shared" si="264"/>
        <v>152460</v>
      </c>
      <c r="H100" s="7">
        <f t="shared" si="265"/>
        <v>47.107438016528931</v>
      </c>
      <c r="I100" s="5">
        <f t="shared" si="264"/>
        <v>171000.00000000003</v>
      </c>
      <c r="J100" s="9">
        <v>0</v>
      </c>
      <c r="K100" s="21">
        <f t="shared" si="237"/>
        <v>0</v>
      </c>
      <c r="L100" s="21"/>
      <c r="M100" s="21"/>
      <c r="N100" s="42"/>
      <c r="O100" s="81">
        <f>$H$100*月別販売比率!C5</f>
        <v>3.3382333170271834</v>
      </c>
      <c r="P100" s="10">
        <f t="shared" si="107"/>
        <v>0</v>
      </c>
      <c r="Q100" s="21"/>
      <c r="R100" s="19">
        <f t="shared" si="240"/>
        <v>0</v>
      </c>
      <c r="S100" s="24">
        <f t="shared" si="209"/>
        <v>-3.3382333170271834</v>
      </c>
      <c r="T100" s="81">
        <f>$H$100*月別販売比率!H5</f>
        <v>3.2975206611570256</v>
      </c>
      <c r="U100" s="10">
        <f t="shared" si="241"/>
        <v>0</v>
      </c>
      <c r="V100" s="21"/>
      <c r="W100" s="10">
        <f t="shared" si="267"/>
        <v>0</v>
      </c>
      <c r="X100" s="24">
        <f t="shared" si="212"/>
        <v>-3.2975206611570256</v>
      </c>
      <c r="Y100" s="81">
        <f>$H$100*月別販売比率!M5</f>
        <v>4.7608514711142798</v>
      </c>
      <c r="Z100" s="10">
        <f t="shared" si="243"/>
        <v>0</v>
      </c>
      <c r="AA100" s="21"/>
      <c r="AB100" s="97">
        <f t="shared" si="244"/>
        <v>0</v>
      </c>
      <c r="AC100" s="24">
        <f t="shared" si="214"/>
        <v>-4.7608514711142798</v>
      </c>
      <c r="AD100" s="81">
        <f>$H$100*月別販売比率!R5</f>
        <v>3.7685950413223144</v>
      </c>
      <c r="AE100" s="10">
        <f t="shared" si="245"/>
        <v>0</v>
      </c>
      <c r="AF100" s="21"/>
      <c r="AG100" s="10">
        <f t="shared" si="246"/>
        <v>0</v>
      </c>
      <c r="AH100" s="24">
        <f t="shared" si="216"/>
        <v>-3.7685950413223144</v>
      </c>
      <c r="AI100" s="81">
        <f>$H$100*月別販売比率!W5</f>
        <v>3.5880190567943302</v>
      </c>
      <c r="AJ100" s="10">
        <f t="shared" si="247"/>
        <v>0</v>
      </c>
      <c r="AK100" s="21"/>
      <c r="AL100" s="10">
        <f t="shared" si="248"/>
        <v>0</v>
      </c>
      <c r="AM100" s="24">
        <f t="shared" si="218"/>
        <v>-3.5880190567943302</v>
      </c>
      <c r="AN100" s="81">
        <f>$H$100*月別販売比率!AB5</f>
        <v>5.6528925619834718</v>
      </c>
      <c r="AO100" s="10">
        <f t="shared" si="249"/>
        <v>0</v>
      </c>
      <c r="AP100" s="21"/>
      <c r="AQ100" s="10">
        <f t="shared" si="250"/>
        <v>0</v>
      </c>
      <c r="AR100" s="24">
        <f t="shared" si="220"/>
        <v>-5.6528925619834718</v>
      </c>
      <c r="AS100" s="81">
        <f>$H$100*月別販売比率!AG5</f>
        <v>4.7107438016528933</v>
      </c>
      <c r="AT100" s="10">
        <f t="shared" si="251"/>
        <v>0</v>
      </c>
      <c r="AU100" s="21"/>
      <c r="AV100" s="10">
        <f t="shared" si="252"/>
        <v>0</v>
      </c>
      <c r="AW100" s="24">
        <f t="shared" si="222"/>
        <v>-4.7107438016528933</v>
      </c>
      <c r="AX100" s="81">
        <f>$H$100*月別販売比率!AL5</f>
        <v>4.2396694214876041</v>
      </c>
      <c r="AY100" s="10">
        <f t="shared" si="253"/>
        <v>0</v>
      </c>
      <c r="AZ100" s="21"/>
      <c r="BA100" s="19">
        <f t="shared" si="254"/>
        <v>0</v>
      </c>
      <c r="BB100" s="24">
        <f t="shared" si="225"/>
        <v>-4.2396694214876041</v>
      </c>
      <c r="BC100" s="81">
        <f>$H$100*月別販売比率!AQ5</f>
        <v>4.7107438016528933</v>
      </c>
      <c r="BD100" s="10">
        <f t="shared" si="255"/>
        <v>0</v>
      </c>
      <c r="BE100" s="21"/>
      <c r="BF100" s="19">
        <f t="shared" si="256"/>
        <v>0</v>
      </c>
      <c r="BG100" s="24">
        <f t="shared" si="228"/>
        <v>-4.7107438016528933</v>
      </c>
      <c r="BH100" s="81">
        <f>$H$100*月別販売比率!AV5</f>
        <v>2.8685780193987185</v>
      </c>
      <c r="BI100" s="10">
        <f t="shared" si="257"/>
        <v>0</v>
      </c>
      <c r="BJ100" s="21"/>
      <c r="BK100" s="19">
        <f t="shared" si="258"/>
        <v>0</v>
      </c>
      <c r="BL100" s="24">
        <f t="shared" si="231"/>
        <v>-2.8685780193987185</v>
      </c>
      <c r="BM100" s="81">
        <f>$H$100*月別販売比率!BA5</f>
        <v>2.6202627108989218</v>
      </c>
      <c r="BN100" s="10">
        <f t="shared" si="259"/>
        <v>0</v>
      </c>
      <c r="BO100" s="21"/>
      <c r="BP100" s="19">
        <f t="shared" si="266"/>
        <v>0</v>
      </c>
      <c r="BQ100" s="24">
        <f t="shared" si="233"/>
        <v>-2.6202627108989218</v>
      </c>
      <c r="BR100" s="81">
        <f>$H$100*月別販売比率!BF5</f>
        <v>3.7685950413223144</v>
      </c>
      <c r="BS100" s="10">
        <f t="shared" si="260"/>
        <v>0</v>
      </c>
      <c r="BT100" s="21"/>
      <c r="BU100" s="19">
        <f t="shared" si="261"/>
        <v>0</v>
      </c>
      <c r="BV100" s="24">
        <f t="shared" si="236"/>
        <v>-3.7685950413223144</v>
      </c>
      <c r="BW100" s="158">
        <f t="shared" si="262"/>
        <v>0</v>
      </c>
      <c r="BX100" s="29">
        <f t="shared" si="263"/>
        <v>-47.107438016528931</v>
      </c>
    </row>
    <row r="101" spans="2:76" ht="30.75" customHeight="1">
      <c r="C101" s="513"/>
      <c r="D101" s="441"/>
      <c r="E101" s="94" t="s">
        <v>51</v>
      </c>
      <c r="F101" s="57">
        <v>33</v>
      </c>
      <c r="G101" s="5">
        <f t="shared" si="264"/>
        <v>119790</v>
      </c>
      <c r="H101" s="7">
        <f t="shared" si="265"/>
        <v>37.012987012987018</v>
      </c>
      <c r="I101" s="5">
        <f t="shared" si="264"/>
        <v>134357.14285714287</v>
      </c>
      <c r="J101" s="9">
        <v>0</v>
      </c>
      <c r="K101" s="21">
        <f t="shared" si="237"/>
        <v>0</v>
      </c>
      <c r="L101" s="21"/>
      <c r="M101" s="21"/>
      <c r="N101" s="42"/>
      <c r="O101" s="81">
        <f>$H$101*月別販売比率!C5</f>
        <v>2.6228976062356444</v>
      </c>
      <c r="P101" s="10">
        <f t="shared" si="107"/>
        <v>0</v>
      </c>
      <c r="Q101" s="21"/>
      <c r="R101" s="19">
        <f t="shared" si="240"/>
        <v>0</v>
      </c>
      <c r="S101" s="24">
        <f t="shared" si="209"/>
        <v>-2.6228976062356444</v>
      </c>
      <c r="T101" s="81">
        <f>$H$101*月別販売比率!H5</f>
        <v>2.5909090909090917</v>
      </c>
      <c r="U101" s="10">
        <f t="shared" si="241"/>
        <v>0</v>
      </c>
      <c r="V101" s="21"/>
      <c r="W101" s="10">
        <f t="shared" si="267"/>
        <v>0</v>
      </c>
      <c r="X101" s="24">
        <f t="shared" si="212"/>
        <v>-2.5909090909090917</v>
      </c>
      <c r="Y101" s="81">
        <f>$H$101*月別販売比率!M5</f>
        <v>3.7406690130183629</v>
      </c>
      <c r="Z101" s="10">
        <f t="shared" si="243"/>
        <v>0</v>
      </c>
      <c r="AA101" s="21"/>
      <c r="AB101" s="97">
        <f t="shared" si="244"/>
        <v>0</v>
      </c>
      <c r="AC101" s="24">
        <f t="shared" si="214"/>
        <v>-3.7406690130183629</v>
      </c>
      <c r="AD101" s="81">
        <f>$H$101*月別販売比率!R5</f>
        <v>2.9610389610389616</v>
      </c>
      <c r="AE101" s="10">
        <f t="shared" si="245"/>
        <v>0</v>
      </c>
      <c r="AF101" s="21"/>
      <c r="AG101" s="10">
        <f t="shared" si="246"/>
        <v>0</v>
      </c>
      <c r="AH101" s="24">
        <f t="shared" si="216"/>
        <v>-2.9610389610389616</v>
      </c>
      <c r="AI101" s="81">
        <f>$H$101*月別販売比率!W5</f>
        <v>2.8191578303384022</v>
      </c>
      <c r="AJ101" s="10">
        <f t="shared" si="247"/>
        <v>0</v>
      </c>
      <c r="AK101" s="21"/>
      <c r="AL101" s="10">
        <f t="shared" si="248"/>
        <v>0</v>
      </c>
      <c r="AM101" s="24">
        <f t="shared" si="218"/>
        <v>-2.8191578303384022</v>
      </c>
      <c r="AN101" s="81">
        <f>$H$101*月別販売比率!AB5</f>
        <v>4.4415584415584419</v>
      </c>
      <c r="AO101" s="10">
        <f t="shared" si="249"/>
        <v>0</v>
      </c>
      <c r="AP101" s="21"/>
      <c r="AQ101" s="10">
        <f t="shared" si="250"/>
        <v>0</v>
      </c>
      <c r="AR101" s="24">
        <f t="shared" si="220"/>
        <v>-4.4415584415584419</v>
      </c>
      <c r="AS101" s="81">
        <f>$H$101*月別販売比率!AG5</f>
        <v>3.7012987012987022</v>
      </c>
      <c r="AT101" s="10">
        <f t="shared" si="251"/>
        <v>0</v>
      </c>
      <c r="AU101" s="21"/>
      <c r="AV101" s="10">
        <f t="shared" si="252"/>
        <v>0</v>
      </c>
      <c r="AW101" s="24">
        <f t="shared" si="222"/>
        <v>-3.7012987012987022</v>
      </c>
      <c r="AX101" s="81">
        <f>$H$101*月別販売比率!AL5</f>
        <v>3.3311688311688314</v>
      </c>
      <c r="AY101" s="10">
        <f t="shared" si="253"/>
        <v>0</v>
      </c>
      <c r="AZ101" s="21"/>
      <c r="BA101" s="19">
        <f t="shared" si="254"/>
        <v>0</v>
      </c>
      <c r="BB101" s="24">
        <f t="shared" si="225"/>
        <v>-3.3311688311688314</v>
      </c>
      <c r="BC101" s="81">
        <f>$H$101*月別販売比率!AQ5</f>
        <v>3.7012987012987022</v>
      </c>
      <c r="BD101" s="10">
        <f t="shared" si="255"/>
        <v>0</v>
      </c>
      <c r="BE101" s="21"/>
      <c r="BF101" s="19">
        <f t="shared" si="256"/>
        <v>0</v>
      </c>
      <c r="BG101" s="24">
        <f t="shared" si="228"/>
        <v>-3.7012987012987022</v>
      </c>
      <c r="BH101" s="81">
        <f>$H$101*月別販売比率!AV5</f>
        <v>2.2538827295275645</v>
      </c>
      <c r="BI101" s="10">
        <f t="shared" si="257"/>
        <v>0</v>
      </c>
      <c r="BJ101" s="21"/>
      <c r="BK101" s="19">
        <f t="shared" si="258"/>
        <v>0</v>
      </c>
      <c r="BL101" s="24">
        <f t="shared" si="231"/>
        <v>-2.2538827295275645</v>
      </c>
      <c r="BM101" s="81">
        <f>$H$101*月別販売比率!BA5</f>
        <v>2.0587778442777243</v>
      </c>
      <c r="BN101" s="10">
        <f t="shared" si="259"/>
        <v>0</v>
      </c>
      <c r="BO101" s="21"/>
      <c r="BP101" s="19">
        <f t="shared" si="266"/>
        <v>0</v>
      </c>
      <c r="BQ101" s="24">
        <f t="shared" si="233"/>
        <v>-2.0587778442777243</v>
      </c>
      <c r="BR101" s="81">
        <f>$H$101*月別販売比率!BF5</f>
        <v>2.9610389610389616</v>
      </c>
      <c r="BS101" s="10">
        <f t="shared" si="260"/>
        <v>0</v>
      </c>
      <c r="BT101" s="21"/>
      <c r="BU101" s="19">
        <f t="shared" si="261"/>
        <v>0</v>
      </c>
      <c r="BV101" s="24">
        <f t="shared" si="236"/>
        <v>-2.9610389610389616</v>
      </c>
      <c r="BW101" s="158">
        <f t="shared" si="262"/>
        <v>0</v>
      </c>
      <c r="BX101" s="29">
        <f t="shared" si="263"/>
        <v>-37.012987012987018</v>
      </c>
    </row>
    <row r="102" spans="2:76" ht="30.75" customHeight="1">
      <c r="C102" s="513"/>
      <c r="D102" s="441"/>
      <c r="E102" s="94" t="s">
        <v>49</v>
      </c>
      <c r="F102" s="57">
        <v>19</v>
      </c>
      <c r="G102" s="5">
        <f t="shared" si="264"/>
        <v>68970</v>
      </c>
      <c r="H102" s="7">
        <f t="shared" si="265"/>
        <v>21.310507674144038</v>
      </c>
      <c r="I102" s="5">
        <f t="shared" si="264"/>
        <v>77357.142857142855</v>
      </c>
      <c r="J102" s="9">
        <v>17</v>
      </c>
      <c r="K102" s="21">
        <f t="shared" si="237"/>
        <v>13</v>
      </c>
      <c r="L102" s="21">
        <v>9</v>
      </c>
      <c r="M102" s="21">
        <v>4</v>
      </c>
      <c r="N102" s="42"/>
      <c r="O102" s="81">
        <f>$H$102*月別販売比率!C5</f>
        <v>1.5101531672265829</v>
      </c>
      <c r="P102" s="10">
        <f t="shared" si="107"/>
        <v>13</v>
      </c>
      <c r="Q102" s="21"/>
      <c r="R102" s="19">
        <f t="shared" si="240"/>
        <v>13</v>
      </c>
      <c r="S102" s="24">
        <f t="shared" si="209"/>
        <v>11.489846832773416</v>
      </c>
      <c r="T102" s="81">
        <f>$H$102*月別販売比率!H5</f>
        <v>1.4917355371900829</v>
      </c>
      <c r="U102" s="10">
        <f t="shared" si="241"/>
        <v>13</v>
      </c>
      <c r="V102" s="21"/>
      <c r="W102" s="10">
        <f t="shared" si="267"/>
        <v>13</v>
      </c>
      <c r="X102" s="24">
        <f t="shared" si="212"/>
        <v>11.508264462809917</v>
      </c>
      <c r="Y102" s="81">
        <f>$H$102*月別販売比率!M5</f>
        <v>2.153718522646936</v>
      </c>
      <c r="Z102" s="10">
        <f t="shared" si="243"/>
        <v>13</v>
      </c>
      <c r="AA102" s="21"/>
      <c r="AB102" s="97">
        <f t="shared" si="244"/>
        <v>13</v>
      </c>
      <c r="AC102" s="24">
        <f t="shared" si="214"/>
        <v>10.846281477353063</v>
      </c>
      <c r="AD102" s="81">
        <f>$H$102*月別販売比率!R5</f>
        <v>1.7048406139315231</v>
      </c>
      <c r="AE102" s="10">
        <f t="shared" si="245"/>
        <v>13</v>
      </c>
      <c r="AF102" s="21"/>
      <c r="AG102" s="10">
        <f t="shared" si="246"/>
        <v>13</v>
      </c>
      <c r="AH102" s="24">
        <f t="shared" si="216"/>
        <v>11.295159386068477</v>
      </c>
      <c r="AI102" s="81">
        <f>$H$102*月別販売比率!W5</f>
        <v>1.6231514780736254</v>
      </c>
      <c r="AJ102" s="10">
        <f t="shared" si="247"/>
        <v>13</v>
      </c>
      <c r="AK102" s="21"/>
      <c r="AL102" s="10">
        <f t="shared" si="248"/>
        <v>13</v>
      </c>
      <c r="AM102" s="24">
        <f t="shared" si="218"/>
        <v>11.376848521926375</v>
      </c>
      <c r="AN102" s="81">
        <f>$H$102*月別販売比率!AB5</f>
        <v>2.5572609208972845</v>
      </c>
      <c r="AO102" s="10">
        <f t="shared" si="249"/>
        <v>13</v>
      </c>
      <c r="AP102" s="21"/>
      <c r="AQ102" s="10">
        <f t="shared" si="250"/>
        <v>13</v>
      </c>
      <c r="AR102" s="24">
        <f t="shared" si="220"/>
        <v>10.442739079102715</v>
      </c>
      <c r="AS102" s="81">
        <f>$H$102*月別販売比率!AG5</f>
        <v>2.1310507674144037</v>
      </c>
      <c r="AT102" s="10">
        <f t="shared" si="251"/>
        <v>13</v>
      </c>
      <c r="AU102" s="21"/>
      <c r="AV102" s="10">
        <f t="shared" si="252"/>
        <v>13</v>
      </c>
      <c r="AW102" s="24">
        <f t="shared" si="222"/>
        <v>10.868949232585596</v>
      </c>
      <c r="AX102" s="81">
        <f>$H$102*月別販売比率!AL5</f>
        <v>1.9179456906729633</v>
      </c>
      <c r="AY102" s="10">
        <f t="shared" si="253"/>
        <v>13</v>
      </c>
      <c r="AZ102" s="21"/>
      <c r="BA102" s="19">
        <f t="shared" si="254"/>
        <v>13</v>
      </c>
      <c r="BB102" s="24">
        <f t="shared" si="225"/>
        <v>11.082054309327036</v>
      </c>
      <c r="BC102" s="81">
        <f>$H$102*月別販売比率!AQ5</f>
        <v>2.1310507674144037</v>
      </c>
      <c r="BD102" s="10">
        <f t="shared" si="255"/>
        <v>13</v>
      </c>
      <c r="BE102" s="21"/>
      <c r="BF102" s="19">
        <f t="shared" si="256"/>
        <v>13</v>
      </c>
      <c r="BG102" s="24">
        <f t="shared" si="228"/>
        <v>10.868949232585596</v>
      </c>
      <c r="BH102" s="81">
        <f>$H$102*月別販売比率!AV5</f>
        <v>1.2976900563946581</v>
      </c>
      <c r="BI102" s="10">
        <f t="shared" si="257"/>
        <v>13</v>
      </c>
      <c r="BJ102" s="21"/>
      <c r="BK102" s="19">
        <f t="shared" si="258"/>
        <v>13</v>
      </c>
      <c r="BL102" s="24">
        <f t="shared" si="231"/>
        <v>11.702309943605343</v>
      </c>
      <c r="BM102" s="81">
        <f>$H$102*月別販売比率!BA5</f>
        <v>1.1853569406447502</v>
      </c>
      <c r="BN102" s="10">
        <f t="shared" si="259"/>
        <v>13</v>
      </c>
      <c r="BO102" s="21"/>
      <c r="BP102" s="19">
        <f t="shared" si="266"/>
        <v>13</v>
      </c>
      <c r="BQ102" s="24">
        <f t="shared" si="233"/>
        <v>11.81464305935525</v>
      </c>
      <c r="BR102" s="81">
        <f>$H$102*月別販売比率!BF5</f>
        <v>1.7048406139315231</v>
      </c>
      <c r="BS102" s="10">
        <f t="shared" si="260"/>
        <v>13</v>
      </c>
      <c r="BT102" s="21"/>
      <c r="BU102" s="19">
        <f t="shared" si="261"/>
        <v>13</v>
      </c>
      <c r="BV102" s="24">
        <f t="shared" si="236"/>
        <v>11.295159386068477</v>
      </c>
      <c r="BW102" s="158">
        <f t="shared" si="262"/>
        <v>13</v>
      </c>
      <c r="BX102" s="29">
        <f t="shared" si="263"/>
        <v>-8.3105076741440378</v>
      </c>
    </row>
    <row r="103" spans="2:76" ht="30.75" customHeight="1">
      <c r="C103" s="513"/>
      <c r="D103" s="441"/>
      <c r="E103" s="119" t="s">
        <v>50</v>
      </c>
      <c r="F103" s="56">
        <v>12</v>
      </c>
      <c r="G103" s="46">
        <f t="shared" si="264"/>
        <v>43560</v>
      </c>
      <c r="H103" s="45">
        <f t="shared" si="265"/>
        <v>13.459268004722551</v>
      </c>
      <c r="I103" s="46">
        <f t="shared" si="264"/>
        <v>48857.142857142862</v>
      </c>
      <c r="J103" s="49">
        <v>8</v>
      </c>
      <c r="K103" s="21">
        <f t="shared" si="237"/>
        <v>17</v>
      </c>
      <c r="L103" s="39">
        <v>10</v>
      </c>
      <c r="M103" s="39">
        <v>7</v>
      </c>
      <c r="N103" s="42"/>
      <c r="O103" s="81">
        <f>$H$103*月別販売比率!C5</f>
        <v>0.95378094772205235</v>
      </c>
      <c r="P103" s="40">
        <f t="shared" si="107"/>
        <v>17</v>
      </c>
      <c r="Q103" s="39"/>
      <c r="R103" s="43">
        <f t="shared" si="240"/>
        <v>17</v>
      </c>
      <c r="S103" s="24">
        <f t="shared" si="209"/>
        <v>16.046219052277948</v>
      </c>
      <c r="T103" s="81">
        <f>$H$103*月別販売比率!H5</f>
        <v>0.94214876033057871</v>
      </c>
      <c r="U103" s="39">
        <f>K103</f>
        <v>17</v>
      </c>
      <c r="V103" s="39"/>
      <c r="W103" s="10">
        <f t="shared" si="267"/>
        <v>17</v>
      </c>
      <c r="X103" s="24">
        <f t="shared" si="212"/>
        <v>16.057851239669422</v>
      </c>
      <c r="Y103" s="81">
        <f>$H$103*月別販売比率!M5</f>
        <v>1.3602432774612228</v>
      </c>
      <c r="Z103" s="40">
        <f t="shared" si="243"/>
        <v>17</v>
      </c>
      <c r="AA103" s="39"/>
      <c r="AB103" s="97">
        <f t="shared" si="244"/>
        <v>17</v>
      </c>
      <c r="AC103" s="24">
        <f t="shared" si="214"/>
        <v>15.639756722538777</v>
      </c>
      <c r="AD103" s="81">
        <f>$H$103*月別販売比率!R5</f>
        <v>1.0767414403778042</v>
      </c>
      <c r="AE103" s="40">
        <f t="shared" si="245"/>
        <v>17</v>
      </c>
      <c r="AF103" s="39"/>
      <c r="AG103" s="10">
        <f t="shared" si="246"/>
        <v>17</v>
      </c>
      <c r="AH103" s="24">
        <f t="shared" si="216"/>
        <v>15.923258559622196</v>
      </c>
      <c r="AI103" s="81">
        <f>$H$103*月別販売比率!W5</f>
        <v>1.0251483019412371</v>
      </c>
      <c r="AJ103" s="40">
        <f t="shared" si="247"/>
        <v>17</v>
      </c>
      <c r="AK103" s="39"/>
      <c r="AL103" s="10">
        <f t="shared" si="248"/>
        <v>17</v>
      </c>
      <c r="AM103" s="24">
        <f t="shared" si="218"/>
        <v>15.974851698058764</v>
      </c>
      <c r="AN103" s="81">
        <f>$H$103*月別販売比率!AB5</f>
        <v>1.615112160566706</v>
      </c>
      <c r="AO103" s="40">
        <f t="shared" si="249"/>
        <v>17</v>
      </c>
      <c r="AP103" s="39"/>
      <c r="AQ103" s="10">
        <f t="shared" si="250"/>
        <v>17</v>
      </c>
      <c r="AR103" s="24">
        <f t="shared" si="220"/>
        <v>15.384887839433294</v>
      </c>
      <c r="AS103" s="81">
        <f>$H$103*月別販売比率!AG5</f>
        <v>1.3459268004722551</v>
      </c>
      <c r="AT103" s="40">
        <f t="shared" si="251"/>
        <v>17</v>
      </c>
      <c r="AU103" s="39"/>
      <c r="AV103" s="10">
        <f t="shared" si="252"/>
        <v>17</v>
      </c>
      <c r="AW103" s="24">
        <f t="shared" si="222"/>
        <v>15.654073199527744</v>
      </c>
      <c r="AX103" s="81">
        <f>$H$103*月別販売比率!AL5</f>
        <v>1.2113341204250296</v>
      </c>
      <c r="AY103" s="10">
        <f t="shared" si="253"/>
        <v>17</v>
      </c>
      <c r="AZ103" s="107"/>
      <c r="BA103" s="19">
        <f t="shared" si="254"/>
        <v>17</v>
      </c>
      <c r="BB103" s="24">
        <f t="shared" si="225"/>
        <v>15.788665879574971</v>
      </c>
      <c r="BC103" s="81">
        <f>$H$103*月別販売比率!AQ5</f>
        <v>1.3459268004722551</v>
      </c>
      <c r="BD103" s="10">
        <f>K103</f>
        <v>17</v>
      </c>
      <c r="BE103" s="107"/>
      <c r="BF103" s="19">
        <f t="shared" si="256"/>
        <v>17</v>
      </c>
      <c r="BG103" s="24">
        <f t="shared" si="228"/>
        <v>15.654073199527744</v>
      </c>
      <c r="BH103" s="81">
        <f>$H$103*月別販売比率!AV5</f>
        <v>0.81959371982820517</v>
      </c>
      <c r="BI103" s="10">
        <f t="shared" si="257"/>
        <v>17</v>
      </c>
      <c r="BJ103" s="107"/>
      <c r="BK103" s="19">
        <f t="shared" si="258"/>
        <v>17</v>
      </c>
      <c r="BL103" s="24">
        <f t="shared" si="231"/>
        <v>16.180406280171795</v>
      </c>
      <c r="BM103" s="81">
        <f>$H$103*月別販売比率!BA5</f>
        <v>0.74864648882826335</v>
      </c>
      <c r="BN103" s="10">
        <f t="shared" si="259"/>
        <v>17</v>
      </c>
      <c r="BO103" s="107"/>
      <c r="BP103" s="19">
        <f t="shared" si="266"/>
        <v>17</v>
      </c>
      <c r="BQ103" s="24">
        <f t="shared" si="233"/>
        <v>16.251353511171736</v>
      </c>
      <c r="BR103" s="81">
        <f>$H$103*月別販売比率!BF5</f>
        <v>1.0767414403778042</v>
      </c>
      <c r="BS103" s="10">
        <f t="shared" si="260"/>
        <v>17</v>
      </c>
      <c r="BT103" s="107"/>
      <c r="BU103" s="19">
        <f t="shared" si="261"/>
        <v>17</v>
      </c>
      <c r="BV103" s="24">
        <f t="shared" si="236"/>
        <v>15.923258559622196</v>
      </c>
      <c r="BW103" s="158">
        <f t="shared" si="262"/>
        <v>17</v>
      </c>
      <c r="BX103" s="29">
        <f t="shared" si="263"/>
        <v>3.540731995277449</v>
      </c>
    </row>
    <row r="104" spans="2:76" ht="30.75" customHeight="1">
      <c r="C104" s="513"/>
      <c r="D104" s="441">
        <v>5</v>
      </c>
      <c r="E104" s="94" t="s">
        <v>47</v>
      </c>
      <c r="F104" s="57">
        <v>1</v>
      </c>
      <c r="G104" s="5">
        <f t="shared" si="264"/>
        <v>3630</v>
      </c>
      <c r="H104" s="7">
        <f t="shared" si="265"/>
        <v>1.1216056670602126</v>
      </c>
      <c r="I104" s="5">
        <f t="shared" si="264"/>
        <v>4071.4285714285716</v>
      </c>
      <c r="J104" s="9">
        <v>0</v>
      </c>
      <c r="K104" s="21">
        <f t="shared" si="237"/>
        <v>0</v>
      </c>
      <c r="L104" s="21"/>
      <c r="M104" s="118"/>
      <c r="N104" s="42"/>
      <c r="O104" s="81">
        <f>$H$104*月別販売比率!C5</f>
        <v>7.9481745643504367E-2</v>
      </c>
      <c r="P104" s="10">
        <f t="shared" ref="P104:P111" si="268">K104</f>
        <v>0</v>
      </c>
      <c r="Q104" s="21"/>
      <c r="R104" s="19">
        <f t="shared" ref="R104:R111" si="269">Q104+K104</f>
        <v>0</v>
      </c>
      <c r="S104" s="24">
        <f t="shared" si="209"/>
        <v>-7.9481745643504367E-2</v>
      </c>
      <c r="T104" s="81">
        <f>$H$104*月別販売比率!H5</f>
        <v>7.8512396694214892E-2</v>
      </c>
      <c r="U104" s="10">
        <f t="shared" ref="U104:U110" si="270">K104</f>
        <v>0</v>
      </c>
      <c r="V104" s="21"/>
      <c r="W104" s="10">
        <f t="shared" si="267"/>
        <v>0</v>
      </c>
      <c r="X104" s="24">
        <f t="shared" si="212"/>
        <v>-7.8512396694214892E-2</v>
      </c>
      <c r="Y104" s="81">
        <f>$H$104*月別販売比率!M5</f>
        <v>0.1133536064551019</v>
      </c>
      <c r="Z104" s="10">
        <f t="shared" ref="Z104:Z111" si="271">K104</f>
        <v>0</v>
      </c>
      <c r="AA104" s="21"/>
      <c r="AB104" s="97">
        <f t="shared" si="244"/>
        <v>0</v>
      </c>
      <c r="AC104" s="24">
        <f t="shared" si="214"/>
        <v>-0.1133536064551019</v>
      </c>
      <c r="AD104" s="81">
        <f>$H$104*月別販売比率!R5</f>
        <v>8.972845336481701E-2</v>
      </c>
      <c r="AE104" s="10">
        <f t="shared" ref="AE104:AE111" si="272">K104</f>
        <v>0</v>
      </c>
      <c r="AF104" s="21"/>
      <c r="AG104" s="10">
        <f t="shared" si="246"/>
        <v>0</v>
      </c>
      <c r="AH104" s="24">
        <f t="shared" si="216"/>
        <v>-8.972845336481701E-2</v>
      </c>
      <c r="AI104" s="81">
        <f>$H$104*月別販売比率!W5</f>
        <v>8.5429025161769756E-2</v>
      </c>
      <c r="AJ104" s="10">
        <f t="shared" ref="AJ104:AJ111" si="273">K104</f>
        <v>0</v>
      </c>
      <c r="AK104" s="21"/>
      <c r="AL104" s="10">
        <f t="shared" si="248"/>
        <v>0</v>
      </c>
      <c r="AM104" s="24">
        <f t="shared" si="218"/>
        <v>-8.5429025161769756E-2</v>
      </c>
      <c r="AN104" s="81">
        <f>$H$104*月別販売比率!AB5</f>
        <v>0.13459268004722549</v>
      </c>
      <c r="AO104" s="10">
        <f t="shared" ref="AO104:AO111" si="274">K104</f>
        <v>0</v>
      </c>
      <c r="AP104" s="21"/>
      <c r="AQ104" s="10">
        <f t="shared" si="250"/>
        <v>0</v>
      </c>
      <c r="AR104" s="24">
        <f t="shared" si="220"/>
        <v>-0.13459268004722549</v>
      </c>
      <c r="AS104" s="81">
        <f>$H$104*月別販売比率!AG5</f>
        <v>0.11216056670602126</v>
      </c>
      <c r="AT104" s="10">
        <f t="shared" ref="AT104:AT111" si="275">K104</f>
        <v>0</v>
      </c>
      <c r="AU104" s="21"/>
      <c r="AV104" s="10">
        <f t="shared" si="252"/>
        <v>0</v>
      </c>
      <c r="AW104" s="24">
        <f t="shared" si="222"/>
        <v>-0.11216056670602126</v>
      </c>
      <c r="AX104" s="81">
        <f>$H$104*月別販売比率!AL5</f>
        <v>0.10094451003541913</v>
      </c>
      <c r="AY104" s="10">
        <f t="shared" ref="AY104:AY111" si="276">K104</f>
        <v>0</v>
      </c>
      <c r="AZ104" s="21"/>
      <c r="BA104" s="19">
        <f t="shared" ref="BA104:BA111" si="277">K104+AZ104</f>
        <v>0</v>
      </c>
      <c r="BB104" s="24">
        <f t="shared" si="225"/>
        <v>-0.10094451003541913</v>
      </c>
      <c r="BC104" s="81">
        <f>$H$104*月別販売比率!AQ5</f>
        <v>0.11216056670602126</v>
      </c>
      <c r="BD104" s="10">
        <f t="shared" ref="BD104:BD110" si="278">K104</f>
        <v>0</v>
      </c>
      <c r="BE104" s="21"/>
      <c r="BF104" s="19">
        <f t="shared" ref="BF104:BF111" si="279">K104+BE104</f>
        <v>0</v>
      </c>
      <c r="BG104" s="24">
        <f t="shared" si="228"/>
        <v>-0.11216056670602126</v>
      </c>
      <c r="BH104" s="81">
        <f>$H$104*月別販売比率!AV5</f>
        <v>6.8299476652350435E-2</v>
      </c>
      <c r="BI104" s="10">
        <f t="shared" ref="BI104:BI111" si="280">K104</f>
        <v>0</v>
      </c>
      <c r="BJ104" s="21"/>
      <c r="BK104" s="19">
        <f t="shared" ref="BK104:BK111" si="281">K104+BJ104</f>
        <v>0</v>
      </c>
      <c r="BL104" s="24">
        <f t="shared" si="231"/>
        <v>-6.8299476652350435E-2</v>
      </c>
      <c r="BM104" s="81">
        <f>$H$104*月別販売比率!BA5</f>
        <v>6.2387207402355281E-2</v>
      </c>
      <c r="BN104" s="10">
        <f t="shared" ref="BN104:BN111" si="282">K104</f>
        <v>0</v>
      </c>
      <c r="BO104" s="21"/>
      <c r="BP104" s="19">
        <f t="shared" ref="BP104:BP111" si="283">K104+BO104</f>
        <v>0</v>
      </c>
      <c r="BQ104" s="24">
        <f t="shared" si="233"/>
        <v>-6.2387207402355281E-2</v>
      </c>
      <c r="BR104" s="81">
        <f>$H$104*月別販売比率!BF5</f>
        <v>8.972845336481701E-2</v>
      </c>
      <c r="BS104" s="10">
        <f t="shared" ref="BS104:BS111" si="284">K104</f>
        <v>0</v>
      </c>
      <c r="BT104" s="21"/>
      <c r="BU104" s="19">
        <f t="shared" ref="BU104:BU111" si="285">K104+BT104</f>
        <v>0</v>
      </c>
      <c r="BV104" s="24">
        <f t="shared" si="236"/>
        <v>-8.972845336481701E-2</v>
      </c>
      <c r="BW104" s="158">
        <f t="shared" si="262"/>
        <v>0</v>
      </c>
      <c r="BX104" s="29">
        <f t="shared" si="263"/>
        <v>-1.1216056670602126</v>
      </c>
    </row>
    <row r="105" spans="2:76" ht="30.75" customHeight="1">
      <c r="C105" s="513"/>
      <c r="D105" s="441"/>
      <c r="E105" s="94" t="s">
        <v>51</v>
      </c>
      <c r="F105" s="57">
        <v>10</v>
      </c>
      <c r="G105" s="5">
        <f t="shared" si="264"/>
        <v>36300</v>
      </c>
      <c r="H105" s="7">
        <f t="shared" si="265"/>
        <v>11.216056670602125</v>
      </c>
      <c r="I105" s="5">
        <f t="shared" si="264"/>
        <v>40714.28571428571</v>
      </c>
      <c r="J105" s="9">
        <v>0</v>
      </c>
      <c r="K105" s="21">
        <f t="shared" si="237"/>
        <v>0</v>
      </c>
      <c r="L105" s="21"/>
      <c r="M105" s="118"/>
      <c r="N105" s="42"/>
      <c r="O105" s="81">
        <f>$H$105*月別販売比率!C5</f>
        <v>0.79481745643504353</v>
      </c>
      <c r="P105" s="10">
        <f t="shared" si="268"/>
        <v>0</v>
      </c>
      <c r="Q105" s="21"/>
      <c r="R105" s="19">
        <f t="shared" si="269"/>
        <v>0</v>
      </c>
      <c r="S105" s="24">
        <f t="shared" si="209"/>
        <v>-0.79481745643504353</v>
      </c>
      <c r="T105" s="81">
        <f>$H$105*月別販売比率!H5</f>
        <v>0.78512396694214881</v>
      </c>
      <c r="U105" s="10">
        <f t="shared" si="270"/>
        <v>0</v>
      </c>
      <c r="V105" s="21"/>
      <c r="W105" s="10">
        <f t="shared" si="267"/>
        <v>0</v>
      </c>
      <c r="X105" s="24">
        <f t="shared" si="212"/>
        <v>-0.78512396694214881</v>
      </c>
      <c r="Y105" s="81">
        <f>$H$105*月別販売比率!M5</f>
        <v>1.1335360645510189</v>
      </c>
      <c r="Z105" s="10">
        <f t="shared" si="271"/>
        <v>0</v>
      </c>
      <c r="AA105" s="21"/>
      <c r="AB105" s="97">
        <f t="shared" si="244"/>
        <v>0</v>
      </c>
      <c r="AC105" s="24">
        <f t="shared" si="214"/>
        <v>-1.1335360645510189</v>
      </c>
      <c r="AD105" s="81">
        <f>$H$105*月別販売比率!R5</f>
        <v>0.89728453364817007</v>
      </c>
      <c r="AE105" s="10">
        <f t="shared" si="272"/>
        <v>0</v>
      </c>
      <c r="AF105" s="21"/>
      <c r="AG105" s="10">
        <f t="shared" si="246"/>
        <v>0</v>
      </c>
      <c r="AH105" s="24">
        <f t="shared" si="216"/>
        <v>-0.89728453364817007</v>
      </c>
      <c r="AI105" s="81">
        <f>$H$105*月別販売比率!W5</f>
        <v>0.85429025161769756</v>
      </c>
      <c r="AJ105" s="10">
        <f t="shared" si="273"/>
        <v>0</v>
      </c>
      <c r="AK105" s="21"/>
      <c r="AL105" s="10">
        <f t="shared" si="248"/>
        <v>0</v>
      </c>
      <c r="AM105" s="24">
        <f t="shared" si="218"/>
        <v>-0.85429025161769756</v>
      </c>
      <c r="AN105" s="81">
        <f>$H$105*月別販売比率!AB5</f>
        <v>1.3459268004722549</v>
      </c>
      <c r="AO105" s="10">
        <f t="shared" si="274"/>
        <v>0</v>
      </c>
      <c r="AP105" s="21"/>
      <c r="AQ105" s="10">
        <f t="shared" si="250"/>
        <v>0</v>
      </c>
      <c r="AR105" s="24">
        <f t="shared" si="220"/>
        <v>-1.3459268004722549</v>
      </c>
      <c r="AS105" s="81">
        <f>$H$105*月別販売比率!AG5</f>
        <v>1.1216056670602126</v>
      </c>
      <c r="AT105" s="10">
        <f t="shared" si="275"/>
        <v>0</v>
      </c>
      <c r="AU105" s="21"/>
      <c r="AV105" s="10">
        <f t="shared" si="252"/>
        <v>0</v>
      </c>
      <c r="AW105" s="24">
        <f t="shared" si="222"/>
        <v>-1.1216056670602126</v>
      </c>
      <c r="AX105" s="81">
        <f>$H$105*月別販売比率!AL5</f>
        <v>1.0094451003541911</v>
      </c>
      <c r="AY105" s="10">
        <f t="shared" si="276"/>
        <v>0</v>
      </c>
      <c r="AZ105" s="21"/>
      <c r="BA105" s="19">
        <f t="shared" si="277"/>
        <v>0</v>
      </c>
      <c r="BB105" s="24">
        <f t="shared" si="225"/>
        <v>-1.0094451003541911</v>
      </c>
      <c r="BC105" s="81">
        <f>$H$105*月別販売比率!AQ5</f>
        <v>1.1216056670602126</v>
      </c>
      <c r="BD105" s="10">
        <f t="shared" si="278"/>
        <v>0</v>
      </c>
      <c r="BE105" s="21"/>
      <c r="BF105" s="19">
        <f t="shared" si="279"/>
        <v>0</v>
      </c>
      <c r="BG105" s="24">
        <f t="shared" si="228"/>
        <v>-1.1216056670602126</v>
      </c>
      <c r="BH105" s="81">
        <f>$H$105*月別販売比率!AV5</f>
        <v>0.68299476652350422</v>
      </c>
      <c r="BI105" s="10">
        <f t="shared" si="280"/>
        <v>0</v>
      </c>
      <c r="BJ105" s="21"/>
      <c r="BK105" s="19">
        <f t="shared" si="281"/>
        <v>0</v>
      </c>
      <c r="BL105" s="24">
        <f t="shared" si="231"/>
        <v>-0.68299476652350422</v>
      </c>
      <c r="BM105" s="81">
        <f>$H$105*月別販売比率!BA5</f>
        <v>0.62387207402355271</v>
      </c>
      <c r="BN105" s="10">
        <f t="shared" si="282"/>
        <v>0</v>
      </c>
      <c r="BO105" s="21"/>
      <c r="BP105" s="19">
        <f t="shared" si="283"/>
        <v>0</v>
      </c>
      <c r="BQ105" s="24">
        <f t="shared" si="233"/>
        <v>-0.62387207402355271</v>
      </c>
      <c r="BR105" s="81">
        <f>$H$105*月別販売比率!BF5</f>
        <v>0.89728453364817007</v>
      </c>
      <c r="BS105" s="10">
        <f t="shared" si="284"/>
        <v>0</v>
      </c>
      <c r="BT105" s="21"/>
      <c r="BU105" s="19">
        <f t="shared" si="285"/>
        <v>0</v>
      </c>
      <c r="BV105" s="24">
        <f t="shared" si="236"/>
        <v>-0.89728453364817007</v>
      </c>
      <c r="BW105" s="158">
        <f t="shared" si="262"/>
        <v>0</v>
      </c>
      <c r="BX105" s="29">
        <f t="shared" si="263"/>
        <v>-11.216056670602125</v>
      </c>
    </row>
    <row r="106" spans="2:76" ht="30.75" customHeight="1">
      <c r="C106" s="513"/>
      <c r="D106" s="441"/>
      <c r="E106" s="94" t="s">
        <v>49</v>
      </c>
      <c r="F106" s="57">
        <v>9</v>
      </c>
      <c r="G106" s="5">
        <f t="shared" si="264"/>
        <v>32670</v>
      </c>
      <c r="H106" s="7">
        <f t="shared" si="265"/>
        <v>10.094451003541913</v>
      </c>
      <c r="I106" s="5">
        <f t="shared" si="264"/>
        <v>36642.857142857145</v>
      </c>
      <c r="J106" s="9">
        <v>0</v>
      </c>
      <c r="K106" s="21">
        <f t="shared" si="237"/>
        <v>0</v>
      </c>
      <c r="L106" s="21"/>
      <c r="M106" s="118"/>
      <c r="N106" s="42"/>
      <c r="O106" s="81">
        <f>$H$106*月別販売比率!C5</f>
        <v>0.71533571079153924</v>
      </c>
      <c r="P106" s="10">
        <f t="shared" si="268"/>
        <v>0</v>
      </c>
      <c r="Q106" s="21"/>
      <c r="R106" s="19">
        <f t="shared" si="269"/>
        <v>0</v>
      </c>
      <c r="S106" s="24">
        <f t="shared" si="209"/>
        <v>-0.71533571079153924</v>
      </c>
      <c r="T106" s="81">
        <f>$H$106*月別販売比率!H5</f>
        <v>0.70661157024793397</v>
      </c>
      <c r="U106" s="10">
        <f t="shared" si="270"/>
        <v>0</v>
      </c>
      <c r="V106" s="21"/>
      <c r="W106" s="10">
        <f t="shared" si="267"/>
        <v>0</v>
      </c>
      <c r="X106" s="24">
        <f t="shared" si="212"/>
        <v>-0.70661157024793397</v>
      </c>
      <c r="Y106" s="81">
        <f>$H$106*月別販売比率!M5</f>
        <v>1.0201824580959171</v>
      </c>
      <c r="Z106" s="10">
        <f t="shared" si="271"/>
        <v>0</v>
      </c>
      <c r="AA106" s="21"/>
      <c r="AB106" s="97">
        <f t="shared" si="244"/>
        <v>0</v>
      </c>
      <c r="AC106" s="24">
        <f t="shared" si="214"/>
        <v>-1.0201824580959171</v>
      </c>
      <c r="AD106" s="81">
        <f>$H$106*月別販売比率!R5</f>
        <v>0.80755608028335302</v>
      </c>
      <c r="AE106" s="10">
        <f t="shared" si="272"/>
        <v>0</v>
      </c>
      <c r="AF106" s="21"/>
      <c r="AG106" s="10">
        <f t="shared" si="246"/>
        <v>0</v>
      </c>
      <c r="AH106" s="24">
        <f t="shared" si="216"/>
        <v>-0.80755608028335302</v>
      </c>
      <c r="AI106" s="81">
        <f>$H$106*月別販売比率!W5</f>
        <v>0.7688612264559278</v>
      </c>
      <c r="AJ106" s="10">
        <f t="shared" si="273"/>
        <v>0</v>
      </c>
      <c r="AK106" s="21"/>
      <c r="AL106" s="10">
        <f t="shared" si="248"/>
        <v>0</v>
      </c>
      <c r="AM106" s="24">
        <f t="shared" si="218"/>
        <v>-0.7688612264559278</v>
      </c>
      <c r="AN106" s="81">
        <f>$H$106*月別販売比率!AB5</f>
        <v>1.2113341204250294</v>
      </c>
      <c r="AO106" s="10">
        <f t="shared" si="274"/>
        <v>0</v>
      </c>
      <c r="AP106" s="21"/>
      <c r="AQ106" s="10">
        <f t="shared" si="250"/>
        <v>0</v>
      </c>
      <c r="AR106" s="24">
        <f t="shared" si="220"/>
        <v>-1.2113341204250294</v>
      </c>
      <c r="AS106" s="81">
        <f>$H$106*月別販売比率!AG5</f>
        <v>1.0094451003541913</v>
      </c>
      <c r="AT106" s="10">
        <f t="shared" si="275"/>
        <v>0</v>
      </c>
      <c r="AU106" s="21"/>
      <c r="AV106" s="10">
        <f t="shared" si="252"/>
        <v>0</v>
      </c>
      <c r="AW106" s="24">
        <f t="shared" si="222"/>
        <v>-1.0094451003541913</v>
      </c>
      <c r="AX106" s="81">
        <f>$H$106*月別販売比率!AL5</f>
        <v>0.90850059031877217</v>
      </c>
      <c r="AY106" s="10">
        <f t="shared" si="276"/>
        <v>0</v>
      </c>
      <c r="AZ106" s="21"/>
      <c r="BA106" s="19">
        <f t="shared" si="277"/>
        <v>0</v>
      </c>
      <c r="BB106" s="24">
        <f t="shared" si="225"/>
        <v>-0.90850059031877217</v>
      </c>
      <c r="BC106" s="81">
        <f>$H$106*月別販売比率!AQ5</f>
        <v>1.0094451003541913</v>
      </c>
      <c r="BD106" s="10">
        <f t="shared" si="278"/>
        <v>0</v>
      </c>
      <c r="BE106" s="21"/>
      <c r="BF106" s="19">
        <f t="shared" si="279"/>
        <v>0</v>
      </c>
      <c r="BG106" s="24">
        <f t="shared" si="228"/>
        <v>-1.0094451003541913</v>
      </c>
      <c r="BH106" s="81">
        <f>$H$106*月別販売比率!AV5</f>
        <v>0.61469528987115385</v>
      </c>
      <c r="BI106" s="10">
        <f t="shared" si="280"/>
        <v>0</v>
      </c>
      <c r="BJ106" s="21"/>
      <c r="BK106" s="19">
        <f t="shared" si="281"/>
        <v>0</v>
      </c>
      <c r="BL106" s="24">
        <f t="shared" si="231"/>
        <v>-0.61469528987115385</v>
      </c>
      <c r="BM106" s="81">
        <f>$H$106*月別販売比率!BA5</f>
        <v>0.56148486662119745</v>
      </c>
      <c r="BN106" s="10">
        <f t="shared" si="282"/>
        <v>0</v>
      </c>
      <c r="BO106" s="21"/>
      <c r="BP106" s="19">
        <f t="shared" si="283"/>
        <v>0</v>
      </c>
      <c r="BQ106" s="24">
        <f t="shared" si="233"/>
        <v>-0.56148486662119745</v>
      </c>
      <c r="BR106" s="81">
        <f>$H$106*月別販売比率!BF5</f>
        <v>0.80755608028335302</v>
      </c>
      <c r="BS106" s="10">
        <f t="shared" si="284"/>
        <v>0</v>
      </c>
      <c r="BT106" s="21"/>
      <c r="BU106" s="19">
        <f t="shared" si="285"/>
        <v>0</v>
      </c>
      <c r="BV106" s="24">
        <f t="shared" si="236"/>
        <v>-0.80755608028335302</v>
      </c>
      <c r="BW106" s="158">
        <f t="shared" si="262"/>
        <v>0</v>
      </c>
      <c r="BX106" s="29">
        <f t="shared" si="263"/>
        <v>-10.094451003541913</v>
      </c>
    </row>
    <row r="107" spans="2:76" ht="30.75" customHeight="1">
      <c r="C107" s="513"/>
      <c r="D107" s="442"/>
      <c r="E107" s="94" t="s">
        <v>50</v>
      </c>
      <c r="F107" s="57">
        <v>15</v>
      </c>
      <c r="G107" s="5">
        <f t="shared" si="264"/>
        <v>54450</v>
      </c>
      <c r="H107" s="7">
        <f t="shared" si="265"/>
        <v>16.824085005903189</v>
      </c>
      <c r="I107" s="5">
        <f t="shared" si="264"/>
        <v>61071.42857142858</v>
      </c>
      <c r="J107" s="9">
        <v>27</v>
      </c>
      <c r="K107" s="21">
        <f t="shared" si="237"/>
        <v>9</v>
      </c>
      <c r="L107" s="21">
        <v>9</v>
      </c>
      <c r="M107" s="118"/>
      <c r="N107" s="42"/>
      <c r="O107" s="81">
        <f>$H$107*月別販売比率!C5</f>
        <v>1.1922261846525655</v>
      </c>
      <c r="P107" s="10">
        <f t="shared" si="268"/>
        <v>9</v>
      </c>
      <c r="Q107" s="21"/>
      <c r="R107" s="19">
        <f t="shared" si="269"/>
        <v>9</v>
      </c>
      <c r="S107" s="24">
        <f t="shared" si="209"/>
        <v>7.807773815347435</v>
      </c>
      <c r="T107" s="81">
        <f>$H$107*月別販売比率!H5</f>
        <v>1.1776859504132233</v>
      </c>
      <c r="U107" s="10">
        <f t="shared" si="270"/>
        <v>9</v>
      </c>
      <c r="V107" s="21"/>
      <c r="W107" s="10">
        <f t="shared" si="267"/>
        <v>9</v>
      </c>
      <c r="X107" s="24">
        <f t="shared" si="212"/>
        <v>7.8223140495867769</v>
      </c>
      <c r="Y107" s="81">
        <f>$H$107*月別販売比率!M5</f>
        <v>1.7003040968265286</v>
      </c>
      <c r="Z107" s="10">
        <f t="shared" si="271"/>
        <v>9</v>
      </c>
      <c r="AA107" s="21"/>
      <c r="AB107" s="97">
        <f t="shared" si="244"/>
        <v>9</v>
      </c>
      <c r="AC107" s="24">
        <f t="shared" si="214"/>
        <v>7.2996959031734718</v>
      </c>
      <c r="AD107" s="81">
        <f>$H$107*月別販売比率!R5</f>
        <v>1.3459268004722551</v>
      </c>
      <c r="AE107" s="10">
        <f t="shared" si="272"/>
        <v>9</v>
      </c>
      <c r="AF107" s="21"/>
      <c r="AG107" s="10">
        <f t="shared" si="246"/>
        <v>9</v>
      </c>
      <c r="AH107" s="24">
        <f t="shared" si="216"/>
        <v>7.6540731995277449</v>
      </c>
      <c r="AI107" s="81">
        <f>$H$107*月別販売比率!W5</f>
        <v>1.2814353774265463</v>
      </c>
      <c r="AJ107" s="10">
        <f t="shared" si="273"/>
        <v>9</v>
      </c>
      <c r="AK107" s="21"/>
      <c r="AL107" s="10">
        <f t="shared" si="248"/>
        <v>9</v>
      </c>
      <c r="AM107" s="24">
        <f t="shared" si="218"/>
        <v>7.7185646225734539</v>
      </c>
      <c r="AN107" s="81">
        <f>$H$107*月別販売比率!AB5</f>
        <v>2.0188902007083827</v>
      </c>
      <c r="AO107" s="10">
        <f t="shared" si="274"/>
        <v>9</v>
      </c>
      <c r="AP107" s="21"/>
      <c r="AQ107" s="10">
        <f t="shared" si="250"/>
        <v>9</v>
      </c>
      <c r="AR107" s="24">
        <f t="shared" si="220"/>
        <v>6.9811097992916178</v>
      </c>
      <c r="AS107" s="81">
        <f>$H$107*月別販売比率!AG5</f>
        <v>1.6824085005903191</v>
      </c>
      <c r="AT107" s="10">
        <f t="shared" si="275"/>
        <v>9</v>
      </c>
      <c r="AU107" s="21"/>
      <c r="AV107" s="10">
        <f t="shared" si="252"/>
        <v>9</v>
      </c>
      <c r="AW107" s="24">
        <f t="shared" si="222"/>
        <v>7.3175914994096809</v>
      </c>
      <c r="AX107" s="81">
        <f>$H$107*月別販売比率!AL5</f>
        <v>1.5141676505312869</v>
      </c>
      <c r="AY107" s="10">
        <f t="shared" si="276"/>
        <v>9</v>
      </c>
      <c r="AZ107" s="21"/>
      <c r="BA107" s="19">
        <f t="shared" si="277"/>
        <v>9</v>
      </c>
      <c r="BB107" s="24">
        <f t="shared" si="225"/>
        <v>7.4858323494687129</v>
      </c>
      <c r="BC107" s="81">
        <f>$H$107*月別販売比率!AQ5</f>
        <v>1.6824085005903191</v>
      </c>
      <c r="BD107" s="10">
        <f t="shared" si="278"/>
        <v>9</v>
      </c>
      <c r="BE107" s="21"/>
      <c r="BF107" s="19">
        <f t="shared" si="279"/>
        <v>9</v>
      </c>
      <c r="BG107" s="24">
        <f t="shared" si="228"/>
        <v>7.3175914994096809</v>
      </c>
      <c r="BH107" s="81">
        <f>$H$107*月別販売比率!AV5</f>
        <v>1.0244921497852566</v>
      </c>
      <c r="BI107" s="10">
        <f t="shared" si="280"/>
        <v>9</v>
      </c>
      <c r="BJ107" s="21"/>
      <c r="BK107" s="19">
        <f t="shared" si="281"/>
        <v>9</v>
      </c>
      <c r="BL107" s="24">
        <f t="shared" si="231"/>
        <v>7.9755078502147434</v>
      </c>
      <c r="BM107" s="81">
        <f>$H$107*月別販売比率!BA5</f>
        <v>0.93580811103532924</v>
      </c>
      <c r="BN107" s="10">
        <f t="shared" si="282"/>
        <v>9</v>
      </c>
      <c r="BO107" s="21"/>
      <c r="BP107" s="19">
        <f t="shared" si="283"/>
        <v>9</v>
      </c>
      <c r="BQ107" s="24">
        <f t="shared" si="233"/>
        <v>8.06419188896467</v>
      </c>
      <c r="BR107" s="81">
        <f>$H$107*月別販売比率!BF5</f>
        <v>1.3459268004722551</v>
      </c>
      <c r="BS107" s="10">
        <f t="shared" si="284"/>
        <v>9</v>
      </c>
      <c r="BT107" s="21"/>
      <c r="BU107" s="19">
        <f t="shared" si="285"/>
        <v>9</v>
      </c>
      <c r="BV107" s="24">
        <f t="shared" si="236"/>
        <v>7.6540731995277449</v>
      </c>
      <c r="BW107" s="158">
        <f t="shared" si="262"/>
        <v>9</v>
      </c>
      <c r="BX107" s="29">
        <f t="shared" si="263"/>
        <v>-7.8240850059031892</v>
      </c>
    </row>
    <row r="108" spans="2:76" ht="30.75" customHeight="1">
      <c r="C108" s="513"/>
      <c r="D108" s="441">
        <v>6</v>
      </c>
      <c r="E108" s="94" t="s">
        <v>47</v>
      </c>
      <c r="F108" s="57">
        <v>0</v>
      </c>
      <c r="G108" s="5">
        <f t="shared" si="264"/>
        <v>0</v>
      </c>
      <c r="H108" s="7">
        <f t="shared" si="265"/>
        <v>0</v>
      </c>
      <c r="I108" s="5">
        <f t="shared" si="264"/>
        <v>0</v>
      </c>
      <c r="J108" s="9">
        <v>0</v>
      </c>
      <c r="K108" s="21">
        <f t="shared" si="237"/>
        <v>0</v>
      </c>
      <c r="L108" s="21"/>
      <c r="M108" s="118"/>
      <c r="N108" s="42"/>
      <c r="O108" s="81">
        <f>$H$108*月別販売比率!C5</f>
        <v>0</v>
      </c>
      <c r="P108" s="10">
        <f t="shared" si="268"/>
        <v>0</v>
      </c>
      <c r="Q108" s="21"/>
      <c r="R108" s="19">
        <f t="shared" si="269"/>
        <v>0</v>
      </c>
      <c r="S108" s="24">
        <f t="shared" si="209"/>
        <v>0</v>
      </c>
      <c r="T108" s="81">
        <f>$H$108*月別販売比率!H5</f>
        <v>0</v>
      </c>
      <c r="U108" s="10">
        <f t="shared" si="270"/>
        <v>0</v>
      </c>
      <c r="V108" s="21"/>
      <c r="W108" s="10">
        <f t="shared" si="267"/>
        <v>0</v>
      </c>
      <c r="X108" s="24">
        <f t="shared" si="212"/>
        <v>0</v>
      </c>
      <c r="Y108" s="81">
        <f>$H$108*月別販売比率!M5</f>
        <v>0</v>
      </c>
      <c r="Z108" s="10">
        <f t="shared" si="271"/>
        <v>0</v>
      </c>
      <c r="AA108" s="21"/>
      <c r="AB108" s="97">
        <f t="shared" si="244"/>
        <v>0</v>
      </c>
      <c r="AC108" s="24">
        <f t="shared" si="214"/>
        <v>0</v>
      </c>
      <c r="AD108" s="81">
        <f>$H$108*月別販売比率!R5</f>
        <v>0</v>
      </c>
      <c r="AE108" s="10">
        <f t="shared" si="272"/>
        <v>0</v>
      </c>
      <c r="AF108" s="21"/>
      <c r="AG108" s="10">
        <f t="shared" si="246"/>
        <v>0</v>
      </c>
      <c r="AH108" s="24">
        <f t="shared" si="216"/>
        <v>0</v>
      </c>
      <c r="AI108" s="81">
        <f>$H$108*月別販売比率!W5</f>
        <v>0</v>
      </c>
      <c r="AJ108" s="10">
        <f t="shared" si="273"/>
        <v>0</v>
      </c>
      <c r="AK108" s="21"/>
      <c r="AL108" s="10">
        <f t="shared" si="248"/>
        <v>0</v>
      </c>
      <c r="AM108" s="24">
        <f t="shared" si="218"/>
        <v>0</v>
      </c>
      <c r="AN108" s="81">
        <f>$H$108*月別販売比率!AB5</f>
        <v>0</v>
      </c>
      <c r="AO108" s="10">
        <f t="shared" si="274"/>
        <v>0</v>
      </c>
      <c r="AP108" s="21"/>
      <c r="AQ108" s="10">
        <f t="shared" si="250"/>
        <v>0</v>
      </c>
      <c r="AR108" s="24">
        <f t="shared" si="220"/>
        <v>0</v>
      </c>
      <c r="AS108" s="81">
        <f>$H$108*月別販売比率!AG5</f>
        <v>0</v>
      </c>
      <c r="AT108" s="10">
        <f t="shared" si="275"/>
        <v>0</v>
      </c>
      <c r="AU108" s="21"/>
      <c r="AV108" s="10">
        <f t="shared" si="252"/>
        <v>0</v>
      </c>
      <c r="AW108" s="24">
        <f t="shared" si="222"/>
        <v>0</v>
      </c>
      <c r="AX108" s="81">
        <f>$H$108*月別販売比率!AL5</f>
        <v>0</v>
      </c>
      <c r="AY108" s="10">
        <f t="shared" si="276"/>
        <v>0</v>
      </c>
      <c r="AZ108" s="21"/>
      <c r="BA108" s="19">
        <f t="shared" si="277"/>
        <v>0</v>
      </c>
      <c r="BB108" s="24">
        <f t="shared" si="225"/>
        <v>0</v>
      </c>
      <c r="BC108" s="81">
        <f>$H$108*月別販売比率!AQ5</f>
        <v>0</v>
      </c>
      <c r="BD108" s="10">
        <f t="shared" si="278"/>
        <v>0</v>
      </c>
      <c r="BE108" s="21"/>
      <c r="BF108" s="19">
        <f t="shared" si="279"/>
        <v>0</v>
      </c>
      <c r="BG108" s="24">
        <f t="shared" si="228"/>
        <v>0</v>
      </c>
      <c r="BH108" s="81">
        <f>$H$108*月別販売比率!AV5</f>
        <v>0</v>
      </c>
      <c r="BI108" s="10">
        <f t="shared" si="280"/>
        <v>0</v>
      </c>
      <c r="BJ108" s="21"/>
      <c r="BK108" s="19">
        <f t="shared" si="281"/>
        <v>0</v>
      </c>
      <c r="BL108" s="24">
        <f t="shared" si="231"/>
        <v>0</v>
      </c>
      <c r="BM108" s="81">
        <f>$H$108*月別販売比率!BA5</f>
        <v>0</v>
      </c>
      <c r="BN108" s="10">
        <f t="shared" si="282"/>
        <v>0</v>
      </c>
      <c r="BO108" s="21"/>
      <c r="BP108" s="19">
        <f t="shared" si="283"/>
        <v>0</v>
      </c>
      <c r="BQ108" s="24">
        <f t="shared" si="233"/>
        <v>0</v>
      </c>
      <c r="BR108" s="81">
        <f>$H$108*月別販売比率!BF5</f>
        <v>0</v>
      </c>
      <c r="BS108" s="10">
        <f t="shared" si="284"/>
        <v>0</v>
      </c>
      <c r="BT108" s="21"/>
      <c r="BU108" s="19">
        <f t="shared" si="285"/>
        <v>0</v>
      </c>
      <c r="BV108" s="24">
        <f t="shared" si="236"/>
        <v>0</v>
      </c>
      <c r="BW108" s="158">
        <f t="shared" si="262"/>
        <v>0</v>
      </c>
      <c r="BX108" s="29">
        <f t="shared" si="263"/>
        <v>0</v>
      </c>
    </row>
    <row r="109" spans="2:76" ht="30.75" customHeight="1">
      <c r="C109" s="513"/>
      <c r="D109" s="441"/>
      <c r="E109" s="94" t="s">
        <v>51</v>
      </c>
      <c r="F109" s="57">
        <v>0</v>
      </c>
      <c r="G109" s="5">
        <f t="shared" si="264"/>
        <v>0</v>
      </c>
      <c r="H109" s="7">
        <f t="shared" si="265"/>
        <v>0</v>
      </c>
      <c r="I109" s="5">
        <f t="shared" si="264"/>
        <v>0</v>
      </c>
      <c r="J109" s="9">
        <v>0</v>
      </c>
      <c r="K109" s="21">
        <f>SUM(L109:N109)</f>
        <v>0</v>
      </c>
      <c r="L109" s="21"/>
      <c r="M109" s="118"/>
      <c r="N109" s="42"/>
      <c r="O109" s="81">
        <f>$H$109*月別販売比率!C5</f>
        <v>0</v>
      </c>
      <c r="P109" s="10">
        <f t="shared" si="268"/>
        <v>0</v>
      </c>
      <c r="Q109" s="21"/>
      <c r="R109" s="19">
        <f t="shared" si="269"/>
        <v>0</v>
      </c>
      <c r="S109" s="24">
        <f t="shared" si="209"/>
        <v>0</v>
      </c>
      <c r="T109" s="81">
        <f>$H$109*月別販売比率!H5</f>
        <v>0</v>
      </c>
      <c r="U109" s="10">
        <f t="shared" si="270"/>
        <v>0</v>
      </c>
      <c r="V109" s="21"/>
      <c r="W109" s="10">
        <f t="shared" si="267"/>
        <v>0</v>
      </c>
      <c r="X109" s="24">
        <f t="shared" si="212"/>
        <v>0</v>
      </c>
      <c r="Y109" s="81">
        <f>$H$109*月別販売比率!M5</f>
        <v>0</v>
      </c>
      <c r="Z109" s="10">
        <f t="shared" si="271"/>
        <v>0</v>
      </c>
      <c r="AA109" s="21"/>
      <c r="AB109" s="97">
        <f t="shared" si="244"/>
        <v>0</v>
      </c>
      <c r="AC109" s="24">
        <f t="shared" si="214"/>
        <v>0</v>
      </c>
      <c r="AD109" s="81">
        <f>$H$109*月別販売比率!R5</f>
        <v>0</v>
      </c>
      <c r="AE109" s="10">
        <f t="shared" si="272"/>
        <v>0</v>
      </c>
      <c r="AF109" s="21"/>
      <c r="AG109" s="10">
        <f t="shared" si="246"/>
        <v>0</v>
      </c>
      <c r="AH109" s="24">
        <f t="shared" si="216"/>
        <v>0</v>
      </c>
      <c r="AI109" s="81">
        <f>$H$109*月別販売比率!W5</f>
        <v>0</v>
      </c>
      <c r="AJ109" s="10">
        <f t="shared" si="273"/>
        <v>0</v>
      </c>
      <c r="AK109" s="21"/>
      <c r="AL109" s="10">
        <f t="shared" si="248"/>
        <v>0</v>
      </c>
      <c r="AM109" s="24">
        <f t="shared" si="218"/>
        <v>0</v>
      </c>
      <c r="AN109" s="81">
        <f>$H$109*月別販売比率!AB5</f>
        <v>0</v>
      </c>
      <c r="AO109" s="10">
        <f t="shared" si="274"/>
        <v>0</v>
      </c>
      <c r="AP109" s="21"/>
      <c r="AQ109" s="10">
        <f t="shared" si="250"/>
        <v>0</v>
      </c>
      <c r="AR109" s="24">
        <f t="shared" si="220"/>
        <v>0</v>
      </c>
      <c r="AS109" s="81">
        <f>$H$109*月別販売比率!AG5</f>
        <v>0</v>
      </c>
      <c r="AT109" s="10">
        <f t="shared" si="275"/>
        <v>0</v>
      </c>
      <c r="AU109" s="21"/>
      <c r="AV109" s="10">
        <f t="shared" si="252"/>
        <v>0</v>
      </c>
      <c r="AW109" s="24">
        <f t="shared" si="222"/>
        <v>0</v>
      </c>
      <c r="AX109" s="81">
        <f>$H$109*月別販売比率!AL5</f>
        <v>0</v>
      </c>
      <c r="AY109" s="10">
        <f t="shared" si="276"/>
        <v>0</v>
      </c>
      <c r="AZ109" s="21"/>
      <c r="BA109" s="19">
        <f t="shared" si="277"/>
        <v>0</v>
      </c>
      <c r="BB109" s="24">
        <f t="shared" si="225"/>
        <v>0</v>
      </c>
      <c r="BC109" s="81">
        <f>$H$109*月別販売比率!AQ5</f>
        <v>0</v>
      </c>
      <c r="BD109" s="10">
        <f t="shared" si="278"/>
        <v>0</v>
      </c>
      <c r="BE109" s="21"/>
      <c r="BF109" s="19">
        <f t="shared" si="279"/>
        <v>0</v>
      </c>
      <c r="BG109" s="24">
        <f t="shared" si="228"/>
        <v>0</v>
      </c>
      <c r="BH109" s="81">
        <f>$H$109*月別販売比率!AV5</f>
        <v>0</v>
      </c>
      <c r="BI109" s="10">
        <f t="shared" si="280"/>
        <v>0</v>
      </c>
      <c r="BJ109" s="21"/>
      <c r="BK109" s="19">
        <f t="shared" si="281"/>
        <v>0</v>
      </c>
      <c r="BL109" s="24">
        <f t="shared" si="231"/>
        <v>0</v>
      </c>
      <c r="BM109" s="81">
        <f>$H$109*月別販売比率!BA5</f>
        <v>0</v>
      </c>
      <c r="BN109" s="10">
        <f t="shared" si="282"/>
        <v>0</v>
      </c>
      <c r="BO109" s="21"/>
      <c r="BP109" s="19">
        <f t="shared" si="283"/>
        <v>0</v>
      </c>
      <c r="BQ109" s="24">
        <f t="shared" si="233"/>
        <v>0</v>
      </c>
      <c r="BR109" s="81">
        <f>$H$109*月別販売比率!BF5</f>
        <v>0</v>
      </c>
      <c r="BS109" s="10">
        <f t="shared" si="284"/>
        <v>0</v>
      </c>
      <c r="BT109" s="21"/>
      <c r="BU109" s="19">
        <f t="shared" si="285"/>
        <v>0</v>
      </c>
      <c r="BV109" s="24">
        <f t="shared" si="236"/>
        <v>0</v>
      </c>
      <c r="BW109" s="158">
        <f t="shared" si="262"/>
        <v>0</v>
      </c>
      <c r="BX109" s="29">
        <f t="shared" si="263"/>
        <v>0</v>
      </c>
    </row>
    <row r="110" spans="2:76" ht="30.75" customHeight="1">
      <c r="C110" s="513"/>
      <c r="D110" s="441"/>
      <c r="E110" s="94" t="s">
        <v>49</v>
      </c>
      <c r="F110" s="57">
        <v>0</v>
      </c>
      <c r="G110" s="5">
        <f t="shared" si="264"/>
        <v>0</v>
      </c>
      <c r="H110" s="7">
        <f t="shared" si="265"/>
        <v>0</v>
      </c>
      <c r="I110" s="5">
        <f t="shared" si="264"/>
        <v>0</v>
      </c>
      <c r="J110" s="9">
        <v>0</v>
      </c>
      <c r="K110" s="21">
        <f t="shared" si="237"/>
        <v>0</v>
      </c>
      <c r="L110" s="21"/>
      <c r="M110" s="118"/>
      <c r="N110" s="42"/>
      <c r="O110" s="81">
        <f>$H$110*月別販売比率!C5</f>
        <v>0</v>
      </c>
      <c r="P110" s="10">
        <f t="shared" si="268"/>
        <v>0</v>
      </c>
      <c r="Q110" s="21"/>
      <c r="R110" s="19">
        <f t="shared" si="269"/>
        <v>0</v>
      </c>
      <c r="S110" s="24">
        <f t="shared" si="209"/>
        <v>0</v>
      </c>
      <c r="T110" s="81">
        <f>$H$110*月別販売比率!H5</f>
        <v>0</v>
      </c>
      <c r="U110" s="10">
        <f t="shared" si="270"/>
        <v>0</v>
      </c>
      <c r="V110" s="21"/>
      <c r="W110" s="10">
        <f t="shared" si="267"/>
        <v>0</v>
      </c>
      <c r="X110" s="24">
        <f t="shared" si="212"/>
        <v>0</v>
      </c>
      <c r="Y110" s="81">
        <f>$H$110*月別販売比率!M5</f>
        <v>0</v>
      </c>
      <c r="Z110" s="10">
        <f t="shared" si="271"/>
        <v>0</v>
      </c>
      <c r="AA110" s="21"/>
      <c r="AB110" s="97">
        <f t="shared" si="244"/>
        <v>0</v>
      </c>
      <c r="AC110" s="24">
        <f t="shared" si="214"/>
        <v>0</v>
      </c>
      <c r="AD110" s="81">
        <f>$H$110*月別販売比率!R5</f>
        <v>0</v>
      </c>
      <c r="AE110" s="10">
        <f t="shared" si="272"/>
        <v>0</v>
      </c>
      <c r="AF110" s="21"/>
      <c r="AG110" s="10">
        <f t="shared" si="246"/>
        <v>0</v>
      </c>
      <c r="AH110" s="24">
        <f t="shared" si="216"/>
        <v>0</v>
      </c>
      <c r="AI110" s="81">
        <f>$H$110*月別販売比率!W5</f>
        <v>0</v>
      </c>
      <c r="AJ110" s="10">
        <f t="shared" si="273"/>
        <v>0</v>
      </c>
      <c r="AK110" s="21"/>
      <c r="AL110" s="10">
        <f t="shared" si="248"/>
        <v>0</v>
      </c>
      <c r="AM110" s="24">
        <f t="shared" si="218"/>
        <v>0</v>
      </c>
      <c r="AN110" s="81">
        <f>$H$110*月別販売比率!AB5</f>
        <v>0</v>
      </c>
      <c r="AO110" s="10">
        <f t="shared" si="274"/>
        <v>0</v>
      </c>
      <c r="AP110" s="21"/>
      <c r="AQ110" s="10">
        <f t="shared" si="250"/>
        <v>0</v>
      </c>
      <c r="AR110" s="24">
        <f t="shared" si="220"/>
        <v>0</v>
      </c>
      <c r="AS110" s="81">
        <f>$H$110*月別販売比率!AG5</f>
        <v>0</v>
      </c>
      <c r="AT110" s="10">
        <f t="shared" si="275"/>
        <v>0</v>
      </c>
      <c r="AU110" s="21"/>
      <c r="AV110" s="10">
        <f t="shared" si="252"/>
        <v>0</v>
      </c>
      <c r="AW110" s="24">
        <f t="shared" si="222"/>
        <v>0</v>
      </c>
      <c r="AX110" s="81">
        <f>$H$110*月別販売比率!AL5</f>
        <v>0</v>
      </c>
      <c r="AY110" s="10">
        <f t="shared" si="276"/>
        <v>0</v>
      </c>
      <c r="AZ110" s="21"/>
      <c r="BA110" s="19">
        <f t="shared" si="277"/>
        <v>0</v>
      </c>
      <c r="BB110" s="24">
        <f t="shared" si="225"/>
        <v>0</v>
      </c>
      <c r="BC110" s="81">
        <f>$H$110*月別販売比率!AQ5</f>
        <v>0</v>
      </c>
      <c r="BD110" s="10">
        <f t="shared" si="278"/>
        <v>0</v>
      </c>
      <c r="BE110" s="21"/>
      <c r="BF110" s="19">
        <f t="shared" si="279"/>
        <v>0</v>
      </c>
      <c r="BG110" s="24">
        <f t="shared" si="228"/>
        <v>0</v>
      </c>
      <c r="BH110" s="81">
        <f>$H$110*月別販売比率!AV5</f>
        <v>0</v>
      </c>
      <c r="BI110" s="10">
        <f t="shared" si="280"/>
        <v>0</v>
      </c>
      <c r="BJ110" s="21"/>
      <c r="BK110" s="19">
        <f t="shared" si="281"/>
        <v>0</v>
      </c>
      <c r="BL110" s="24">
        <f t="shared" si="231"/>
        <v>0</v>
      </c>
      <c r="BM110" s="81">
        <f>$H$110*月別販売比率!BA5</f>
        <v>0</v>
      </c>
      <c r="BN110" s="10">
        <f t="shared" si="282"/>
        <v>0</v>
      </c>
      <c r="BO110" s="21"/>
      <c r="BP110" s="19">
        <f t="shared" si="283"/>
        <v>0</v>
      </c>
      <c r="BQ110" s="24">
        <f t="shared" si="233"/>
        <v>0</v>
      </c>
      <c r="BR110" s="81">
        <f>$H$110*月別販売比率!BF5</f>
        <v>0</v>
      </c>
      <c r="BS110" s="10">
        <f t="shared" si="284"/>
        <v>0</v>
      </c>
      <c r="BT110" s="21"/>
      <c r="BU110" s="19">
        <f t="shared" si="285"/>
        <v>0</v>
      </c>
      <c r="BV110" s="24">
        <f t="shared" si="236"/>
        <v>0</v>
      </c>
      <c r="BW110" s="158">
        <f t="shared" si="262"/>
        <v>0</v>
      </c>
      <c r="BX110" s="29">
        <f t="shared" si="263"/>
        <v>0</v>
      </c>
    </row>
    <row r="111" spans="2:76" ht="30.75" customHeight="1">
      <c r="C111" s="514"/>
      <c r="D111" s="444"/>
      <c r="E111" s="101" t="s">
        <v>50</v>
      </c>
      <c r="F111" s="58">
        <v>15</v>
      </c>
      <c r="G111" s="35">
        <f t="shared" si="264"/>
        <v>54450</v>
      </c>
      <c r="H111" s="181">
        <f t="shared" si="265"/>
        <v>16.824085005903189</v>
      </c>
      <c r="I111" s="35">
        <f t="shared" si="264"/>
        <v>61071.42857142858</v>
      </c>
      <c r="J111" s="113">
        <v>20</v>
      </c>
      <c r="K111" s="103">
        <f t="shared" si="237"/>
        <v>10</v>
      </c>
      <c r="L111" s="104">
        <v>10</v>
      </c>
      <c r="M111" s="114"/>
      <c r="N111" s="117"/>
      <c r="O111" s="81">
        <f>$H$111*月別販売比率!C5</f>
        <v>1.1922261846525655</v>
      </c>
      <c r="P111" s="108">
        <f t="shared" si="268"/>
        <v>10</v>
      </c>
      <c r="Q111" s="103"/>
      <c r="R111" s="123">
        <f t="shared" si="269"/>
        <v>10</v>
      </c>
      <c r="S111" s="92">
        <f t="shared" si="209"/>
        <v>8.807773815347435</v>
      </c>
      <c r="T111" s="81">
        <f>$H$111*月別販売比率!H5</f>
        <v>1.1776859504132233</v>
      </c>
      <c r="U111" s="103">
        <f>K111</f>
        <v>10</v>
      </c>
      <c r="V111" s="104"/>
      <c r="W111" s="110">
        <f t="shared" si="267"/>
        <v>10</v>
      </c>
      <c r="X111" s="92">
        <f t="shared" si="212"/>
        <v>8.822314049586776</v>
      </c>
      <c r="Y111" s="81">
        <f>$H$111*月別販売比率!M5</f>
        <v>1.7003040968265286</v>
      </c>
      <c r="Z111" s="110">
        <f t="shared" si="271"/>
        <v>10</v>
      </c>
      <c r="AA111" s="104"/>
      <c r="AB111" s="109">
        <f t="shared" si="244"/>
        <v>10</v>
      </c>
      <c r="AC111" s="92">
        <f t="shared" si="214"/>
        <v>8.2996959031734718</v>
      </c>
      <c r="AD111" s="81">
        <f>$H$111*月別販売比率!R5</f>
        <v>1.3459268004722551</v>
      </c>
      <c r="AE111" s="110">
        <f t="shared" si="272"/>
        <v>10</v>
      </c>
      <c r="AF111" s="104"/>
      <c r="AG111" s="110">
        <f t="shared" si="246"/>
        <v>10</v>
      </c>
      <c r="AH111" s="92">
        <f t="shared" si="216"/>
        <v>8.654073199527744</v>
      </c>
      <c r="AI111" s="81">
        <f>$H$111*月別販売比率!W5</f>
        <v>1.2814353774265463</v>
      </c>
      <c r="AJ111" s="110">
        <f t="shared" si="273"/>
        <v>10</v>
      </c>
      <c r="AK111" s="104"/>
      <c r="AL111" s="110">
        <f t="shared" si="248"/>
        <v>10</v>
      </c>
      <c r="AM111" s="92">
        <f t="shared" si="218"/>
        <v>8.718564622573453</v>
      </c>
      <c r="AN111" s="81">
        <f>$H$111*月別販売比率!AB5</f>
        <v>2.0188902007083827</v>
      </c>
      <c r="AO111" s="110">
        <f t="shared" si="274"/>
        <v>10</v>
      </c>
      <c r="AP111" s="104"/>
      <c r="AQ111" s="110">
        <f t="shared" si="250"/>
        <v>10</v>
      </c>
      <c r="AR111" s="92">
        <f t="shared" si="220"/>
        <v>7.9811097992916178</v>
      </c>
      <c r="AS111" s="81">
        <f>$H$111*月別販売比率!AG5</f>
        <v>1.6824085005903191</v>
      </c>
      <c r="AT111" s="110">
        <f t="shared" si="275"/>
        <v>10</v>
      </c>
      <c r="AU111" s="104"/>
      <c r="AV111" s="110">
        <f t="shared" si="252"/>
        <v>10</v>
      </c>
      <c r="AW111" s="92">
        <f t="shared" si="222"/>
        <v>8.31759149940968</v>
      </c>
      <c r="AX111" s="81">
        <f>$H$111*月別販売比率!AL5</f>
        <v>1.5141676505312869</v>
      </c>
      <c r="AY111" s="110">
        <f t="shared" si="276"/>
        <v>10</v>
      </c>
      <c r="AZ111" s="104"/>
      <c r="BA111" s="115">
        <f t="shared" si="277"/>
        <v>10</v>
      </c>
      <c r="BB111" s="92">
        <f t="shared" si="225"/>
        <v>8.4858323494687138</v>
      </c>
      <c r="BC111" s="81">
        <f>$H$111*月別販売比率!AQ5</f>
        <v>1.6824085005903191</v>
      </c>
      <c r="BD111" s="110">
        <f>K111</f>
        <v>10</v>
      </c>
      <c r="BE111" s="104"/>
      <c r="BF111" s="115">
        <f t="shared" si="279"/>
        <v>10</v>
      </c>
      <c r="BG111" s="92">
        <f t="shared" si="228"/>
        <v>8.31759149940968</v>
      </c>
      <c r="BH111" s="81">
        <f>$H$111*月別販売比率!AV5</f>
        <v>1.0244921497852566</v>
      </c>
      <c r="BI111" s="110">
        <f t="shared" si="280"/>
        <v>10</v>
      </c>
      <c r="BJ111" s="104"/>
      <c r="BK111" s="115">
        <f t="shared" si="281"/>
        <v>10</v>
      </c>
      <c r="BL111" s="92">
        <f t="shared" si="231"/>
        <v>8.9755078502147434</v>
      </c>
      <c r="BM111" s="81">
        <f>$H$111*月別販売比率!BA5</f>
        <v>0.93580811103532924</v>
      </c>
      <c r="BN111" s="110">
        <f t="shared" si="282"/>
        <v>10</v>
      </c>
      <c r="BO111" s="104"/>
      <c r="BP111" s="115">
        <f t="shared" si="283"/>
        <v>10</v>
      </c>
      <c r="BQ111" s="92">
        <f t="shared" si="233"/>
        <v>9.06419188896467</v>
      </c>
      <c r="BR111" s="81">
        <f>$H$111*月別販売比率!BF5</f>
        <v>1.3459268004722551</v>
      </c>
      <c r="BS111" s="110">
        <f t="shared" si="284"/>
        <v>10</v>
      </c>
      <c r="BT111" s="104"/>
      <c r="BU111" s="115">
        <f t="shared" si="285"/>
        <v>10</v>
      </c>
      <c r="BV111" s="92">
        <f t="shared" si="236"/>
        <v>8.654073199527744</v>
      </c>
      <c r="BW111" s="159">
        <f t="shared" si="262"/>
        <v>10</v>
      </c>
      <c r="BX111" s="116">
        <f t="shared" si="263"/>
        <v>-6.8240850059031892</v>
      </c>
    </row>
    <row r="112" spans="2:76" ht="30.75" customHeight="1">
      <c r="B112" s="2">
        <v>8</v>
      </c>
      <c r="C112" s="435" t="s">
        <v>4</v>
      </c>
      <c r="D112" s="436"/>
      <c r="E112" s="445"/>
      <c r="F112" s="144">
        <v>701</v>
      </c>
      <c r="G112" s="145">
        <v>2312264.2331249998</v>
      </c>
      <c r="H112" s="146">
        <v>870</v>
      </c>
      <c r="I112" s="145">
        <f t="shared" si="42"/>
        <v>2869714.5261323107</v>
      </c>
      <c r="J112" s="147">
        <f>SUM(J114:J121)</f>
        <v>398</v>
      </c>
      <c r="K112" s="148">
        <f t="shared" ref="K112:N112" si="286">SUM(K114:K121)</f>
        <v>162</v>
      </c>
      <c r="L112" s="148">
        <f t="shared" si="286"/>
        <v>32</v>
      </c>
      <c r="M112" s="148">
        <f t="shared" si="286"/>
        <v>20</v>
      </c>
      <c r="N112" s="149">
        <f t="shared" si="286"/>
        <v>110</v>
      </c>
      <c r="O112" s="150">
        <f>H112/12</f>
        <v>72.5</v>
      </c>
      <c r="P112" s="151">
        <f t="shared" si="107"/>
        <v>162</v>
      </c>
      <c r="Q112" s="148">
        <f>SUM(Q114:Q121)</f>
        <v>0</v>
      </c>
      <c r="R112" s="152">
        <f t="shared" si="108"/>
        <v>162</v>
      </c>
      <c r="S112" s="153">
        <f t="shared" si="209"/>
        <v>89.5</v>
      </c>
      <c r="T112" s="150">
        <f t="shared" si="109"/>
        <v>72.5</v>
      </c>
      <c r="U112" s="151">
        <f t="shared" si="110"/>
        <v>162</v>
      </c>
      <c r="V112" s="148">
        <f>SUM(V114:V121)</f>
        <v>70</v>
      </c>
      <c r="W112" s="152">
        <f t="shared" si="111"/>
        <v>232</v>
      </c>
      <c r="X112" s="153">
        <f t="shared" si="212"/>
        <v>159.5</v>
      </c>
      <c r="Y112" s="150">
        <f t="shared" si="112"/>
        <v>72.5</v>
      </c>
      <c r="Z112" s="151">
        <f t="shared" si="113"/>
        <v>162</v>
      </c>
      <c r="AA112" s="148">
        <f>SUM(AA114:AA121)</f>
        <v>100</v>
      </c>
      <c r="AB112" s="154">
        <f t="shared" si="114"/>
        <v>262</v>
      </c>
      <c r="AC112" s="153">
        <f t="shared" si="214"/>
        <v>189.5</v>
      </c>
      <c r="AD112" s="150">
        <f t="shared" si="115"/>
        <v>72.5</v>
      </c>
      <c r="AE112" s="151">
        <f t="shared" si="116"/>
        <v>162</v>
      </c>
      <c r="AF112" s="148">
        <f>SUM(AF114:AF121)</f>
        <v>0</v>
      </c>
      <c r="AG112" s="152">
        <f t="shared" si="117"/>
        <v>162</v>
      </c>
      <c r="AH112" s="153">
        <f t="shared" si="216"/>
        <v>89.5</v>
      </c>
      <c r="AI112" s="150">
        <f t="shared" si="118"/>
        <v>72.5</v>
      </c>
      <c r="AJ112" s="151">
        <f t="shared" si="119"/>
        <v>162</v>
      </c>
      <c r="AK112" s="148">
        <f>SUM(AK114:AK121)</f>
        <v>0</v>
      </c>
      <c r="AL112" s="152">
        <f t="shared" si="120"/>
        <v>162</v>
      </c>
      <c r="AM112" s="153">
        <f t="shared" si="218"/>
        <v>89.5</v>
      </c>
      <c r="AN112" s="150">
        <f t="shared" si="121"/>
        <v>72.5</v>
      </c>
      <c r="AO112" s="151">
        <f t="shared" si="122"/>
        <v>162</v>
      </c>
      <c r="AP112" s="148">
        <f>SUM(AP114:AP121)</f>
        <v>0</v>
      </c>
      <c r="AQ112" s="152">
        <f t="shared" si="123"/>
        <v>162</v>
      </c>
      <c r="AR112" s="153">
        <f t="shared" si="220"/>
        <v>89.5</v>
      </c>
      <c r="AS112" s="150">
        <f t="shared" si="124"/>
        <v>72.5</v>
      </c>
      <c r="AT112" s="151">
        <f t="shared" si="125"/>
        <v>162</v>
      </c>
      <c r="AU112" s="148">
        <f>SUM(AU114:AU121)</f>
        <v>0</v>
      </c>
      <c r="AV112" s="152">
        <f t="shared" si="126"/>
        <v>162</v>
      </c>
      <c r="AW112" s="153">
        <f t="shared" si="222"/>
        <v>89.5</v>
      </c>
      <c r="AX112" s="150">
        <f t="shared" si="127"/>
        <v>72.5</v>
      </c>
      <c r="AY112" s="151">
        <f t="shared" si="128"/>
        <v>162</v>
      </c>
      <c r="AZ112" s="148">
        <f>SUM(AZ114:AZ121)</f>
        <v>0</v>
      </c>
      <c r="BA112" s="152">
        <f t="shared" si="129"/>
        <v>162</v>
      </c>
      <c r="BB112" s="153">
        <f t="shared" si="225"/>
        <v>89.5</v>
      </c>
      <c r="BC112" s="150">
        <f t="shared" si="130"/>
        <v>72.5</v>
      </c>
      <c r="BD112" s="151">
        <f t="shared" si="131"/>
        <v>162</v>
      </c>
      <c r="BE112" s="148">
        <f>SUM(BE114:BE121)</f>
        <v>0</v>
      </c>
      <c r="BF112" s="152">
        <f t="shared" si="132"/>
        <v>162</v>
      </c>
      <c r="BG112" s="153">
        <f t="shared" si="228"/>
        <v>89.5</v>
      </c>
      <c r="BH112" s="150">
        <f t="shared" si="133"/>
        <v>72.5</v>
      </c>
      <c r="BI112" s="151">
        <f t="shared" si="134"/>
        <v>162</v>
      </c>
      <c r="BJ112" s="148">
        <f>SUM(BJ114:BJ121)</f>
        <v>0</v>
      </c>
      <c r="BK112" s="152">
        <f t="shared" si="135"/>
        <v>162</v>
      </c>
      <c r="BL112" s="153">
        <f t="shared" si="231"/>
        <v>89.5</v>
      </c>
      <c r="BM112" s="150">
        <f t="shared" si="136"/>
        <v>72.5</v>
      </c>
      <c r="BN112" s="151">
        <f t="shared" si="137"/>
        <v>162</v>
      </c>
      <c r="BO112" s="148">
        <f>SUM(BO114:BO121)</f>
        <v>0</v>
      </c>
      <c r="BP112" s="152">
        <f t="shared" si="138"/>
        <v>162</v>
      </c>
      <c r="BQ112" s="153">
        <f t="shared" si="233"/>
        <v>89.5</v>
      </c>
      <c r="BR112" s="150">
        <f t="shared" si="139"/>
        <v>72.5</v>
      </c>
      <c r="BS112" s="151">
        <f t="shared" si="140"/>
        <v>162</v>
      </c>
      <c r="BT112" s="148">
        <f>SUM(BT114:BT121)</f>
        <v>0</v>
      </c>
      <c r="BU112" s="152">
        <f t="shared" si="141"/>
        <v>162</v>
      </c>
      <c r="BV112" s="153">
        <f t="shared" si="236"/>
        <v>89.5</v>
      </c>
      <c r="BW112" s="162">
        <f>AF112+AA112+V112+Q112+AK112+AP112+AU112+AZ112+BE112+BJ112+BO112+BT112+K112</f>
        <v>332</v>
      </c>
      <c r="BX112" s="163">
        <f t="shared" si="49"/>
        <v>-538</v>
      </c>
    </row>
    <row r="113" spans="2:76" ht="30.75" customHeight="1">
      <c r="C113" s="167" t="s">
        <v>81</v>
      </c>
      <c r="D113" s="168"/>
      <c r="E113" s="169"/>
      <c r="F113" s="170">
        <f>SUM(F114:F121)</f>
        <v>639</v>
      </c>
      <c r="G113" s="171">
        <f>SUM(G114:G121)</f>
        <v>2108700</v>
      </c>
      <c r="H113" s="170">
        <f>SUM(H114:H121)</f>
        <v>793.05278174037096</v>
      </c>
      <c r="I113" s="171">
        <f>SUM(I114:I121)</f>
        <v>2617074.1797432243</v>
      </c>
      <c r="J113" s="172"/>
      <c r="K113" s="173"/>
      <c r="L113" s="173"/>
      <c r="M113" s="173"/>
      <c r="N113" s="174"/>
      <c r="O113" s="175">
        <f>SUM(O114:O121)</f>
        <v>56.19909147336525</v>
      </c>
      <c r="P113" s="176"/>
      <c r="Q113" s="173"/>
      <c r="R113" s="177"/>
      <c r="S113" s="178"/>
      <c r="T113" s="175">
        <f>SUM(T114:T121)</f>
        <v>55.513694721825964</v>
      </c>
      <c r="U113" s="176"/>
      <c r="V113" s="173"/>
      <c r="W113" s="177"/>
      <c r="X113" s="178"/>
      <c r="Y113" s="175">
        <f>SUM(Y114:Y121)</f>
        <v>80.148839792457878</v>
      </c>
      <c r="Z113" s="176"/>
      <c r="AA113" s="173"/>
      <c r="AB113" s="177"/>
      <c r="AC113" s="178"/>
      <c r="AD113" s="175">
        <f>SUM(AD114:AD121)</f>
        <v>63.444222539229671</v>
      </c>
      <c r="AE113" s="176"/>
      <c r="AF113" s="173"/>
      <c r="AG113" s="177"/>
      <c r="AH113" s="178"/>
      <c r="AI113" s="175">
        <f>SUM(AI114:AI121)</f>
        <v>60.404229432511023</v>
      </c>
      <c r="AJ113" s="176"/>
      <c r="AK113" s="173"/>
      <c r="AL113" s="177"/>
      <c r="AM113" s="178"/>
      <c r="AN113" s="175">
        <f>SUM(AN114:AN121)</f>
        <v>95.166333808844499</v>
      </c>
      <c r="AO113" s="176"/>
      <c r="AP113" s="173"/>
      <c r="AQ113" s="177"/>
      <c r="AR113" s="178"/>
      <c r="AS113" s="175">
        <f>SUM(AS114:AS121)</f>
        <v>79.305278174037099</v>
      </c>
      <c r="AT113" s="176"/>
      <c r="AU113" s="173"/>
      <c r="AV113" s="177"/>
      <c r="AW113" s="178"/>
      <c r="AX113" s="175">
        <f>SUM(AX114:AX121)</f>
        <v>71.374750356633385</v>
      </c>
      <c r="AY113" s="176"/>
      <c r="AZ113" s="173"/>
      <c r="BA113" s="177"/>
      <c r="BB113" s="178"/>
      <c r="BC113" s="175">
        <f>SUM(BC114:BC121)</f>
        <v>79.305278174037099</v>
      </c>
      <c r="BD113" s="176"/>
      <c r="BE113" s="173"/>
      <c r="BF113" s="177"/>
      <c r="BG113" s="178"/>
      <c r="BH113" s="175">
        <f>SUM(BH114:BH121)</f>
        <v>48.292453882234369</v>
      </c>
      <c r="BI113" s="176"/>
      <c r="BJ113" s="173"/>
      <c r="BK113" s="177"/>
      <c r="BL113" s="178"/>
      <c r="BM113" s="175">
        <f>SUM(BM114:BM121)</f>
        <v>44.112070604218175</v>
      </c>
      <c r="BN113" s="176"/>
      <c r="BO113" s="173"/>
      <c r="BP113" s="177"/>
      <c r="BQ113" s="178"/>
      <c r="BR113" s="175">
        <f>SUM(BR114:BR121)</f>
        <v>63.444222539229671</v>
      </c>
      <c r="BS113" s="176"/>
      <c r="BT113" s="173"/>
      <c r="BU113" s="177"/>
      <c r="BV113" s="178"/>
      <c r="BW113" s="179"/>
      <c r="BX113" s="180"/>
    </row>
    <row r="114" spans="2:76" ht="30.75" customHeight="1">
      <c r="C114" s="512" t="s">
        <v>71</v>
      </c>
      <c r="D114" s="443">
        <v>1</v>
      </c>
      <c r="E114" s="99" t="s">
        <v>46</v>
      </c>
      <c r="F114" s="56">
        <v>136</v>
      </c>
      <c r="G114" s="46">
        <f>F114*3300</f>
        <v>448800</v>
      </c>
      <c r="H114" s="7">
        <f>F114*($H$112/$F$112)</f>
        <v>168.78744650499289</v>
      </c>
      <c r="I114" s="46">
        <f>H114*3300</f>
        <v>556998.57346647652</v>
      </c>
      <c r="J114" s="49">
        <v>0</v>
      </c>
      <c r="K114" s="21">
        <f t="shared" si="237"/>
        <v>8</v>
      </c>
      <c r="L114" s="39">
        <v>3</v>
      </c>
      <c r="M114" s="39">
        <v>5</v>
      </c>
      <c r="N114" s="42"/>
      <c r="O114" s="81">
        <f>$H$114*月別販売比率!C5</f>
        <v>11.96099599433126</v>
      </c>
      <c r="P114" s="40">
        <f t="shared" si="107"/>
        <v>8</v>
      </c>
      <c r="Q114" s="39"/>
      <c r="R114" s="43">
        <f>Q114+K114</f>
        <v>8</v>
      </c>
      <c r="S114" s="91">
        <f t="shared" si="209"/>
        <v>-3.9609959943312596</v>
      </c>
      <c r="T114" s="81">
        <f>$H$114*月別販売比率!H5</f>
        <v>11.815121255349503</v>
      </c>
      <c r="U114" s="40">
        <f>K114</f>
        <v>8</v>
      </c>
      <c r="V114" s="39"/>
      <c r="W114" s="40">
        <f t="shared" ref="W114:W121" si="287">K114+V114</f>
        <v>8</v>
      </c>
      <c r="X114" s="24">
        <f t="shared" si="212"/>
        <v>-3.8151212553495029</v>
      </c>
      <c r="Y114" s="81">
        <f>$H$114*月別販売比率!M5</f>
        <v>17.058282021555982</v>
      </c>
      <c r="Z114" s="40">
        <f>K114</f>
        <v>8</v>
      </c>
      <c r="AA114" s="39"/>
      <c r="AB114" s="96">
        <f t="shared" ref="AB114:AB121" si="288">K114+AA114</f>
        <v>8</v>
      </c>
      <c r="AC114" s="24">
        <f t="shared" si="214"/>
        <v>-9.0582820215559821</v>
      </c>
      <c r="AD114" s="81">
        <f>$H$114*月別販売比率!R5</f>
        <v>13.502995720399431</v>
      </c>
      <c r="AE114" s="40">
        <f>K114</f>
        <v>8</v>
      </c>
      <c r="AF114" s="39"/>
      <c r="AG114" s="40">
        <f t="shared" ref="AG114:AG121" si="289">K114+AF114</f>
        <v>8</v>
      </c>
      <c r="AH114" s="24">
        <f t="shared" si="216"/>
        <v>-5.5029957203994311</v>
      </c>
      <c r="AI114" s="81">
        <f>$H$114*月別販売比率!W5</f>
        <v>12.855986232897495</v>
      </c>
      <c r="AJ114" s="40">
        <f>K114</f>
        <v>8</v>
      </c>
      <c r="AK114" s="39"/>
      <c r="AL114" s="40">
        <f t="shared" ref="AL114:AL121" si="290">K114+AK114</f>
        <v>8</v>
      </c>
      <c r="AM114" s="24">
        <f t="shared" si="218"/>
        <v>-4.8559862328974948</v>
      </c>
      <c r="AN114" s="81">
        <f>$H$114*月別販売比率!AB5</f>
        <v>20.254493580599146</v>
      </c>
      <c r="AO114" s="40">
        <f>K114</f>
        <v>8</v>
      </c>
      <c r="AP114" s="39"/>
      <c r="AQ114" s="40">
        <f t="shared" ref="AQ114:AQ121" si="291">K114+AP114</f>
        <v>8</v>
      </c>
      <c r="AR114" s="24">
        <f t="shared" si="220"/>
        <v>-12.254493580599146</v>
      </c>
      <c r="AS114" s="81">
        <f>$H$114*月別販売比率!AG5</f>
        <v>16.878744650499289</v>
      </c>
      <c r="AT114" s="40">
        <f>K114</f>
        <v>8</v>
      </c>
      <c r="AU114" s="39"/>
      <c r="AV114" s="40">
        <f t="shared" ref="AV114:AV121" si="292">K114+AU114</f>
        <v>8</v>
      </c>
      <c r="AW114" s="24">
        <f t="shared" si="222"/>
        <v>-8.8787446504992893</v>
      </c>
      <c r="AX114" s="81">
        <f>$H$114*月別販売比率!AL5</f>
        <v>15.190870185449359</v>
      </c>
      <c r="AY114" s="40">
        <f>K114</f>
        <v>8</v>
      </c>
      <c r="AZ114" s="39"/>
      <c r="BA114" s="43">
        <f>K114+AZ114</f>
        <v>8</v>
      </c>
      <c r="BB114" s="24">
        <f t="shared" si="225"/>
        <v>-7.1908701854493593</v>
      </c>
      <c r="BC114" s="81">
        <f>$H$114*月別販売比率!AQ5</f>
        <v>16.878744650499289</v>
      </c>
      <c r="BD114" s="40">
        <f>K114</f>
        <v>8</v>
      </c>
      <c r="BE114" s="39"/>
      <c r="BF114" s="43">
        <f>K114+BE114</f>
        <v>8</v>
      </c>
      <c r="BG114" s="24">
        <f t="shared" si="228"/>
        <v>-8.8787446504992893</v>
      </c>
      <c r="BH114" s="81">
        <f>$H$114*月別販売比率!AV5</f>
        <v>10.278206147079615</v>
      </c>
      <c r="BI114" s="40">
        <f>K114</f>
        <v>8</v>
      </c>
      <c r="BJ114" s="39"/>
      <c r="BK114" s="43">
        <f>K114+BJ114</f>
        <v>8</v>
      </c>
      <c r="BL114" s="24">
        <f t="shared" si="231"/>
        <v>-2.2782061470796151</v>
      </c>
      <c r="BM114" s="81">
        <f>$H$114*月別販売比率!BA5</f>
        <v>9.3884845104439307</v>
      </c>
      <c r="BN114" s="40">
        <f>K114</f>
        <v>8</v>
      </c>
      <c r="BO114" s="39"/>
      <c r="BP114" s="43">
        <f>K114+BO114</f>
        <v>8</v>
      </c>
      <c r="BQ114" s="24">
        <f t="shared" si="233"/>
        <v>-1.3884845104439307</v>
      </c>
      <c r="BR114" s="81">
        <f>$H$114*月別販売比率!BF5</f>
        <v>13.502995720399431</v>
      </c>
      <c r="BS114" s="40">
        <f>K114</f>
        <v>8</v>
      </c>
      <c r="BT114" s="39"/>
      <c r="BU114" s="43">
        <f>K114+BT114</f>
        <v>8</v>
      </c>
      <c r="BV114" s="24">
        <f t="shared" si="236"/>
        <v>-5.5029957203994311</v>
      </c>
      <c r="BW114" s="157">
        <f t="shared" ref="BW114:BW121" si="293">AF114+AA114+V114+Q114+AK114+AP114+AU114+AZ114+BE114+BJ114+BO114+BT114+K114</f>
        <v>8</v>
      </c>
      <c r="BX114" s="51">
        <f t="shared" ref="BX114:BX121" si="294">BW114-H114</f>
        <v>-160.78744650499289</v>
      </c>
    </row>
    <row r="115" spans="2:76" ht="30.75" customHeight="1">
      <c r="C115" s="504"/>
      <c r="D115" s="441"/>
      <c r="E115" s="94" t="s">
        <v>47</v>
      </c>
      <c r="F115" s="57">
        <v>91</v>
      </c>
      <c r="G115" s="5">
        <f t="shared" ref="G115:I121" si="295">F115*3300</f>
        <v>300300</v>
      </c>
      <c r="H115" s="7">
        <f t="shared" ref="H115:H121" si="296">F115*($H$112/$F$112)</f>
        <v>112.93865905848789</v>
      </c>
      <c r="I115" s="5">
        <f t="shared" si="295"/>
        <v>372697.57489301002</v>
      </c>
      <c r="J115" s="9">
        <v>186</v>
      </c>
      <c r="K115" s="21">
        <f t="shared" si="237"/>
        <v>16</v>
      </c>
      <c r="L115" s="21">
        <v>11</v>
      </c>
      <c r="M115" s="21">
        <v>5</v>
      </c>
      <c r="N115" s="42"/>
      <c r="O115" s="81">
        <f>$H$115*月別販売比率!C5</f>
        <v>8.0033134962069461</v>
      </c>
      <c r="P115" s="10">
        <f t="shared" si="107"/>
        <v>16</v>
      </c>
      <c r="Q115" s="21"/>
      <c r="R115" s="19">
        <f t="shared" ref="R115:R121" si="297">Q115+K115</f>
        <v>16</v>
      </c>
      <c r="S115" s="24">
        <f t="shared" si="209"/>
        <v>7.9966865037930539</v>
      </c>
      <c r="T115" s="81">
        <f>$H$115*月別販売比率!H5</f>
        <v>7.905706134094153</v>
      </c>
      <c r="U115" s="10">
        <f t="shared" ref="U115:U121" si="298">K115</f>
        <v>16</v>
      </c>
      <c r="V115" s="21"/>
      <c r="W115" s="10">
        <f t="shared" si="287"/>
        <v>16</v>
      </c>
      <c r="X115" s="24">
        <f t="shared" si="212"/>
        <v>8.094293865905847</v>
      </c>
      <c r="Y115" s="81">
        <f>$H$115*月別販売比率!M5</f>
        <v>11.41399752912937</v>
      </c>
      <c r="Z115" s="10">
        <f t="shared" ref="Z115:Z121" si="299">K115</f>
        <v>16</v>
      </c>
      <c r="AA115" s="21"/>
      <c r="AB115" s="97">
        <f t="shared" si="288"/>
        <v>16</v>
      </c>
      <c r="AC115" s="24">
        <f t="shared" si="214"/>
        <v>4.5860024708706302</v>
      </c>
      <c r="AD115" s="81">
        <f>$H$115*月別販売比率!R5</f>
        <v>9.0350927246790302</v>
      </c>
      <c r="AE115" s="10">
        <f t="shared" ref="AE115:AE121" si="300">K115</f>
        <v>16</v>
      </c>
      <c r="AF115" s="21"/>
      <c r="AG115" s="10">
        <f t="shared" si="289"/>
        <v>16</v>
      </c>
      <c r="AH115" s="24">
        <f t="shared" si="216"/>
        <v>6.9649072753209698</v>
      </c>
      <c r="AI115" s="81">
        <f>$H$115*月別販売比率!W5</f>
        <v>8.6021672587769995</v>
      </c>
      <c r="AJ115" s="10">
        <f t="shared" ref="AJ115:AJ121" si="301">K115</f>
        <v>16</v>
      </c>
      <c r="AK115" s="21"/>
      <c r="AL115" s="10">
        <f t="shared" si="290"/>
        <v>16</v>
      </c>
      <c r="AM115" s="24">
        <f t="shared" si="218"/>
        <v>7.3978327412230005</v>
      </c>
      <c r="AN115" s="81">
        <f>$H$115*月別販売比率!AB5</f>
        <v>13.552639087018546</v>
      </c>
      <c r="AO115" s="10">
        <f t="shared" ref="AO115:AO121" si="302">K115</f>
        <v>16</v>
      </c>
      <c r="AP115" s="21"/>
      <c r="AQ115" s="10">
        <f t="shared" si="291"/>
        <v>16</v>
      </c>
      <c r="AR115" s="24">
        <f t="shared" si="220"/>
        <v>2.4473609129814538</v>
      </c>
      <c r="AS115" s="81">
        <f>$H$115*月別販売比率!AG5</f>
        <v>11.29386590584879</v>
      </c>
      <c r="AT115" s="10">
        <f t="shared" ref="AT115:AT121" si="303">K115</f>
        <v>16</v>
      </c>
      <c r="AU115" s="21"/>
      <c r="AV115" s="10">
        <f t="shared" si="292"/>
        <v>16</v>
      </c>
      <c r="AW115" s="24">
        <f t="shared" si="222"/>
        <v>4.70613409415121</v>
      </c>
      <c r="AX115" s="81">
        <f>$H$115*月別販売比率!AL5</f>
        <v>10.164479315263909</v>
      </c>
      <c r="AY115" s="10">
        <f t="shared" ref="AY115:AY121" si="304">K115</f>
        <v>16</v>
      </c>
      <c r="AZ115" s="21"/>
      <c r="BA115" s="19">
        <f t="shared" ref="BA115:BA121" si="305">K115+AZ115</f>
        <v>16</v>
      </c>
      <c r="BB115" s="24">
        <f t="shared" si="225"/>
        <v>5.8355206847360908</v>
      </c>
      <c r="BC115" s="81">
        <f>$H$115*月別販売比率!AQ5</f>
        <v>11.29386590584879</v>
      </c>
      <c r="BD115" s="10">
        <f t="shared" ref="BD115:BD121" si="306">K115</f>
        <v>16</v>
      </c>
      <c r="BE115" s="21"/>
      <c r="BF115" s="19">
        <f t="shared" ref="BF115:BF121" si="307">K115+BE115</f>
        <v>16</v>
      </c>
      <c r="BG115" s="24">
        <f t="shared" si="228"/>
        <v>4.70613409415121</v>
      </c>
      <c r="BH115" s="81">
        <f>$H$115*月別販売比率!AV5</f>
        <v>6.8773291131194485</v>
      </c>
      <c r="BI115" s="10">
        <f t="shared" ref="BI115:BI121" si="308">K115</f>
        <v>16</v>
      </c>
      <c r="BJ115" s="21"/>
      <c r="BK115" s="19">
        <f t="shared" ref="BK115:BK121" si="309">K115+BJ115</f>
        <v>16</v>
      </c>
      <c r="BL115" s="24">
        <f t="shared" si="231"/>
        <v>9.1226708868805524</v>
      </c>
      <c r="BM115" s="81">
        <f>$H$115*月別販売比率!BA5</f>
        <v>6.2820006650764535</v>
      </c>
      <c r="BN115" s="10">
        <f t="shared" ref="BN115:BN121" si="310">K115</f>
        <v>16</v>
      </c>
      <c r="BO115" s="21"/>
      <c r="BP115" s="19">
        <f>K115+BO115</f>
        <v>16</v>
      </c>
      <c r="BQ115" s="24">
        <f t="shared" si="233"/>
        <v>9.7179993349235474</v>
      </c>
      <c r="BR115" s="81">
        <f>$H$115*月別販売比率!BF5</f>
        <v>9.0350927246790302</v>
      </c>
      <c r="BS115" s="10">
        <f t="shared" ref="BS115:BS121" si="311">K115</f>
        <v>16</v>
      </c>
      <c r="BT115" s="21"/>
      <c r="BU115" s="19">
        <f t="shared" ref="BU115:BU121" si="312">K115+BT115</f>
        <v>16</v>
      </c>
      <c r="BV115" s="24">
        <f t="shared" si="236"/>
        <v>6.9649072753209698</v>
      </c>
      <c r="BW115" s="157">
        <f t="shared" si="293"/>
        <v>16</v>
      </c>
      <c r="BX115" s="51">
        <f t="shared" si="294"/>
        <v>-96.938659058487886</v>
      </c>
    </row>
    <row r="116" spans="2:76" ht="30.75" customHeight="1">
      <c r="C116" s="504"/>
      <c r="D116" s="441"/>
      <c r="E116" s="94" t="s">
        <v>51</v>
      </c>
      <c r="F116" s="57">
        <v>88</v>
      </c>
      <c r="G116" s="5">
        <f t="shared" si="295"/>
        <v>290400</v>
      </c>
      <c r="H116" s="7">
        <f t="shared" si="296"/>
        <v>109.21540656205421</v>
      </c>
      <c r="I116" s="5">
        <f t="shared" si="295"/>
        <v>360410.84165477892</v>
      </c>
      <c r="J116" s="9">
        <v>174</v>
      </c>
      <c r="K116" s="21">
        <f t="shared" si="237"/>
        <v>13</v>
      </c>
      <c r="L116" s="21">
        <v>9</v>
      </c>
      <c r="M116" s="21">
        <v>4</v>
      </c>
      <c r="N116" s="42"/>
      <c r="O116" s="81">
        <f>$H$116*月別販売比率!C5</f>
        <v>7.7394679963319915</v>
      </c>
      <c r="P116" s="10">
        <f t="shared" si="107"/>
        <v>13</v>
      </c>
      <c r="Q116" s="21"/>
      <c r="R116" s="19">
        <f t="shared" si="297"/>
        <v>13</v>
      </c>
      <c r="S116" s="24">
        <f t="shared" si="209"/>
        <v>5.2605320036680085</v>
      </c>
      <c r="T116" s="81">
        <f>$H$116*月別販売比率!H5</f>
        <v>7.6450784593437957</v>
      </c>
      <c r="U116" s="10">
        <f t="shared" si="298"/>
        <v>13</v>
      </c>
      <c r="V116" s="21"/>
      <c r="W116" s="10">
        <f t="shared" si="287"/>
        <v>13</v>
      </c>
      <c r="X116" s="24">
        <f t="shared" si="212"/>
        <v>5.3549215406562043</v>
      </c>
      <c r="Y116" s="81">
        <f>$H$116*月別販売比率!M5</f>
        <v>11.037711896300928</v>
      </c>
      <c r="Z116" s="10">
        <f t="shared" si="299"/>
        <v>13</v>
      </c>
      <c r="AA116" s="21"/>
      <c r="AB116" s="97">
        <f t="shared" si="288"/>
        <v>13</v>
      </c>
      <c r="AC116" s="24">
        <f t="shared" si="214"/>
        <v>1.9622881036990716</v>
      </c>
      <c r="AD116" s="81">
        <f>$H$116*月別販売比率!R5</f>
        <v>8.7372325249643374</v>
      </c>
      <c r="AE116" s="10">
        <f t="shared" si="300"/>
        <v>13</v>
      </c>
      <c r="AF116" s="21"/>
      <c r="AG116" s="10">
        <f t="shared" si="289"/>
        <v>13</v>
      </c>
      <c r="AH116" s="24">
        <f t="shared" si="216"/>
        <v>4.2627674750356626</v>
      </c>
      <c r="AI116" s="81">
        <f>$H$116*月別販売比率!W5</f>
        <v>8.3185793271689672</v>
      </c>
      <c r="AJ116" s="10">
        <f t="shared" si="301"/>
        <v>13</v>
      </c>
      <c r="AK116" s="21"/>
      <c r="AL116" s="10">
        <f t="shared" si="290"/>
        <v>13</v>
      </c>
      <c r="AM116" s="24">
        <f t="shared" si="218"/>
        <v>4.6814206728310328</v>
      </c>
      <c r="AN116" s="81">
        <f>$H$116*月別販売比率!AB5</f>
        <v>13.105848787446504</v>
      </c>
      <c r="AO116" s="10">
        <f t="shared" si="302"/>
        <v>13</v>
      </c>
      <c r="AP116" s="21"/>
      <c r="AQ116" s="10">
        <f t="shared" si="291"/>
        <v>13</v>
      </c>
      <c r="AR116" s="24">
        <f t="shared" si="220"/>
        <v>-0.10584878744650439</v>
      </c>
      <c r="AS116" s="81">
        <f>$H$116*月別販売比率!AG5</f>
        <v>10.921540656205423</v>
      </c>
      <c r="AT116" s="10">
        <f t="shared" si="303"/>
        <v>13</v>
      </c>
      <c r="AU116" s="21"/>
      <c r="AV116" s="10">
        <f t="shared" si="292"/>
        <v>13</v>
      </c>
      <c r="AW116" s="24">
        <f t="shared" si="222"/>
        <v>2.0784593437945773</v>
      </c>
      <c r="AX116" s="81">
        <f>$H$116*月別販売比率!AL5</f>
        <v>9.8293865905848783</v>
      </c>
      <c r="AY116" s="10">
        <f t="shared" si="304"/>
        <v>13</v>
      </c>
      <c r="AZ116" s="21"/>
      <c r="BA116" s="19">
        <f t="shared" si="305"/>
        <v>13</v>
      </c>
      <c r="BB116" s="24">
        <f t="shared" si="225"/>
        <v>3.1706134094151217</v>
      </c>
      <c r="BC116" s="81">
        <f>$H$116*月別販売比率!AQ5</f>
        <v>10.921540656205423</v>
      </c>
      <c r="BD116" s="10">
        <f t="shared" si="306"/>
        <v>13</v>
      </c>
      <c r="BE116" s="21"/>
      <c r="BF116" s="19">
        <f t="shared" si="307"/>
        <v>13</v>
      </c>
      <c r="BG116" s="24">
        <f t="shared" si="228"/>
        <v>2.0784593437945773</v>
      </c>
      <c r="BH116" s="81">
        <f>$H$116*月別販売比率!AV5</f>
        <v>6.6506039775221035</v>
      </c>
      <c r="BI116" s="10">
        <f t="shared" si="308"/>
        <v>13</v>
      </c>
      <c r="BJ116" s="21"/>
      <c r="BK116" s="19">
        <f t="shared" si="309"/>
        <v>13</v>
      </c>
      <c r="BL116" s="24">
        <f t="shared" si="231"/>
        <v>6.3493960224778965</v>
      </c>
      <c r="BM116" s="81">
        <f>$H$116*月別販売比率!BA5</f>
        <v>6.0749017420519547</v>
      </c>
      <c r="BN116" s="10">
        <f t="shared" si="310"/>
        <v>13</v>
      </c>
      <c r="BO116" s="21"/>
      <c r="BP116" s="19">
        <f t="shared" ref="BP116:BP121" si="313">K116+BO116</f>
        <v>13</v>
      </c>
      <c r="BQ116" s="24">
        <f t="shared" si="233"/>
        <v>6.9250982579480453</v>
      </c>
      <c r="BR116" s="81">
        <f>$H$116*月別販売比率!BF5</f>
        <v>8.7372325249643374</v>
      </c>
      <c r="BS116" s="10">
        <f t="shared" si="311"/>
        <v>13</v>
      </c>
      <c r="BT116" s="21"/>
      <c r="BU116" s="19">
        <f t="shared" si="312"/>
        <v>13</v>
      </c>
      <c r="BV116" s="24">
        <f t="shared" si="236"/>
        <v>4.2627674750356626</v>
      </c>
      <c r="BW116" s="157">
        <f t="shared" si="293"/>
        <v>13</v>
      </c>
      <c r="BX116" s="51">
        <f t="shared" si="294"/>
        <v>-96.215406562054213</v>
      </c>
    </row>
    <row r="117" spans="2:76" ht="30.75" customHeight="1">
      <c r="C117" s="504"/>
      <c r="D117" s="441"/>
      <c r="E117" s="94" t="s">
        <v>49</v>
      </c>
      <c r="F117" s="57">
        <v>37</v>
      </c>
      <c r="G117" s="5">
        <f t="shared" si="295"/>
        <v>122100</v>
      </c>
      <c r="H117" s="7">
        <f t="shared" si="296"/>
        <v>45.920114122681888</v>
      </c>
      <c r="I117" s="5">
        <f t="shared" si="295"/>
        <v>151536.37660485023</v>
      </c>
      <c r="J117" s="9">
        <v>38</v>
      </c>
      <c r="K117" s="21">
        <f t="shared" si="237"/>
        <v>13</v>
      </c>
      <c r="L117" s="21">
        <v>9</v>
      </c>
      <c r="M117" s="21">
        <v>4</v>
      </c>
      <c r="N117" s="42"/>
      <c r="O117" s="81">
        <f>$H$117*月別販売比率!C5</f>
        <v>3.2540944984577695</v>
      </c>
      <c r="P117" s="10">
        <f t="shared" si="107"/>
        <v>13</v>
      </c>
      <c r="Q117" s="21"/>
      <c r="R117" s="19">
        <f t="shared" si="297"/>
        <v>13</v>
      </c>
      <c r="S117" s="24">
        <f t="shared" si="209"/>
        <v>9.7459055015422305</v>
      </c>
      <c r="T117" s="81">
        <f>$H$117*月別販売比率!H5</f>
        <v>3.2144079885877326</v>
      </c>
      <c r="U117" s="10">
        <f t="shared" si="298"/>
        <v>13</v>
      </c>
      <c r="V117" s="21"/>
      <c r="W117" s="10">
        <f t="shared" si="287"/>
        <v>13</v>
      </c>
      <c r="X117" s="24">
        <f t="shared" si="212"/>
        <v>9.7855920114122679</v>
      </c>
      <c r="Y117" s="81">
        <f>$H$117*月別販売比率!M5</f>
        <v>4.640856138217436</v>
      </c>
      <c r="Z117" s="10">
        <f t="shared" si="299"/>
        <v>13</v>
      </c>
      <c r="AA117" s="21"/>
      <c r="AB117" s="97">
        <f t="shared" si="288"/>
        <v>13</v>
      </c>
      <c r="AC117" s="24">
        <f t="shared" si="214"/>
        <v>8.3591438617825631</v>
      </c>
      <c r="AD117" s="81">
        <f>$H$117*月別販売比率!R5</f>
        <v>3.673609129814551</v>
      </c>
      <c r="AE117" s="10">
        <f t="shared" si="300"/>
        <v>13</v>
      </c>
      <c r="AF117" s="21"/>
      <c r="AG117" s="10">
        <f t="shared" si="289"/>
        <v>13</v>
      </c>
      <c r="AH117" s="24">
        <f t="shared" si="216"/>
        <v>9.326390870185449</v>
      </c>
      <c r="AI117" s="81">
        <f>$H$117*月別販売比率!W5</f>
        <v>3.4975844898324064</v>
      </c>
      <c r="AJ117" s="10">
        <f t="shared" si="301"/>
        <v>13</v>
      </c>
      <c r="AK117" s="21"/>
      <c r="AL117" s="10">
        <f t="shared" si="290"/>
        <v>13</v>
      </c>
      <c r="AM117" s="24">
        <f t="shared" si="218"/>
        <v>9.5024155101675944</v>
      </c>
      <c r="AN117" s="81">
        <f>$H$117*月別販売比率!AB5</f>
        <v>5.5104136947218265</v>
      </c>
      <c r="AO117" s="10">
        <f t="shared" si="302"/>
        <v>13</v>
      </c>
      <c r="AP117" s="21"/>
      <c r="AQ117" s="10">
        <f t="shared" si="291"/>
        <v>13</v>
      </c>
      <c r="AR117" s="24">
        <f t="shared" si="220"/>
        <v>7.4895863052781735</v>
      </c>
      <c r="AS117" s="81">
        <f>$H$117*月別販売比率!AG5</f>
        <v>4.5920114122681888</v>
      </c>
      <c r="AT117" s="10">
        <f t="shared" si="303"/>
        <v>13</v>
      </c>
      <c r="AU117" s="21"/>
      <c r="AV117" s="10">
        <f t="shared" si="292"/>
        <v>13</v>
      </c>
      <c r="AW117" s="24">
        <f t="shared" si="222"/>
        <v>8.4079885877318112</v>
      </c>
      <c r="AX117" s="81">
        <f>$H$117*月別販売比率!AL5</f>
        <v>4.1328102710413699</v>
      </c>
      <c r="AY117" s="10">
        <f t="shared" si="304"/>
        <v>13</v>
      </c>
      <c r="AZ117" s="21"/>
      <c r="BA117" s="19">
        <f t="shared" si="305"/>
        <v>13</v>
      </c>
      <c r="BB117" s="24">
        <f t="shared" si="225"/>
        <v>8.8671897289586301</v>
      </c>
      <c r="BC117" s="81">
        <f>$H$117*月別販売比率!AQ5</f>
        <v>4.5920114122681888</v>
      </c>
      <c r="BD117" s="10">
        <f t="shared" si="306"/>
        <v>13</v>
      </c>
      <c r="BE117" s="21"/>
      <c r="BF117" s="19">
        <f t="shared" si="307"/>
        <v>13</v>
      </c>
      <c r="BG117" s="24">
        <f t="shared" si="228"/>
        <v>8.4079885877318112</v>
      </c>
      <c r="BH117" s="81">
        <f>$H$117*月別販売比率!AV5</f>
        <v>2.7962766723672483</v>
      </c>
      <c r="BI117" s="10">
        <f t="shared" si="308"/>
        <v>13</v>
      </c>
      <c r="BJ117" s="21"/>
      <c r="BK117" s="19">
        <f t="shared" si="309"/>
        <v>13</v>
      </c>
      <c r="BL117" s="24">
        <f t="shared" si="231"/>
        <v>10.203723327632751</v>
      </c>
      <c r="BM117" s="81">
        <f>$H$117*月別販売比率!BA5</f>
        <v>2.5542200506354811</v>
      </c>
      <c r="BN117" s="10">
        <f t="shared" si="310"/>
        <v>13</v>
      </c>
      <c r="BO117" s="21"/>
      <c r="BP117" s="19">
        <f t="shared" si="313"/>
        <v>13</v>
      </c>
      <c r="BQ117" s="24">
        <f t="shared" si="233"/>
        <v>10.445779949364519</v>
      </c>
      <c r="BR117" s="81">
        <f>$H$117*月別販売比率!BF5</f>
        <v>3.673609129814551</v>
      </c>
      <c r="BS117" s="10">
        <f t="shared" si="311"/>
        <v>13</v>
      </c>
      <c r="BT117" s="21"/>
      <c r="BU117" s="19">
        <f t="shared" si="312"/>
        <v>13</v>
      </c>
      <c r="BV117" s="24">
        <f t="shared" si="236"/>
        <v>9.326390870185449</v>
      </c>
      <c r="BW117" s="157">
        <f t="shared" si="293"/>
        <v>13</v>
      </c>
      <c r="BX117" s="51">
        <f t="shared" si="294"/>
        <v>-32.920114122681888</v>
      </c>
    </row>
    <row r="118" spans="2:76" ht="30.75" customHeight="1">
      <c r="C118" s="504"/>
      <c r="D118" s="443">
        <v>2</v>
      </c>
      <c r="E118" s="94" t="s">
        <v>46</v>
      </c>
      <c r="F118" s="57">
        <v>46</v>
      </c>
      <c r="G118" s="5">
        <f t="shared" si="295"/>
        <v>151800</v>
      </c>
      <c r="H118" s="7">
        <f t="shared" si="296"/>
        <v>57.089871611982886</v>
      </c>
      <c r="I118" s="5">
        <f t="shared" si="295"/>
        <v>188396.57631954353</v>
      </c>
      <c r="J118" s="9">
        <v>0</v>
      </c>
      <c r="K118" s="21">
        <f t="shared" si="237"/>
        <v>30</v>
      </c>
      <c r="L118" s="21"/>
      <c r="M118" s="21"/>
      <c r="N118" s="232">
        <v>30</v>
      </c>
      <c r="O118" s="81">
        <f>$H$118*月別販売比率!C5</f>
        <v>4.0456309980826317</v>
      </c>
      <c r="P118" s="10">
        <f t="shared" si="107"/>
        <v>30</v>
      </c>
      <c r="Q118" s="21"/>
      <c r="R118" s="19">
        <f t="shared" si="297"/>
        <v>30</v>
      </c>
      <c r="S118" s="24">
        <f t="shared" si="209"/>
        <v>25.954369001917367</v>
      </c>
      <c r="T118" s="81">
        <f>$H$118*月別販売比率!H5</f>
        <v>3.9962910128388023</v>
      </c>
      <c r="U118" s="10">
        <f t="shared" si="298"/>
        <v>30</v>
      </c>
      <c r="V118" s="21">
        <v>15</v>
      </c>
      <c r="W118" s="10">
        <f t="shared" si="287"/>
        <v>45</v>
      </c>
      <c r="X118" s="24">
        <f t="shared" si="212"/>
        <v>41.003708987161197</v>
      </c>
      <c r="Y118" s="81">
        <f>$H$118*月別販売比率!M5</f>
        <v>5.7697130367027585</v>
      </c>
      <c r="Z118" s="10">
        <f t="shared" si="299"/>
        <v>30</v>
      </c>
      <c r="AA118" s="21">
        <v>20</v>
      </c>
      <c r="AB118" s="97">
        <f t="shared" si="288"/>
        <v>50</v>
      </c>
      <c r="AC118" s="24">
        <f t="shared" si="214"/>
        <v>44.230286963297239</v>
      </c>
      <c r="AD118" s="81">
        <f>$H$118*月別販売比率!R5</f>
        <v>4.5671897289586312</v>
      </c>
      <c r="AE118" s="10">
        <f t="shared" si="300"/>
        <v>30</v>
      </c>
      <c r="AF118" s="21"/>
      <c r="AG118" s="10">
        <f t="shared" si="289"/>
        <v>30</v>
      </c>
      <c r="AH118" s="24">
        <f t="shared" si="216"/>
        <v>25.432810271041369</v>
      </c>
      <c r="AI118" s="81">
        <f>$H$118*月別販売比率!W5</f>
        <v>4.3483482846565051</v>
      </c>
      <c r="AJ118" s="10">
        <f t="shared" si="301"/>
        <v>30</v>
      </c>
      <c r="AK118" s="21"/>
      <c r="AL118" s="10">
        <f t="shared" si="290"/>
        <v>30</v>
      </c>
      <c r="AM118" s="24">
        <f t="shared" si="218"/>
        <v>25.651651715343494</v>
      </c>
      <c r="AN118" s="81">
        <f>$H$118*月別販売比率!AB5</f>
        <v>6.8507845934379459</v>
      </c>
      <c r="AO118" s="10">
        <f t="shared" si="302"/>
        <v>30</v>
      </c>
      <c r="AP118" s="21"/>
      <c r="AQ118" s="10">
        <f t="shared" si="291"/>
        <v>30</v>
      </c>
      <c r="AR118" s="24">
        <f t="shared" si="220"/>
        <v>23.149215406562053</v>
      </c>
      <c r="AS118" s="81">
        <f>$H$118*月別販売比率!AG5</f>
        <v>5.708987161198289</v>
      </c>
      <c r="AT118" s="10">
        <f t="shared" si="303"/>
        <v>30</v>
      </c>
      <c r="AU118" s="21"/>
      <c r="AV118" s="10">
        <f t="shared" si="292"/>
        <v>30</v>
      </c>
      <c r="AW118" s="24">
        <f t="shared" si="222"/>
        <v>24.291012838801713</v>
      </c>
      <c r="AX118" s="81">
        <f>$H$118*月別販売比率!AL5</f>
        <v>5.1380884450784592</v>
      </c>
      <c r="AY118" s="10">
        <f t="shared" si="304"/>
        <v>30</v>
      </c>
      <c r="AZ118" s="21"/>
      <c r="BA118" s="19">
        <f t="shared" si="305"/>
        <v>30</v>
      </c>
      <c r="BB118" s="24">
        <f t="shared" si="225"/>
        <v>24.861911554921541</v>
      </c>
      <c r="BC118" s="81">
        <f>$H$118*月別販売比率!AQ5</f>
        <v>5.708987161198289</v>
      </c>
      <c r="BD118" s="10">
        <f t="shared" si="306"/>
        <v>30</v>
      </c>
      <c r="BE118" s="21"/>
      <c r="BF118" s="19">
        <f t="shared" si="307"/>
        <v>30</v>
      </c>
      <c r="BG118" s="24">
        <f t="shared" si="228"/>
        <v>24.291012838801713</v>
      </c>
      <c r="BH118" s="81">
        <f>$H$118*月別販売比率!AV5</f>
        <v>3.4764520791592814</v>
      </c>
      <c r="BI118" s="10">
        <f t="shared" si="308"/>
        <v>30</v>
      </c>
      <c r="BJ118" s="21"/>
      <c r="BK118" s="19">
        <f t="shared" si="309"/>
        <v>30</v>
      </c>
      <c r="BL118" s="24">
        <f t="shared" si="231"/>
        <v>26.52354792084072</v>
      </c>
      <c r="BM118" s="81">
        <f>$H$118*月別販売比率!BA5</f>
        <v>3.1755168197089763</v>
      </c>
      <c r="BN118" s="10">
        <f t="shared" si="310"/>
        <v>30</v>
      </c>
      <c r="BO118" s="21"/>
      <c r="BP118" s="19">
        <f t="shared" si="313"/>
        <v>30</v>
      </c>
      <c r="BQ118" s="24">
        <f t="shared" si="233"/>
        <v>26.824483180291026</v>
      </c>
      <c r="BR118" s="81">
        <f>$H$118*月別販売比率!BF5</f>
        <v>4.5671897289586312</v>
      </c>
      <c r="BS118" s="10">
        <f t="shared" si="311"/>
        <v>30</v>
      </c>
      <c r="BT118" s="21"/>
      <c r="BU118" s="19">
        <f t="shared" si="312"/>
        <v>30</v>
      </c>
      <c r="BV118" s="24">
        <f t="shared" si="236"/>
        <v>25.432810271041369</v>
      </c>
      <c r="BW118" s="157">
        <f t="shared" si="293"/>
        <v>65</v>
      </c>
      <c r="BX118" s="51">
        <f t="shared" si="294"/>
        <v>7.9101283880171138</v>
      </c>
    </row>
    <row r="119" spans="2:76" ht="30.75" customHeight="1">
      <c r="C119" s="504"/>
      <c r="D119" s="441"/>
      <c r="E119" s="94" t="s">
        <v>47</v>
      </c>
      <c r="F119" s="57">
        <v>125</v>
      </c>
      <c r="G119" s="5">
        <f t="shared" si="295"/>
        <v>412500</v>
      </c>
      <c r="H119" s="7">
        <f t="shared" si="296"/>
        <v>155.13552068473609</v>
      </c>
      <c r="I119" s="5">
        <f t="shared" si="295"/>
        <v>511947.21825962909</v>
      </c>
      <c r="J119" s="9">
        <v>0</v>
      </c>
      <c r="K119" s="21">
        <f t="shared" si="237"/>
        <v>30</v>
      </c>
      <c r="L119" s="21"/>
      <c r="M119" s="21"/>
      <c r="N119" s="232">
        <v>30</v>
      </c>
      <c r="O119" s="81">
        <f>$H$119*月別販売比率!C5</f>
        <v>10.99356249478976</v>
      </c>
      <c r="P119" s="10">
        <f t="shared" si="107"/>
        <v>30</v>
      </c>
      <c r="Q119" s="21"/>
      <c r="R119" s="19">
        <f t="shared" si="297"/>
        <v>30</v>
      </c>
      <c r="S119" s="24">
        <f t="shared" si="209"/>
        <v>19.00643750521024</v>
      </c>
      <c r="T119" s="81">
        <f>$H$119*月別販売比率!H5</f>
        <v>10.859486447931527</v>
      </c>
      <c r="U119" s="10">
        <f t="shared" si="298"/>
        <v>30</v>
      </c>
      <c r="V119" s="21">
        <v>20</v>
      </c>
      <c r="W119" s="10">
        <f t="shared" si="287"/>
        <v>50</v>
      </c>
      <c r="X119" s="24">
        <f t="shared" si="212"/>
        <v>39.140513552068469</v>
      </c>
      <c r="Y119" s="81">
        <f>$H$119*月別販売比率!M5</f>
        <v>15.678568034518364</v>
      </c>
      <c r="Z119" s="10">
        <f t="shared" si="299"/>
        <v>30</v>
      </c>
      <c r="AA119" s="21">
        <v>30</v>
      </c>
      <c r="AB119" s="97">
        <f t="shared" si="288"/>
        <v>60</v>
      </c>
      <c r="AC119" s="24">
        <f t="shared" si="214"/>
        <v>44.321431965481636</v>
      </c>
      <c r="AD119" s="81">
        <f>$H$119*月別販売比率!R5</f>
        <v>12.410841654778888</v>
      </c>
      <c r="AE119" s="10">
        <f t="shared" si="300"/>
        <v>30</v>
      </c>
      <c r="AF119" s="21"/>
      <c r="AG119" s="10">
        <f t="shared" si="289"/>
        <v>30</v>
      </c>
      <c r="AH119" s="24">
        <f t="shared" si="216"/>
        <v>17.589158345221112</v>
      </c>
      <c r="AI119" s="81">
        <f>$H$119*月別販売比率!W5</f>
        <v>11.816163817001373</v>
      </c>
      <c r="AJ119" s="10">
        <f t="shared" si="301"/>
        <v>30</v>
      </c>
      <c r="AK119" s="21"/>
      <c r="AL119" s="10">
        <f t="shared" si="290"/>
        <v>30</v>
      </c>
      <c r="AM119" s="24">
        <f t="shared" si="218"/>
        <v>18.183836182998625</v>
      </c>
      <c r="AN119" s="81">
        <f>$H$119*月別販売比率!AB5</f>
        <v>18.616262482168331</v>
      </c>
      <c r="AO119" s="10">
        <f t="shared" si="302"/>
        <v>30</v>
      </c>
      <c r="AP119" s="21"/>
      <c r="AQ119" s="10">
        <f t="shared" si="291"/>
        <v>30</v>
      </c>
      <c r="AR119" s="24">
        <f t="shared" si="220"/>
        <v>11.383737517831669</v>
      </c>
      <c r="AS119" s="81">
        <f>$H$119*月別販売比率!AG5</f>
        <v>15.51355206847361</v>
      </c>
      <c r="AT119" s="10">
        <f t="shared" si="303"/>
        <v>30</v>
      </c>
      <c r="AU119" s="21"/>
      <c r="AV119" s="10">
        <f t="shared" si="292"/>
        <v>30</v>
      </c>
      <c r="AW119" s="24">
        <f t="shared" si="222"/>
        <v>14.48644793152639</v>
      </c>
      <c r="AX119" s="81">
        <f>$H$119*月別販売比率!AL5</f>
        <v>13.962196861626248</v>
      </c>
      <c r="AY119" s="10">
        <f t="shared" si="304"/>
        <v>30</v>
      </c>
      <c r="AZ119" s="21"/>
      <c r="BA119" s="19">
        <f t="shared" si="305"/>
        <v>30</v>
      </c>
      <c r="BB119" s="24">
        <f t="shared" si="225"/>
        <v>16.037803138373754</v>
      </c>
      <c r="BC119" s="81">
        <f>$H$119*月別販売比率!AQ5</f>
        <v>15.51355206847361</v>
      </c>
      <c r="BD119" s="10">
        <f t="shared" si="306"/>
        <v>30</v>
      </c>
      <c r="BE119" s="21"/>
      <c r="BF119" s="19">
        <f t="shared" si="307"/>
        <v>30</v>
      </c>
      <c r="BG119" s="24">
        <f t="shared" si="228"/>
        <v>14.48644793152639</v>
      </c>
      <c r="BH119" s="81">
        <f>$H$119*月別販売比率!AV5</f>
        <v>9.4468806498893514</v>
      </c>
      <c r="BI119" s="10">
        <f t="shared" si="308"/>
        <v>30</v>
      </c>
      <c r="BJ119" s="21"/>
      <c r="BK119" s="19">
        <f t="shared" si="309"/>
        <v>30</v>
      </c>
      <c r="BL119" s="24">
        <f t="shared" si="231"/>
        <v>20.553119350110649</v>
      </c>
      <c r="BM119" s="81">
        <f>$H$119*月別販売比率!BA5</f>
        <v>8.6291217926874353</v>
      </c>
      <c r="BN119" s="10">
        <f t="shared" si="310"/>
        <v>30</v>
      </c>
      <c r="BO119" s="21"/>
      <c r="BP119" s="19">
        <f t="shared" si="313"/>
        <v>30</v>
      </c>
      <c r="BQ119" s="24">
        <f t="shared" si="233"/>
        <v>21.370878207312565</v>
      </c>
      <c r="BR119" s="81">
        <f>$H$119*月別販売比率!BF5</f>
        <v>12.410841654778888</v>
      </c>
      <c r="BS119" s="10">
        <f t="shared" si="311"/>
        <v>30</v>
      </c>
      <c r="BT119" s="21"/>
      <c r="BU119" s="19">
        <f t="shared" si="312"/>
        <v>30</v>
      </c>
      <c r="BV119" s="24">
        <f t="shared" si="236"/>
        <v>17.589158345221112</v>
      </c>
      <c r="BW119" s="157">
        <f t="shared" si="293"/>
        <v>80</v>
      </c>
      <c r="BX119" s="51">
        <f t="shared" si="294"/>
        <v>-75.135520684736093</v>
      </c>
    </row>
    <row r="120" spans="2:76" ht="30.75" customHeight="1">
      <c r="C120" s="504"/>
      <c r="D120" s="441"/>
      <c r="E120" s="94" t="s">
        <v>51</v>
      </c>
      <c r="F120" s="57">
        <v>93</v>
      </c>
      <c r="G120" s="5">
        <f t="shared" si="295"/>
        <v>306900</v>
      </c>
      <c r="H120" s="7">
        <f t="shared" si="296"/>
        <v>115.42082738944366</v>
      </c>
      <c r="I120" s="5">
        <f t="shared" si="295"/>
        <v>380888.73038516409</v>
      </c>
      <c r="J120" s="9">
        <v>0</v>
      </c>
      <c r="K120" s="21">
        <f t="shared" si="237"/>
        <v>32</v>
      </c>
      <c r="L120" s="21"/>
      <c r="M120" s="21">
        <v>2</v>
      </c>
      <c r="N120" s="232">
        <v>30</v>
      </c>
      <c r="O120" s="81">
        <f>$H$120*月別販売比率!C5</f>
        <v>8.1792104961235825</v>
      </c>
      <c r="P120" s="10">
        <f t="shared" si="107"/>
        <v>32</v>
      </c>
      <c r="Q120" s="21"/>
      <c r="R120" s="19">
        <f t="shared" si="297"/>
        <v>32</v>
      </c>
      <c r="S120" s="24">
        <f t="shared" si="209"/>
        <v>23.820789503876419</v>
      </c>
      <c r="T120" s="81">
        <f>$H$120*月別販売比率!H5</f>
        <v>8.0794579172610561</v>
      </c>
      <c r="U120" s="10">
        <f t="shared" si="298"/>
        <v>32</v>
      </c>
      <c r="V120" s="21">
        <v>20</v>
      </c>
      <c r="W120" s="10">
        <f t="shared" si="287"/>
        <v>52</v>
      </c>
      <c r="X120" s="24">
        <f t="shared" si="212"/>
        <v>43.920542082738947</v>
      </c>
      <c r="Y120" s="81">
        <f>$H$120*月別販売比率!M5</f>
        <v>11.664854617681662</v>
      </c>
      <c r="Z120" s="10">
        <f t="shared" si="299"/>
        <v>32</v>
      </c>
      <c r="AA120" s="21">
        <v>30</v>
      </c>
      <c r="AB120" s="97">
        <f t="shared" si="288"/>
        <v>62</v>
      </c>
      <c r="AC120" s="24">
        <f t="shared" si="214"/>
        <v>50.335145382318338</v>
      </c>
      <c r="AD120" s="81">
        <f>$H$120*月別販売比率!R5</f>
        <v>9.2336661911554927</v>
      </c>
      <c r="AE120" s="10">
        <f t="shared" si="300"/>
        <v>32</v>
      </c>
      <c r="AF120" s="21"/>
      <c r="AG120" s="10">
        <f t="shared" si="289"/>
        <v>32</v>
      </c>
      <c r="AH120" s="24">
        <f t="shared" si="216"/>
        <v>22.766333808844507</v>
      </c>
      <c r="AI120" s="81">
        <f>$H$120*月別販売比率!W5</f>
        <v>8.791225879849021</v>
      </c>
      <c r="AJ120" s="10">
        <f t="shared" si="301"/>
        <v>32</v>
      </c>
      <c r="AK120" s="21"/>
      <c r="AL120" s="10">
        <f t="shared" si="290"/>
        <v>32</v>
      </c>
      <c r="AM120" s="24">
        <f t="shared" si="218"/>
        <v>23.208774120150977</v>
      </c>
      <c r="AN120" s="81">
        <f>$H$120*月別販売比率!AB5</f>
        <v>13.850499286733239</v>
      </c>
      <c r="AO120" s="10">
        <f t="shared" si="302"/>
        <v>32</v>
      </c>
      <c r="AP120" s="21"/>
      <c r="AQ120" s="10">
        <f t="shared" si="291"/>
        <v>32</v>
      </c>
      <c r="AR120" s="24">
        <f t="shared" si="220"/>
        <v>18.149500713266761</v>
      </c>
      <c r="AS120" s="81">
        <f>$H$120*月別販売比率!AG5</f>
        <v>11.542082738944366</v>
      </c>
      <c r="AT120" s="10">
        <f t="shared" si="303"/>
        <v>32</v>
      </c>
      <c r="AU120" s="21"/>
      <c r="AV120" s="10">
        <f t="shared" si="292"/>
        <v>32</v>
      </c>
      <c r="AW120" s="24">
        <f t="shared" si="222"/>
        <v>20.457917261055634</v>
      </c>
      <c r="AX120" s="81">
        <f>$H$120*月別販売比率!AL5</f>
        <v>10.387874465049929</v>
      </c>
      <c r="AY120" s="10">
        <f t="shared" si="304"/>
        <v>32</v>
      </c>
      <c r="AZ120" s="21"/>
      <c r="BA120" s="19">
        <f t="shared" si="305"/>
        <v>32</v>
      </c>
      <c r="BB120" s="24">
        <f t="shared" si="225"/>
        <v>21.612125534950071</v>
      </c>
      <c r="BC120" s="81">
        <f>$H$120*月別販売比率!AQ5</f>
        <v>11.542082738944366</v>
      </c>
      <c r="BD120" s="10">
        <f t="shared" si="306"/>
        <v>32</v>
      </c>
      <c r="BE120" s="21"/>
      <c r="BF120" s="19">
        <f t="shared" si="307"/>
        <v>32</v>
      </c>
      <c r="BG120" s="24">
        <f t="shared" si="228"/>
        <v>20.457917261055634</v>
      </c>
      <c r="BH120" s="81">
        <f>$H$120*月別販売比率!AV5</f>
        <v>7.0284792035176773</v>
      </c>
      <c r="BI120" s="10">
        <f t="shared" si="308"/>
        <v>32</v>
      </c>
      <c r="BJ120" s="21"/>
      <c r="BK120" s="19">
        <f t="shared" si="309"/>
        <v>32</v>
      </c>
      <c r="BL120" s="24">
        <f t="shared" si="231"/>
        <v>24.971520796482324</v>
      </c>
      <c r="BM120" s="81">
        <f>$H$120*月別販売比率!BA5</f>
        <v>6.4200666137594524</v>
      </c>
      <c r="BN120" s="10">
        <f t="shared" si="310"/>
        <v>32</v>
      </c>
      <c r="BO120" s="21"/>
      <c r="BP120" s="19">
        <f t="shared" si="313"/>
        <v>32</v>
      </c>
      <c r="BQ120" s="24">
        <f t="shared" si="233"/>
        <v>25.579933386240548</v>
      </c>
      <c r="BR120" s="81">
        <f>$H$120*月別販売比率!BF5</f>
        <v>9.2336661911554927</v>
      </c>
      <c r="BS120" s="10">
        <f t="shared" si="311"/>
        <v>32</v>
      </c>
      <c r="BT120" s="21"/>
      <c r="BU120" s="19">
        <f t="shared" si="312"/>
        <v>32</v>
      </c>
      <c r="BV120" s="24">
        <f t="shared" si="236"/>
        <v>22.766333808844507</v>
      </c>
      <c r="BW120" s="157">
        <f t="shared" si="293"/>
        <v>82</v>
      </c>
      <c r="BX120" s="51">
        <f t="shared" si="294"/>
        <v>-33.420827389443659</v>
      </c>
    </row>
    <row r="121" spans="2:76" ht="30.75" customHeight="1">
      <c r="C121" s="505"/>
      <c r="D121" s="444"/>
      <c r="E121" s="101" t="s">
        <v>49</v>
      </c>
      <c r="F121" s="58">
        <v>23</v>
      </c>
      <c r="G121" s="35">
        <f t="shared" si="295"/>
        <v>75900</v>
      </c>
      <c r="H121" s="181">
        <f t="shared" si="296"/>
        <v>28.544935805991443</v>
      </c>
      <c r="I121" s="35">
        <f t="shared" si="295"/>
        <v>94198.288159771764</v>
      </c>
      <c r="J121" s="113">
        <v>0</v>
      </c>
      <c r="K121" s="104">
        <f t="shared" si="237"/>
        <v>20</v>
      </c>
      <c r="L121" s="104"/>
      <c r="M121" s="104"/>
      <c r="N121" s="233">
        <v>20</v>
      </c>
      <c r="O121" s="81">
        <f>$H$121*月別販売比率!C5</f>
        <v>2.0228154990413159</v>
      </c>
      <c r="P121" s="106">
        <f t="shared" si="107"/>
        <v>20</v>
      </c>
      <c r="Q121" s="107"/>
      <c r="R121" s="2">
        <f t="shared" si="297"/>
        <v>20</v>
      </c>
      <c r="S121" s="195">
        <f t="shared" si="209"/>
        <v>17.977184500958685</v>
      </c>
      <c r="T121" s="81">
        <f>$H$121*月別販売比率!H5</f>
        <v>1.9981455064194011</v>
      </c>
      <c r="U121" s="106">
        <f t="shared" si="298"/>
        <v>20</v>
      </c>
      <c r="V121" s="107">
        <v>15</v>
      </c>
      <c r="W121" s="106">
        <f t="shared" si="287"/>
        <v>35</v>
      </c>
      <c r="X121" s="195">
        <f t="shared" si="212"/>
        <v>33.001854493580602</v>
      </c>
      <c r="Y121" s="81">
        <f>$H$121*月別販売比率!M5</f>
        <v>2.8848565183513792</v>
      </c>
      <c r="Z121" s="106">
        <f t="shared" si="299"/>
        <v>20</v>
      </c>
      <c r="AA121" s="107">
        <v>20</v>
      </c>
      <c r="AB121" s="196">
        <f t="shared" si="288"/>
        <v>40</v>
      </c>
      <c r="AC121" s="195">
        <f t="shared" si="214"/>
        <v>37.115143481648623</v>
      </c>
      <c r="AD121" s="81">
        <f>$H$121*月別販売比率!R5</f>
        <v>2.2835948644793156</v>
      </c>
      <c r="AE121" s="106">
        <f t="shared" si="300"/>
        <v>20</v>
      </c>
      <c r="AF121" s="107"/>
      <c r="AG121" s="106">
        <f t="shared" si="289"/>
        <v>20</v>
      </c>
      <c r="AH121" s="195">
        <f t="shared" si="216"/>
        <v>17.716405135520684</v>
      </c>
      <c r="AI121" s="81">
        <f>$H$121*月別販売比率!W5</f>
        <v>2.1741741423282526</v>
      </c>
      <c r="AJ121" s="106">
        <f t="shared" si="301"/>
        <v>20</v>
      </c>
      <c r="AK121" s="107"/>
      <c r="AL121" s="106">
        <f t="shared" si="290"/>
        <v>20</v>
      </c>
      <c r="AM121" s="195">
        <f t="shared" si="218"/>
        <v>17.825825857671749</v>
      </c>
      <c r="AN121" s="81">
        <f>$H$121*月別販売比率!AB5</f>
        <v>3.4253922967189729</v>
      </c>
      <c r="AO121" s="106">
        <f t="shared" si="302"/>
        <v>20</v>
      </c>
      <c r="AP121" s="107"/>
      <c r="AQ121" s="106">
        <f t="shared" si="291"/>
        <v>20</v>
      </c>
      <c r="AR121" s="195">
        <f t="shared" si="220"/>
        <v>16.574607703281028</v>
      </c>
      <c r="AS121" s="81">
        <f>$H$121*月別販売比率!AG5</f>
        <v>2.8544935805991445</v>
      </c>
      <c r="AT121" s="106">
        <f t="shared" si="303"/>
        <v>20</v>
      </c>
      <c r="AU121" s="107"/>
      <c r="AV121" s="106">
        <f t="shared" si="292"/>
        <v>20</v>
      </c>
      <c r="AW121" s="195">
        <f t="shared" si="222"/>
        <v>17.145506419400856</v>
      </c>
      <c r="AX121" s="81">
        <f>$H$121*月別販売比率!AL5</f>
        <v>2.5690442225392296</v>
      </c>
      <c r="AY121" s="106">
        <f t="shared" si="304"/>
        <v>20</v>
      </c>
      <c r="AZ121" s="107"/>
      <c r="BA121" s="2">
        <f t="shared" si="305"/>
        <v>20</v>
      </c>
      <c r="BB121" s="195">
        <f t="shared" si="225"/>
        <v>17.43095577746077</v>
      </c>
      <c r="BC121" s="81">
        <f>$H$121*月別販売比率!AQ5</f>
        <v>2.8544935805991445</v>
      </c>
      <c r="BD121" s="106">
        <f t="shared" si="306"/>
        <v>20</v>
      </c>
      <c r="BE121" s="107"/>
      <c r="BF121" s="2">
        <f t="shared" si="307"/>
        <v>20</v>
      </c>
      <c r="BG121" s="195">
        <f t="shared" si="228"/>
        <v>17.145506419400856</v>
      </c>
      <c r="BH121" s="81">
        <f>$H$121*月別販売比率!AV5</f>
        <v>1.7382260395796407</v>
      </c>
      <c r="BI121" s="106">
        <f t="shared" si="308"/>
        <v>20</v>
      </c>
      <c r="BJ121" s="107"/>
      <c r="BK121" s="2">
        <f t="shared" si="309"/>
        <v>20</v>
      </c>
      <c r="BL121" s="195">
        <f t="shared" si="231"/>
        <v>18.26177396042036</v>
      </c>
      <c r="BM121" s="81">
        <f>$H$121*月別販売比率!BA5</f>
        <v>1.5877584098544881</v>
      </c>
      <c r="BN121" s="106">
        <f t="shared" si="310"/>
        <v>20</v>
      </c>
      <c r="BO121" s="107"/>
      <c r="BP121" s="2">
        <f t="shared" si="313"/>
        <v>20</v>
      </c>
      <c r="BQ121" s="195">
        <f t="shared" si="233"/>
        <v>18.412241590145513</v>
      </c>
      <c r="BR121" s="81">
        <f>$H$121*月別販売比率!BF5</f>
        <v>2.2835948644793156</v>
      </c>
      <c r="BS121" s="110">
        <f t="shared" si="311"/>
        <v>20</v>
      </c>
      <c r="BT121" s="104"/>
      <c r="BU121" s="115">
        <f t="shared" si="312"/>
        <v>20</v>
      </c>
      <c r="BV121" s="92">
        <f t="shared" si="236"/>
        <v>17.716405135520684</v>
      </c>
      <c r="BW121" s="161">
        <f t="shared" si="293"/>
        <v>55</v>
      </c>
      <c r="BX121" s="128">
        <f t="shared" si="294"/>
        <v>26.455064194008557</v>
      </c>
    </row>
    <row r="122" spans="2:76" ht="30.75" customHeight="1">
      <c r="B122" s="2">
        <v>9</v>
      </c>
      <c r="C122" s="435" t="s">
        <v>15</v>
      </c>
      <c r="D122" s="436"/>
      <c r="E122" s="445"/>
      <c r="F122" s="130">
        <v>515</v>
      </c>
      <c r="G122" s="131">
        <v>1965822.3275624998</v>
      </c>
      <c r="H122" s="132">
        <v>700</v>
      </c>
      <c r="I122" s="131">
        <f t="shared" si="42"/>
        <v>2671991.5131917475</v>
      </c>
      <c r="J122" s="155">
        <f>SUM(J124:J131)</f>
        <v>0</v>
      </c>
      <c r="K122" s="134">
        <f t="shared" ref="K122:N122" si="314">SUM(K124:K131)</f>
        <v>13</v>
      </c>
      <c r="L122" s="134">
        <f t="shared" si="314"/>
        <v>6</v>
      </c>
      <c r="M122" s="134">
        <f t="shared" si="314"/>
        <v>7</v>
      </c>
      <c r="N122" s="135">
        <f t="shared" si="314"/>
        <v>0</v>
      </c>
      <c r="O122" s="150">
        <f>H122/12</f>
        <v>58.333333333333336</v>
      </c>
      <c r="P122" s="151">
        <f t="shared" si="107"/>
        <v>13</v>
      </c>
      <c r="Q122" s="148">
        <f>SUM(Q124:Q131)</f>
        <v>0</v>
      </c>
      <c r="R122" s="152">
        <f t="shared" si="108"/>
        <v>13</v>
      </c>
      <c r="S122" s="153">
        <f t="shared" si="209"/>
        <v>-45.333333333333336</v>
      </c>
      <c r="T122" s="150">
        <f t="shared" si="109"/>
        <v>58.333333333333336</v>
      </c>
      <c r="U122" s="151">
        <f t="shared" si="110"/>
        <v>13</v>
      </c>
      <c r="V122" s="148">
        <f>SUM(V124:V131)</f>
        <v>600</v>
      </c>
      <c r="W122" s="152">
        <f t="shared" si="111"/>
        <v>613</v>
      </c>
      <c r="X122" s="153">
        <f t="shared" si="212"/>
        <v>554.66666666666663</v>
      </c>
      <c r="Y122" s="150">
        <f t="shared" si="112"/>
        <v>58.333333333333336</v>
      </c>
      <c r="Z122" s="151">
        <f t="shared" si="113"/>
        <v>13</v>
      </c>
      <c r="AA122" s="148">
        <f>SUM(AA124:AA131)</f>
        <v>0</v>
      </c>
      <c r="AB122" s="154">
        <f t="shared" si="114"/>
        <v>13</v>
      </c>
      <c r="AC122" s="153">
        <f t="shared" si="214"/>
        <v>-45.333333333333336</v>
      </c>
      <c r="AD122" s="150">
        <f t="shared" si="115"/>
        <v>58.333333333333336</v>
      </c>
      <c r="AE122" s="151">
        <f t="shared" si="116"/>
        <v>13</v>
      </c>
      <c r="AF122" s="148">
        <f>SUM(AF124:AF131)</f>
        <v>0</v>
      </c>
      <c r="AG122" s="152">
        <f t="shared" si="117"/>
        <v>13</v>
      </c>
      <c r="AH122" s="153">
        <f t="shared" si="216"/>
        <v>-45.333333333333336</v>
      </c>
      <c r="AI122" s="150">
        <f t="shared" si="118"/>
        <v>58.333333333333336</v>
      </c>
      <c r="AJ122" s="151">
        <f t="shared" si="119"/>
        <v>13</v>
      </c>
      <c r="AK122" s="148">
        <f>SUM(AK124:AK131)</f>
        <v>0</v>
      </c>
      <c r="AL122" s="152">
        <f t="shared" si="120"/>
        <v>13</v>
      </c>
      <c r="AM122" s="153">
        <f t="shared" si="218"/>
        <v>-45.333333333333336</v>
      </c>
      <c r="AN122" s="150">
        <f t="shared" si="121"/>
        <v>58.333333333333336</v>
      </c>
      <c r="AO122" s="151">
        <f t="shared" si="122"/>
        <v>13</v>
      </c>
      <c r="AP122" s="148">
        <f>SUM(AP124:AP131)</f>
        <v>0</v>
      </c>
      <c r="AQ122" s="152">
        <f t="shared" si="123"/>
        <v>13</v>
      </c>
      <c r="AR122" s="153">
        <f t="shared" si="220"/>
        <v>-45.333333333333336</v>
      </c>
      <c r="AS122" s="150">
        <f t="shared" si="124"/>
        <v>58.333333333333336</v>
      </c>
      <c r="AT122" s="151">
        <f t="shared" si="125"/>
        <v>13</v>
      </c>
      <c r="AU122" s="148">
        <f>SUM(AU124:AU131)</f>
        <v>0</v>
      </c>
      <c r="AV122" s="152">
        <f t="shared" si="126"/>
        <v>13</v>
      </c>
      <c r="AW122" s="153">
        <f t="shared" si="222"/>
        <v>-45.333333333333336</v>
      </c>
      <c r="AX122" s="150">
        <f t="shared" si="127"/>
        <v>58.333333333333336</v>
      </c>
      <c r="AY122" s="151">
        <f t="shared" si="128"/>
        <v>13</v>
      </c>
      <c r="AZ122" s="148">
        <f>SUM(AZ124:AZ131)</f>
        <v>0</v>
      </c>
      <c r="BA122" s="152">
        <f t="shared" si="129"/>
        <v>13</v>
      </c>
      <c r="BB122" s="153">
        <f t="shared" si="225"/>
        <v>-45.333333333333336</v>
      </c>
      <c r="BC122" s="150">
        <f t="shared" si="130"/>
        <v>58.333333333333336</v>
      </c>
      <c r="BD122" s="151">
        <f t="shared" si="131"/>
        <v>13</v>
      </c>
      <c r="BE122" s="148">
        <f>SUM(BE124:BE131)</f>
        <v>0</v>
      </c>
      <c r="BF122" s="152">
        <f t="shared" si="132"/>
        <v>13</v>
      </c>
      <c r="BG122" s="153">
        <f t="shared" si="228"/>
        <v>-45.333333333333336</v>
      </c>
      <c r="BH122" s="150">
        <f t="shared" si="133"/>
        <v>58.333333333333336</v>
      </c>
      <c r="BI122" s="151">
        <f t="shared" si="134"/>
        <v>13</v>
      </c>
      <c r="BJ122" s="148">
        <f>SUM(BJ124:BJ131)</f>
        <v>0</v>
      </c>
      <c r="BK122" s="152">
        <f t="shared" si="135"/>
        <v>13</v>
      </c>
      <c r="BL122" s="153">
        <f t="shared" si="231"/>
        <v>-45.333333333333336</v>
      </c>
      <c r="BM122" s="150">
        <f t="shared" si="136"/>
        <v>58.333333333333336</v>
      </c>
      <c r="BN122" s="151">
        <f t="shared" si="137"/>
        <v>13</v>
      </c>
      <c r="BO122" s="148">
        <f>SUM(BO124:BO131)</f>
        <v>0</v>
      </c>
      <c r="BP122" s="152">
        <f t="shared" si="138"/>
        <v>13</v>
      </c>
      <c r="BQ122" s="153">
        <f t="shared" si="233"/>
        <v>-45.333333333333336</v>
      </c>
      <c r="BR122" s="150">
        <f t="shared" si="139"/>
        <v>58.333333333333336</v>
      </c>
      <c r="BS122" s="137">
        <f t="shared" si="140"/>
        <v>13</v>
      </c>
      <c r="BT122" s="134">
        <f>SUM(BT124:BT131)</f>
        <v>0</v>
      </c>
      <c r="BU122" s="138">
        <f t="shared" si="141"/>
        <v>13</v>
      </c>
      <c r="BV122" s="139">
        <f t="shared" si="236"/>
        <v>-45.333333333333336</v>
      </c>
      <c r="BW122" s="143">
        <f>AF122+AA122+V122+Q122+AK122+AP122+AU122+AZ122+BE122+BJ122+BO122+BT122+K122</f>
        <v>613</v>
      </c>
      <c r="BX122" s="142">
        <f t="shared" si="49"/>
        <v>-87</v>
      </c>
    </row>
    <row r="123" spans="2:76" ht="30.75" customHeight="1">
      <c r="C123" s="167" t="s">
        <v>81</v>
      </c>
      <c r="D123" s="168"/>
      <c r="E123" s="169"/>
      <c r="F123" s="170">
        <f>SUM(F124:F131)</f>
        <v>558</v>
      </c>
      <c r="G123" s="171">
        <f>SUM(G124:G131)</f>
        <v>3560040</v>
      </c>
      <c r="H123" s="170">
        <f>SUM(H124:H131)</f>
        <v>758.44660194174764</v>
      </c>
      <c r="I123" s="171">
        <f>SUM(I124:I131)</f>
        <v>4838889.3203883497</v>
      </c>
      <c r="J123" s="172"/>
      <c r="K123" s="173"/>
      <c r="L123" s="173"/>
      <c r="M123" s="173"/>
      <c r="N123" s="174"/>
      <c r="O123" s="175">
        <f>SUM(O124:O131)</f>
        <v>53.746750457955692</v>
      </c>
      <c r="P123" s="176"/>
      <c r="Q123" s="173"/>
      <c r="R123" s="177"/>
      <c r="S123" s="178"/>
      <c r="T123" s="175">
        <f>SUM(T124:T131)</f>
        <v>53.091262135922349</v>
      </c>
      <c r="U123" s="176"/>
      <c r="V123" s="173"/>
      <c r="W123" s="177"/>
      <c r="X123" s="178"/>
      <c r="Y123" s="175">
        <f>SUM(Y124:Y131)</f>
        <v>76.651411595532537</v>
      </c>
      <c r="Z123" s="176"/>
      <c r="AA123" s="173"/>
      <c r="AB123" s="177"/>
      <c r="AC123" s="178"/>
      <c r="AD123" s="175">
        <f>SUM(AD124:AD131)</f>
        <v>60.675728155339812</v>
      </c>
      <c r="AE123" s="176"/>
      <c r="AF123" s="173"/>
      <c r="AG123" s="177"/>
      <c r="AH123" s="178"/>
      <c r="AI123" s="175">
        <f>SUM(AI124:AI131)</f>
        <v>57.76839021415352</v>
      </c>
      <c r="AJ123" s="176"/>
      <c r="AK123" s="173"/>
      <c r="AL123" s="177"/>
      <c r="AM123" s="178"/>
      <c r="AN123" s="175">
        <f>SUM(AN124:AN131)</f>
        <v>91.013592233009717</v>
      </c>
      <c r="AO123" s="176"/>
      <c r="AP123" s="173"/>
      <c r="AQ123" s="177"/>
      <c r="AR123" s="178"/>
      <c r="AS123" s="175">
        <f>SUM(AS124:AS131)</f>
        <v>75.844660194174764</v>
      </c>
      <c r="AT123" s="176"/>
      <c r="AU123" s="173"/>
      <c r="AV123" s="177"/>
      <c r="AW123" s="178"/>
      <c r="AX123" s="175">
        <f>SUM(AX124:AX131)</f>
        <v>68.260194174757274</v>
      </c>
      <c r="AY123" s="176"/>
      <c r="AZ123" s="173"/>
      <c r="BA123" s="177"/>
      <c r="BB123" s="178"/>
      <c r="BC123" s="175">
        <f>SUM(BC124:BC131)</f>
        <v>75.844660194174764</v>
      </c>
      <c r="BD123" s="176"/>
      <c r="BE123" s="173"/>
      <c r="BF123" s="177"/>
      <c r="BG123" s="178"/>
      <c r="BH123" s="175">
        <f>SUM(BH124:BH131)</f>
        <v>46.185132174973212</v>
      </c>
      <c r="BI123" s="176"/>
      <c r="BJ123" s="173"/>
      <c r="BK123" s="177"/>
      <c r="BL123" s="178"/>
      <c r="BM123" s="175">
        <f>SUM(BM124:BM131)</f>
        <v>42.187166888138776</v>
      </c>
      <c r="BN123" s="176"/>
      <c r="BO123" s="173"/>
      <c r="BP123" s="177"/>
      <c r="BQ123" s="178"/>
      <c r="BR123" s="175">
        <f>SUM(BR124:BR131)</f>
        <v>60.675728155339812</v>
      </c>
      <c r="BS123" s="176"/>
      <c r="BT123" s="173"/>
      <c r="BU123" s="177"/>
      <c r="BV123" s="178"/>
      <c r="BW123" s="179"/>
      <c r="BX123" s="180"/>
    </row>
    <row r="124" spans="2:76" ht="30.75" customHeight="1">
      <c r="C124" s="506"/>
      <c r="D124" s="443">
        <v>1</v>
      </c>
      <c r="E124" s="99" t="s">
        <v>46</v>
      </c>
      <c r="F124" s="56">
        <v>112</v>
      </c>
      <c r="G124" s="46">
        <f>F124*6380</f>
        <v>714560</v>
      </c>
      <c r="H124" s="7">
        <f>F124*($H$122/$F$122)</f>
        <v>152.23300970873788</v>
      </c>
      <c r="I124" s="46">
        <f>H124*6380</f>
        <v>971246.60194174771</v>
      </c>
      <c r="J124" s="49">
        <v>0</v>
      </c>
      <c r="K124" s="21">
        <f t="shared" si="237"/>
        <v>0</v>
      </c>
      <c r="L124" s="39"/>
      <c r="M124" s="39"/>
      <c r="N124" s="42"/>
      <c r="O124" s="81">
        <f>$H$124*月別販売比率!C5</f>
        <v>10.787878228120141</v>
      </c>
      <c r="P124" s="40">
        <f t="shared" ref="P124:P131" si="315">K124</f>
        <v>0</v>
      </c>
      <c r="Q124" s="39"/>
      <c r="R124" s="43">
        <f>Q124+K124</f>
        <v>0</v>
      </c>
      <c r="S124" s="91">
        <f t="shared" si="209"/>
        <v>-10.787878228120141</v>
      </c>
      <c r="T124" s="81">
        <f>$H$124*月別販売比率!H5</f>
        <v>10.656310679611654</v>
      </c>
      <c r="U124" s="40">
        <f>K124</f>
        <v>0</v>
      </c>
      <c r="V124" s="39">
        <v>90</v>
      </c>
      <c r="W124" s="40">
        <f t="shared" ref="W124:W131" si="316">K124+V124</f>
        <v>90</v>
      </c>
      <c r="X124" s="24">
        <f t="shared" si="212"/>
        <v>79.34368932038835</v>
      </c>
      <c r="Y124" s="81">
        <f>$H$124*月別販売比率!M5</f>
        <v>15.385229567562087</v>
      </c>
      <c r="Z124" s="40">
        <f>K124</f>
        <v>0</v>
      </c>
      <c r="AA124" s="39"/>
      <c r="AB124" s="96">
        <f t="shared" ref="AB124:AB131" si="317">K124+AA124</f>
        <v>0</v>
      </c>
      <c r="AC124" s="24">
        <f t="shared" si="214"/>
        <v>-15.385229567562087</v>
      </c>
      <c r="AD124" s="81">
        <f>$H$124*月別販売比率!R5</f>
        <v>12.17864077669903</v>
      </c>
      <c r="AE124" s="40">
        <f>K124</f>
        <v>0</v>
      </c>
      <c r="AF124" s="39"/>
      <c r="AG124" s="40">
        <f t="shared" ref="AG124:AG131" si="318">K124+AF124</f>
        <v>0</v>
      </c>
      <c r="AH124" s="24">
        <f t="shared" si="216"/>
        <v>-12.17864077669903</v>
      </c>
      <c r="AI124" s="81">
        <f>$H$124*月別販売比率!W5</f>
        <v>11.595089075242287</v>
      </c>
      <c r="AJ124" s="40">
        <f>K124</f>
        <v>0</v>
      </c>
      <c r="AK124" s="39"/>
      <c r="AL124" s="40">
        <f t="shared" ref="AL124:AL131" si="319">K124+AK124</f>
        <v>0</v>
      </c>
      <c r="AM124" s="24">
        <f t="shared" si="218"/>
        <v>-11.595089075242287</v>
      </c>
      <c r="AN124" s="81">
        <f>$H$124*月別販売比率!AB5</f>
        <v>18.267961165048543</v>
      </c>
      <c r="AO124" s="40">
        <f>K124</f>
        <v>0</v>
      </c>
      <c r="AP124" s="39"/>
      <c r="AQ124" s="40">
        <f t="shared" ref="AQ124:AQ131" si="320">K124+AP124</f>
        <v>0</v>
      </c>
      <c r="AR124" s="24">
        <f t="shared" si="220"/>
        <v>-18.267961165048543</v>
      </c>
      <c r="AS124" s="81">
        <f>$H$124*月別販売比率!AG5</f>
        <v>15.223300970873789</v>
      </c>
      <c r="AT124" s="40">
        <f>K124</f>
        <v>0</v>
      </c>
      <c r="AU124" s="39"/>
      <c r="AV124" s="40">
        <f t="shared" ref="AV124:AV131" si="321">K124+AU124</f>
        <v>0</v>
      </c>
      <c r="AW124" s="24">
        <f t="shared" si="222"/>
        <v>-15.223300970873789</v>
      </c>
      <c r="AX124" s="81">
        <f>$H$124*月別販売比率!AL5</f>
        <v>13.700970873786408</v>
      </c>
      <c r="AY124" s="40">
        <f>K124</f>
        <v>0</v>
      </c>
      <c r="AZ124" s="39"/>
      <c r="BA124" s="43">
        <f>K124+AZ124</f>
        <v>0</v>
      </c>
      <c r="BB124" s="24">
        <f t="shared" si="225"/>
        <v>-13.700970873786408</v>
      </c>
      <c r="BC124" s="81">
        <f>$H$124*月別販売比率!AQ5</f>
        <v>15.223300970873789</v>
      </c>
      <c r="BD124" s="40">
        <f>K124</f>
        <v>0</v>
      </c>
      <c r="BE124" s="39"/>
      <c r="BF124" s="43">
        <f>K124+BE124</f>
        <v>0</v>
      </c>
      <c r="BG124" s="24">
        <f t="shared" si="228"/>
        <v>-15.223300970873789</v>
      </c>
      <c r="BH124" s="81">
        <f>$H$124*月別販売比率!AV5</f>
        <v>9.270134056625448</v>
      </c>
      <c r="BI124" s="40">
        <f>K124</f>
        <v>0</v>
      </c>
      <c r="BJ124" s="39"/>
      <c r="BK124" s="43">
        <f>K124+BJ124</f>
        <v>0</v>
      </c>
      <c r="BL124" s="24">
        <f t="shared" si="231"/>
        <v>-9.270134056625448</v>
      </c>
      <c r="BM124" s="81">
        <f>$H$124*月別販売比率!BA5</f>
        <v>8.4676750743217628</v>
      </c>
      <c r="BN124" s="40">
        <f>K124</f>
        <v>0</v>
      </c>
      <c r="BO124" s="39"/>
      <c r="BP124" s="43">
        <f>K124+BO124</f>
        <v>0</v>
      </c>
      <c r="BQ124" s="24">
        <f t="shared" si="233"/>
        <v>-8.4676750743217628</v>
      </c>
      <c r="BR124" s="81">
        <f>$H$124*月別販売比率!BF5</f>
        <v>12.17864077669903</v>
      </c>
      <c r="BS124" s="40">
        <f>K124</f>
        <v>0</v>
      </c>
      <c r="BT124" s="39"/>
      <c r="BU124" s="43">
        <f>K124+BT124</f>
        <v>0</v>
      </c>
      <c r="BV124" s="24">
        <f t="shared" si="236"/>
        <v>-12.17864077669903</v>
      </c>
      <c r="BW124" s="157">
        <f t="shared" ref="BW124:BW131" si="322">AF124+AA124+V124+Q124+AK124+AP124+AU124+AZ124+BE124+BJ124+BO124+BT124+K124</f>
        <v>90</v>
      </c>
      <c r="BX124" s="51">
        <f t="shared" ref="BX124:BX131" si="323">BW124-H124</f>
        <v>-62.233009708737882</v>
      </c>
    </row>
    <row r="125" spans="2:76" ht="30.75" customHeight="1">
      <c r="C125" s="507"/>
      <c r="D125" s="441"/>
      <c r="E125" s="94" t="s">
        <v>47</v>
      </c>
      <c r="F125" s="57">
        <v>121</v>
      </c>
      <c r="G125" s="5">
        <f t="shared" ref="G125:I131" si="324">F125*6380</f>
        <v>771980</v>
      </c>
      <c r="H125" s="7">
        <f t="shared" ref="H125:H131" si="325">F125*($H$122/$F$122)</f>
        <v>164.46601941747574</v>
      </c>
      <c r="I125" s="5">
        <f t="shared" si="324"/>
        <v>1049293.2038834952</v>
      </c>
      <c r="J125" s="9">
        <v>0</v>
      </c>
      <c r="K125" s="21">
        <f t="shared" si="237"/>
        <v>0</v>
      </c>
      <c r="L125" s="21"/>
      <c r="M125" s="21"/>
      <c r="N125" s="42"/>
      <c r="O125" s="81">
        <f>$H$125*月別販売比率!C5</f>
        <v>11.654761300022651</v>
      </c>
      <c r="P125" s="10">
        <f t="shared" si="315"/>
        <v>0</v>
      </c>
      <c r="Q125" s="21"/>
      <c r="R125" s="19">
        <f t="shared" ref="R125:R131" si="326">Q125+K125</f>
        <v>0</v>
      </c>
      <c r="S125" s="24">
        <f t="shared" si="209"/>
        <v>-11.654761300022651</v>
      </c>
      <c r="T125" s="81">
        <f>$H$125*月別販売比率!H5</f>
        <v>11.512621359223303</v>
      </c>
      <c r="U125" s="10">
        <f t="shared" ref="U125:U131" si="327">K125</f>
        <v>0</v>
      </c>
      <c r="V125" s="21">
        <v>90</v>
      </c>
      <c r="W125" s="10">
        <f t="shared" si="316"/>
        <v>90</v>
      </c>
      <c r="X125" s="24">
        <f t="shared" si="212"/>
        <v>78.487378640776697</v>
      </c>
      <c r="Y125" s="81">
        <f>$H$125*月別販売比率!M5</f>
        <v>16.621542657812611</v>
      </c>
      <c r="Z125" s="10">
        <f t="shared" ref="Z125:Z131" si="328">K125</f>
        <v>0</v>
      </c>
      <c r="AA125" s="21"/>
      <c r="AB125" s="97">
        <f t="shared" si="317"/>
        <v>0</v>
      </c>
      <c r="AC125" s="24">
        <f t="shared" si="214"/>
        <v>-16.621542657812611</v>
      </c>
      <c r="AD125" s="81">
        <f>$H$125*月別販売比率!R5</f>
        <v>13.157281553398059</v>
      </c>
      <c r="AE125" s="10">
        <f t="shared" ref="AE125:AE131" si="329">K125</f>
        <v>0</v>
      </c>
      <c r="AF125" s="21"/>
      <c r="AG125" s="10">
        <f t="shared" si="318"/>
        <v>0</v>
      </c>
      <c r="AH125" s="24">
        <f t="shared" si="216"/>
        <v>-13.157281553398059</v>
      </c>
      <c r="AI125" s="81">
        <f>$H$125*月別販売比率!W5</f>
        <v>12.526837304502827</v>
      </c>
      <c r="AJ125" s="10">
        <f t="shared" ref="AJ125:AJ131" si="330">K125</f>
        <v>0</v>
      </c>
      <c r="AK125" s="21"/>
      <c r="AL125" s="10">
        <f t="shared" si="319"/>
        <v>0</v>
      </c>
      <c r="AM125" s="24">
        <f t="shared" si="218"/>
        <v>-12.526837304502827</v>
      </c>
      <c r="AN125" s="81">
        <f>$H$125*月別販売比率!AB5</f>
        <v>19.735922330097086</v>
      </c>
      <c r="AO125" s="10">
        <f t="shared" ref="AO125:AO131" si="331">K125</f>
        <v>0</v>
      </c>
      <c r="AP125" s="21"/>
      <c r="AQ125" s="10">
        <f t="shared" si="320"/>
        <v>0</v>
      </c>
      <c r="AR125" s="24">
        <f t="shared" si="220"/>
        <v>-19.735922330097086</v>
      </c>
      <c r="AS125" s="81">
        <f>$H$125*月別販売比率!AG5</f>
        <v>16.446601941747574</v>
      </c>
      <c r="AT125" s="10">
        <f t="shared" ref="AT125:AT131" si="332">K125</f>
        <v>0</v>
      </c>
      <c r="AU125" s="21"/>
      <c r="AV125" s="10">
        <f t="shared" si="321"/>
        <v>0</v>
      </c>
      <c r="AW125" s="24">
        <f t="shared" si="222"/>
        <v>-16.446601941747574</v>
      </c>
      <c r="AX125" s="81">
        <f>$H$125*月別販売比率!AL5</f>
        <v>14.801941747572815</v>
      </c>
      <c r="AY125" s="10">
        <f t="shared" ref="AY125:AY131" si="333">K125</f>
        <v>0</v>
      </c>
      <c r="AZ125" s="21"/>
      <c r="BA125" s="19">
        <f t="shared" ref="BA125:BA131" si="334">K125+AZ125</f>
        <v>0</v>
      </c>
      <c r="BB125" s="24">
        <f t="shared" si="225"/>
        <v>-14.801941747572815</v>
      </c>
      <c r="BC125" s="81">
        <f>$H$125*月別販売比率!AQ5</f>
        <v>16.446601941747574</v>
      </c>
      <c r="BD125" s="10">
        <f t="shared" ref="BD125:BD131" si="335">K125</f>
        <v>0</v>
      </c>
      <c r="BE125" s="21"/>
      <c r="BF125" s="19">
        <f t="shared" ref="BF125:BF131" si="336">K125+BE125</f>
        <v>0</v>
      </c>
      <c r="BG125" s="24">
        <f t="shared" si="228"/>
        <v>-16.446601941747574</v>
      </c>
      <c r="BH125" s="81">
        <f>$H$125*月別販売比率!AV5</f>
        <v>10.015055543318564</v>
      </c>
      <c r="BI125" s="10">
        <f t="shared" ref="BI125:BI131" si="337">K125</f>
        <v>0</v>
      </c>
      <c r="BJ125" s="21"/>
      <c r="BK125" s="19">
        <f t="shared" ref="BK125:BK131" si="338">K125+BJ125</f>
        <v>0</v>
      </c>
      <c r="BL125" s="24">
        <f t="shared" si="231"/>
        <v>-10.015055543318564</v>
      </c>
      <c r="BM125" s="81">
        <f>$H$125*月別販売比率!BA5</f>
        <v>9.1481132499369036</v>
      </c>
      <c r="BN125" s="10">
        <f t="shared" ref="BN125:BN131" si="339">K125</f>
        <v>0</v>
      </c>
      <c r="BO125" s="21"/>
      <c r="BP125" s="19">
        <f>K125+BO125</f>
        <v>0</v>
      </c>
      <c r="BQ125" s="24">
        <f t="shared" si="233"/>
        <v>-9.1481132499369036</v>
      </c>
      <c r="BR125" s="81">
        <f>$H$125*月別販売比率!BF5</f>
        <v>13.157281553398059</v>
      </c>
      <c r="BS125" s="10">
        <f t="shared" ref="BS125:BS131" si="340">K125</f>
        <v>0</v>
      </c>
      <c r="BT125" s="21"/>
      <c r="BU125" s="19">
        <f t="shared" ref="BU125:BU131" si="341">K125+BT125</f>
        <v>0</v>
      </c>
      <c r="BV125" s="24">
        <f t="shared" si="236"/>
        <v>-13.157281553398059</v>
      </c>
      <c r="BW125" s="158">
        <f t="shared" si="322"/>
        <v>90</v>
      </c>
      <c r="BX125" s="29">
        <f t="shared" si="323"/>
        <v>-74.466019417475735</v>
      </c>
    </row>
    <row r="126" spans="2:76" ht="30.75" customHeight="1">
      <c r="C126" s="507"/>
      <c r="D126" s="441"/>
      <c r="E126" s="94" t="s">
        <v>51</v>
      </c>
      <c r="F126" s="57">
        <v>87</v>
      </c>
      <c r="G126" s="5">
        <f t="shared" si="324"/>
        <v>555060</v>
      </c>
      <c r="H126" s="7">
        <f t="shared" si="325"/>
        <v>118.25242718446603</v>
      </c>
      <c r="I126" s="5">
        <f t="shared" si="324"/>
        <v>754450.4854368933</v>
      </c>
      <c r="J126" s="9">
        <v>0</v>
      </c>
      <c r="K126" s="21">
        <f t="shared" si="237"/>
        <v>13</v>
      </c>
      <c r="L126" s="21">
        <v>6</v>
      </c>
      <c r="M126" s="21">
        <v>7</v>
      </c>
      <c r="N126" s="42"/>
      <c r="O126" s="81">
        <f>$H$126*月別販売比率!C5</f>
        <v>8.379869695057609</v>
      </c>
      <c r="P126" s="10">
        <f t="shared" si="315"/>
        <v>13</v>
      </c>
      <c r="Q126" s="21"/>
      <c r="R126" s="19">
        <f t="shared" si="326"/>
        <v>13</v>
      </c>
      <c r="S126" s="24">
        <f t="shared" si="209"/>
        <v>4.620130304942391</v>
      </c>
      <c r="T126" s="81">
        <f>$H$126*月別販売比率!H5</f>
        <v>8.2776699029126224</v>
      </c>
      <c r="U126" s="10">
        <f t="shared" si="327"/>
        <v>13</v>
      </c>
      <c r="V126" s="21">
        <v>70</v>
      </c>
      <c r="W126" s="10">
        <f t="shared" si="316"/>
        <v>83</v>
      </c>
      <c r="X126" s="24">
        <f t="shared" si="212"/>
        <v>74.722330097087379</v>
      </c>
      <c r="Y126" s="81">
        <f>$H$126*月別販売比率!M5</f>
        <v>11.951026539088407</v>
      </c>
      <c r="Z126" s="10">
        <f t="shared" si="328"/>
        <v>13</v>
      </c>
      <c r="AA126" s="21"/>
      <c r="AB126" s="97">
        <f t="shared" si="317"/>
        <v>13</v>
      </c>
      <c r="AC126" s="24">
        <f t="shared" si="214"/>
        <v>1.0489734609115935</v>
      </c>
      <c r="AD126" s="81">
        <f>$H$126*月別販売比率!R5</f>
        <v>9.460194174757282</v>
      </c>
      <c r="AE126" s="10">
        <f t="shared" si="329"/>
        <v>13</v>
      </c>
      <c r="AF126" s="21"/>
      <c r="AG126" s="10">
        <f t="shared" si="318"/>
        <v>13</v>
      </c>
      <c r="AH126" s="24">
        <f t="shared" si="216"/>
        <v>3.539805825242718</v>
      </c>
      <c r="AI126" s="81">
        <f>$H$126*月別販売比率!W5</f>
        <v>9.0068995495185611</v>
      </c>
      <c r="AJ126" s="10">
        <f t="shared" si="330"/>
        <v>13</v>
      </c>
      <c r="AK126" s="21"/>
      <c r="AL126" s="10">
        <f t="shared" si="319"/>
        <v>13</v>
      </c>
      <c r="AM126" s="24">
        <f t="shared" si="218"/>
        <v>3.9931004504814389</v>
      </c>
      <c r="AN126" s="81">
        <f>$H$126*月別販売比率!AB5</f>
        <v>14.190291262135924</v>
      </c>
      <c r="AO126" s="10">
        <f t="shared" si="331"/>
        <v>13</v>
      </c>
      <c r="AP126" s="21"/>
      <c r="AQ126" s="10">
        <f t="shared" si="320"/>
        <v>13</v>
      </c>
      <c r="AR126" s="24">
        <f t="shared" si="220"/>
        <v>-1.1902912621359238</v>
      </c>
      <c r="AS126" s="81">
        <f>$H$126*月別販売比率!AG5</f>
        <v>11.825242718446603</v>
      </c>
      <c r="AT126" s="10">
        <f t="shared" si="332"/>
        <v>13</v>
      </c>
      <c r="AU126" s="21"/>
      <c r="AV126" s="10">
        <f t="shared" si="321"/>
        <v>13</v>
      </c>
      <c r="AW126" s="24">
        <f t="shared" si="222"/>
        <v>1.1747572815533971</v>
      </c>
      <c r="AX126" s="81">
        <f>$H$126*月別販売比率!AL5</f>
        <v>10.642718446601942</v>
      </c>
      <c r="AY126" s="10">
        <f t="shared" si="333"/>
        <v>13</v>
      </c>
      <c r="AZ126" s="21"/>
      <c r="BA126" s="19">
        <f t="shared" si="334"/>
        <v>13</v>
      </c>
      <c r="BB126" s="24">
        <f t="shared" si="225"/>
        <v>2.3572815533980584</v>
      </c>
      <c r="BC126" s="81">
        <f>$H$126*月別販売比率!AQ5</f>
        <v>11.825242718446603</v>
      </c>
      <c r="BD126" s="10">
        <f t="shared" si="335"/>
        <v>13</v>
      </c>
      <c r="BE126" s="21"/>
      <c r="BF126" s="19">
        <f t="shared" si="336"/>
        <v>13</v>
      </c>
      <c r="BG126" s="24">
        <f t="shared" si="228"/>
        <v>1.1747572815533971</v>
      </c>
      <c r="BH126" s="81">
        <f>$H$126*月別販売比率!AV5</f>
        <v>7.200907704700124</v>
      </c>
      <c r="BI126" s="10">
        <f t="shared" si="337"/>
        <v>13</v>
      </c>
      <c r="BJ126" s="21"/>
      <c r="BK126" s="19">
        <f t="shared" si="338"/>
        <v>13</v>
      </c>
      <c r="BL126" s="24">
        <f t="shared" si="231"/>
        <v>5.799092295299876</v>
      </c>
      <c r="BM126" s="81">
        <f>$H$126*月別販売比率!BA5</f>
        <v>6.5775690309463686</v>
      </c>
      <c r="BN126" s="10">
        <f t="shared" si="339"/>
        <v>13</v>
      </c>
      <c r="BO126" s="21"/>
      <c r="BP126" s="19">
        <f t="shared" ref="BP126:BP131" si="342">K126+BO126</f>
        <v>13</v>
      </c>
      <c r="BQ126" s="24">
        <f t="shared" si="233"/>
        <v>6.4224309690536314</v>
      </c>
      <c r="BR126" s="81">
        <f>$H$126*月別販売比率!BF5</f>
        <v>9.460194174757282</v>
      </c>
      <c r="BS126" s="10">
        <f t="shared" si="340"/>
        <v>13</v>
      </c>
      <c r="BT126" s="21"/>
      <c r="BU126" s="19">
        <f t="shared" si="341"/>
        <v>13</v>
      </c>
      <c r="BV126" s="24">
        <f t="shared" si="236"/>
        <v>3.539805825242718</v>
      </c>
      <c r="BW126" s="158">
        <f t="shared" si="322"/>
        <v>83</v>
      </c>
      <c r="BX126" s="29">
        <f t="shared" si="323"/>
        <v>-35.252427184466029</v>
      </c>
    </row>
    <row r="127" spans="2:76" ht="30.75" customHeight="1">
      <c r="C127" s="507"/>
      <c r="D127" s="441"/>
      <c r="E127" s="94" t="s">
        <v>49</v>
      </c>
      <c r="F127" s="57">
        <v>30</v>
      </c>
      <c r="G127" s="5">
        <f t="shared" si="324"/>
        <v>191400</v>
      </c>
      <c r="H127" s="7">
        <f t="shared" si="325"/>
        <v>40.776699029126213</v>
      </c>
      <c r="I127" s="5">
        <f t="shared" si="324"/>
        <v>260155.33980582524</v>
      </c>
      <c r="J127" s="9">
        <v>0</v>
      </c>
      <c r="K127" s="21">
        <f t="shared" si="237"/>
        <v>0</v>
      </c>
      <c r="L127" s="21"/>
      <c r="M127" s="21"/>
      <c r="N127" s="42"/>
      <c r="O127" s="81">
        <f>$H$127*月別販売比率!C5</f>
        <v>2.8896102396750374</v>
      </c>
      <c r="P127" s="10">
        <f t="shared" si="315"/>
        <v>0</v>
      </c>
      <c r="Q127" s="21"/>
      <c r="R127" s="19">
        <f t="shared" si="326"/>
        <v>0</v>
      </c>
      <c r="S127" s="24">
        <f t="shared" si="209"/>
        <v>-2.8896102396750374</v>
      </c>
      <c r="T127" s="81">
        <f>$H$127*月別販売比率!H5</f>
        <v>2.854368932038835</v>
      </c>
      <c r="U127" s="10">
        <f t="shared" si="327"/>
        <v>0</v>
      </c>
      <c r="V127" s="21">
        <v>50</v>
      </c>
      <c r="W127" s="10">
        <f t="shared" si="316"/>
        <v>50</v>
      </c>
      <c r="X127" s="24">
        <f t="shared" si="212"/>
        <v>47.145631067961162</v>
      </c>
      <c r="Y127" s="81">
        <f>$H$127*月別販売比率!M5</f>
        <v>4.1210436341684158</v>
      </c>
      <c r="Z127" s="10">
        <f t="shared" si="328"/>
        <v>0</v>
      </c>
      <c r="AA127" s="21"/>
      <c r="AB127" s="97">
        <f t="shared" si="317"/>
        <v>0</v>
      </c>
      <c r="AC127" s="24">
        <f t="shared" si="214"/>
        <v>-4.1210436341684158</v>
      </c>
      <c r="AD127" s="81">
        <f>$H$127*月別販売比率!R5</f>
        <v>3.262135922330097</v>
      </c>
      <c r="AE127" s="10">
        <f t="shared" si="329"/>
        <v>0</v>
      </c>
      <c r="AF127" s="21"/>
      <c r="AG127" s="10">
        <f t="shared" si="318"/>
        <v>0</v>
      </c>
      <c r="AH127" s="24">
        <f t="shared" si="216"/>
        <v>-3.262135922330097</v>
      </c>
      <c r="AI127" s="81">
        <f>$H$127*月別販売比率!W5</f>
        <v>3.105827430868469</v>
      </c>
      <c r="AJ127" s="10">
        <f t="shared" si="330"/>
        <v>0</v>
      </c>
      <c r="AK127" s="21"/>
      <c r="AL127" s="10">
        <f t="shared" si="319"/>
        <v>0</v>
      </c>
      <c r="AM127" s="24">
        <f t="shared" si="218"/>
        <v>-3.105827430868469</v>
      </c>
      <c r="AN127" s="81">
        <f>$H$127*月別販売比率!AB5</f>
        <v>4.8932038834951452</v>
      </c>
      <c r="AO127" s="10">
        <f t="shared" si="331"/>
        <v>0</v>
      </c>
      <c r="AP127" s="21"/>
      <c r="AQ127" s="10">
        <f t="shared" si="320"/>
        <v>0</v>
      </c>
      <c r="AR127" s="24">
        <f t="shared" si="220"/>
        <v>-4.8932038834951452</v>
      </c>
      <c r="AS127" s="81">
        <f>$H$127*月別販売比率!AG5</f>
        <v>4.0776699029126213</v>
      </c>
      <c r="AT127" s="10">
        <f t="shared" si="332"/>
        <v>0</v>
      </c>
      <c r="AU127" s="21"/>
      <c r="AV127" s="10">
        <f t="shared" si="321"/>
        <v>0</v>
      </c>
      <c r="AW127" s="24">
        <f t="shared" si="222"/>
        <v>-4.0776699029126213</v>
      </c>
      <c r="AX127" s="81">
        <f>$H$127*月別販売比率!AL5</f>
        <v>3.6699029126213589</v>
      </c>
      <c r="AY127" s="10">
        <f t="shared" si="333"/>
        <v>0</v>
      </c>
      <c r="AZ127" s="21"/>
      <c r="BA127" s="19">
        <f t="shared" si="334"/>
        <v>0</v>
      </c>
      <c r="BB127" s="24">
        <f t="shared" si="225"/>
        <v>-3.6699029126213589</v>
      </c>
      <c r="BC127" s="81">
        <f>$H$127*月別販売比率!AQ5</f>
        <v>4.0776699029126213</v>
      </c>
      <c r="BD127" s="10">
        <f t="shared" si="335"/>
        <v>0</v>
      </c>
      <c r="BE127" s="21"/>
      <c r="BF127" s="19">
        <f t="shared" si="336"/>
        <v>0</v>
      </c>
      <c r="BG127" s="24">
        <f t="shared" si="228"/>
        <v>-4.0776699029126213</v>
      </c>
      <c r="BH127" s="81">
        <f>$H$127*月別販売比率!AV5</f>
        <v>2.4830716223103875</v>
      </c>
      <c r="BI127" s="10">
        <f t="shared" si="337"/>
        <v>0</v>
      </c>
      <c r="BJ127" s="21"/>
      <c r="BK127" s="19">
        <f t="shared" si="338"/>
        <v>0</v>
      </c>
      <c r="BL127" s="24">
        <f t="shared" si="231"/>
        <v>-2.4830716223103875</v>
      </c>
      <c r="BM127" s="81">
        <f>$H$127*月別販売比率!BA5</f>
        <v>2.2681272520504718</v>
      </c>
      <c r="BN127" s="10">
        <f t="shared" si="339"/>
        <v>0</v>
      </c>
      <c r="BO127" s="21"/>
      <c r="BP127" s="19">
        <f t="shared" si="342"/>
        <v>0</v>
      </c>
      <c r="BQ127" s="24">
        <f t="shared" si="233"/>
        <v>-2.2681272520504718</v>
      </c>
      <c r="BR127" s="81">
        <f>$H$127*月別販売比率!BF5</f>
        <v>3.262135922330097</v>
      </c>
      <c r="BS127" s="10">
        <f t="shared" si="340"/>
        <v>0</v>
      </c>
      <c r="BT127" s="21"/>
      <c r="BU127" s="19">
        <f t="shared" si="341"/>
        <v>0</v>
      </c>
      <c r="BV127" s="24">
        <f t="shared" si="236"/>
        <v>-3.262135922330097</v>
      </c>
      <c r="BW127" s="158">
        <f t="shared" si="322"/>
        <v>50</v>
      </c>
      <c r="BX127" s="29">
        <f t="shared" si="323"/>
        <v>9.2233009708737868</v>
      </c>
    </row>
    <row r="128" spans="2:76" ht="30.75" customHeight="1">
      <c r="C128" s="507"/>
      <c r="D128" s="443">
        <v>2</v>
      </c>
      <c r="E128" s="94" t="s">
        <v>46</v>
      </c>
      <c r="F128" s="57">
        <v>44</v>
      </c>
      <c r="G128" s="5">
        <f t="shared" si="324"/>
        <v>280720</v>
      </c>
      <c r="H128" s="7">
        <f t="shared" si="325"/>
        <v>59.805825242718448</v>
      </c>
      <c r="I128" s="5">
        <f t="shared" si="324"/>
        <v>381561.16504854371</v>
      </c>
      <c r="J128" s="9">
        <v>0</v>
      </c>
      <c r="K128" s="21">
        <f t="shared" si="237"/>
        <v>0</v>
      </c>
      <c r="L128" s="21"/>
      <c r="M128" s="21"/>
      <c r="N128" s="42"/>
      <c r="O128" s="81">
        <f>$H$128*月別販売比率!C5</f>
        <v>4.2380950181900552</v>
      </c>
      <c r="P128" s="10">
        <f t="shared" si="315"/>
        <v>0</v>
      </c>
      <c r="Q128" s="21"/>
      <c r="R128" s="19">
        <f t="shared" si="326"/>
        <v>0</v>
      </c>
      <c r="S128" s="24">
        <f t="shared" si="209"/>
        <v>-4.2380950181900552</v>
      </c>
      <c r="T128" s="81">
        <f>$H$128*月別販売比率!H5</f>
        <v>4.1864077669902917</v>
      </c>
      <c r="U128" s="10">
        <f t="shared" si="327"/>
        <v>0</v>
      </c>
      <c r="V128" s="21">
        <v>80</v>
      </c>
      <c r="W128" s="10">
        <f t="shared" si="316"/>
        <v>80</v>
      </c>
      <c r="X128" s="24">
        <f t="shared" si="212"/>
        <v>75.813592233009715</v>
      </c>
      <c r="Y128" s="81">
        <f>$H$128*月別販売比率!M5</f>
        <v>6.0441973301136764</v>
      </c>
      <c r="Z128" s="10">
        <f t="shared" si="328"/>
        <v>0</v>
      </c>
      <c r="AA128" s="21"/>
      <c r="AB128" s="97">
        <f t="shared" si="317"/>
        <v>0</v>
      </c>
      <c r="AC128" s="24">
        <f t="shared" si="214"/>
        <v>-6.0441973301136764</v>
      </c>
      <c r="AD128" s="81">
        <f>$H$128*月別販売比率!R5</f>
        <v>4.7844660194174757</v>
      </c>
      <c r="AE128" s="10">
        <f t="shared" si="329"/>
        <v>0</v>
      </c>
      <c r="AF128" s="21"/>
      <c r="AG128" s="10">
        <f t="shared" si="318"/>
        <v>0</v>
      </c>
      <c r="AH128" s="24">
        <f t="shared" si="216"/>
        <v>-4.7844660194174757</v>
      </c>
      <c r="AI128" s="81">
        <f>$H$128*月別販売比率!W5</f>
        <v>4.5552135652737551</v>
      </c>
      <c r="AJ128" s="10">
        <f t="shared" si="330"/>
        <v>0</v>
      </c>
      <c r="AK128" s="21"/>
      <c r="AL128" s="10">
        <f t="shared" si="319"/>
        <v>0</v>
      </c>
      <c r="AM128" s="24">
        <f t="shared" si="218"/>
        <v>-4.5552135652737551</v>
      </c>
      <c r="AN128" s="81">
        <f>$H$128*月別販売比率!AB5</f>
        <v>7.1766990291262136</v>
      </c>
      <c r="AO128" s="10">
        <f t="shared" si="331"/>
        <v>0</v>
      </c>
      <c r="AP128" s="21"/>
      <c r="AQ128" s="10">
        <f t="shared" si="320"/>
        <v>0</v>
      </c>
      <c r="AR128" s="24">
        <f t="shared" si="220"/>
        <v>-7.1766990291262136</v>
      </c>
      <c r="AS128" s="81">
        <f>$H$128*月別販売比率!AG5</f>
        <v>5.9805825242718456</v>
      </c>
      <c r="AT128" s="10">
        <f t="shared" si="332"/>
        <v>0</v>
      </c>
      <c r="AU128" s="21"/>
      <c r="AV128" s="10">
        <f t="shared" si="321"/>
        <v>0</v>
      </c>
      <c r="AW128" s="24">
        <f t="shared" si="222"/>
        <v>-5.9805825242718456</v>
      </c>
      <c r="AX128" s="81">
        <f>$H$128*月別販売比率!AL5</f>
        <v>5.3825242718446598</v>
      </c>
      <c r="AY128" s="10">
        <f t="shared" si="333"/>
        <v>0</v>
      </c>
      <c r="AZ128" s="21"/>
      <c r="BA128" s="19">
        <f t="shared" si="334"/>
        <v>0</v>
      </c>
      <c r="BB128" s="24">
        <f t="shared" si="225"/>
        <v>-5.3825242718446598</v>
      </c>
      <c r="BC128" s="81">
        <f>$H$128*月別販売比率!AQ5</f>
        <v>5.9805825242718456</v>
      </c>
      <c r="BD128" s="10">
        <f t="shared" si="335"/>
        <v>0</v>
      </c>
      <c r="BE128" s="21"/>
      <c r="BF128" s="19">
        <f t="shared" si="336"/>
        <v>0</v>
      </c>
      <c r="BG128" s="24">
        <f t="shared" si="228"/>
        <v>-5.9805825242718456</v>
      </c>
      <c r="BH128" s="81">
        <f>$H$128*月別販売比率!AV5</f>
        <v>3.6418383793885685</v>
      </c>
      <c r="BI128" s="10">
        <f t="shared" si="337"/>
        <v>0</v>
      </c>
      <c r="BJ128" s="21"/>
      <c r="BK128" s="19">
        <f t="shared" si="338"/>
        <v>0</v>
      </c>
      <c r="BL128" s="24">
        <f t="shared" si="231"/>
        <v>-3.6418383793885685</v>
      </c>
      <c r="BM128" s="81">
        <f>$H$128*月別販売比率!BA5</f>
        <v>3.326586636340692</v>
      </c>
      <c r="BN128" s="10">
        <f t="shared" si="339"/>
        <v>0</v>
      </c>
      <c r="BO128" s="21"/>
      <c r="BP128" s="19">
        <f t="shared" si="342"/>
        <v>0</v>
      </c>
      <c r="BQ128" s="24">
        <f t="shared" si="233"/>
        <v>-3.326586636340692</v>
      </c>
      <c r="BR128" s="81">
        <f>$H$128*月別販売比率!BF5</f>
        <v>4.7844660194174757</v>
      </c>
      <c r="BS128" s="10">
        <f t="shared" si="340"/>
        <v>0</v>
      </c>
      <c r="BT128" s="21"/>
      <c r="BU128" s="19">
        <f t="shared" si="341"/>
        <v>0</v>
      </c>
      <c r="BV128" s="24">
        <f t="shared" si="236"/>
        <v>-4.7844660194174757</v>
      </c>
      <c r="BW128" s="158">
        <f t="shared" si="322"/>
        <v>80</v>
      </c>
      <c r="BX128" s="29">
        <f t="shared" si="323"/>
        <v>20.194174757281552</v>
      </c>
    </row>
    <row r="129" spans="2:76" ht="30.75" customHeight="1">
      <c r="C129" s="507"/>
      <c r="D129" s="441"/>
      <c r="E129" s="94" t="s">
        <v>47</v>
      </c>
      <c r="F129" s="57">
        <v>56</v>
      </c>
      <c r="G129" s="5">
        <f t="shared" si="324"/>
        <v>357280</v>
      </c>
      <c r="H129" s="7">
        <f t="shared" si="325"/>
        <v>76.116504854368941</v>
      </c>
      <c r="I129" s="5">
        <f t="shared" si="324"/>
        <v>485623.30097087385</v>
      </c>
      <c r="J129" s="9">
        <v>0</v>
      </c>
      <c r="K129" s="21">
        <f t="shared" si="237"/>
        <v>0</v>
      </c>
      <c r="L129" s="21"/>
      <c r="M129" s="21"/>
      <c r="N129" s="42"/>
      <c r="O129" s="81">
        <f>$H$129*月別販売比率!C5</f>
        <v>5.3939391140600703</v>
      </c>
      <c r="P129" s="10">
        <f t="shared" si="315"/>
        <v>0</v>
      </c>
      <c r="Q129" s="21"/>
      <c r="R129" s="19">
        <f t="shared" si="326"/>
        <v>0</v>
      </c>
      <c r="S129" s="24">
        <f t="shared" si="209"/>
        <v>-5.3939391140600703</v>
      </c>
      <c r="T129" s="81">
        <f>$H$129*月別販売比率!H5</f>
        <v>5.3281553398058268</v>
      </c>
      <c r="U129" s="10">
        <f t="shared" si="327"/>
        <v>0</v>
      </c>
      <c r="V129" s="21">
        <v>90</v>
      </c>
      <c r="W129" s="10">
        <f t="shared" si="316"/>
        <v>90</v>
      </c>
      <c r="X129" s="24">
        <f t="shared" si="212"/>
        <v>84.671844660194168</v>
      </c>
      <c r="Y129" s="81">
        <f>$H$129*月別販売比率!M5</f>
        <v>7.6926147837810435</v>
      </c>
      <c r="Z129" s="10">
        <f t="shared" si="328"/>
        <v>0</v>
      </c>
      <c r="AA129" s="21"/>
      <c r="AB129" s="97">
        <f t="shared" si="317"/>
        <v>0</v>
      </c>
      <c r="AC129" s="24">
        <f t="shared" si="214"/>
        <v>-7.6926147837810435</v>
      </c>
      <c r="AD129" s="81">
        <f>$H$129*月別販売比率!R5</f>
        <v>6.0893203883495151</v>
      </c>
      <c r="AE129" s="10">
        <f t="shared" si="329"/>
        <v>0</v>
      </c>
      <c r="AF129" s="21"/>
      <c r="AG129" s="10">
        <f t="shared" si="318"/>
        <v>0</v>
      </c>
      <c r="AH129" s="24">
        <f t="shared" si="216"/>
        <v>-6.0893203883495151</v>
      </c>
      <c r="AI129" s="81">
        <f>$H$129*月別販売比率!W5</f>
        <v>5.7975445376211434</v>
      </c>
      <c r="AJ129" s="10">
        <f t="shared" si="330"/>
        <v>0</v>
      </c>
      <c r="AK129" s="21"/>
      <c r="AL129" s="10">
        <f t="shared" si="319"/>
        <v>0</v>
      </c>
      <c r="AM129" s="24">
        <f t="shared" si="218"/>
        <v>-5.7975445376211434</v>
      </c>
      <c r="AN129" s="81">
        <f>$H$129*月別販売比率!AB5</f>
        <v>9.1339805825242717</v>
      </c>
      <c r="AO129" s="10">
        <f t="shared" si="331"/>
        <v>0</v>
      </c>
      <c r="AP129" s="21"/>
      <c r="AQ129" s="10">
        <f t="shared" si="320"/>
        <v>0</v>
      </c>
      <c r="AR129" s="24">
        <f t="shared" si="220"/>
        <v>-9.1339805825242717</v>
      </c>
      <c r="AS129" s="81">
        <f>$H$129*月別販売比率!AG5</f>
        <v>7.6116504854368943</v>
      </c>
      <c r="AT129" s="10">
        <f t="shared" si="332"/>
        <v>0</v>
      </c>
      <c r="AU129" s="21"/>
      <c r="AV129" s="10">
        <f t="shared" si="321"/>
        <v>0</v>
      </c>
      <c r="AW129" s="24">
        <f t="shared" si="222"/>
        <v>-7.6116504854368943</v>
      </c>
      <c r="AX129" s="81">
        <f>$H$129*月別販売比率!AL5</f>
        <v>6.8504854368932042</v>
      </c>
      <c r="AY129" s="10">
        <f t="shared" si="333"/>
        <v>0</v>
      </c>
      <c r="AZ129" s="21"/>
      <c r="BA129" s="19">
        <f t="shared" si="334"/>
        <v>0</v>
      </c>
      <c r="BB129" s="24">
        <f t="shared" si="225"/>
        <v>-6.8504854368932042</v>
      </c>
      <c r="BC129" s="81">
        <f>$H$129*月別販売比率!AQ5</f>
        <v>7.6116504854368943</v>
      </c>
      <c r="BD129" s="10">
        <f t="shared" si="335"/>
        <v>0</v>
      </c>
      <c r="BE129" s="21"/>
      <c r="BF129" s="19">
        <f t="shared" si="336"/>
        <v>0</v>
      </c>
      <c r="BG129" s="24">
        <f t="shared" si="228"/>
        <v>-7.6116504854368943</v>
      </c>
      <c r="BH129" s="81">
        <f>$H$129*月別販売比率!AV5</f>
        <v>4.635067028312724</v>
      </c>
      <c r="BI129" s="10">
        <f t="shared" si="337"/>
        <v>0</v>
      </c>
      <c r="BJ129" s="21"/>
      <c r="BK129" s="19">
        <f t="shared" si="338"/>
        <v>0</v>
      </c>
      <c r="BL129" s="24">
        <f t="shared" si="231"/>
        <v>-4.635067028312724</v>
      </c>
      <c r="BM129" s="81">
        <f>$H$129*月別販売比率!BA5</f>
        <v>4.2338375371608814</v>
      </c>
      <c r="BN129" s="10">
        <f t="shared" si="339"/>
        <v>0</v>
      </c>
      <c r="BO129" s="21"/>
      <c r="BP129" s="19">
        <f t="shared" si="342"/>
        <v>0</v>
      </c>
      <c r="BQ129" s="24">
        <f t="shared" si="233"/>
        <v>-4.2338375371608814</v>
      </c>
      <c r="BR129" s="81">
        <f>$H$129*月別販売比率!BF5</f>
        <v>6.0893203883495151</v>
      </c>
      <c r="BS129" s="10">
        <f t="shared" si="340"/>
        <v>0</v>
      </c>
      <c r="BT129" s="21"/>
      <c r="BU129" s="19">
        <f t="shared" si="341"/>
        <v>0</v>
      </c>
      <c r="BV129" s="24">
        <f t="shared" si="236"/>
        <v>-6.0893203883495151</v>
      </c>
      <c r="BW129" s="158">
        <f t="shared" si="322"/>
        <v>90</v>
      </c>
      <c r="BX129" s="29">
        <f t="shared" si="323"/>
        <v>13.883495145631059</v>
      </c>
    </row>
    <row r="130" spans="2:76" ht="30.75" customHeight="1">
      <c r="C130" s="507"/>
      <c r="D130" s="441"/>
      <c r="E130" s="94" t="s">
        <v>51</v>
      </c>
      <c r="F130" s="57">
        <v>78</v>
      </c>
      <c r="G130" s="5">
        <f t="shared" si="324"/>
        <v>497640</v>
      </c>
      <c r="H130" s="7">
        <f t="shared" si="325"/>
        <v>106.01941747572816</v>
      </c>
      <c r="I130" s="5">
        <f t="shared" si="324"/>
        <v>676403.88349514571</v>
      </c>
      <c r="J130" s="9">
        <v>0</v>
      </c>
      <c r="K130" s="21">
        <f t="shared" si="237"/>
        <v>0</v>
      </c>
      <c r="L130" s="21"/>
      <c r="M130" s="21"/>
      <c r="N130" s="42"/>
      <c r="O130" s="81">
        <f>$H$130*月別販売比率!C5</f>
        <v>7.5129866231550979</v>
      </c>
      <c r="P130" s="10">
        <f t="shared" si="315"/>
        <v>0</v>
      </c>
      <c r="Q130" s="21"/>
      <c r="R130" s="19">
        <f t="shared" si="326"/>
        <v>0</v>
      </c>
      <c r="S130" s="24">
        <f t="shared" si="209"/>
        <v>-7.5129866231550979</v>
      </c>
      <c r="T130" s="81">
        <f>$H$130*月別販売比率!H5</f>
        <v>7.4213592233009722</v>
      </c>
      <c r="U130" s="10">
        <f t="shared" si="327"/>
        <v>0</v>
      </c>
      <c r="V130" s="21">
        <v>90</v>
      </c>
      <c r="W130" s="10">
        <f t="shared" si="316"/>
        <v>90</v>
      </c>
      <c r="X130" s="24">
        <f t="shared" si="212"/>
        <v>82.578640776699032</v>
      </c>
      <c r="Y130" s="81">
        <f>$H$130*月別販売比率!M5</f>
        <v>10.71471344883788</v>
      </c>
      <c r="Z130" s="10">
        <f t="shared" si="328"/>
        <v>0</v>
      </c>
      <c r="AA130" s="21"/>
      <c r="AB130" s="97">
        <f t="shared" si="317"/>
        <v>0</v>
      </c>
      <c r="AC130" s="24">
        <f t="shared" si="214"/>
        <v>-10.71471344883788</v>
      </c>
      <c r="AD130" s="81">
        <f>$H$130*月別販売比率!R5</f>
        <v>8.4815533980582529</v>
      </c>
      <c r="AE130" s="10">
        <f t="shared" si="329"/>
        <v>0</v>
      </c>
      <c r="AF130" s="21"/>
      <c r="AG130" s="10">
        <f t="shared" si="318"/>
        <v>0</v>
      </c>
      <c r="AH130" s="24">
        <f t="shared" si="216"/>
        <v>-8.4815533980582529</v>
      </c>
      <c r="AI130" s="81">
        <f>$H$130*月別販売比率!W5</f>
        <v>8.075151320258021</v>
      </c>
      <c r="AJ130" s="10">
        <f t="shared" si="330"/>
        <v>0</v>
      </c>
      <c r="AK130" s="21"/>
      <c r="AL130" s="10">
        <f t="shared" si="319"/>
        <v>0</v>
      </c>
      <c r="AM130" s="24">
        <f t="shared" si="218"/>
        <v>-8.075151320258021</v>
      </c>
      <c r="AN130" s="81">
        <f>$H$130*月別販売比率!AB5</f>
        <v>12.722330097087379</v>
      </c>
      <c r="AO130" s="10">
        <f t="shared" si="331"/>
        <v>0</v>
      </c>
      <c r="AP130" s="21"/>
      <c r="AQ130" s="10">
        <f t="shared" si="320"/>
        <v>0</v>
      </c>
      <c r="AR130" s="24">
        <f t="shared" si="220"/>
        <v>-12.722330097087379</v>
      </c>
      <c r="AS130" s="81">
        <f>$H$130*月別販売比率!AG5</f>
        <v>10.601941747572816</v>
      </c>
      <c r="AT130" s="10">
        <f t="shared" si="332"/>
        <v>0</v>
      </c>
      <c r="AU130" s="21"/>
      <c r="AV130" s="10">
        <f t="shared" si="321"/>
        <v>0</v>
      </c>
      <c r="AW130" s="24">
        <f t="shared" si="222"/>
        <v>-10.601941747572816</v>
      </c>
      <c r="AX130" s="81">
        <f>$H$130*月別販売比率!AL5</f>
        <v>9.5417475728155345</v>
      </c>
      <c r="AY130" s="10">
        <f t="shared" si="333"/>
        <v>0</v>
      </c>
      <c r="AZ130" s="21"/>
      <c r="BA130" s="19">
        <f t="shared" si="334"/>
        <v>0</v>
      </c>
      <c r="BB130" s="24">
        <f t="shared" si="225"/>
        <v>-9.5417475728155345</v>
      </c>
      <c r="BC130" s="81">
        <f>$H$130*月別販売比率!AQ5</f>
        <v>10.601941747572816</v>
      </c>
      <c r="BD130" s="10">
        <f t="shared" si="335"/>
        <v>0</v>
      </c>
      <c r="BE130" s="21"/>
      <c r="BF130" s="19">
        <f t="shared" si="336"/>
        <v>0</v>
      </c>
      <c r="BG130" s="24">
        <f t="shared" si="228"/>
        <v>-10.601941747572816</v>
      </c>
      <c r="BH130" s="81">
        <f>$H$130*月別販売比率!AV5</f>
        <v>6.4559862180070073</v>
      </c>
      <c r="BI130" s="10">
        <f t="shared" si="337"/>
        <v>0</v>
      </c>
      <c r="BJ130" s="21"/>
      <c r="BK130" s="19">
        <f t="shared" si="338"/>
        <v>0</v>
      </c>
      <c r="BL130" s="24">
        <f t="shared" si="231"/>
        <v>-6.4559862180070073</v>
      </c>
      <c r="BM130" s="81">
        <f>$H$130*月別販売比率!BA5</f>
        <v>5.8971308553312269</v>
      </c>
      <c r="BN130" s="10">
        <f t="shared" si="339"/>
        <v>0</v>
      </c>
      <c r="BO130" s="21"/>
      <c r="BP130" s="19">
        <f t="shared" si="342"/>
        <v>0</v>
      </c>
      <c r="BQ130" s="24">
        <f t="shared" si="233"/>
        <v>-5.8971308553312269</v>
      </c>
      <c r="BR130" s="81">
        <f>$H$130*月別販売比率!BF5</f>
        <v>8.4815533980582529</v>
      </c>
      <c r="BS130" s="10">
        <f t="shared" si="340"/>
        <v>0</v>
      </c>
      <c r="BT130" s="21"/>
      <c r="BU130" s="19">
        <f t="shared" si="341"/>
        <v>0</v>
      </c>
      <c r="BV130" s="24">
        <f t="shared" si="236"/>
        <v>-8.4815533980582529</v>
      </c>
      <c r="BW130" s="158">
        <f t="shared" si="322"/>
        <v>90</v>
      </c>
      <c r="BX130" s="29">
        <f t="shared" si="323"/>
        <v>-16.019417475728162</v>
      </c>
    </row>
    <row r="131" spans="2:76" ht="30.75" customHeight="1">
      <c r="C131" s="508"/>
      <c r="D131" s="444"/>
      <c r="E131" s="101" t="s">
        <v>49</v>
      </c>
      <c r="F131" s="58">
        <v>30</v>
      </c>
      <c r="G131" s="35">
        <f t="shared" si="324"/>
        <v>191400</v>
      </c>
      <c r="H131" s="181">
        <f t="shared" si="325"/>
        <v>40.776699029126213</v>
      </c>
      <c r="I131" s="35">
        <f t="shared" si="324"/>
        <v>260155.33980582524</v>
      </c>
      <c r="J131" s="113">
        <v>0</v>
      </c>
      <c r="K131" s="103">
        <f t="shared" si="237"/>
        <v>0</v>
      </c>
      <c r="L131" s="104"/>
      <c r="M131" s="104"/>
      <c r="N131" s="117"/>
      <c r="O131" s="81">
        <f>$H$131*月別販売比率!C5</f>
        <v>2.8896102396750374</v>
      </c>
      <c r="P131" s="106">
        <f t="shared" si="315"/>
        <v>0</v>
      </c>
      <c r="Q131" s="107"/>
      <c r="R131" s="2">
        <f t="shared" si="326"/>
        <v>0</v>
      </c>
      <c r="S131" s="195">
        <f t="shared" si="209"/>
        <v>-2.8896102396750374</v>
      </c>
      <c r="T131" s="81">
        <f>$H$131*月別販売比率!H5</f>
        <v>2.854368932038835</v>
      </c>
      <c r="U131" s="106">
        <f t="shared" si="327"/>
        <v>0</v>
      </c>
      <c r="V131" s="79">
        <v>40</v>
      </c>
      <c r="W131" s="80">
        <f t="shared" si="316"/>
        <v>40</v>
      </c>
      <c r="X131" s="194">
        <f t="shared" si="212"/>
        <v>37.145631067961162</v>
      </c>
      <c r="Y131" s="81">
        <f>$H$131*月別販売比率!M5</f>
        <v>4.1210436341684158</v>
      </c>
      <c r="Z131" s="80">
        <f t="shared" si="328"/>
        <v>0</v>
      </c>
      <c r="AA131" s="79"/>
      <c r="AB131" s="199">
        <f t="shared" si="317"/>
        <v>0</v>
      </c>
      <c r="AC131" s="194">
        <f t="shared" si="214"/>
        <v>-4.1210436341684158</v>
      </c>
      <c r="AD131" s="81">
        <f>$H$131*月別販売比率!R5</f>
        <v>3.262135922330097</v>
      </c>
      <c r="AE131" s="80">
        <f t="shared" si="329"/>
        <v>0</v>
      </c>
      <c r="AF131" s="79"/>
      <c r="AG131" s="80">
        <f t="shared" si="318"/>
        <v>0</v>
      </c>
      <c r="AH131" s="194">
        <f t="shared" si="216"/>
        <v>-3.262135922330097</v>
      </c>
      <c r="AI131" s="81">
        <f>$H$131*月別販売比率!W5</f>
        <v>3.105827430868469</v>
      </c>
      <c r="AJ131" s="80">
        <f t="shared" si="330"/>
        <v>0</v>
      </c>
      <c r="AK131" s="79"/>
      <c r="AL131" s="80">
        <f t="shared" si="319"/>
        <v>0</v>
      </c>
      <c r="AM131" s="194">
        <f t="shared" si="218"/>
        <v>-3.105827430868469</v>
      </c>
      <c r="AN131" s="81">
        <f>$H$131*月別販売比率!AB5</f>
        <v>4.8932038834951452</v>
      </c>
      <c r="AO131" s="80">
        <f t="shared" si="331"/>
        <v>0</v>
      </c>
      <c r="AP131" s="79"/>
      <c r="AQ131" s="80">
        <f t="shared" si="320"/>
        <v>0</v>
      </c>
      <c r="AR131" s="194">
        <f t="shared" si="220"/>
        <v>-4.8932038834951452</v>
      </c>
      <c r="AS131" s="81">
        <f>$H$131*月別販売比率!AG5</f>
        <v>4.0776699029126213</v>
      </c>
      <c r="AT131" s="80">
        <f t="shared" si="332"/>
        <v>0</v>
      </c>
      <c r="AU131" s="79"/>
      <c r="AV131" s="80">
        <f t="shared" si="321"/>
        <v>0</v>
      </c>
      <c r="AW131" s="194">
        <f t="shared" si="222"/>
        <v>-4.0776699029126213</v>
      </c>
      <c r="AX131" s="81">
        <f>$H$131*月別販売比率!AL5</f>
        <v>3.6699029126213589</v>
      </c>
      <c r="AY131" s="80">
        <f t="shared" si="333"/>
        <v>0</v>
      </c>
      <c r="AZ131" s="79"/>
      <c r="BA131" s="98">
        <f t="shared" si="334"/>
        <v>0</v>
      </c>
      <c r="BB131" s="194">
        <f t="shared" si="225"/>
        <v>-3.6699029126213589</v>
      </c>
      <c r="BC131" s="81">
        <f>$H$131*月別販売比率!AQ5</f>
        <v>4.0776699029126213</v>
      </c>
      <c r="BD131" s="80">
        <f t="shared" si="335"/>
        <v>0</v>
      </c>
      <c r="BE131" s="79"/>
      <c r="BF131" s="78">
        <f t="shared" si="336"/>
        <v>0</v>
      </c>
      <c r="BG131" s="194">
        <f t="shared" si="228"/>
        <v>-4.0776699029126213</v>
      </c>
      <c r="BH131" s="81">
        <f>$H$131*月別販売比率!AV5</f>
        <v>2.4830716223103875</v>
      </c>
      <c r="BI131" s="80">
        <f t="shared" si="337"/>
        <v>0</v>
      </c>
      <c r="BJ131" s="79"/>
      <c r="BK131" s="78">
        <f t="shared" si="338"/>
        <v>0</v>
      </c>
      <c r="BL131" s="194">
        <f t="shared" si="231"/>
        <v>-2.4830716223103875</v>
      </c>
      <c r="BM131" s="81">
        <f>$H$131*月別販売比率!BA5</f>
        <v>2.2681272520504718</v>
      </c>
      <c r="BN131" s="80">
        <f t="shared" si="339"/>
        <v>0</v>
      </c>
      <c r="BO131" s="79"/>
      <c r="BP131" s="78">
        <f t="shared" si="342"/>
        <v>0</v>
      </c>
      <c r="BQ131" s="194">
        <f t="shared" si="233"/>
        <v>-2.2681272520504718</v>
      </c>
      <c r="BR131" s="81">
        <f>$H$131*月別販売比率!BF5</f>
        <v>3.262135922330097</v>
      </c>
      <c r="BS131" s="80">
        <f t="shared" si="340"/>
        <v>0</v>
      </c>
      <c r="BT131" s="79"/>
      <c r="BU131" s="123">
        <f t="shared" si="341"/>
        <v>0</v>
      </c>
      <c r="BV131" s="90">
        <f t="shared" si="236"/>
        <v>-3.262135922330097</v>
      </c>
      <c r="BW131" s="159">
        <f t="shared" si="322"/>
        <v>40</v>
      </c>
      <c r="BX131" s="116">
        <f t="shared" si="323"/>
        <v>-0.77669902912621325</v>
      </c>
    </row>
    <row r="132" spans="2:76" ht="30.75" customHeight="1">
      <c r="B132" s="2">
        <v>10</v>
      </c>
      <c r="C132" s="435" t="s">
        <v>13</v>
      </c>
      <c r="D132" s="436"/>
      <c r="E132" s="445"/>
      <c r="F132" s="130">
        <v>543</v>
      </c>
      <c r="G132" s="131">
        <v>2388477.96</v>
      </c>
      <c r="H132" s="132">
        <v>600</v>
      </c>
      <c r="I132" s="131">
        <f t="shared" si="42"/>
        <v>2639202.1657458562</v>
      </c>
      <c r="J132" s="133">
        <f>SUM(J134:J145)</f>
        <v>188</v>
      </c>
      <c r="K132" s="134">
        <f t="shared" ref="K132:N132" si="343">SUM(K134:K145)</f>
        <v>205</v>
      </c>
      <c r="L132" s="134">
        <f t="shared" si="343"/>
        <v>61</v>
      </c>
      <c r="M132" s="134">
        <f t="shared" si="343"/>
        <v>44</v>
      </c>
      <c r="N132" s="135">
        <f t="shared" si="343"/>
        <v>100</v>
      </c>
      <c r="O132" s="150">
        <f t="shared" ref="O132:O259" si="344">H132/12</f>
        <v>50</v>
      </c>
      <c r="P132" s="151">
        <f t="shared" si="107"/>
        <v>205</v>
      </c>
      <c r="Q132" s="148">
        <f>SUM(Q134:Q145)</f>
        <v>340</v>
      </c>
      <c r="R132" s="152">
        <f t="shared" si="108"/>
        <v>545</v>
      </c>
      <c r="S132" s="153">
        <f t="shared" si="209"/>
        <v>495</v>
      </c>
      <c r="T132" s="150">
        <f t="shared" si="109"/>
        <v>50</v>
      </c>
      <c r="U132" s="151">
        <f t="shared" si="110"/>
        <v>205</v>
      </c>
      <c r="V132" s="148">
        <f>SUM(V134:V145)</f>
        <v>0</v>
      </c>
      <c r="W132" s="152">
        <f t="shared" si="111"/>
        <v>205</v>
      </c>
      <c r="X132" s="153">
        <f t="shared" si="212"/>
        <v>155</v>
      </c>
      <c r="Y132" s="150">
        <f t="shared" si="112"/>
        <v>50</v>
      </c>
      <c r="Z132" s="151">
        <f t="shared" si="113"/>
        <v>205</v>
      </c>
      <c r="AA132" s="148">
        <f>SUM(AA134:AA145)</f>
        <v>0</v>
      </c>
      <c r="AB132" s="154">
        <f t="shared" si="114"/>
        <v>205</v>
      </c>
      <c r="AC132" s="153">
        <f t="shared" si="214"/>
        <v>155</v>
      </c>
      <c r="AD132" s="150">
        <f t="shared" si="115"/>
        <v>50</v>
      </c>
      <c r="AE132" s="151">
        <f t="shared" si="116"/>
        <v>205</v>
      </c>
      <c r="AF132" s="148">
        <f>SUM(AF134:AF145)</f>
        <v>0</v>
      </c>
      <c r="AG132" s="152">
        <f t="shared" si="117"/>
        <v>205</v>
      </c>
      <c r="AH132" s="153">
        <f t="shared" si="216"/>
        <v>155</v>
      </c>
      <c r="AI132" s="150">
        <f t="shared" si="118"/>
        <v>50</v>
      </c>
      <c r="AJ132" s="151">
        <f t="shared" si="119"/>
        <v>205</v>
      </c>
      <c r="AK132" s="148">
        <f>SUM(AK134:AK145)</f>
        <v>0</v>
      </c>
      <c r="AL132" s="152">
        <f t="shared" si="120"/>
        <v>205</v>
      </c>
      <c r="AM132" s="153">
        <f t="shared" si="218"/>
        <v>155</v>
      </c>
      <c r="AN132" s="150">
        <f t="shared" si="121"/>
        <v>50</v>
      </c>
      <c r="AO132" s="151">
        <f t="shared" si="122"/>
        <v>205</v>
      </c>
      <c r="AP132" s="148">
        <f>SUM(AP134:AP145)</f>
        <v>0</v>
      </c>
      <c r="AQ132" s="152">
        <f t="shared" si="123"/>
        <v>205</v>
      </c>
      <c r="AR132" s="153">
        <f t="shared" si="220"/>
        <v>155</v>
      </c>
      <c r="AS132" s="150">
        <f t="shared" si="124"/>
        <v>50</v>
      </c>
      <c r="AT132" s="151">
        <f t="shared" si="125"/>
        <v>205</v>
      </c>
      <c r="AU132" s="148">
        <f>SUM(AU134:AU145)</f>
        <v>0</v>
      </c>
      <c r="AV132" s="152">
        <f t="shared" si="126"/>
        <v>205</v>
      </c>
      <c r="AW132" s="153">
        <f t="shared" si="222"/>
        <v>155</v>
      </c>
      <c r="AX132" s="150">
        <f t="shared" si="127"/>
        <v>50</v>
      </c>
      <c r="AY132" s="151">
        <f t="shared" si="128"/>
        <v>205</v>
      </c>
      <c r="AZ132" s="148">
        <f>SUM(AZ134:AZ145)</f>
        <v>0</v>
      </c>
      <c r="BA132" s="152">
        <f t="shared" si="129"/>
        <v>205</v>
      </c>
      <c r="BB132" s="153">
        <f t="shared" si="225"/>
        <v>155</v>
      </c>
      <c r="BC132" s="150">
        <f t="shared" si="130"/>
        <v>50</v>
      </c>
      <c r="BD132" s="151">
        <f t="shared" si="131"/>
        <v>205</v>
      </c>
      <c r="BE132" s="148">
        <f>SUM(BE134:BE145)</f>
        <v>0</v>
      </c>
      <c r="BF132" s="152">
        <f t="shared" si="132"/>
        <v>205</v>
      </c>
      <c r="BG132" s="153">
        <f t="shared" si="228"/>
        <v>155</v>
      </c>
      <c r="BH132" s="150">
        <f t="shared" si="133"/>
        <v>50</v>
      </c>
      <c r="BI132" s="151">
        <f t="shared" si="134"/>
        <v>205</v>
      </c>
      <c r="BJ132" s="148">
        <f>SUM(BJ134:BJ145)</f>
        <v>0</v>
      </c>
      <c r="BK132" s="152">
        <f t="shared" si="135"/>
        <v>205</v>
      </c>
      <c r="BL132" s="153">
        <f t="shared" si="231"/>
        <v>155</v>
      </c>
      <c r="BM132" s="150">
        <f t="shared" si="136"/>
        <v>50</v>
      </c>
      <c r="BN132" s="151">
        <f t="shared" si="137"/>
        <v>205</v>
      </c>
      <c r="BO132" s="148">
        <f>SUM(BO134:BO145)</f>
        <v>0</v>
      </c>
      <c r="BP132" s="152">
        <f t="shared" si="138"/>
        <v>205</v>
      </c>
      <c r="BQ132" s="153">
        <f t="shared" si="233"/>
        <v>155</v>
      </c>
      <c r="BR132" s="150">
        <f t="shared" si="139"/>
        <v>50</v>
      </c>
      <c r="BS132" s="151">
        <f t="shared" si="140"/>
        <v>205</v>
      </c>
      <c r="BT132" s="148">
        <f>SUM(BT134:BT145)</f>
        <v>0</v>
      </c>
      <c r="BU132" s="138">
        <f t="shared" si="141"/>
        <v>205</v>
      </c>
      <c r="BV132" s="139">
        <f t="shared" si="236"/>
        <v>155</v>
      </c>
      <c r="BW132" s="143">
        <f>AF132+AA132+V132+Q132+AK132+AP132+AU132+AZ132+BE132+BJ132+BO132+BT132+K132</f>
        <v>545</v>
      </c>
      <c r="BX132" s="142">
        <f t="shared" si="49"/>
        <v>-55</v>
      </c>
    </row>
    <row r="133" spans="2:76" ht="30.75" customHeight="1">
      <c r="C133" s="167" t="s">
        <v>81</v>
      </c>
      <c r="D133" s="168"/>
      <c r="E133" s="169"/>
      <c r="F133" s="170">
        <f>SUM(F134:F145)</f>
        <v>494</v>
      </c>
      <c r="G133" s="171">
        <f>SUM(G134:G145)</f>
        <v>2173600</v>
      </c>
      <c r="H133" s="170">
        <f>SUM(H134:H145)</f>
        <v>545.8563535911602</v>
      </c>
      <c r="I133" s="171">
        <f>SUM(I134:I145)</f>
        <v>2401767.9558011051</v>
      </c>
      <c r="J133" s="172"/>
      <c r="K133" s="173"/>
      <c r="L133" s="173"/>
      <c r="M133" s="173"/>
      <c r="N133" s="174"/>
      <c r="O133" s="175">
        <f>SUM(O134:O145)</f>
        <v>38.681701714060836</v>
      </c>
      <c r="P133" s="176"/>
      <c r="Q133" s="173"/>
      <c r="R133" s="177"/>
      <c r="S133" s="178"/>
      <c r="T133" s="175">
        <f>SUM(T134:T145)</f>
        <v>38.209944751381229</v>
      </c>
      <c r="U133" s="176"/>
      <c r="V133" s="173"/>
      <c r="W133" s="177"/>
      <c r="X133" s="178"/>
      <c r="Y133" s="175">
        <f>SUM(Y134:Y145)</f>
        <v>55.166256825508377</v>
      </c>
      <c r="Z133" s="176"/>
      <c r="AA133" s="173"/>
      <c r="AB133" s="177"/>
      <c r="AC133" s="178"/>
      <c r="AD133" s="175">
        <f>SUM(AD134:AD145)</f>
        <v>43.668508287292823</v>
      </c>
      <c r="AE133" s="176"/>
      <c r="AF133" s="173"/>
      <c r="AG133" s="177"/>
      <c r="AH133" s="178"/>
      <c r="AI133" s="175">
        <f>SUM(AI134:AI145)</f>
        <v>41.576088223480525</v>
      </c>
      <c r="AJ133" s="176"/>
      <c r="AK133" s="173"/>
      <c r="AL133" s="177"/>
      <c r="AM133" s="178"/>
      <c r="AN133" s="175">
        <f>SUM(AN134:AN145)</f>
        <v>65.502762430939214</v>
      </c>
      <c r="AO133" s="176"/>
      <c r="AP133" s="173"/>
      <c r="AQ133" s="177"/>
      <c r="AR133" s="178"/>
      <c r="AS133" s="175">
        <f>SUM(AS134:AS145)</f>
        <v>54.585635359116026</v>
      </c>
      <c r="AT133" s="176"/>
      <c r="AU133" s="173"/>
      <c r="AV133" s="177"/>
      <c r="AW133" s="178"/>
      <c r="AX133" s="175">
        <f>SUM(AX134:AX145)</f>
        <v>49.127071823204425</v>
      </c>
      <c r="AY133" s="176"/>
      <c r="AZ133" s="173"/>
      <c r="BA133" s="177"/>
      <c r="BB133" s="178"/>
      <c r="BC133" s="175">
        <f>SUM(BC134:BC145)</f>
        <v>54.585635359116026</v>
      </c>
      <c r="BD133" s="176"/>
      <c r="BE133" s="173"/>
      <c r="BF133" s="177"/>
      <c r="BG133" s="178"/>
      <c r="BH133" s="175">
        <f>SUM(BH134:BH145)</f>
        <v>33.23958176437705</v>
      </c>
      <c r="BI133" s="176"/>
      <c r="BJ133" s="173"/>
      <c r="BK133" s="177"/>
      <c r="BL133" s="178"/>
      <c r="BM133" s="175">
        <f>SUM(BM134:BM145)</f>
        <v>30.362233843418078</v>
      </c>
      <c r="BN133" s="176"/>
      <c r="BO133" s="173"/>
      <c r="BP133" s="177"/>
      <c r="BQ133" s="178"/>
      <c r="BR133" s="175">
        <f>SUM(BR134:BR145)</f>
        <v>43.668508287292823</v>
      </c>
      <c r="BS133" s="176"/>
      <c r="BT133" s="173"/>
      <c r="BU133" s="177"/>
      <c r="BV133" s="178"/>
      <c r="BW133" s="179"/>
      <c r="BX133" s="180"/>
    </row>
    <row r="134" spans="2:76" ht="30.75" customHeight="1">
      <c r="C134" s="512" t="s">
        <v>73</v>
      </c>
      <c r="D134" s="443">
        <v>1</v>
      </c>
      <c r="E134" s="99" t="s">
        <v>47</v>
      </c>
      <c r="F134" s="56">
        <v>66</v>
      </c>
      <c r="G134" s="46">
        <f>F134*4400</f>
        <v>290400</v>
      </c>
      <c r="H134" s="45">
        <f>F134*($H$132/$F$132)</f>
        <v>72.928176795580114</v>
      </c>
      <c r="I134" s="46">
        <f t="shared" ref="I134:I145" si="345">H134*4400</f>
        <v>320883.97790055251</v>
      </c>
      <c r="J134" s="49">
        <v>0</v>
      </c>
      <c r="K134" s="39">
        <f t="shared" si="237"/>
        <v>45</v>
      </c>
      <c r="L134" s="39"/>
      <c r="M134" s="39">
        <v>5</v>
      </c>
      <c r="N134" s="234">
        <v>40</v>
      </c>
      <c r="O134" s="81">
        <f>$H$134*月別販売比率!C5</f>
        <v>5.1680006338623796</v>
      </c>
      <c r="P134" s="40">
        <f t="shared" ref="P134:P145" si="346">K134</f>
        <v>45</v>
      </c>
      <c r="Q134" s="39"/>
      <c r="R134" s="43">
        <f t="shared" si="108"/>
        <v>45</v>
      </c>
      <c r="S134" s="91">
        <f t="shared" si="209"/>
        <v>39.831999366137623</v>
      </c>
      <c r="T134" s="81">
        <f>$H$134*月別販売比率!H5</f>
        <v>5.1049723756906085</v>
      </c>
      <c r="U134" s="40">
        <f t="shared" si="110"/>
        <v>45</v>
      </c>
      <c r="V134" s="39"/>
      <c r="W134" s="40">
        <f t="shared" ref="W134:W145" si="347">K134+V134</f>
        <v>45</v>
      </c>
      <c r="X134" s="91">
        <f t="shared" si="212"/>
        <v>39.895027624309392</v>
      </c>
      <c r="Y134" s="81">
        <f>$H$134*月別販売比率!M5</f>
        <v>7.370390588023386</v>
      </c>
      <c r="Z134" s="40">
        <f t="shared" si="113"/>
        <v>45</v>
      </c>
      <c r="AA134" s="39"/>
      <c r="AB134" s="96">
        <f t="shared" ref="AB134:AB145" si="348">K134+AA134</f>
        <v>45</v>
      </c>
      <c r="AC134" s="91">
        <f t="shared" si="214"/>
        <v>37.629609411976617</v>
      </c>
      <c r="AD134" s="81">
        <f>$H$134*月別販売比率!R5</f>
        <v>5.834254143646409</v>
      </c>
      <c r="AE134" s="40">
        <f t="shared" si="116"/>
        <v>45</v>
      </c>
      <c r="AF134" s="39"/>
      <c r="AG134" s="40">
        <f t="shared" ref="AG134:AG145" si="349">K134+AF134</f>
        <v>45</v>
      </c>
      <c r="AH134" s="91">
        <f t="shared" si="216"/>
        <v>39.165745856353588</v>
      </c>
      <c r="AI134" s="81">
        <f>$H$134*月別販売比率!W5</f>
        <v>5.5547000460520533</v>
      </c>
      <c r="AJ134" s="40">
        <f t="shared" si="119"/>
        <v>45</v>
      </c>
      <c r="AK134" s="39"/>
      <c r="AL134" s="40">
        <f t="shared" ref="AL134:AL145" si="350">K134+AK134</f>
        <v>45</v>
      </c>
      <c r="AM134" s="91">
        <f t="shared" si="218"/>
        <v>39.445299953947945</v>
      </c>
      <c r="AN134" s="81">
        <f>$H$134*月別販売比率!AB5</f>
        <v>8.751381215469614</v>
      </c>
      <c r="AO134" s="40">
        <f t="shared" si="122"/>
        <v>45</v>
      </c>
      <c r="AP134" s="39"/>
      <c r="AQ134" s="40">
        <f t="shared" ref="AQ134:AQ145" si="351">K134+AP134</f>
        <v>45</v>
      </c>
      <c r="AR134" s="91">
        <f t="shared" si="220"/>
        <v>36.248618784530386</v>
      </c>
      <c r="AS134" s="81">
        <f>$H$134*月別販売比率!AG5</f>
        <v>7.292817679558012</v>
      </c>
      <c r="AT134" s="40">
        <f t="shared" si="125"/>
        <v>45</v>
      </c>
      <c r="AU134" s="39"/>
      <c r="AV134" s="40">
        <f t="shared" ref="AV134:AV145" si="352">K134+AU134</f>
        <v>45</v>
      </c>
      <c r="AW134" s="91">
        <f t="shared" si="222"/>
        <v>37.707182320441987</v>
      </c>
      <c r="AX134" s="81">
        <f>$H$134*月別販売比率!AL5</f>
        <v>6.5635359116022096</v>
      </c>
      <c r="AY134" s="40">
        <f t="shared" si="128"/>
        <v>45</v>
      </c>
      <c r="AZ134" s="39"/>
      <c r="BA134" s="43">
        <f t="shared" si="129"/>
        <v>45</v>
      </c>
      <c r="BB134" s="91">
        <f t="shared" si="225"/>
        <v>38.436464088397791</v>
      </c>
      <c r="BC134" s="81">
        <f>$H$134*月別販売比率!AQ5</f>
        <v>7.292817679558012</v>
      </c>
      <c r="BD134" s="40">
        <f t="shared" si="131"/>
        <v>45</v>
      </c>
      <c r="BE134" s="39"/>
      <c r="BF134" s="43">
        <f t="shared" si="132"/>
        <v>45</v>
      </c>
      <c r="BG134" s="91">
        <f t="shared" si="228"/>
        <v>37.707182320441987</v>
      </c>
      <c r="BH134" s="81">
        <f>$H$134*月別販売比率!AV5</f>
        <v>4.4409157822851917</v>
      </c>
      <c r="BI134" s="40">
        <f t="shared" si="134"/>
        <v>45</v>
      </c>
      <c r="BJ134" s="39"/>
      <c r="BK134" s="43">
        <f t="shared" si="135"/>
        <v>45</v>
      </c>
      <c r="BL134" s="91">
        <f t="shared" si="231"/>
        <v>40.559084217714812</v>
      </c>
      <c r="BM134" s="81">
        <f>$H$134*月別販売比率!BA5</f>
        <v>4.056492780699581</v>
      </c>
      <c r="BN134" s="40">
        <f t="shared" si="137"/>
        <v>45</v>
      </c>
      <c r="BO134" s="39"/>
      <c r="BP134" s="43">
        <f>K134+BO134</f>
        <v>45</v>
      </c>
      <c r="BQ134" s="91">
        <f t="shared" si="233"/>
        <v>40.943507219300422</v>
      </c>
      <c r="BR134" s="81">
        <f>$H$134*月別販売比率!BF5</f>
        <v>5.834254143646409</v>
      </c>
      <c r="BS134" s="40">
        <f t="shared" si="140"/>
        <v>45</v>
      </c>
      <c r="BT134" s="39"/>
      <c r="BU134" s="43">
        <f t="shared" si="141"/>
        <v>45</v>
      </c>
      <c r="BV134" s="91">
        <f t="shared" si="236"/>
        <v>39.165745856353588</v>
      </c>
      <c r="BW134" s="157">
        <f t="shared" ref="BW134:BW145" si="353">AF134+AA134+V134+Q134+AK134+AP134+AU134+AZ134+BE134+BJ134+BO134+BT134+K134</f>
        <v>45</v>
      </c>
      <c r="BX134" s="51">
        <f t="shared" ref="BX134:BX145" si="354">BW134-H134</f>
        <v>-27.928176795580114</v>
      </c>
    </row>
    <row r="135" spans="2:76" ht="30.75" customHeight="1">
      <c r="C135" s="504"/>
      <c r="D135" s="441"/>
      <c r="E135" s="94" t="s">
        <v>51</v>
      </c>
      <c r="F135" s="57">
        <v>37</v>
      </c>
      <c r="G135" s="5">
        <f t="shared" ref="G135:G145" si="355">F135*4400</f>
        <v>162800</v>
      </c>
      <c r="H135" s="7">
        <f t="shared" ref="H135:H145" si="356">F135*($H$132/$F$132)</f>
        <v>40.883977900552487</v>
      </c>
      <c r="I135" s="5">
        <f t="shared" si="345"/>
        <v>179889.50276243096</v>
      </c>
      <c r="J135" s="9">
        <v>0</v>
      </c>
      <c r="K135" s="21">
        <f t="shared" si="237"/>
        <v>46</v>
      </c>
      <c r="L135" s="21"/>
      <c r="M135" s="21">
        <v>6</v>
      </c>
      <c r="N135" s="234">
        <v>40</v>
      </c>
      <c r="O135" s="81">
        <f>$H$135*月別販売比率!C5</f>
        <v>2.8972124765592127</v>
      </c>
      <c r="P135" s="10">
        <f t="shared" si="346"/>
        <v>46</v>
      </c>
      <c r="Q135" s="21"/>
      <c r="R135" s="19">
        <f t="shared" si="108"/>
        <v>46</v>
      </c>
      <c r="S135" s="24">
        <f t="shared" si="209"/>
        <v>43.102787523440789</v>
      </c>
      <c r="T135" s="81">
        <f>$H$135*月別販売比率!H5</f>
        <v>2.8618784530386745</v>
      </c>
      <c r="U135" s="10">
        <f t="shared" si="110"/>
        <v>46</v>
      </c>
      <c r="V135" s="21"/>
      <c r="W135" s="10">
        <f t="shared" si="347"/>
        <v>46</v>
      </c>
      <c r="X135" s="24">
        <f t="shared" si="212"/>
        <v>43.138121546961322</v>
      </c>
      <c r="Y135" s="81">
        <f>$H$135*月別販売比率!M5</f>
        <v>4.1318856326797766</v>
      </c>
      <c r="Z135" s="10">
        <f t="shared" si="113"/>
        <v>46</v>
      </c>
      <c r="AA135" s="21"/>
      <c r="AB135" s="97">
        <f t="shared" si="348"/>
        <v>46</v>
      </c>
      <c r="AC135" s="24">
        <f t="shared" si="214"/>
        <v>41.868114367320224</v>
      </c>
      <c r="AD135" s="81">
        <f>$H$135*月別販売比率!R5</f>
        <v>3.270718232044199</v>
      </c>
      <c r="AE135" s="10">
        <f t="shared" si="116"/>
        <v>46</v>
      </c>
      <c r="AF135" s="21"/>
      <c r="AG135" s="10">
        <f t="shared" si="349"/>
        <v>46</v>
      </c>
      <c r="AH135" s="24">
        <f t="shared" si="216"/>
        <v>42.729281767955804</v>
      </c>
      <c r="AI135" s="81">
        <f>$H$135*月別販売比率!W5</f>
        <v>3.113998510665545</v>
      </c>
      <c r="AJ135" s="10">
        <f t="shared" si="119"/>
        <v>46</v>
      </c>
      <c r="AK135" s="21"/>
      <c r="AL135" s="10">
        <f t="shared" si="350"/>
        <v>46</v>
      </c>
      <c r="AM135" s="24">
        <f t="shared" si="218"/>
        <v>42.886001489334454</v>
      </c>
      <c r="AN135" s="81">
        <f>$H$135*月別販売比率!AB5</f>
        <v>4.9060773480662982</v>
      </c>
      <c r="AO135" s="10">
        <f t="shared" si="122"/>
        <v>46</v>
      </c>
      <c r="AP135" s="21"/>
      <c r="AQ135" s="10">
        <f t="shared" si="351"/>
        <v>46</v>
      </c>
      <c r="AR135" s="24">
        <f t="shared" si="220"/>
        <v>41.093922651933703</v>
      </c>
      <c r="AS135" s="81">
        <f>$H$135*月別販売比率!AG5</f>
        <v>4.0883977900552493</v>
      </c>
      <c r="AT135" s="10">
        <f t="shared" si="125"/>
        <v>46</v>
      </c>
      <c r="AU135" s="21"/>
      <c r="AV135" s="10">
        <f t="shared" si="352"/>
        <v>46</v>
      </c>
      <c r="AW135" s="24">
        <f t="shared" si="222"/>
        <v>41.911602209944753</v>
      </c>
      <c r="AX135" s="81">
        <f>$H$135*月別販売比率!AL5</f>
        <v>3.6795580110497239</v>
      </c>
      <c r="AY135" s="10">
        <f t="shared" si="128"/>
        <v>46</v>
      </c>
      <c r="AZ135" s="21"/>
      <c r="BA135" s="19">
        <f t="shared" si="129"/>
        <v>46</v>
      </c>
      <c r="BB135" s="24">
        <f t="shared" si="225"/>
        <v>42.320441988950279</v>
      </c>
      <c r="BC135" s="81">
        <f>$H$135*月別販売比率!AQ5</f>
        <v>4.0883977900552493</v>
      </c>
      <c r="BD135" s="10">
        <f t="shared" si="131"/>
        <v>46</v>
      </c>
      <c r="BE135" s="21"/>
      <c r="BF135" s="19">
        <f t="shared" si="132"/>
        <v>46</v>
      </c>
      <c r="BG135" s="24">
        <f t="shared" si="228"/>
        <v>41.911602209944753</v>
      </c>
      <c r="BH135" s="81">
        <f>$H$135*月別販売比率!AV5</f>
        <v>2.4896043021901835</v>
      </c>
      <c r="BI135" s="10">
        <f t="shared" si="134"/>
        <v>46</v>
      </c>
      <c r="BJ135" s="21"/>
      <c r="BK135" s="19">
        <f t="shared" si="135"/>
        <v>46</v>
      </c>
      <c r="BL135" s="24">
        <f t="shared" si="231"/>
        <v>43.51039569780982</v>
      </c>
      <c r="BM135" s="81">
        <f>$H$135*月別販売比率!BA5</f>
        <v>2.2740944376649166</v>
      </c>
      <c r="BN135" s="10">
        <f t="shared" si="137"/>
        <v>46</v>
      </c>
      <c r="BO135" s="21"/>
      <c r="BP135" s="19">
        <f t="shared" ref="BP135:BP145" si="357">K135+BO135</f>
        <v>46</v>
      </c>
      <c r="BQ135" s="24">
        <f t="shared" si="233"/>
        <v>43.725905562335086</v>
      </c>
      <c r="BR135" s="81">
        <f>$H$135*月別販売比率!BF5</f>
        <v>3.270718232044199</v>
      </c>
      <c r="BS135" s="10">
        <f t="shared" si="140"/>
        <v>46</v>
      </c>
      <c r="BT135" s="21"/>
      <c r="BU135" s="19">
        <f t="shared" si="141"/>
        <v>46</v>
      </c>
      <c r="BV135" s="24">
        <f t="shared" si="236"/>
        <v>42.729281767955804</v>
      </c>
      <c r="BW135" s="158">
        <f t="shared" si="353"/>
        <v>46</v>
      </c>
      <c r="BX135" s="29">
        <f t="shared" si="354"/>
        <v>5.1160220994475125</v>
      </c>
    </row>
    <row r="136" spans="2:76" ht="30.75" customHeight="1">
      <c r="C136" s="504"/>
      <c r="D136" s="441"/>
      <c r="E136" s="94" t="s">
        <v>49</v>
      </c>
      <c r="F136" s="57">
        <v>19</v>
      </c>
      <c r="G136" s="5">
        <f t="shared" si="355"/>
        <v>83600</v>
      </c>
      <c r="H136" s="7">
        <f t="shared" si="356"/>
        <v>20.994475138121548</v>
      </c>
      <c r="I136" s="5">
        <f t="shared" si="345"/>
        <v>92375.69060773481</v>
      </c>
      <c r="J136" s="9">
        <v>45</v>
      </c>
      <c r="K136" s="21">
        <f t="shared" si="237"/>
        <v>26</v>
      </c>
      <c r="L136" s="21">
        <v>14</v>
      </c>
      <c r="M136" s="21">
        <v>2</v>
      </c>
      <c r="N136" s="234">
        <v>10</v>
      </c>
      <c r="O136" s="81">
        <f>$H$136*月別販売比率!C5</f>
        <v>1.4877577582331092</v>
      </c>
      <c r="P136" s="10">
        <f t="shared" si="346"/>
        <v>26</v>
      </c>
      <c r="Q136" s="21"/>
      <c r="R136" s="19">
        <f t="shared" si="108"/>
        <v>26</v>
      </c>
      <c r="S136" s="24">
        <f t="shared" si="209"/>
        <v>24.512242241766891</v>
      </c>
      <c r="T136" s="81">
        <f>$H$136*月別販売比率!H5</f>
        <v>1.4696132596685085</v>
      </c>
      <c r="U136" s="10">
        <f t="shared" si="110"/>
        <v>26</v>
      </c>
      <c r="V136" s="21"/>
      <c r="W136" s="10">
        <f t="shared" si="347"/>
        <v>26</v>
      </c>
      <c r="X136" s="24">
        <f t="shared" si="212"/>
        <v>24.53038674033149</v>
      </c>
      <c r="Y136" s="81">
        <f>$H$136*月別販売比率!M5</f>
        <v>2.1217791086733988</v>
      </c>
      <c r="Z136" s="10">
        <f t="shared" si="113"/>
        <v>26</v>
      </c>
      <c r="AA136" s="21"/>
      <c r="AB136" s="97">
        <f t="shared" si="348"/>
        <v>26</v>
      </c>
      <c r="AC136" s="24">
        <f t="shared" si="214"/>
        <v>23.878220891326603</v>
      </c>
      <c r="AD136" s="81">
        <f>$H$136*月別販売比率!R5</f>
        <v>1.6795580110497239</v>
      </c>
      <c r="AE136" s="10">
        <f t="shared" si="116"/>
        <v>26</v>
      </c>
      <c r="AF136" s="21"/>
      <c r="AG136" s="10">
        <f t="shared" si="349"/>
        <v>26</v>
      </c>
      <c r="AH136" s="24">
        <f t="shared" si="216"/>
        <v>24.320441988950275</v>
      </c>
      <c r="AI136" s="81">
        <f>$H$136*月別販売比率!W5</f>
        <v>1.5990803162877123</v>
      </c>
      <c r="AJ136" s="10">
        <f t="shared" si="119"/>
        <v>26</v>
      </c>
      <c r="AK136" s="21"/>
      <c r="AL136" s="10">
        <f t="shared" si="350"/>
        <v>26</v>
      </c>
      <c r="AM136" s="24">
        <f t="shared" si="218"/>
        <v>24.400919683712289</v>
      </c>
      <c r="AN136" s="81">
        <f>$H$136*月別販売比率!AB5</f>
        <v>2.5193370165745854</v>
      </c>
      <c r="AO136" s="10">
        <f t="shared" si="122"/>
        <v>26</v>
      </c>
      <c r="AP136" s="21"/>
      <c r="AQ136" s="10">
        <f t="shared" si="351"/>
        <v>26</v>
      </c>
      <c r="AR136" s="24">
        <f t="shared" si="220"/>
        <v>23.480662983425415</v>
      </c>
      <c r="AS136" s="81">
        <f>$H$136*月別販売比率!AG5</f>
        <v>2.0994475138121547</v>
      </c>
      <c r="AT136" s="10">
        <f t="shared" si="125"/>
        <v>26</v>
      </c>
      <c r="AU136" s="21"/>
      <c r="AV136" s="10">
        <f t="shared" si="352"/>
        <v>26</v>
      </c>
      <c r="AW136" s="24">
        <f t="shared" si="222"/>
        <v>23.900552486187845</v>
      </c>
      <c r="AX136" s="81">
        <f>$H$136*月別販売比率!AL5</f>
        <v>1.8895027624309393</v>
      </c>
      <c r="AY136" s="10">
        <f t="shared" si="128"/>
        <v>26</v>
      </c>
      <c r="AZ136" s="21"/>
      <c r="BA136" s="19">
        <f t="shared" si="129"/>
        <v>26</v>
      </c>
      <c r="BB136" s="24">
        <f t="shared" si="225"/>
        <v>24.11049723756906</v>
      </c>
      <c r="BC136" s="81">
        <f>$H$136*月別販売比率!AQ5</f>
        <v>2.0994475138121547</v>
      </c>
      <c r="BD136" s="10">
        <f t="shared" si="131"/>
        <v>26</v>
      </c>
      <c r="BE136" s="21"/>
      <c r="BF136" s="19">
        <f t="shared" si="132"/>
        <v>26</v>
      </c>
      <c r="BG136" s="24">
        <f t="shared" si="228"/>
        <v>23.900552486187845</v>
      </c>
      <c r="BH136" s="81">
        <f>$H$136*月別販売比率!AV5</f>
        <v>1.27844545247604</v>
      </c>
      <c r="BI136" s="10">
        <f t="shared" si="134"/>
        <v>26</v>
      </c>
      <c r="BJ136" s="21"/>
      <c r="BK136" s="19">
        <f t="shared" si="135"/>
        <v>26</v>
      </c>
      <c r="BL136" s="24">
        <f t="shared" si="231"/>
        <v>24.721554547523962</v>
      </c>
      <c r="BM136" s="81">
        <f>$H$136*月別販売比率!BA5</f>
        <v>1.1677782247468491</v>
      </c>
      <c r="BN136" s="10">
        <f t="shared" si="137"/>
        <v>26</v>
      </c>
      <c r="BO136" s="21"/>
      <c r="BP136" s="19">
        <f t="shared" si="357"/>
        <v>26</v>
      </c>
      <c r="BQ136" s="24">
        <f t="shared" si="233"/>
        <v>24.832221775253149</v>
      </c>
      <c r="BR136" s="81">
        <f>$H$136*月別販売比率!BF5</f>
        <v>1.6795580110497239</v>
      </c>
      <c r="BS136" s="10">
        <f t="shared" si="140"/>
        <v>26</v>
      </c>
      <c r="BT136" s="21"/>
      <c r="BU136" s="19">
        <f t="shared" si="141"/>
        <v>26</v>
      </c>
      <c r="BV136" s="24">
        <f t="shared" si="236"/>
        <v>24.320441988950275</v>
      </c>
      <c r="BW136" s="158">
        <f t="shared" si="353"/>
        <v>26</v>
      </c>
      <c r="BX136" s="29">
        <f t="shared" si="354"/>
        <v>5.0055248618784525</v>
      </c>
    </row>
    <row r="137" spans="2:76" ht="30.75" customHeight="1">
      <c r="C137" s="504"/>
      <c r="D137" s="442"/>
      <c r="E137" s="94" t="s">
        <v>50</v>
      </c>
      <c r="F137" s="57">
        <v>10</v>
      </c>
      <c r="G137" s="5">
        <f t="shared" si="355"/>
        <v>44000</v>
      </c>
      <c r="H137" s="7">
        <f t="shared" si="356"/>
        <v>11.049723756906078</v>
      </c>
      <c r="I137" s="5">
        <f t="shared" si="345"/>
        <v>48618.784530386743</v>
      </c>
      <c r="J137" s="9">
        <v>7</v>
      </c>
      <c r="K137" s="21">
        <f t="shared" si="237"/>
        <v>27</v>
      </c>
      <c r="L137" s="21">
        <v>14</v>
      </c>
      <c r="M137" s="21">
        <v>3</v>
      </c>
      <c r="N137" s="234">
        <v>10</v>
      </c>
      <c r="O137" s="81">
        <f>$H$137*月別販売比率!C5</f>
        <v>0.78303039907005745</v>
      </c>
      <c r="P137" s="10">
        <f t="shared" si="346"/>
        <v>27</v>
      </c>
      <c r="Q137" s="21"/>
      <c r="R137" s="19">
        <f t="shared" si="108"/>
        <v>27</v>
      </c>
      <c r="S137" s="24">
        <f t="shared" si="209"/>
        <v>26.216969600929943</v>
      </c>
      <c r="T137" s="81">
        <f>$H$137*月別販売比率!H5</f>
        <v>0.77348066298342555</v>
      </c>
      <c r="U137" s="10">
        <f t="shared" si="110"/>
        <v>27</v>
      </c>
      <c r="V137" s="21"/>
      <c r="W137" s="10">
        <f t="shared" si="347"/>
        <v>27</v>
      </c>
      <c r="X137" s="24">
        <f t="shared" si="212"/>
        <v>26.226519337016576</v>
      </c>
      <c r="Y137" s="81">
        <f>$H$137*月別販売比率!M5</f>
        <v>1.1167258466702099</v>
      </c>
      <c r="Z137" s="10">
        <f t="shared" si="113"/>
        <v>27</v>
      </c>
      <c r="AA137" s="21"/>
      <c r="AB137" s="97">
        <f t="shared" si="348"/>
        <v>27</v>
      </c>
      <c r="AC137" s="24">
        <f t="shared" si="214"/>
        <v>25.88327415332979</v>
      </c>
      <c r="AD137" s="81">
        <f>$H$137*月別販売比率!R5</f>
        <v>0.88397790055248626</v>
      </c>
      <c r="AE137" s="10">
        <f t="shared" si="116"/>
        <v>27</v>
      </c>
      <c r="AF137" s="21"/>
      <c r="AG137" s="10">
        <f t="shared" si="349"/>
        <v>27</v>
      </c>
      <c r="AH137" s="24">
        <f t="shared" si="216"/>
        <v>26.116022099447513</v>
      </c>
      <c r="AI137" s="81">
        <f>$H$137*月別販売比率!W5</f>
        <v>0.84162121909879595</v>
      </c>
      <c r="AJ137" s="10">
        <f t="shared" si="119"/>
        <v>27</v>
      </c>
      <c r="AK137" s="21"/>
      <c r="AL137" s="10">
        <f t="shared" si="350"/>
        <v>27</v>
      </c>
      <c r="AM137" s="24">
        <f t="shared" si="218"/>
        <v>26.158378780901202</v>
      </c>
      <c r="AN137" s="81">
        <f>$H$137*月別販売比率!AB5</f>
        <v>1.3259668508287292</v>
      </c>
      <c r="AO137" s="10">
        <f t="shared" si="122"/>
        <v>27</v>
      </c>
      <c r="AP137" s="21"/>
      <c r="AQ137" s="10">
        <f t="shared" si="351"/>
        <v>27</v>
      </c>
      <c r="AR137" s="24">
        <f t="shared" si="220"/>
        <v>25.674033149171272</v>
      </c>
      <c r="AS137" s="81">
        <f>$H$137*月別販売比率!AG5</f>
        <v>1.1049723756906078</v>
      </c>
      <c r="AT137" s="10">
        <f t="shared" si="125"/>
        <v>27</v>
      </c>
      <c r="AU137" s="21"/>
      <c r="AV137" s="10">
        <f t="shared" si="352"/>
        <v>27</v>
      </c>
      <c r="AW137" s="24">
        <f t="shared" si="222"/>
        <v>25.895027624309392</v>
      </c>
      <c r="AX137" s="81">
        <f>$H$137*月別販売比率!AL5</f>
        <v>0.99447513812154698</v>
      </c>
      <c r="AY137" s="10">
        <f t="shared" si="128"/>
        <v>27</v>
      </c>
      <c r="AZ137" s="21"/>
      <c r="BA137" s="19">
        <f t="shared" si="129"/>
        <v>27</v>
      </c>
      <c r="BB137" s="24">
        <f t="shared" si="225"/>
        <v>26.005524861878452</v>
      </c>
      <c r="BC137" s="81">
        <f>$H$137*月別販売比率!AQ5</f>
        <v>1.1049723756906078</v>
      </c>
      <c r="BD137" s="10">
        <f t="shared" si="131"/>
        <v>27</v>
      </c>
      <c r="BE137" s="21"/>
      <c r="BF137" s="19">
        <f t="shared" si="132"/>
        <v>27</v>
      </c>
      <c r="BG137" s="24">
        <f t="shared" si="228"/>
        <v>25.895027624309392</v>
      </c>
      <c r="BH137" s="81">
        <f>$H$137*月別販売比率!AV5</f>
        <v>0.67286602761896841</v>
      </c>
      <c r="BI137" s="10">
        <f t="shared" si="134"/>
        <v>27</v>
      </c>
      <c r="BJ137" s="21"/>
      <c r="BK137" s="19">
        <f t="shared" si="135"/>
        <v>27</v>
      </c>
      <c r="BL137" s="24">
        <f t="shared" si="231"/>
        <v>26.327133972381031</v>
      </c>
      <c r="BM137" s="81">
        <f>$H$137*月別販売比率!BA5</f>
        <v>0.61462011828781526</v>
      </c>
      <c r="BN137" s="10">
        <f t="shared" si="137"/>
        <v>27</v>
      </c>
      <c r="BO137" s="21"/>
      <c r="BP137" s="19">
        <f t="shared" si="357"/>
        <v>27</v>
      </c>
      <c r="BQ137" s="24">
        <f t="shared" si="233"/>
        <v>26.385379881712186</v>
      </c>
      <c r="BR137" s="81">
        <f>$H$137*月別販売比率!BF5</f>
        <v>0.88397790055248626</v>
      </c>
      <c r="BS137" s="10">
        <f t="shared" si="140"/>
        <v>27</v>
      </c>
      <c r="BT137" s="21"/>
      <c r="BU137" s="19">
        <f t="shared" si="141"/>
        <v>27</v>
      </c>
      <c r="BV137" s="24">
        <f t="shared" si="236"/>
        <v>26.116022099447513</v>
      </c>
      <c r="BW137" s="158">
        <f t="shared" si="353"/>
        <v>27</v>
      </c>
      <c r="BX137" s="29">
        <f t="shared" si="354"/>
        <v>15.950276243093922</v>
      </c>
    </row>
    <row r="138" spans="2:76" ht="30.75" customHeight="1">
      <c r="C138" s="504"/>
      <c r="D138" s="441">
        <v>2</v>
      </c>
      <c r="E138" s="94" t="s">
        <v>47</v>
      </c>
      <c r="F138" s="57">
        <v>87</v>
      </c>
      <c r="G138" s="5">
        <f t="shared" si="355"/>
        <v>382800</v>
      </c>
      <c r="H138" s="7">
        <f t="shared" si="356"/>
        <v>96.132596685082873</v>
      </c>
      <c r="I138" s="5">
        <f t="shared" si="345"/>
        <v>422983.42541436467</v>
      </c>
      <c r="J138" s="9">
        <v>0</v>
      </c>
      <c r="K138" s="21">
        <f t="shared" si="237"/>
        <v>1</v>
      </c>
      <c r="L138" s="21"/>
      <c r="M138" s="21">
        <v>1</v>
      </c>
      <c r="N138" s="42"/>
      <c r="O138" s="81">
        <f>$H$138*月別販売比率!C5</f>
        <v>6.8123644719095005</v>
      </c>
      <c r="P138" s="10">
        <f t="shared" si="346"/>
        <v>1</v>
      </c>
      <c r="Q138" s="21"/>
      <c r="R138" s="19">
        <f t="shared" si="108"/>
        <v>1</v>
      </c>
      <c r="S138" s="24">
        <f t="shared" si="209"/>
        <v>-5.8123644719095005</v>
      </c>
      <c r="T138" s="81">
        <f>$H$138*月別販売比率!H5</f>
        <v>6.7292817679558015</v>
      </c>
      <c r="U138" s="10">
        <f t="shared" si="110"/>
        <v>1</v>
      </c>
      <c r="V138" s="21"/>
      <c r="W138" s="10">
        <f t="shared" si="347"/>
        <v>1</v>
      </c>
      <c r="X138" s="24">
        <f t="shared" si="212"/>
        <v>-5.7292817679558015</v>
      </c>
      <c r="Y138" s="81">
        <f>$H$138*月別販売比率!M5</f>
        <v>9.7155148660308264</v>
      </c>
      <c r="Z138" s="10">
        <f t="shared" si="113"/>
        <v>1</v>
      </c>
      <c r="AA138" s="21"/>
      <c r="AB138" s="97">
        <f t="shared" si="348"/>
        <v>1</v>
      </c>
      <c r="AC138" s="24">
        <f t="shared" si="214"/>
        <v>-8.7155148660308264</v>
      </c>
      <c r="AD138" s="81">
        <f>$H$138*月別販売比率!R5</f>
        <v>7.6906077348066297</v>
      </c>
      <c r="AE138" s="10">
        <f t="shared" si="116"/>
        <v>1</v>
      </c>
      <c r="AF138" s="21"/>
      <c r="AG138" s="10">
        <f t="shared" si="349"/>
        <v>1</v>
      </c>
      <c r="AH138" s="24">
        <f t="shared" si="216"/>
        <v>-6.6906077348066297</v>
      </c>
      <c r="AI138" s="81">
        <f>$H$138*月別販売比率!W5</f>
        <v>7.3221046061595247</v>
      </c>
      <c r="AJ138" s="10">
        <f t="shared" si="119"/>
        <v>1</v>
      </c>
      <c r="AK138" s="21"/>
      <c r="AL138" s="10">
        <f t="shared" si="350"/>
        <v>1</v>
      </c>
      <c r="AM138" s="24">
        <f t="shared" si="218"/>
        <v>-6.3221046061595247</v>
      </c>
      <c r="AN138" s="81">
        <f>$H$138*月別販売比率!AB5</f>
        <v>11.535911602209945</v>
      </c>
      <c r="AO138" s="10">
        <f t="shared" si="122"/>
        <v>1</v>
      </c>
      <c r="AP138" s="21"/>
      <c r="AQ138" s="10">
        <f t="shared" si="351"/>
        <v>1</v>
      </c>
      <c r="AR138" s="24">
        <f t="shared" si="220"/>
        <v>-10.535911602209945</v>
      </c>
      <c r="AS138" s="81">
        <f>$H$138*月別販売比率!AG5</f>
        <v>9.6132596685082881</v>
      </c>
      <c r="AT138" s="10">
        <f t="shared" si="125"/>
        <v>1</v>
      </c>
      <c r="AU138" s="21"/>
      <c r="AV138" s="10">
        <f t="shared" si="352"/>
        <v>1</v>
      </c>
      <c r="AW138" s="24">
        <f t="shared" si="222"/>
        <v>-8.6132596685082881</v>
      </c>
      <c r="AX138" s="81">
        <f>$H$138*月別販売比率!AL5</f>
        <v>8.6519337016574589</v>
      </c>
      <c r="AY138" s="10">
        <f t="shared" si="128"/>
        <v>1</v>
      </c>
      <c r="AZ138" s="21"/>
      <c r="BA138" s="19">
        <f t="shared" si="129"/>
        <v>1</v>
      </c>
      <c r="BB138" s="24">
        <f t="shared" si="225"/>
        <v>-7.6519337016574589</v>
      </c>
      <c r="BC138" s="81">
        <f>$H$138*月別販売比率!AQ5</f>
        <v>9.6132596685082881</v>
      </c>
      <c r="BD138" s="10">
        <f t="shared" si="131"/>
        <v>1</v>
      </c>
      <c r="BE138" s="21"/>
      <c r="BF138" s="19">
        <f t="shared" si="132"/>
        <v>1</v>
      </c>
      <c r="BG138" s="24">
        <f t="shared" si="228"/>
        <v>-8.6132596685082881</v>
      </c>
      <c r="BH138" s="81">
        <f>$H$138*月別販売比率!AV5</f>
        <v>5.8539344402850251</v>
      </c>
      <c r="BI138" s="10">
        <f t="shared" si="134"/>
        <v>1</v>
      </c>
      <c r="BJ138" s="21"/>
      <c r="BK138" s="19">
        <f t="shared" si="135"/>
        <v>1</v>
      </c>
      <c r="BL138" s="24">
        <f t="shared" si="231"/>
        <v>-4.8539344402850251</v>
      </c>
      <c r="BM138" s="81">
        <f>$H$138*月別販売比率!BA5</f>
        <v>5.3471950291039931</v>
      </c>
      <c r="BN138" s="10">
        <f t="shared" si="137"/>
        <v>1</v>
      </c>
      <c r="BO138" s="21"/>
      <c r="BP138" s="19">
        <f t="shared" si="357"/>
        <v>1</v>
      </c>
      <c r="BQ138" s="24">
        <f t="shared" si="233"/>
        <v>-4.3471950291039931</v>
      </c>
      <c r="BR138" s="81">
        <f>$H$138*月別販売比率!BF5</f>
        <v>7.6906077348066297</v>
      </c>
      <c r="BS138" s="10">
        <f t="shared" si="140"/>
        <v>1</v>
      </c>
      <c r="BT138" s="21"/>
      <c r="BU138" s="19">
        <f t="shared" si="141"/>
        <v>1</v>
      </c>
      <c r="BV138" s="24">
        <f t="shared" si="236"/>
        <v>-6.6906077348066297</v>
      </c>
      <c r="BW138" s="158">
        <f t="shared" si="353"/>
        <v>1</v>
      </c>
      <c r="BX138" s="29">
        <f t="shared" si="354"/>
        <v>-95.132596685082873</v>
      </c>
    </row>
    <row r="139" spans="2:76" ht="30.75" customHeight="1">
      <c r="C139" s="504"/>
      <c r="D139" s="441"/>
      <c r="E139" s="94" t="s">
        <v>51</v>
      </c>
      <c r="F139" s="57">
        <v>58</v>
      </c>
      <c r="G139" s="5">
        <f t="shared" si="355"/>
        <v>255200</v>
      </c>
      <c r="H139" s="7">
        <f t="shared" si="356"/>
        <v>64.088397790055254</v>
      </c>
      <c r="I139" s="5">
        <f t="shared" si="345"/>
        <v>281988.95027624309</v>
      </c>
      <c r="J139" s="9">
        <v>0</v>
      </c>
      <c r="K139" s="21">
        <f t="shared" si="237"/>
        <v>5</v>
      </c>
      <c r="L139" s="21"/>
      <c r="M139" s="21">
        <v>5</v>
      </c>
      <c r="N139" s="42"/>
      <c r="O139" s="81">
        <f>$H$139*月別販売比率!C5</f>
        <v>4.5415763146063339</v>
      </c>
      <c r="P139" s="10">
        <f t="shared" si="346"/>
        <v>5</v>
      </c>
      <c r="Q139" s="21"/>
      <c r="R139" s="19">
        <f t="shared" si="108"/>
        <v>5</v>
      </c>
      <c r="S139" s="24">
        <f t="shared" si="209"/>
        <v>0.45842368539366607</v>
      </c>
      <c r="T139" s="81">
        <f>$H$139*月別販売比率!H5</f>
        <v>4.4861878453038679</v>
      </c>
      <c r="U139" s="10">
        <f t="shared" si="110"/>
        <v>5</v>
      </c>
      <c r="V139" s="21"/>
      <c r="W139" s="10">
        <f t="shared" si="347"/>
        <v>5</v>
      </c>
      <c r="X139" s="24">
        <f t="shared" si="212"/>
        <v>0.51381215469613206</v>
      </c>
      <c r="Y139" s="81">
        <f>$H$139*月別販売比率!M5</f>
        <v>6.4770099106872179</v>
      </c>
      <c r="Z139" s="10">
        <f t="shared" si="113"/>
        <v>5</v>
      </c>
      <c r="AA139" s="21"/>
      <c r="AB139" s="97">
        <f t="shared" si="348"/>
        <v>5</v>
      </c>
      <c r="AC139" s="24">
        <f t="shared" si="214"/>
        <v>-1.4770099106872179</v>
      </c>
      <c r="AD139" s="81">
        <f>$H$139*月別販売比率!R5</f>
        <v>5.1270718232044201</v>
      </c>
      <c r="AE139" s="10">
        <f t="shared" si="116"/>
        <v>5</v>
      </c>
      <c r="AF139" s="21"/>
      <c r="AG139" s="10">
        <f t="shared" si="349"/>
        <v>5</v>
      </c>
      <c r="AH139" s="24">
        <f t="shared" si="216"/>
        <v>-0.12707182320442012</v>
      </c>
      <c r="AI139" s="81">
        <f>$H$139*月別販売比率!W5</f>
        <v>4.8814030707730165</v>
      </c>
      <c r="AJ139" s="10">
        <f t="shared" si="119"/>
        <v>5</v>
      </c>
      <c r="AK139" s="21"/>
      <c r="AL139" s="10">
        <f t="shared" si="350"/>
        <v>5</v>
      </c>
      <c r="AM139" s="24">
        <f t="shared" si="218"/>
        <v>0.11859692922698351</v>
      </c>
      <c r="AN139" s="81">
        <f>$H$139*月別販売比率!AB5</f>
        <v>7.6906077348066297</v>
      </c>
      <c r="AO139" s="10">
        <f t="shared" si="122"/>
        <v>5</v>
      </c>
      <c r="AP139" s="21"/>
      <c r="AQ139" s="10">
        <f t="shared" si="351"/>
        <v>5</v>
      </c>
      <c r="AR139" s="24">
        <f t="shared" si="220"/>
        <v>-2.6906077348066297</v>
      </c>
      <c r="AS139" s="81">
        <f>$H$139*月別販売比率!AG5</f>
        <v>6.4088397790055254</v>
      </c>
      <c r="AT139" s="10">
        <f t="shared" si="125"/>
        <v>5</v>
      </c>
      <c r="AU139" s="21"/>
      <c r="AV139" s="10">
        <f t="shared" si="352"/>
        <v>5</v>
      </c>
      <c r="AW139" s="24">
        <f t="shared" si="222"/>
        <v>-1.4088397790055254</v>
      </c>
      <c r="AX139" s="81">
        <f>$H$139*月別販売比率!AL5</f>
        <v>5.7679558011049723</v>
      </c>
      <c r="AY139" s="10">
        <f t="shared" si="128"/>
        <v>5</v>
      </c>
      <c r="AZ139" s="21"/>
      <c r="BA139" s="19">
        <f t="shared" si="129"/>
        <v>5</v>
      </c>
      <c r="BB139" s="24">
        <f t="shared" si="225"/>
        <v>-0.7679558011049723</v>
      </c>
      <c r="BC139" s="81">
        <f>$H$139*月別販売比率!AQ5</f>
        <v>6.4088397790055254</v>
      </c>
      <c r="BD139" s="10">
        <f t="shared" si="131"/>
        <v>5</v>
      </c>
      <c r="BE139" s="21"/>
      <c r="BF139" s="19">
        <f t="shared" si="132"/>
        <v>5</v>
      </c>
      <c r="BG139" s="24">
        <f t="shared" si="228"/>
        <v>-1.4088397790055254</v>
      </c>
      <c r="BH139" s="81">
        <f>$H$139*月別販売比率!AV5</f>
        <v>3.9026229601900173</v>
      </c>
      <c r="BI139" s="10">
        <f t="shared" si="134"/>
        <v>5</v>
      </c>
      <c r="BJ139" s="21"/>
      <c r="BK139" s="19">
        <f t="shared" si="135"/>
        <v>5</v>
      </c>
      <c r="BL139" s="24">
        <f t="shared" si="231"/>
        <v>1.0973770398099827</v>
      </c>
      <c r="BM139" s="81">
        <f>$H$139*月別販売比率!BA5</f>
        <v>3.5647966860693288</v>
      </c>
      <c r="BN139" s="10">
        <f t="shared" si="137"/>
        <v>5</v>
      </c>
      <c r="BO139" s="21"/>
      <c r="BP139" s="19">
        <f t="shared" si="357"/>
        <v>5</v>
      </c>
      <c r="BQ139" s="24">
        <f t="shared" si="233"/>
        <v>1.4352033139306712</v>
      </c>
      <c r="BR139" s="81">
        <f>$H$139*月別販売比率!BF5</f>
        <v>5.1270718232044201</v>
      </c>
      <c r="BS139" s="10">
        <f t="shared" si="140"/>
        <v>5</v>
      </c>
      <c r="BT139" s="21"/>
      <c r="BU139" s="19">
        <f t="shared" si="141"/>
        <v>5</v>
      </c>
      <c r="BV139" s="24">
        <f t="shared" si="236"/>
        <v>-0.12707182320442012</v>
      </c>
      <c r="BW139" s="158">
        <f t="shared" si="353"/>
        <v>5</v>
      </c>
      <c r="BX139" s="29">
        <f t="shared" si="354"/>
        <v>-59.088397790055254</v>
      </c>
    </row>
    <row r="140" spans="2:76" ht="30.75" customHeight="1">
      <c r="C140" s="504"/>
      <c r="D140" s="441"/>
      <c r="E140" s="94" t="s">
        <v>49</v>
      </c>
      <c r="F140" s="57">
        <v>15</v>
      </c>
      <c r="G140" s="5">
        <f t="shared" si="355"/>
        <v>66000</v>
      </c>
      <c r="H140" s="7">
        <f t="shared" si="356"/>
        <v>16.574585635359117</v>
      </c>
      <c r="I140" s="5">
        <f t="shared" si="345"/>
        <v>72928.176795580119</v>
      </c>
      <c r="J140" s="9">
        <v>0</v>
      </c>
      <c r="K140" s="21">
        <f t="shared" si="237"/>
        <v>4</v>
      </c>
      <c r="L140" s="21">
        <v>2</v>
      </c>
      <c r="M140" s="21">
        <v>2</v>
      </c>
      <c r="N140" s="42"/>
      <c r="O140" s="81">
        <f>$H$140*月別販売比率!C5</f>
        <v>1.1745455986050863</v>
      </c>
      <c r="P140" s="10">
        <f t="shared" si="346"/>
        <v>4</v>
      </c>
      <c r="Q140" s="21"/>
      <c r="R140" s="19">
        <f t="shared" si="108"/>
        <v>4</v>
      </c>
      <c r="S140" s="24">
        <f t="shared" si="209"/>
        <v>2.8254544013949134</v>
      </c>
      <c r="T140" s="81">
        <f>$H$140*月別販売比率!H5</f>
        <v>1.1602209944751383</v>
      </c>
      <c r="U140" s="10">
        <f t="shared" si="110"/>
        <v>4</v>
      </c>
      <c r="V140" s="21"/>
      <c r="W140" s="10">
        <f t="shared" si="347"/>
        <v>4</v>
      </c>
      <c r="X140" s="24">
        <f t="shared" si="212"/>
        <v>2.8397790055248615</v>
      </c>
      <c r="Y140" s="81">
        <f>$H$140*月別販売比率!M5</f>
        <v>1.675088770005315</v>
      </c>
      <c r="Z140" s="10">
        <f t="shared" si="113"/>
        <v>4</v>
      </c>
      <c r="AA140" s="21"/>
      <c r="AB140" s="97">
        <f t="shared" si="348"/>
        <v>4</v>
      </c>
      <c r="AC140" s="24">
        <f t="shared" si="214"/>
        <v>2.3249112299946848</v>
      </c>
      <c r="AD140" s="81">
        <f>$H$140*月別販売比率!R5</f>
        <v>1.3259668508287294</v>
      </c>
      <c r="AE140" s="10">
        <f t="shared" si="116"/>
        <v>4</v>
      </c>
      <c r="AF140" s="21"/>
      <c r="AG140" s="10">
        <f t="shared" si="349"/>
        <v>4</v>
      </c>
      <c r="AH140" s="24">
        <f t="shared" si="216"/>
        <v>2.6740331491712706</v>
      </c>
      <c r="AI140" s="81">
        <f>$H$140*月別販売比率!W5</f>
        <v>1.2624318286481939</v>
      </c>
      <c r="AJ140" s="10">
        <f t="shared" si="119"/>
        <v>4</v>
      </c>
      <c r="AK140" s="21"/>
      <c r="AL140" s="10">
        <f t="shared" si="350"/>
        <v>4</v>
      </c>
      <c r="AM140" s="24">
        <f t="shared" si="218"/>
        <v>2.7375681713518061</v>
      </c>
      <c r="AN140" s="81">
        <f>$H$140*月別販売比率!AB5</f>
        <v>1.988950276243094</v>
      </c>
      <c r="AO140" s="10">
        <f t="shared" si="122"/>
        <v>4</v>
      </c>
      <c r="AP140" s="21"/>
      <c r="AQ140" s="10">
        <f t="shared" si="351"/>
        <v>4</v>
      </c>
      <c r="AR140" s="24">
        <f t="shared" si="220"/>
        <v>2.0110497237569058</v>
      </c>
      <c r="AS140" s="81">
        <f>$H$140*月別販売比率!AG5</f>
        <v>1.6574585635359118</v>
      </c>
      <c r="AT140" s="10">
        <f t="shared" si="125"/>
        <v>4</v>
      </c>
      <c r="AU140" s="21"/>
      <c r="AV140" s="10">
        <f t="shared" si="352"/>
        <v>4</v>
      </c>
      <c r="AW140" s="24">
        <f t="shared" si="222"/>
        <v>2.3425414364640882</v>
      </c>
      <c r="AX140" s="81">
        <f>$H$140*月別販売比率!AL5</f>
        <v>1.4917127071823204</v>
      </c>
      <c r="AY140" s="10">
        <f t="shared" si="128"/>
        <v>4</v>
      </c>
      <c r="AZ140" s="21"/>
      <c r="BA140" s="19">
        <f t="shared" si="129"/>
        <v>4</v>
      </c>
      <c r="BB140" s="24">
        <f t="shared" si="225"/>
        <v>2.5082872928176796</v>
      </c>
      <c r="BC140" s="81">
        <f>$H$140*月別販売比率!AQ5</f>
        <v>1.6574585635359118</v>
      </c>
      <c r="BD140" s="10">
        <f t="shared" si="131"/>
        <v>4</v>
      </c>
      <c r="BE140" s="21"/>
      <c r="BF140" s="19">
        <f t="shared" si="132"/>
        <v>4</v>
      </c>
      <c r="BG140" s="24">
        <f t="shared" si="228"/>
        <v>2.3425414364640882</v>
      </c>
      <c r="BH140" s="81">
        <f>$H$140*月別販売比率!AV5</f>
        <v>1.0092990414284528</v>
      </c>
      <c r="BI140" s="10">
        <f t="shared" si="134"/>
        <v>4</v>
      </c>
      <c r="BJ140" s="21"/>
      <c r="BK140" s="19">
        <f t="shared" si="135"/>
        <v>4</v>
      </c>
      <c r="BL140" s="24">
        <f t="shared" si="231"/>
        <v>2.9907009585715469</v>
      </c>
      <c r="BM140" s="81">
        <f>$H$140*月別販売比率!BA5</f>
        <v>0.92193017743172301</v>
      </c>
      <c r="BN140" s="10">
        <f t="shared" si="137"/>
        <v>4</v>
      </c>
      <c r="BO140" s="21"/>
      <c r="BP140" s="19">
        <f t="shared" si="357"/>
        <v>4</v>
      </c>
      <c r="BQ140" s="24">
        <f t="shared" si="233"/>
        <v>3.0780698225682768</v>
      </c>
      <c r="BR140" s="81">
        <f>$H$140*月別販売比率!BF5</f>
        <v>1.3259668508287294</v>
      </c>
      <c r="BS140" s="10">
        <f t="shared" si="140"/>
        <v>4</v>
      </c>
      <c r="BT140" s="21"/>
      <c r="BU140" s="19">
        <f t="shared" si="141"/>
        <v>4</v>
      </c>
      <c r="BV140" s="24">
        <f t="shared" si="236"/>
        <v>2.6740331491712706</v>
      </c>
      <c r="BW140" s="158">
        <f t="shared" si="353"/>
        <v>4</v>
      </c>
      <c r="BX140" s="29">
        <f t="shared" si="354"/>
        <v>-12.574585635359117</v>
      </c>
    </row>
    <row r="141" spans="2:76" ht="30.75" customHeight="1">
      <c r="C141" s="504"/>
      <c r="D141" s="442"/>
      <c r="E141" s="94" t="s">
        <v>50</v>
      </c>
      <c r="F141" s="57">
        <v>12</v>
      </c>
      <c r="G141" s="5">
        <f t="shared" si="355"/>
        <v>52800</v>
      </c>
      <c r="H141" s="7">
        <f t="shared" si="356"/>
        <v>13.259668508287294</v>
      </c>
      <c r="I141" s="5">
        <f t="shared" si="345"/>
        <v>58342.541436464096</v>
      </c>
      <c r="J141" s="9">
        <v>0</v>
      </c>
      <c r="K141" s="21">
        <f t="shared" si="237"/>
        <v>3</v>
      </c>
      <c r="L141" s="21"/>
      <c r="M141" s="21">
        <v>3</v>
      </c>
      <c r="N141" s="42"/>
      <c r="O141" s="81">
        <f>$H$141*月別販売比率!C5</f>
        <v>0.93963647888406909</v>
      </c>
      <c r="P141" s="10">
        <f t="shared" si="346"/>
        <v>3</v>
      </c>
      <c r="Q141" s="21"/>
      <c r="R141" s="19">
        <f t="shared" si="108"/>
        <v>3</v>
      </c>
      <c r="S141" s="24">
        <f t="shared" si="209"/>
        <v>2.060363521115931</v>
      </c>
      <c r="T141" s="81">
        <f>$H$141*月別販売比率!H5</f>
        <v>0.92817679558011068</v>
      </c>
      <c r="U141" s="10">
        <f t="shared" si="110"/>
        <v>3</v>
      </c>
      <c r="V141" s="21"/>
      <c r="W141" s="10">
        <f t="shared" si="347"/>
        <v>3</v>
      </c>
      <c r="X141" s="24">
        <f t="shared" si="212"/>
        <v>2.0718232044198892</v>
      </c>
      <c r="Y141" s="81">
        <f>$H$141*月別販売比率!M5</f>
        <v>1.3400710160042522</v>
      </c>
      <c r="Z141" s="10">
        <f t="shared" si="113"/>
        <v>3</v>
      </c>
      <c r="AA141" s="21"/>
      <c r="AB141" s="97">
        <f t="shared" si="348"/>
        <v>3</v>
      </c>
      <c r="AC141" s="24">
        <f t="shared" si="214"/>
        <v>1.6599289839957478</v>
      </c>
      <c r="AD141" s="81">
        <f>$H$141*月別販売比率!R5</f>
        <v>1.0607734806629836</v>
      </c>
      <c r="AE141" s="10">
        <f t="shared" si="116"/>
        <v>3</v>
      </c>
      <c r="AF141" s="21"/>
      <c r="AG141" s="10">
        <f t="shared" si="349"/>
        <v>3</v>
      </c>
      <c r="AH141" s="24">
        <f t="shared" si="216"/>
        <v>1.9392265193370164</v>
      </c>
      <c r="AI141" s="81">
        <f>$H$141*月別販売比率!W5</f>
        <v>1.0099454629185551</v>
      </c>
      <c r="AJ141" s="10">
        <f t="shared" si="119"/>
        <v>3</v>
      </c>
      <c r="AK141" s="21"/>
      <c r="AL141" s="10">
        <f t="shared" si="350"/>
        <v>3</v>
      </c>
      <c r="AM141" s="24">
        <f t="shared" si="218"/>
        <v>1.9900545370814449</v>
      </c>
      <c r="AN141" s="81">
        <f>$H$141*月別販売比率!AB5</f>
        <v>1.5911602209944753</v>
      </c>
      <c r="AO141" s="10">
        <f t="shared" si="122"/>
        <v>3</v>
      </c>
      <c r="AP141" s="21"/>
      <c r="AQ141" s="10">
        <f t="shared" si="351"/>
        <v>3</v>
      </c>
      <c r="AR141" s="24">
        <f t="shared" si="220"/>
        <v>1.4088397790055247</v>
      </c>
      <c r="AS141" s="81">
        <f>$H$141*月別販売比率!AG5</f>
        <v>1.3259668508287294</v>
      </c>
      <c r="AT141" s="10">
        <f t="shared" si="125"/>
        <v>3</v>
      </c>
      <c r="AU141" s="21"/>
      <c r="AV141" s="10">
        <f t="shared" si="352"/>
        <v>3</v>
      </c>
      <c r="AW141" s="24">
        <f t="shared" si="222"/>
        <v>1.6740331491712706</v>
      </c>
      <c r="AX141" s="81">
        <f>$H$141*月別販売比率!AL5</f>
        <v>1.1933701657458564</v>
      </c>
      <c r="AY141" s="10">
        <f t="shared" si="128"/>
        <v>3</v>
      </c>
      <c r="AZ141" s="21"/>
      <c r="BA141" s="19">
        <f t="shared" si="129"/>
        <v>3</v>
      </c>
      <c r="BB141" s="24">
        <f t="shared" si="225"/>
        <v>1.8066298342541436</v>
      </c>
      <c r="BC141" s="81">
        <f>$H$141*月別販売比率!AQ5</f>
        <v>1.3259668508287294</v>
      </c>
      <c r="BD141" s="10">
        <f t="shared" si="131"/>
        <v>3</v>
      </c>
      <c r="BE141" s="21"/>
      <c r="BF141" s="19">
        <f t="shared" si="132"/>
        <v>3</v>
      </c>
      <c r="BG141" s="24">
        <f t="shared" si="228"/>
        <v>1.6740331491712706</v>
      </c>
      <c r="BH141" s="81">
        <f>$H$141*月別販売比率!AV5</f>
        <v>0.80743923314276222</v>
      </c>
      <c r="BI141" s="10">
        <f t="shared" si="134"/>
        <v>3</v>
      </c>
      <c r="BJ141" s="21"/>
      <c r="BK141" s="19">
        <f t="shared" si="135"/>
        <v>3</v>
      </c>
      <c r="BL141" s="24">
        <f t="shared" si="231"/>
        <v>2.1925607668572376</v>
      </c>
      <c r="BM141" s="81">
        <f>$H$141*月別販売比率!BA5</f>
        <v>0.73754414194537843</v>
      </c>
      <c r="BN141" s="10">
        <f t="shared" si="137"/>
        <v>3</v>
      </c>
      <c r="BO141" s="21"/>
      <c r="BP141" s="19">
        <f t="shared" si="357"/>
        <v>3</v>
      </c>
      <c r="BQ141" s="24">
        <f t="shared" si="233"/>
        <v>2.2624558580546217</v>
      </c>
      <c r="BR141" s="81">
        <f>$H$141*月別販売比率!BF5</f>
        <v>1.0607734806629836</v>
      </c>
      <c r="BS141" s="10">
        <f t="shared" si="140"/>
        <v>3</v>
      </c>
      <c r="BT141" s="21"/>
      <c r="BU141" s="19">
        <f t="shared" si="141"/>
        <v>3</v>
      </c>
      <c r="BV141" s="24">
        <f t="shared" si="236"/>
        <v>1.9392265193370164</v>
      </c>
      <c r="BW141" s="158">
        <f t="shared" si="353"/>
        <v>3</v>
      </c>
      <c r="BX141" s="29">
        <f t="shared" si="354"/>
        <v>-10.259668508287294</v>
      </c>
    </row>
    <row r="142" spans="2:76" ht="30.75" customHeight="1">
      <c r="C142" s="504"/>
      <c r="D142" s="441">
        <v>3</v>
      </c>
      <c r="E142" s="94" t="s">
        <v>47</v>
      </c>
      <c r="F142" s="57">
        <v>59</v>
      </c>
      <c r="G142" s="5">
        <f t="shared" si="355"/>
        <v>259600</v>
      </c>
      <c r="H142" s="7">
        <f t="shared" si="356"/>
        <v>65.193370165745861</v>
      </c>
      <c r="I142" s="5">
        <f t="shared" si="345"/>
        <v>286850.82872928178</v>
      </c>
      <c r="J142" s="9">
        <v>0</v>
      </c>
      <c r="K142" s="21">
        <f t="shared" si="237"/>
        <v>3</v>
      </c>
      <c r="L142" s="21"/>
      <c r="M142" s="21">
        <v>3</v>
      </c>
      <c r="N142" s="42"/>
      <c r="O142" s="81">
        <f>$H$142*月別販売比率!C5</f>
        <v>4.6198793545133396</v>
      </c>
      <c r="P142" s="10">
        <f t="shared" si="346"/>
        <v>3</v>
      </c>
      <c r="Q142" s="21">
        <v>120</v>
      </c>
      <c r="R142" s="19">
        <f t="shared" si="108"/>
        <v>123</v>
      </c>
      <c r="S142" s="24">
        <f t="shared" si="209"/>
        <v>118.38012064548666</v>
      </c>
      <c r="T142" s="81">
        <f>$H$142*月別販売比率!H5</f>
        <v>4.5635359116022105</v>
      </c>
      <c r="U142" s="10">
        <f t="shared" si="110"/>
        <v>3</v>
      </c>
      <c r="V142" s="21"/>
      <c r="W142" s="10">
        <f t="shared" si="347"/>
        <v>3</v>
      </c>
      <c r="X142" s="24">
        <f t="shared" si="212"/>
        <v>-1.5635359116022105</v>
      </c>
      <c r="Y142" s="81">
        <f>$H$142*月別販売比率!M5</f>
        <v>6.5886824953542389</v>
      </c>
      <c r="Z142" s="10">
        <f t="shared" si="113"/>
        <v>3</v>
      </c>
      <c r="AA142" s="21"/>
      <c r="AB142" s="97">
        <f t="shared" si="348"/>
        <v>3</v>
      </c>
      <c r="AC142" s="24">
        <f t="shared" si="214"/>
        <v>-3.5886824953542389</v>
      </c>
      <c r="AD142" s="81">
        <f>$H$142*月別販売比率!R5</f>
        <v>5.2154696132596694</v>
      </c>
      <c r="AE142" s="10">
        <f t="shared" si="116"/>
        <v>3</v>
      </c>
      <c r="AF142" s="21"/>
      <c r="AG142" s="10">
        <f t="shared" si="349"/>
        <v>3</v>
      </c>
      <c r="AH142" s="24">
        <f t="shared" si="216"/>
        <v>-2.2154696132596694</v>
      </c>
      <c r="AI142" s="81">
        <f>$H$142*月別販売比率!W5</f>
        <v>4.9655651926828961</v>
      </c>
      <c r="AJ142" s="10">
        <f t="shared" si="119"/>
        <v>3</v>
      </c>
      <c r="AK142" s="21"/>
      <c r="AL142" s="10">
        <f t="shared" si="350"/>
        <v>3</v>
      </c>
      <c r="AM142" s="24">
        <f t="shared" si="218"/>
        <v>-1.9655651926828961</v>
      </c>
      <c r="AN142" s="81">
        <f>$H$142*月別販売比率!AB5</f>
        <v>7.8232044198895032</v>
      </c>
      <c r="AO142" s="10">
        <f t="shared" si="122"/>
        <v>3</v>
      </c>
      <c r="AP142" s="21"/>
      <c r="AQ142" s="10">
        <f t="shared" si="351"/>
        <v>3</v>
      </c>
      <c r="AR142" s="24">
        <f t="shared" si="220"/>
        <v>-4.8232044198895032</v>
      </c>
      <c r="AS142" s="81">
        <f>$H$142*月別販売比率!AG5</f>
        <v>6.5193370165745863</v>
      </c>
      <c r="AT142" s="10">
        <f t="shared" si="125"/>
        <v>3</v>
      </c>
      <c r="AU142" s="21"/>
      <c r="AV142" s="10">
        <f t="shared" si="352"/>
        <v>3</v>
      </c>
      <c r="AW142" s="24">
        <f t="shared" si="222"/>
        <v>-3.5193370165745863</v>
      </c>
      <c r="AX142" s="81">
        <f>$H$142*月別販売比率!AL5</f>
        <v>5.8674033149171274</v>
      </c>
      <c r="AY142" s="10">
        <f t="shared" si="128"/>
        <v>3</v>
      </c>
      <c r="AZ142" s="21"/>
      <c r="BA142" s="19">
        <f t="shared" si="129"/>
        <v>3</v>
      </c>
      <c r="BB142" s="24">
        <f t="shared" si="225"/>
        <v>-2.8674033149171274</v>
      </c>
      <c r="BC142" s="81">
        <f>$H$142*月別販売比率!AQ5</f>
        <v>6.5193370165745863</v>
      </c>
      <c r="BD142" s="10">
        <f t="shared" si="131"/>
        <v>3</v>
      </c>
      <c r="BE142" s="21"/>
      <c r="BF142" s="19">
        <f t="shared" si="132"/>
        <v>3</v>
      </c>
      <c r="BG142" s="24">
        <f t="shared" si="228"/>
        <v>-3.5193370165745863</v>
      </c>
      <c r="BH142" s="81">
        <f>$H$142*月別販売比率!AV5</f>
        <v>3.9699095629519139</v>
      </c>
      <c r="BI142" s="10">
        <f t="shared" si="134"/>
        <v>3</v>
      </c>
      <c r="BJ142" s="21"/>
      <c r="BK142" s="19">
        <f t="shared" si="135"/>
        <v>3</v>
      </c>
      <c r="BL142" s="24">
        <f t="shared" si="231"/>
        <v>-0.96990956295191388</v>
      </c>
      <c r="BM142" s="81">
        <f>$H$142*月別販売比率!BA5</f>
        <v>3.6262586978981104</v>
      </c>
      <c r="BN142" s="10">
        <f t="shared" si="137"/>
        <v>3</v>
      </c>
      <c r="BO142" s="21"/>
      <c r="BP142" s="19">
        <f t="shared" si="357"/>
        <v>3</v>
      </c>
      <c r="BQ142" s="24">
        <f t="shared" si="233"/>
        <v>-0.62625869789811039</v>
      </c>
      <c r="BR142" s="81">
        <f>$H$142*月別販売比率!BF5</f>
        <v>5.2154696132596694</v>
      </c>
      <c r="BS142" s="10">
        <f t="shared" si="140"/>
        <v>3</v>
      </c>
      <c r="BT142" s="21"/>
      <c r="BU142" s="19">
        <f t="shared" si="141"/>
        <v>3</v>
      </c>
      <c r="BV142" s="24">
        <f t="shared" si="236"/>
        <v>-2.2154696132596694</v>
      </c>
      <c r="BW142" s="158">
        <f t="shared" si="353"/>
        <v>123</v>
      </c>
      <c r="BX142" s="29">
        <f t="shared" si="354"/>
        <v>57.806629834254139</v>
      </c>
    </row>
    <row r="143" spans="2:76" ht="30.75" customHeight="1">
      <c r="C143" s="504"/>
      <c r="D143" s="441"/>
      <c r="E143" s="94" t="s">
        <v>51</v>
      </c>
      <c r="F143" s="57">
        <v>71</v>
      </c>
      <c r="G143" s="5">
        <f t="shared" si="355"/>
        <v>312400</v>
      </c>
      <c r="H143" s="7">
        <f t="shared" si="356"/>
        <v>78.453038674033152</v>
      </c>
      <c r="I143" s="5">
        <f t="shared" si="345"/>
        <v>345193.37016574584</v>
      </c>
      <c r="J143" s="9">
        <v>35</v>
      </c>
      <c r="K143" s="21">
        <f t="shared" si="237"/>
        <v>13</v>
      </c>
      <c r="L143" s="21">
        <v>7</v>
      </c>
      <c r="M143" s="21">
        <v>6</v>
      </c>
      <c r="N143" s="42"/>
      <c r="O143" s="81">
        <f>$H$143*月別販売比率!C5</f>
        <v>5.5595158333974082</v>
      </c>
      <c r="P143" s="10">
        <f t="shared" si="346"/>
        <v>13</v>
      </c>
      <c r="Q143" s="21">
        <v>160</v>
      </c>
      <c r="R143" s="19">
        <f t="shared" si="108"/>
        <v>173</v>
      </c>
      <c r="S143" s="24">
        <f t="shared" si="209"/>
        <v>167.4404841666026</v>
      </c>
      <c r="T143" s="81">
        <f>$H$143*月別販売比率!H5</f>
        <v>5.4917127071823213</v>
      </c>
      <c r="U143" s="10">
        <f t="shared" si="110"/>
        <v>13</v>
      </c>
      <c r="V143" s="21"/>
      <c r="W143" s="10">
        <f t="shared" si="347"/>
        <v>13</v>
      </c>
      <c r="X143" s="24">
        <f t="shared" si="212"/>
        <v>7.5082872928176787</v>
      </c>
      <c r="Y143" s="81">
        <f>$H$143*月別販売比率!M5</f>
        <v>7.928753511358491</v>
      </c>
      <c r="Z143" s="10">
        <f t="shared" si="113"/>
        <v>13</v>
      </c>
      <c r="AA143" s="21"/>
      <c r="AB143" s="97">
        <f t="shared" si="348"/>
        <v>13</v>
      </c>
      <c r="AC143" s="24">
        <f t="shared" si="214"/>
        <v>5.071246488641509</v>
      </c>
      <c r="AD143" s="81">
        <f>$H$143*月別販売比率!R5</f>
        <v>6.2762430939226519</v>
      </c>
      <c r="AE143" s="10">
        <f t="shared" si="116"/>
        <v>13</v>
      </c>
      <c r="AF143" s="21"/>
      <c r="AG143" s="10">
        <f t="shared" si="349"/>
        <v>13</v>
      </c>
      <c r="AH143" s="24">
        <f t="shared" si="216"/>
        <v>6.7237569060773481</v>
      </c>
      <c r="AI143" s="81">
        <f>$H$143*月別販売比率!W5</f>
        <v>5.9755106556014512</v>
      </c>
      <c r="AJ143" s="10">
        <f t="shared" si="119"/>
        <v>13</v>
      </c>
      <c r="AK143" s="21"/>
      <c r="AL143" s="10">
        <f t="shared" si="350"/>
        <v>13</v>
      </c>
      <c r="AM143" s="24">
        <f t="shared" si="218"/>
        <v>7.0244893443985488</v>
      </c>
      <c r="AN143" s="81">
        <f>$H$143*月別販売比率!AB5</f>
        <v>9.4143646408839778</v>
      </c>
      <c r="AO143" s="10">
        <f t="shared" si="122"/>
        <v>13</v>
      </c>
      <c r="AP143" s="21"/>
      <c r="AQ143" s="10">
        <f t="shared" si="351"/>
        <v>13</v>
      </c>
      <c r="AR143" s="24">
        <f t="shared" si="220"/>
        <v>3.5856353591160222</v>
      </c>
      <c r="AS143" s="81">
        <f>$H$143*月別販売比率!AG5</f>
        <v>7.8453038674033158</v>
      </c>
      <c r="AT143" s="10">
        <f t="shared" si="125"/>
        <v>13</v>
      </c>
      <c r="AU143" s="21"/>
      <c r="AV143" s="10">
        <f t="shared" si="352"/>
        <v>13</v>
      </c>
      <c r="AW143" s="24">
        <f t="shared" si="222"/>
        <v>5.1546961325966842</v>
      </c>
      <c r="AX143" s="81">
        <f>$H$143*月別販売比率!AL5</f>
        <v>7.0607734806629834</v>
      </c>
      <c r="AY143" s="10">
        <f t="shared" si="128"/>
        <v>13</v>
      </c>
      <c r="AZ143" s="21"/>
      <c r="BA143" s="19">
        <f t="shared" si="129"/>
        <v>13</v>
      </c>
      <c r="BB143" s="24">
        <f t="shared" si="225"/>
        <v>5.9392265193370166</v>
      </c>
      <c r="BC143" s="81">
        <f>$H$143*月別販売比率!AQ5</f>
        <v>7.8453038674033158</v>
      </c>
      <c r="BD143" s="10">
        <f t="shared" si="131"/>
        <v>13</v>
      </c>
      <c r="BE143" s="21"/>
      <c r="BF143" s="19">
        <f t="shared" si="132"/>
        <v>13</v>
      </c>
      <c r="BG143" s="24">
        <f t="shared" si="228"/>
        <v>5.1546961325966842</v>
      </c>
      <c r="BH143" s="81">
        <f>$H$143*月別販売比率!AV5</f>
        <v>4.7773487960946763</v>
      </c>
      <c r="BI143" s="10">
        <f t="shared" si="134"/>
        <v>13</v>
      </c>
      <c r="BJ143" s="21"/>
      <c r="BK143" s="19">
        <f t="shared" si="135"/>
        <v>13</v>
      </c>
      <c r="BL143" s="24">
        <f t="shared" si="231"/>
        <v>8.2226512039053237</v>
      </c>
      <c r="BM143" s="81">
        <f>$H$143*月別販売比率!BA5</f>
        <v>4.3638028398434887</v>
      </c>
      <c r="BN143" s="10">
        <f t="shared" si="137"/>
        <v>13</v>
      </c>
      <c r="BO143" s="21"/>
      <c r="BP143" s="19">
        <f t="shared" si="357"/>
        <v>13</v>
      </c>
      <c r="BQ143" s="24">
        <f t="shared" si="233"/>
        <v>8.6361971601565113</v>
      </c>
      <c r="BR143" s="81">
        <f>$H$143*月別販売比率!BF5</f>
        <v>6.2762430939226519</v>
      </c>
      <c r="BS143" s="10">
        <f t="shared" si="140"/>
        <v>13</v>
      </c>
      <c r="BT143" s="21"/>
      <c r="BU143" s="19">
        <f t="shared" si="141"/>
        <v>13</v>
      </c>
      <c r="BV143" s="24">
        <f t="shared" si="236"/>
        <v>6.7237569060773481</v>
      </c>
      <c r="BW143" s="158">
        <f t="shared" si="353"/>
        <v>173</v>
      </c>
      <c r="BX143" s="29">
        <f t="shared" si="354"/>
        <v>94.546961325966848</v>
      </c>
    </row>
    <row r="144" spans="2:76" ht="30.75" customHeight="1">
      <c r="C144" s="504"/>
      <c r="D144" s="441"/>
      <c r="E144" s="94" t="s">
        <v>49</v>
      </c>
      <c r="F144" s="57">
        <v>45</v>
      </c>
      <c r="G144" s="5">
        <f t="shared" si="355"/>
        <v>198000</v>
      </c>
      <c r="H144" s="7">
        <f t="shared" si="356"/>
        <v>49.723756906077348</v>
      </c>
      <c r="I144" s="5">
        <f t="shared" si="345"/>
        <v>218784.53038674034</v>
      </c>
      <c r="J144" s="9">
        <v>63</v>
      </c>
      <c r="K144" s="21">
        <f t="shared" si="237"/>
        <v>17</v>
      </c>
      <c r="L144" s="21">
        <v>11</v>
      </c>
      <c r="M144" s="21">
        <v>6</v>
      </c>
      <c r="N144" s="42"/>
      <c r="O144" s="81">
        <f>$H$144*月別販売比率!C5</f>
        <v>3.5236367958152588</v>
      </c>
      <c r="P144" s="10">
        <f t="shared" si="346"/>
        <v>17</v>
      </c>
      <c r="Q144" s="21">
        <v>30</v>
      </c>
      <c r="R144" s="19">
        <f t="shared" si="108"/>
        <v>47</v>
      </c>
      <c r="S144" s="24">
        <f t="shared" si="209"/>
        <v>43.476363204184743</v>
      </c>
      <c r="T144" s="81">
        <f>$H$144*月別販売比率!H5</f>
        <v>3.4806629834254146</v>
      </c>
      <c r="U144" s="10">
        <f t="shared" si="110"/>
        <v>17</v>
      </c>
      <c r="V144" s="21"/>
      <c r="W144" s="10">
        <f t="shared" si="347"/>
        <v>17</v>
      </c>
      <c r="X144" s="24">
        <f t="shared" si="212"/>
        <v>13.519337016574585</v>
      </c>
      <c r="Y144" s="81">
        <f>$H$144*月別販売比率!M5</f>
        <v>5.0252663100159447</v>
      </c>
      <c r="Z144" s="10">
        <f t="shared" si="113"/>
        <v>17</v>
      </c>
      <c r="AA144" s="21"/>
      <c r="AB144" s="97">
        <f t="shared" si="348"/>
        <v>17</v>
      </c>
      <c r="AC144" s="24">
        <f t="shared" si="214"/>
        <v>11.974733689984056</v>
      </c>
      <c r="AD144" s="81">
        <f>$H$144*月別販売比率!R5</f>
        <v>3.9779005524861879</v>
      </c>
      <c r="AE144" s="10">
        <f t="shared" si="116"/>
        <v>17</v>
      </c>
      <c r="AF144" s="21"/>
      <c r="AG144" s="10">
        <f t="shared" si="349"/>
        <v>17</v>
      </c>
      <c r="AH144" s="24">
        <f t="shared" si="216"/>
        <v>13.022099447513812</v>
      </c>
      <c r="AI144" s="81">
        <f>$H$144*月別販売比率!W5</f>
        <v>3.7872954859445818</v>
      </c>
      <c r="AJ144" s="10">
        <f t="shared" si="119"/>
        <v>17</v>
      </c>
      <c r="AK144" s="21"/>
      <c r="AL144" s="10">
        <f t="shared" si="350"/>
        <v>17</v>
      </c>
      <c r="AM144" s="24">
        <f t="shared" si="218"/>
        <v>13.212704514055417</v>
      </c>
      <c r="AN144" s="81">
        <f>$H$144*月別販売比率!AB5</f>
        <v>5.9668508287292816</v>
      </c>
      <c r="AO144" s="10">
        <f t="shared" si="122"/>
        <v>17</v>
      </c>
      <c r="AP144" s="21"/>
      <c r="AQ144" s="10">
        <f t="shared" si="351"/>
        <v>17</v>
      </c>
      <c r="AR144" s="24">
        <f t="shared" si="220"/>
        <v>11.033149171270718</v>
      </c>
      <c r="AS144" s="81">
        <f>$H$144*月別販売比率!AG5</f>
        <v>4.972375690607735</v>
      </c>
      <c r="AT144" s="10">
        <f t="shared" si="125"/>
        <v>17</v>
      </c>
      <c r="AU144" s="21"/>
      <c r="AV144" s="10">
        <f t="shared" si="352"/>
        <v>17</v>
      </c>
      <c r="AW144" s="24">
        <f t="shared" si="222"/>
        <v>12.027624309392266</v>
      </c>
      <c r="AX144" s="81">
        <f>$H$144*月別販売比率!AL5</f>
        <v>4.4751381215469612</v>
      </c>
      <c r="AY144" s="10">
        <f t="shared" si="128"/>
        <v>17</v>
      </c>
      <c r="AZ144" s="21"/>
      <c r="BA144" s="19">
        <f t="shared" si="129"/>
        <v>17</v>
      </c>
      <c r="BB144" s="24">
        <f t="shared" si="225"/>
        <v>12.524861878453038</v>
      </c>
      <c r="BC144" s="81">
        <f>$H$144*月別販売比率!AQ5</f>
        <v>4.972375690607735</v>
      </c>
      <c r="BD144" s="10">
        <f t="shared" si="131"/>
        <v>17</v>
      </c>
      <c r="BE144" s="21"/>
      <c r="BF144" s="19">
        <f t="shared" si="132"/>
        <v>17</v>
      </c>
      <c r="BG144" s="24">
        <f t="shared" si="228"/>
        <v>12.027624309392266</v>
      </c>
      <c r="BH144" s="81">
        <f>$H$144*月別販売比率!AV5</f>
        <v>3.0278971242853578</v>
      </c>
      <c r="BI144" s="10">
        <f t="shared" si="134"/>
        <v>17</v>
      </c>
      <c r="BJ144" s="21"/>
      <c r="BK144" s="19">
        <f t="shared" si="135"/>
        <v>17</v>
      </c>
      <c r="BL144" s="24">
        <f t="shared" si="231"/>
        <v>13.972102875714642</v>
      </c>
      <c r="BM144" s="81">
        <f>$H$144*月別販売比率!BA5</f>
        <v>2.7657905322951688</v>
      </c>
      <c r="BN144" s="10">
        <f t="shared" si="137"/>
        <v>17</v>
      </c>
      <c r="BO144" s="21"/>
      <c r="BP144" s="19">
        <f t="shared" si="357"/>
        <v>17</v>
      </c>
      <c r="BQ144" s="24">
        <f t="shared" si="233"/>
        <v>14.234209467704831</v>
      </c>
      <c r="BR144" s="81">
        <f>$H$144*月別販売比率!BF5</f>
        <v>3.9779005524861879</v>
      </c>
      <c r="BS144" s="10">
        <f t="shared" si="140"/>
        <v>17</v>
      </c>
      <c r="BT144" s="21"/>
      <c r="BU144" s="19">
        <f t="shared" si="141"/>
        <v>17</v>
      </c>
      <c r="BV144" s="24">
        <f t="shared" si="236"/>
        <v>13.022099447513812</v>
      </c>
      <c r="BW144" s="158">
        <f t="shared" si="353"/>
        <v>47</v>
      </c>
      <c r="BX144" s="29">
        <f t="shared" si="354"/>
        <v>-2.7237569060773481</v>
      </c>
    </row>
    <row r="145" spans="2:76" ht="30.75" customHeight="1">
      <c r="C145" s="505"/>
      <c r="D145" s="444"/>
      <c r="E145" s="101" t="s">
        <v>50</v>
      </c>
      <c r="F145" s="58">
        <v>15</v>
      </c>
      <c r="G145" s="35">
        <f t="shared" si="355"/>
        <v>66000</v>
      </c>
      <c r="H145" s="181">
        <f t="shared" si="356"/>
        <v>16.574585635359117</v>
      </c>
      <c r="I145" s="35">
        <f t="shared" si="345"/>
        <v>72928.176795580119</v>
      </c>
      <c r="J145" s="113">
        <v>38</v>
      </c>
      <c r="K145" s="103">
        <f t="shared" si="237"/>
        <v>15</v>
      </c>
      <c r="L145" s="104">
        <v>13</v>
      </c>
      <c r="M145" s="104">
        <v>2</v>
      </c>
      <c r="N145" s="117"/>
      <c r="O145" s="81">
        <f>$H$145*月別販売比率!C5</f>
        <v>1.1745455986050863</v>
      </c>
      <c r="P145" s="106">
        <f t="shared" si="346"/>
        <v>15</v>
      </c>
      <c r="Q145" s="107">
        <v>30</v>
      </c>
      <c r="R145" s="2">
        <f t="shared" si="108"/>
        <v>45</v>
      </c>
      <c r="S145" s="195">
        <f t="shared" ref="S145:S214" si="358">R145-O145</f>
        <v>43.825454401394914</v>
      </c>
      <c r="T145" s="81">
        <f>$H$145*月別販売比率!H5</f>
        <v>1.1602209944751383</v>
      </c>
      <c r="U145" s="106">
        <f t="shared" si="110"/>
        <v>15</v>
      </c>
      <c r="V145" s="107"/>
      <c r="W145" s="106">
        <f t="shared" si="347"/>
        <v>15</v>
      </c>
      <c r="X145" s="195">
        <f t="shared" ref="X145:X214" si="359">W145-T145</f>
        <v>13.839779005524862</v>
      </c>
      <c r="Y145" s="81">
        <f>$H$145*月別販売比率!M5</f>
        <v>1.675088770005315</v>
      </c>
      <c r="Z145" s="106">
        <f t="shared" si="113"/>
        <v>15</v>
      </c>
      <c r="AA145" s="107"/>
      <c r="AB145" s="196">
        <f t="shared" si="348"/>
        <v>15</v>
      </c>
      <c r="AC145" s="195">
        <f t="shared" ref="AC145:AC214" si="360">AB145-Y145</f>
        <v>13.324911229994685</v>
      </c>
      <c r="AD145" s="81">
        <f>$H$145*月別販売比率!R5</f>
        <v>1.3259668508287294</v>
      </c>
      <c r="AE145" s="106">
        <f t="shared" si="116"/>
        <v>15</v>
      </c>
      <c r="AF145" s="107"/>
      <c r="AG145" s="106">
        <f t="shared" si="349"/>
        <v>15</v>
      </c>
      <c r="AH145" s="195">
        <f t="shared" ref="AH145:AH214" si="361">AG145-AD145</f>
        <v>13.674033149171271</v>
      </c>
      <c r="AI145" s="81">
        <f>$H$145*月別販売比率!W5</f>
        <v>1.2624318286481939</v>
      </c>
      <c r="AJ145" s="106">
        <f t="shared" si="119"/>
        <v>15</v>
      </c>
      <c r="AK145" s="107"/>
      <c r="AL145" s="106">
        <f t="shared" si="350"/>
        <v>15</v>
      </c>
      <c r="AM145" s="195">
        <f t="shared" ref="AM145:AM214" si="362">AL145-AI145</f>
        <v>13.737568171351807</v>
      </c>
      <c r="AN145" s="81">
        <f>$H$145*月別販売比率!AB5</f>
        <v>1.988950276243094</v>
      </c>
      <c r="AO145" s="106">
        <f t="shared" si="122"/>
        <v>15</v>
      </c>
      <c r="AP145" s="107"/>
      <c r="AQ145" s="106">
        <f t="shared" si="351"/>
        <v>15</v>
      </c>
      <c r="AR145" s="195">
        <f t="shared" ref="AR145:AR214" si="363">AQ145-AN145</f>
        <v>13.011049723756907</v>
      </c>
      <c r="AS145" s="81">
        <f>$H$145*月別販売比率!AG5</f>
        <v>1.6574585635359118</v>
      </c>
      <c r="AT145" s="106">
        <f t="shared" si="125"/>
        <v>15</v>
      </c>
      <c r="AU145" s="107"/>
      <c r="AV145" s="106">
        <f t="shared" si="352"/>
        <v>15</v>
      </c>
      <c r="AW145" s="195">
        <f t="shared" ref="AW145:AW214" si="364">AV145-AS145</f>
        <v>13.342541436464089</v>
      </c>
      <c r="AX145" s="81">
        <f>$H$145*月別販売比率!AL5</f>
        <v>1.4917127071823204</v>
      </c>
      <c r="AY145" s="106">
        <f t="shared" si="128"/>
        <v>15</v>
      </c>
      <c r="AZ145" s="107"/>
      <c r="BA145" s="2">
        <f t="shared" si="129"/>
        <v>15</v>
      </c>
      <c r="BB145" s="195">
        <f t="shared" ref="BB145:BB214" si="365">BA145-AX145</f>
        <v>13.50828729281768</v>
      </c>
      <c r="BC145" s="81">
        <f>$H$145*月別販売比率!AQ5</f>
        <v>1.6574585635359118</v>
      </c>
      <c r="BD145" s="106">
        <f t="shared" si="131"/>
        <v>15</v>
      </c>
      <c r="BE145" s="107"/>
      <c r="BF145" s="2">
        <f t="shared" si="132"/>
        <v>15</v>
      </c>
      <c r="BG145" s="195">
        <f t="shared" ref="BG145:BG214" si="366">BF145-BC145</f>
        <v>13.342541436464089</v>
      </c>
      <c r="BH145" s="81">
        <f>$H$145*月別販売比率!AV5</f>
        <v>1.0092990414284528</v>
      </c>
      <c r="BI145" s="106">
        <f t="shared" si="134"/>
        <v>15</v>
      </c>
      <c r="BJ145" s="107"/>
      <c r="BK145" s="2">
        <f t="shared" si="135"/>
        <v>15</v>
      </c>
      <c r="BL145" s="195">
        <f t="shared" ref="BL145:BL214" si="367">BK145-BH145</f>
        <v>13.990700958571548</v>
      </c>
      <c r="BM145" s="81">
        <f>$H$145*月別販売比率!BA5</f>
        <v>0.92193017743172301</v>
      </c>
      <c r="BN145" s="106">
        <f t="shared" si="137"/>
        <v>15</v>
      </c>
      <c r="BO145" s="107"/>
      <c r="BP145" s="2">
        <f t="shared" si="357"/>
        <v>15</v>
      </c>
      <c r="BQ145" s="195">
        <f t="shared" ref="BQ145:BQ214" si="368">BP145-BM145</f>
        <v>14.078069822568278</v>
      </c>
      <c r="BR145" s="81">
        <f>$H$145*月別販売比率!BF5</f>
        <v>1.3259668508287294</v>
      </c>
      <c r="BS145" s="106">
        <f t="shared" si="140"/>
        <v>15</v>
      </c>
      <c r="BT145" s="107"/>
      <c r="BU145" s="115">
        <f t="shared" si="141"/>
        <v>15</v>
      </c>
      <c r="BV145" s="92">
        <f t="shared" ref="BV145:BV214" si="369">BU145-BR145</f>
        <v>13.674033149171271</v>
      </c>
      <c r="BW145" s="159">
        <f t="shared" si="353"/>
        <v>45</v>
      </c>
      <c r="BX145" s="116">
        <f t="shared" si="354"/>
        <v>28.425414364640883</v>
      </c>
    </row>
    <row r="146" spans="2:76" ht="30.75" customHeight="1">
      <c r="B146" s="2">
        <v>11</v>
      </c>
      <c r="C146" s="435" t="s">
        <v>0</v>
      </c>
      <c r="D146" s="436"/>
      <c r="E146" s="445"/>
      <c r="F146" s="130">
        <v>719</v>
      </c>
      <c r="G146" s="131">
        <v>2529412.38</v>
      </c>
      <c r="H146" s="132">
        <v>750</v>
      </c>
      <c r="I146" s="131">
        <f t="shared" si="42"/>
        <v>2638469.1029207231</v>
      </c>
      <c r="J146" s="133">
        <f>SUM(J148:J155)</f>
        <v>94</v>
      </c>
      <c r="K146" s="134">
        <f t="shared" ref="K146:N146" si="370">SUM(K148:K155)</f>
        <v>57</v>
      </c>
      <c r="L146" s="134">
        <f t="shared" si="370"/>
        <v>57</v>
      </c>
      <c r="M146" s="134">
        <f t="shared" si="370"/>
        <v>0</v>
      </c>
      <c r="N146" s="135">
        <f t="shared" si="370"/>
        <v>0</v>
      </c>
      <c r="O146" s="150">
        <f t="shared" si="344"/>
        <v>62.5</v>
      </c>
      <c r="P146" s="151">
        <f t="shared" si="107"/>
        <v>57</v>
      </c>
      <c r="Q146" s="148">
        <f>SUM(Q148:Q155)</f>
        <v>0</v>
      </c>
      <c r="R146" s="152">
        <f t="shared" si="108"/>
        <v>57</v>
      </c>
      <c r="S146" s="153">
        <f t="shared" si="358"/>
        <v>-5.5</v>
      </c>
      <c r="T146" s="150">
        <f t="shared" si="109"/>
        <v>62.5</v>
      </c>
      <c r="U146" s="151">
        <f t="shared" si="110"/>
        <v>57</v>
      </c>
      <c r="V146" s="148">
        <f>SUM(V148:V155)</f>
        <v>0</v>
      </c>
      <c r="W146" s="152">
        <f t="shared" si="111"/>
        <v>57</v>
      </c>
      <c r="X146" s="153">
        <f t="shared" si="359"/>
        <v>-5.5</v>
      </c>
      <c r="Y146" s="150">
        <f t="shared" si="112"/>
        <v>62.5</v>
      </c>
      <c r="Z146" s="151">
        <f t="shared" si="113"/>
        <v>57</v>
      </c>
      <c r="AA146" s="148">
        <f>SUM(AA148:AA155)</f>
        <v>0</v>
      </c>
      <c r="AB146" s="154">
        <f t="shared" si="114"/>
        <v>57</v>
      </c>
      <c r="AC146" s="153">
        <f t="shared" si="360"/>
        <v>-5.5</v>
      </c>
      <c r="AD146" s="150">
        <f t="shared" si="115"/>
        <v>62.5</v>
      </c>
      <c r="AE146" s="151">
        <f t="shared" si="116"/>
        <v>57</v>
      </c>
      <c r="AF146" s="148">
        <f>SUM(AF148:AF155)</f>
        <v>0</v>
      </c>
      <c r="AG146" s="152">
        <f t="shared" si="117"/>
        <v>57</v>
      </c>
      <c r="AH146" s="153">
        <f t="shared" si="361"/>
        <v>-5.5</v>
      </c>
      <c r="AI146" s="150">
        <f t="shared" si="118"/>
        <v>62.5</v>
      </c>
      <c r="AJ146" s="151">
        <f t="shared" si="119"/>
        <v>57</v>
      </c>
      <c r="AK146" s="148">
        <f>SUM(AK148:AK155)</f>
        <v>0</v>
      </c>
      <c r="AL146" s="152">
        <f t="shared" si="120"/>
        <v>57</v>
      </c>
      <c r="AM146" s="153">
        <f t="shared" si="362"/>
        <v>-5.5</v>
      </c>
      <c r="AN146" s="150">
        <f t="shared" si="121"/>
        <v>62.5</v>
      </c>
      <c r="AO146" s="151">
        <f t="shared" si="122"/>
        <v>57</v>
      </c>
      <c r="AP146" s="148">
        <f>SUM(AP148:AP155)</f>
        <v>0</v>
      </c>
      <c r="AQ146" s="152">
        <f t="shared" si="123"/>
        <v>57</v>
      </c>
      <c r="AR146" s="153">
        <f t="shared" si="363"/>
        <v>-5.5</v>
      </c>
      <c r="AS146" s="150">
        <f t="shared" si="124"/>
        <v>62.5</v>
      </c>
      <c r="AT146" s="151">
        <f t="shared" si="125"/>
        <v>57</v>
      </c>
      <c r="AU146" s="148">
        <f>SUM(AU148:AU155)</f>
        <v>0</v>
      </c>
      <c r="AV146" s="152">
        <f t="shared" si="126"/>
        <v>57</v>
      </c>
      <c r="AW146" s="153">
        <f t="shared" si="364"/>
        <v>-5.5</v>
      </c>
      <c r="AX146" s="150">
        <f t="shared" si="127"/>
        <v>62.5</v>
      </c>
      <c r="AY146" s="151">
        <f t="shared" si="128"/>
        <v>57</v>
      </c>
      <c r="AZ146" s="148">
        <f>SUM(AZ148:AZ155)</f>
        <v>0</v>
      </c>
      <c r="BA146" s="152">
        <f t="shared" si="129"/>
        <v>57</v>
      </c>
      <c r="BB146" s="153">
        <f t="shared" si="365"/>
        <v>-5.5</v>
      </c>
      <c r="BC146" s="150">
        <f t="shared" si="130"/>
        <v>62.5</v>
      </c>
      <c r="BD146" s="151">
        <f t="shared" si="131"/>
        <v>57</v>
      </c>
      <c r="BE146" s="148">
        <f>SUM(BE148:BE155)</f>
        <v>0</v>
      </c>
      <c r="BF146" s="152">
        <f t="shared" si="132"/>
        <v>57</v>
      </c>
      <c r="BG146" s="153">
        <f t="shared" si="366"/>
        <v>-5.5</v>
      </c>
      <c r="BH146" s="150">
        <f t="shared" si="133"/>
        <v>62.5</v>
      </c>
      <c r="BI146" s="151">
        <f t="shared" si="134"/>
        <v>57</v>
      </c>
      <c r="BJ146" s="148">
        <f>SUM(BJ148:BJ155)</f>
        <v>0</v>
      </c>
      <c r="BK146" s="152">
        <f t="shared" si="135"/>
        <v>57</v>
      </c>
      <c r="BL146" s="153">
        <f t="shared" si="367"/>
        <v>-5.5</v>
      </c>
      <c r="BM146" s="150">
        <f t="shared" si="136"/>
        <v>62.5</v>
      </c>
      <c r="BN146" s="151">
        <f t="shared" si="137"/>
        <v>57</v>
      </c>
      <c r="BO146" s="148">
        <f>SUM(BO148:BO155)</f>
        <v>0</v>
      </c>
      <c r="BP146" s="152">
        <f t="shared" si="138"/>
        <v>57</v>
      </c>
      <c r="BQ146" s="153">
        <f t="shared" si="368"/>
        <v>-5.5</v>
      </c>
      <c r="BR146" s="150">
        <f t="shared" si="139"/>
        <v>62.5</v>
      </c>
      <c r="BS146" s="151">
        <f t="shared" si="140"/>
        <v>57</v>
      </c>
      <c r="BT146" s="148">
        <f>SUM(BT148:BT155)</f>
        <v>0</v>
      </c>
      <c r="BU146" s="138">
        <f t="shared" si="141"/>
        <v>57</v>
      </c>
      <c r="BV146" s="139">
        <f t="shared" si="369"/>
        <v>-5.5</v>
      </c>
      <c r="BW146" s="143">
        <f>AF146+AA146+V146+Q146+AK146+AP146+AU146+AZ146+BE146+BJ146+BO146+BT146+K146</f>
        <v>57</v>
      </c>
      <c r="BX146" s="142">
        <f t="shared" si="49"/>
        <v>-693</v>
      </c>
    </row>
    <row r="147" spans="2:76" ht="30.75" customHeight="1">
      <c r="C147" s="167" t="s">
        <v>81</v>
      </c>
      <c r="D147" s="168"/>
      <c r="E147" s="169"/>
      <c r="F147" s="170">
        <f>SUM(F148:F155)</f>
        <v>795</v>
      </c>
      <c r="G147" s="171">
        <f>SUM(G148:G155)</f>
        <v>2798400</v>
      </c>
      <c r="H147" s="170">
        <f>SUM(H148:H155)</f>
        <v>829.27677329624476</v>
      </c>
      <c r="I147" s="171">
        <f>SUM(I148:I155)</f>
        <v>2919054.2420027815</v>
      </c>
      <c r="J147" s="172"/>
      <c r="K147" s="173"/>
      <c r="L147" s="173"/>
      <c r="M147" s="173"/>
      <c r="N147" s="174"/>
      <c r="O147" s="175">
        <f>SUM(O148:O155)</f>
        <v>82.927677329624473</v>
      </c>
      <c r="P147" s="176"/>
      <c r="Q147" s="173"/>
      <c r="R147" s="177"/>
      <c r="S147" s="178"/>
      <c r="T147" s="175">
        <f>SUM(T148:T155)</f>
        <v>59.332760086080945</v>
      </c>
      <c r="U147" s="176"/>
      <c r="V147" s="173"/>
      <c r="W147" s="177"/>
      <c r="X147" s="178"/>
      <c r="Y147" s="175">
        <f>SUM(Y148:Y155)</f>
        <v>65.771382358082548</v>
      </c>
      <c r="Z147" s="176"/>
      <c r="AA147" s="173"/>
      <c r="AB147" s="177"/>
      <c r="AC147" s="178"/>
      <c r="AD147" s="175">
        <f>SUM(AD148:AD155)</f>
        <v>49.243829604383571</v>
      </c>
      <c r="AE147" s="176"/>
      <c r="AF147" s="173"/>
      <c r="AG147" s="177"/>
      <c r="AH147" s="178"/>
      <c r="AI147" s="175">
        <f>SUM(AI148:AI155)</f>
        <v>55.947545799513243</v>
      </c>
      <c r="AJ147" s="176"/>
      <c r="AK147" s="173"/>
      <c r="AL147" s="177"/>
      <c r="AM147" s="178"/>
      <c r="AN147" s="175">
        <f>SUM(AN148:AN155)</f>
        <v>83.319919778464794</v>
      </c>
      <c r="AO147" s="176"/>
      <c r="AP147" s="173"/>
      <c r="AQ147" s="177"/>
      <c r="AR147" s="178"/>
      <c r="AS147" s="175">
        <f>SUM(AS148:AS155)</f>
        <v>53.951441226025636</v>
      </c>
      <c r="AT147" s="176"/>
      <c r="AU147" s="173"/>
      <c r="AV147" s="177"/>
      <c r="AW147" s="178"/>
      <c r="AX147" s="175">
        <f>SUM(AX148:AX155)</f>
        <v>65.76282386221996</v>
      </c>
      <c r="AY147" s="176"/>
      <c r="AZ147" s="173"/>
      <c r="BA147" s="177"/>
      <c r="BB147" s="178"/>
      <c r="BC147" s="175">
        <f>SUM(BC148:BC155)</f>
        <v>90.106038927348294</v>
      </c>
      <c r="BD147" s="176"/>
      <c r="BE147" s="173"/>
      <c r="BF147" s="177"/>
      <c r="BG147" s="178"/>
      <c r="BH147" s="175">
        <f>SUM(BH148:BH155)</f>
        <v>86.495670365011193</v>
      </c>
      <c r="BI147" s="176"/>
      <c r="BJ147" s="173"/>
      <c r="BK147" s="177"/>
      <c r="BL147" s="178"/>
      <c r="BM147" s="175">
        <f>SUM(BM148:BM155)</f>
        <v>54.91317476750644</v>
      </c>
      <c r="BN147" s="176"/>
      <c r="BO147" s="173"/>
      <c r="BP147" s="177"/>
      <c r="BQ147" s="178"/>
      <c r="BR147" s="175">
        <f>SUM(BR148:BR155)</f>
        <v>82.927677329624473</v>
      </c>
      <c r="BS147" s="176"/>
      <c r="BT147" s="173"/>
      <c r="BU147" s="177"/>
      <c r="BV147" s="178"/>
      <c r="BW147" s="179"/>
      <c r="BX147" s="180"/>
    </row>
    <row r="148" spans="2:76" ht="30.75" customHeight="1">
      <c r="C148" s="503" t="s">
        <v>70</v>
      </c>
      <c r="D148" s="443">
        <v>1</v>
      </c>
      <c r="E148" s="99" t="s">
        <v>60</v>
      </c>
      <c r="F148" s="56">
        <v>80</v>
      </c>
      <c r="G148" s="46">
        <f>F148*3520</f>
        <v>281600</v>
      </c>
      <c r="H148" s="45">
        <f>F148*($H$146/$F$146)</f>
        <v>83.449235048678716</v>
      </c>
      <c r="I148" s="46">
        <f t="shared" ref="G148:I155" si="371">H148*3520</f>
        <v>293741.30737134907</v>
      </c>
      <c r="J148" s="49">
        <v>17</v>
      </c>
      <c r="K148" s="39">
        <f t="shared" ref="K148:K215" si="372">SUM(L148:N148)</f>
        <v>11</v>
      </c>
      <c r="L148" s="39">
        <v>11</v>
      </c>
      <c r="M148" s="118"/>
      <c r="N148" s="42"/>
      <c r="O148" s="81">
        <f>$H$148*月別販売比率!C11</f>
        <v>8.3449235048678716</v>
      </c>
      <c r="P148" s="40">
        <f t="shared" si="107"/>
        <v>11</v>
      </c>
      <c r="Q148" s="39"/>
      <c r="R148" s="43">
        <f t="shared" ref="R148:R155" si="373">Q148+K148</f>
        <v>11</v>
      </c>
      <c r="S148" s="91">
        <f t="shared" si="358"/>
        <v>2.6550764951321284</v>
      </c>
      <c r="T148" s="81">
        <f>$H$148*月別販売比率!H11</f>
        <v>5.9705922099200954</v>
      </c>
      <c r="U148" s="40">
        <f t="shared" ref="U148:U155" si="374">K148</f>
        <v>11</v>
      </c>
      <c r="V148" s="39"/>
      <c r="W148" s="40">
        <f t="shared" ref="W148:W155" si="375">K148+V148</f>
        <v>11</v>
      </c>
      <c r="X148" s="91">
        <f t="shared" si="359"/>
        <v>5.0294077900799046</v>
      </c>
      <c r="Y148" s="81">
        <f>$H$148*月別販売比率!M11</f>
        <v>6.6185038850900684</v>
      </c>
      <c r="Z148" s="40">
        <f t="shared" ref="Z148:Z155" si="376">K148</f>
        <v>11</v>
      </c>
      <c r="AA148" s="39"/>
      <c r="AB148" s="96">
        <f t="shared" ref="AB148:AB155" si="377">K148+AA148</f>
        <v>11</v>
      </c>
      <c r="AC148" s="91">
        <f t="shared" si="360"/>
        <v>4.3814961149099316</v>
      </c>
      <c r="AD148" s="81">
        <f>$H$148*月別販売比率!R11</f>
        <v>4.9553539224536918</v>
      </c>
      <c r="AE148" s="40">
        <f t="shared" ref="AE148:AE155" si="378">K148</f>
        <v>11</v>
      </c>
      <c r="AF148" s="39"/>
      <c r="AG148" s="40">
        <f t="shared" ref="AG148:AG155" si="379">K148+AF148</f>
        <v>11</v>
      </c>
      <c r="AH148" s="91">
        <f t="shared" si="361"/>
        <v>6.0446460775463082</v>
      </c>
      <c r="AI148" s="81">
        <f>$H$148*月別販売比率!W11</f>
        <v>5.6299417156742884</v>
      </c>
      <c r="AJ148" s="40">
        <f t="shared" ref="AJ148:AJ155" si="380">K148</f>
        <v>11</v>
      </c>
      <c r="AK148" s="39"/>
      <c r="AL148" s="40">
        <f t="shared" ref="AL148:AL155" si="381">K148+AK148</f>
        <v>11</v>
      </c>
      <c r="AM148" s="91">
        <f t="shared" si="362"/>
        <v>5.3700582843257116</v>
      </c>
      <c r="AN148" s="81">
        <f>$H$148*月別販売比率!AB11</f>
        <v>8.3843944431159549</v>
      </c>
      <c r="AO148" s="40">
        <f t="shared" ref="AO148:AO155" si="382">K148</f>
        <v>11</v>
      </c>
      <c r="AP148" s="39"/>
      <c r="AQ148" s="40">
        <f t="shared" ref="AQ148:AQ155" si="383">K148+AP148</f>
        <v>11</v>
      </c>
      <c r="AR148" s="91">
        <f t="shared" si="363"/>
        <v>2.6156055568840451</v>
      </c>
      <c r="AS148" s="81">
        <f>$H$148*月別販売比率!AG11</f>
        <v>5.4290758466440883</v>
      </c>
      <c r="AT148" s="40">
        <f t="shared" ref="AT148:AT155" si="384">K148</f>
        <v>11</v>
      </c>
      <c r="AU148" s="39"/>
      <c r="AV148" s="40">
        <f t="shared" ref="AV148:AV155" si="385">K148+AU148</f>
        <v>11</v>
      </c>
      <c r="AW148" s="91">
        <f t="shared" si="364"/>
        <v>5.5709241533559117</v>
      </c>
      <c r="AX148" s="81">
        <f>$H$148*月別販売比率!AL11</f>
        <v>6.6176426528020089</v>
      </c>
      <c r="AY148" s="40">
        <f t="shared" ref="AY148:AY155" si="386">K148</f>
        <v>11</v>
      </c>
      <c r="AZ148" s="39"/>
      <c r="BA148" s="43">
        <f t="shared" ref="BA148:BA155" si="387">K148+AZ148</f>
        <v>11</v>
      </c>
      <c r="BB148" s="91">
        <f t="shared" si="365"/>
        <v>4.3823573471979911</v>
      </c>
      <c r="BC148" s="81">
        <f>$H$148*月別販売比率!AQ11</f>
        <v>9.067274357469012</v>
      </c>
      <c r="BD148" s="40">
        <f t="shared" ref="BD148:BD155" si="388">K148</f>
        <v>11</v>
      </c>
      <c r="BE148" s="39"/>
      <c r="BF148" s="43">
        <f t="shared" ref="BF148:BF155" si="389">K148+BE148</f>
        <v>11</v>
      </c>
      <c r="BG148" s="91">
        <f t="shared" si="366"/>
        <v>1.932725642530988</v>
      </c>
      <c r="BH148" s="81">
        <f>$H$148*月別販売比率!AV11</f>
        <v>8.7039668291835159</v>
      </c>
      <c r="BI148" s="40">
        <f t="shared" ref="BI148:BI155" si="390">K148</f>
        <v>11</v>
      </c>
      <c r="BJ148" s="39"/>
      <c r="BK148" s="43">
        <f t="shared" ref="BK148:BK155" si="391">K148+BJ148</f>
        <v>11</v>
      </c>
      <c r="BL148" s="91">
        <f t="shared" si="367"/>
        <v>2.2960331708164841</v>
      </c>
      <c r="BM148" s="81">
        <f>$H$148*月別販売比率!BA11</f>
        <v>5.5258540646547356</v>
      </c>
      <c r="BN148" s="40">
        <f t="shared" ref="BN148:BN155" si="392">K148</f>
        <v>11</v>
      </c>
      <c r="BO148" s="39"/>
      <c r="BP148" s="43">
        <f>K148+BO148</f>
        <v>11</v>
      </c>
      <c r="BQ148" s="91">
        <f t="shared" si="368"/>
        <v>5.4741459353452644</v>
      </c>
      <c r="BR148" s="81">
        <f>$H$148*月別販売比率!BF11</f>
        <v>8.3449235048678716</v>
      </c>
      <c r="BS148" s="40">
        <f t="shared" ref="BS148:BS155" si="393">K148</f>
        <v>11</v>
      </c>
      <c r="BT148" s="39"/>
      <c r="BU148" s="43">
        <f t="shared" ref="BU148:BU155" si="394">K148+BT148</f>
        <v>11</v>
      </c>
      <c r="BV148" s="91">
        <f t="shared" si="369"/>
        <v>2.6550764951321284</v>
      </c>
      <c r="BW148" s="157">
        <f t="shared" ref="BW148:BW155" si="395">AF148+AA148+V148+Q148+AK148+AP148+AU148+AZ148+BE148+BJ148+BO148+BT148+K148</f>
        <v>11</v>
      </c>
      <c r="BX148" s="51">
        <f t="shared" ref="BX148:BX155" si="396">BW148-H148</f>
        <v>-72.449235048678716</v>
      </c>
    </row>
    <row r="149" spans="2:76" ht="30.75" customHeight="1">
      <c r="C149" s="504"/>
      <c r="D149" s="441"/>
      <c r="E149" s="94" t="s">
        <v>62</v>
      </c>
      <c r="F149" s="57">
        <v>77</v>
      </c>
      <c r="G149" s="5">
        <f t="shared" si="371"/>
        <v>271040</v>
      </c>
      <c r="H149" s="7">
        <f t="shared" ref="H149:H155" si="397">F149*($H$146/$F$146)</f>
        <v>80.31988873435327</v>
      </c>
      <c r="I149" s="5">
        <f t="shared" si="371"/>
        <v>282726.0083449235</v>
      </c>
      <c r="J149" s="9">
        <v>16</v>
      </c>
      <c r="K149" s="21">
        <f t="shared" si="372"/>
        <v>9</v>
      </c>
      <c r="L149" s="21">
        <v>9</v>
      </c>
      <c r="M149" s="118"/>
      <c r="N149" s="42"/>
      <c r="O149" s="81">
        <f>$H$149*月別販売比率!C11</f>
        <v>8.0319888734353277</v>
      </c>
      <c r="P149" s="10">
        <f t="shared" si="107"/>
        <v>9</v>
      </c>
      <c r="Q149" s="21"/>
      <c r="R149" s="19">
        <f t="shared" si="373"/>
        <v>9</v>
      </c>
      <c r="S149" s="24">
        <f t="shared" si="358"/>
        <v>0.96801112656467225</v>
      </c>
      <c r="T149" s="81">
        <f>$H$149*月別販売比率!H11</f>
        <v>5.7466950020480931</v>
      </c>
      <c r="U149" s="10">
        <f t="shared" si="374"/>
        <v>9</v>
      </c>
      <c r="V149" s="21"/>
      <c r="W149" s="10">
        <f t="shared" si="375"/>
        <v>9</v>
      </c>
      <c r="X149" s="24">
        <f t="shared" si="359"/>
        <v>3.2533049979519069</v>
      </c>
      <c r="Y149" s="81">
        <f>$H$149*月別販売比率!M11</f>
        <v>6.3703099893991908</v>
      </c>
      <c r="Z149" s="10">
        <f t="shared" si="376"/>
        <v>9</v>
      </c>
      <c r="AA149" s="21"/>
      <c r="AB149" s="97">
        <f t="shared" si="377"/>
        <v>9</v>
      </c>
      <c r="AC149" s="24">
        <f t="shared" si="360"/>
        <v>2.6296900106008092</v>
      </c>
      <c r="AD149" s="81">
        <f>$H$149*月別販売比率!R11</f>
        <v>4.7695281503616789</v>
      </c>
      <c r="AE149" s="10">
        <f t="shared" si="378"/>
        <v>9</v>
      </c>
      <c r="AF149" s="21"/>
      <c r="AG149" s="10">
        <f t="shared" si="379"/>
        <v>9</v>
      </c>
      <c r="AH149" s="24">
        <f t="shared" si="361"/>
        <v>4.2304718496383211</v>
      </c>
      <c r="AI149" s="81">
        <f>$H$149*月別販売比率!W11</f>
        <v>5.4188189013365031</v>
      </c>
      <c r="AJ149" s="10">
        <f t="shared" si="380"/>
        <v>9</v>
      </c>
      <c r="AK149" s="21"/>
      <c r="AL149" s="10">
        <f t="shared" si="381"/>
        <v>9</v>
      </c>
      <c r="AM149" s="24">
        <f t="shared" si="362"/>
        <v>3.5811810986634969</v>
      </c>
      <c r="AN149" s="81">
        <f>$H$149*月別販売比率!AB11</f>
        <v>8.0699796514991071</v>
      </c>
      <c r="AO149" s="10">
        <f t="shared" si="382"/>
        <v>9</v>
      </c>
      <c r="AP149" s="21"/>
      <c r="AQ149" s="10">
        <f t="shared" si="383"/>
        <v>9</v>
      </c>
      <c r="AR149" s="24">
        <f t="shared" si="363"/>
        <v>0.93002034850089288</v>
      </c>
      <c r="AS149" s="81">
        <f>$H$149*月別販売比率!AG11</f>
        <v>5.2254855023949354</v>
      </c>
      <c r="AT149" s="10">
        <f t="shared" si="384"/>
        <v>9</v>
      </c>
      <c r="AU149" s="21"/>
      <c r="AV149" s="10">
        <f t="shared" si="385"/>
        <v>9</v>
      </c>
      <c r="AW149" s="24">
        <f t="shared" si="364"/>
        <v>3.7745144976050646</v>
      </c>
      <c r="AX149" s="81">
        <f>$H$149*月別販売比率!AL11</f>
        <v>6.3694810533219339</v>
      </c>
      <c r="AY149" s="10">
        <f t="shared" si="386"/>
        <v>9</v>
      </c>
      <c r="AZ149" s="21"/>
      <c r="BA149" s="19">
        <f t="shared" si="387"/>
        <v>9</v>
      </c>
      <c r="BB149" s="24">
        <f t="shared" si="365"/>
        <v>2.6305189466780661</v>
      </c>
      <c r="BC149" s="81">
        <f>$H$149*月別販売比率!AQ11</f>
        <v>8.7272515690639239</v>
      </c>
      <c r="BD149" s="10">
        <f t="shared" si="388"/>
        <v>9</v>
      </c>
      <c r="BE149" s="21"/>
      <c r="BF149" s="19">
        <f t="shared" si="389"/>
        <v>9</v>
      </c>
      <c r="BG149" s="24">
        <f t="shared" si="366"/>
        <v>0.27274843093607615</v>
      </c>
      <c r="BH149" s="81">
        <f>$H$149*月別販売比率!AV11</f>
        <v>8.3775680730891349</v>
      </c>
      <c r="BI149" s="10">
        <f t="shared" si="390"/>
        <v>9</v>
      </c>
      <c r="BJ149" s="21"/>
      <c r="BK149" s="19">
        <f t="shared" si="391"/>
        <v>9</v>
      </c>
      <c r="BL149" s="24">
        <f t="shared" si="367"/>
        <v>0.62243192691086513</v>
      </c>
      <c r="BM149" s="81">
        <f>$H$149*月別販売比率!BA11</f>
        <v>5.3186345372301833</v>
      </c>
      <c r="BN149" s="10">
        <f t="shared" si="392"/>
        <v>9</v>
      </c>
      <c r="BO149" s="21"/>
      <c r="BP149" s="19">
        <f t="shared" ref="BP149:BP155" si="398">K149+BO149</f>
        <v>9</v>
      </c>
      <c r="BQ149" s="24">
        <f t="shared" si="368"/>
        <v>3.6813654627698167</v>
      </c>
      <c r="BR149" s="81">
        <f>$H$149*月別販売比率!BF11</f>
        <v>8.0319888734353277</v>
      </c>
      <c r="BS149" s="10">
        <f t="shared" si="393"/>
        <v>9</v>
      </c>
      <c r="BT149" s="21"/>
      <c r="BU149" s="19">
        <f t="shared" si="394"/>
        <v>9</v>
      </c>
      <c r="BV149" s="24">
        <f t="shared" si="369"/>
        <v>0.96801112656467225</v>
      </c>
      <c r="BW149" s="158">
        <f t="shared" si="395"/>
        <v>9</v>
      </c>
      <c r="BX149" s="29">
        <f t="shared" si="396"/>
        <v>-71.31988873435327</v>
      </c>
    </row>
    <row r="150" spans="2:76" ht="30.75" customHeight="1">
      <c r="C150" s="504"/>
      <c r="D150" s="441"/>
      <c r="E150" s="94" t="s">
        <v>61</v>
      </c>
      <c r="F150" s="57">
        <v>107</v>
      </c>
      <c r="G150" s="5">
        <f t="shared" si="371"/>
        <v>376640</v>
      </c>
      <c r="H150" s="7">
        <f t="shared" si="397"/>
        <v>111.61335187760778</v>
      </c>
      <c r="I150" s="5">
        <f t="shared" si="371"/>
        <v>392878.9986091794</v>
      </c>
      <c r="J150" s="9">
        <v>17</v>
      </c>
      <c r="K150" s="21">
        <f t="shared" si="372"/>
        <v>10</v>
      </c>
      <c r="L150" s="21">
        <v>10</v>
      </c>
      <c r="M150" s="118"/>
      <c r="N150" s="42"/>
      <c r="O150" s="81">
        <f>$H$150*月別販売比率!C11</f>
        <v>11.161335187760779</v>
      </c>
      <c r="P150" s="10">
        <f t="shared" si="107"/>
        <v>10</v>
      </c>
      <c r="Q150" s="21"/>
      <c r="R150" s="19">
        <f t="shared" si="373"/>
        <v>10</v>
      </c>
      <c r="S150" s="24">
        <f t="shared" si="358"/>
        <v>-1.1613351877607787</v>
      </c>
      <c r="T150" s="81">
        <f>$H$150*月別販売比率!H11</f>
        <v>7.9856670807681285</v>
      </c>
      <c r="U150" s="10">
        <f t="shared" si="374"/>
        <v>10</v>
      </c>
      <c r="V150" s="21"/>
      <c r="W150" s="10">
        <f t="shared" si="375"/>
        <v>10</v>
      </c>
      <c r="X150" s="24">
        <f t="shared" si="359"/>
        <v>2.0143329192318715</v>
      </c>
      <c r="Y150" s="81">
        <f>$H$150*月別販売比率!M11</f>
        <v>8.8522489463079665</v>
      </c>
      <c r="Z150" s="10">
        <f t="shared" si="376"/>
        <v>10</v>
      </c>
      <c r="AA150" s="21"/>
      <c r="AB150" s="97">
        <f t="shared" si="377"/>
        <v>10</v>
      </c>
      <c r="AC150" s="24">
        <f t="shared" si="360"/>
        <v>1.1477510536920335</v>
      </c>
      <c r="AD150" s="81">
        <f>$H$150*月別販売比率!R11</f>
        <v>6.6277858712818132</v>
      </c>
      <c r="AE150" s="10">
        <f t="shared" si="378"/>
        <v>10</v>
      </c>
      <c r="AF150" s="21"/>
      <c r="AG150" s="10">
        <f t="shared" si="379"/>
        <v>10</v>
      </c>
      <c r="AH150" s="24">
        <f t="shared" si="361"/>
        <v>3.3722141287181868</v>
      </c>
      <c r="AI150" s="81">
        <f>$H$150*月別販売比率!W11</f>
        <v>7.5300470447143608</v>
      </c>
      <c r="AJ150" s="10">
        <f t="shared" si="380"/>
        <v>10</v>
      </c>
      <c r="AK150" s="21"/>
      <c r="AL150" s="10">
        <f t="shared" si="381"/>
        <v>10</v>
      </c>
      <c r="AM150" s="24">
        <f t="shared" si="362"/>
        <v>2.4699529552856392</v>
      </c>
      <c r="AN150" s="81">
        <f>$H$150*月別販売比率!AB11</f>
        <v>11.214127567667589</v>
      </c>
      <c r="AO150" s="10">
        <f t="shared" si="382"/>
        <v>10</v>
      </c>
      <c r="AP150" s="21"/>
      <c r="AQ150" s="10">
        <f t="shared" si="383"/>
        <v>10</v>
      </c>
      <c r="AR150" s="24">
        <f t="shared" si="363"/>
        <v>-1.2141275676675889</v>
      </c>
      <c r="AS150" s="81">
        <f>$H$150*月別販売比率!AG11</f>
        <v>7.2613889448864688</v>
      </c>
      <c r="AT150" s="10">
        <f t="shared" si="384"/>
        <v>10</v>
      </c>
      <c r="AU150" s="21"/>
      <c r="AV150" s="10">
        <f t="shared" si="385"/>
        <v>10</v>
      </c>
      <c r="AW150" s="24">
        <f t="shared" si="364"/>
        <v>2.7386110551135312</v>
      </c>
      <c r="AX150" s="81">
        <f>$H$150*月別販売比率!AL11</f>
        <v>8.8510970481226874</v>
      </c>
      <c r="AY150" s="10">
        <f t="shared" si="386"/>
        <v>10</v>
      </c>
      <c r="AZ150" s="21"/>
      <c r="BA150" s="19">
        <f t="shared" si="387"/>
        <v>10</v>
      </c>
      <c r="BB150" s="24">
        <f t="shared" si="365"/>
        <v>1.1489029518773126</v>
      </c>
      <c r="BC150" s="81">
        <f>$H$150*月別販売比率!AQ11</f>
        <v>12.127479453114804</v>
      </c>
      <c r="BD150" s="10">
        <f t="shared" si="388"/>
        <v>10</v>
      </c>
      <c r="BE150" s="21"/>
      <c r="BF150" s="19">
        <f t="shared" si="389"/>
        <v>10</v>
      </c>
      <c r="BG150" s="24">
        <f t="shared" si="366"/>
        <v>-2.1274794531148036</v>
      </c>
      <c r="BH150" s="81">
        <f>$H$150*月別販売比率!AV11</f>
        <v>11.641555634032953</v>
      </c>
      <c r="BI150" s="10">
        <f t="shared" si="390"/>
        <v>10</v>
      </c>
      <c r="BJ150" s="21"/>
      <c r="BK150" s="19">
        <f t="shared" si="391"/>
        <v>10</v>
      </c>
      <c r="BL150" s="24">
        <f t="shared" si="367"/>
        <v>-1.6415556340329527</v>
      </c>
      <c r="BM150" s="81">
        <f>$H$150*月別販売比率!BA11</f>
        <v>7.3908298114757089</v>
      </c>
      <c r="BN150" s="10">
        <f t="shared" si="392"/>
        <v>10</v>
      </c>
      <c r="BO150" s="21"/>
      <c r="BP150" s="19">
        <f t="shared" si="398"/>
        <v>10</v>
      </c>
      <c r="BQ150" s="24">
        <f t="shared" si="368"/>
        <v>2.6091701885242911</v>
      </c>
      <c r="BR150" s="81">
        <f>$H$150*月別販売比率!BF11</f>
        <v>11.161335187760779</v>
      </c>
      <c r="BS150" s="10">
        <f t="shared" si="393"/>
        <v>10</v>
      </c>
      <c r="BT150" s="21"/>
      <c r="BU150" s="19">
        <f t="shared" si="394"/>
        <v>10</v>
      </c>
      <c r="BV150" s="24">
        <f t="shared" si="369"/>
        <v>-1.1613351877607787</v>
      </c>
      <c r="BW150" s="158">
        <f t="shared" si="395"/>
        <v>10</v>
      </c>
      <c r="BX150" s="29">
        <f t="shared" si="396"/>
        <v>-101.61335187760778</v>
      </c>
    </row>
    <row r="151" spans="2:76" ht="30.75" customHeight="1">
      <c r="C151" s="504"/>
      <c r="D151" s="442"/>
      <c r="E151" s="94" t="s">
        <v>63</v>
      </c>
      <c r="F151" s="57">
        <v>112</v>
      </c>
      <c r="G151" s="5">
        <f t="shared" si="371"/>
        <v>394240</v>
      </c>
      <c r="H151" s="7">
        <f t="shared" si="397"/>
        <v>116.8289290681502</v>
      </c>
      <c r="I151" s="5">
        <f t="shared" si="371"/>
        <v>411237.83031988872</v>
      </c>
      <c r="J151" s="9">
        <v>18</v>
      </c>
      <c r="K151" s="21">
        <f t="shared" si="372"/>
        <v>11</v>
      </c>
      <c r="L151" s="21">
        <v>11</v>
      </c>
      <c r="M151" s="118"/>
      <c r="N151" s="42"/>
      <c r="O151" s="81">
        <f>$H$151*月別販売比率!C11</f>
        <v>11.68289290681502</v>
      </c>
      <c r="P151" s="10">
        <f t="shared" si="107"/>
        <v>11</v>
      </c>
      <c r="Q151" s="21"/>
      <c r="R151" s="19">
        <f t="shared" si="373"/>
        <v>11</v>
      </c>
      <c r="S151" s="24">
        <f t="shared" si="358"/>
        <v>-0.68289290681502024</v>
      </c>
      <c r="T151" s="81">
        <f>$H$151*月別販売比率!H11</f>
        <v>8.3588290938881347</v>
      </c>
      <c r="U151" s="10">
        <f t="shared" si="374"/>
        <v>11</v>
      </c>
      <c r="V151" s="21"/>
      <c r="W151" s="10">
        <f t="shared" si="375"/>
        <v>11</v>
      </c>
      <c r="X151" s="24">
        <f t="shared" si="359"/>
        <v>2.6411709061118653</v>
      </c>
      <c r="Y151" s="81">
        <f>$H$151*月別販売比率!M11</f>
        <v>9.2659054391260955</v>
      </c>
      <c r="Z151" s="10">
        <f t="shared" si="376"/>
        <v>11</v>
      </c>
      <c r="AA151" s="21"/>
      <c r="AB151" s="97">
        <f t="shared" si="377"/>
        <v>11</v>
      </c>
      <c r="AC151" s="24">
        <f t="shared" si="360"/>
        <v>1.7340945608739045</v>
      </c>
      <c r="AD151" s="81">
        <f>$H$151*月別販売比率!R11</f>
        <v>6.9374954914351692</v>
      </c>
      <c r="AE151" s="10">
        <f t="shared" si="378"/>
        <v>11</v>
      </c>
      <c r="AF151" s="21"/>
      <c r="AG151" s="10">
        <f t="shared" si="379"/>
        <v>11</v>
      </c>
      <c r="AH151" s="24">
        <f t="shared" si="361"/>
        <v>4.0625045085648308</v>
      </c>
      <c r="AI151" s="81">
        <f>$H$151*月別販売比率!W11</f>
        <v>7.8819184019440041</v>
      </c>
      <c r="AJ151" s="10">
        <f t="shared" si="380"/>
        <v>11</v>
      </c>
      <c r="AK151" s="21"/>
      <c r="AL151" s="10">
        <f t="shared" si="381"/>
        <v>11</v>
      </c>
      <c r="AM151" s="24">
        <f t="shared" si="362"/>
        <v>3.1180815980559959</v>
      </c>
      <c r="AN151" s="81">
        <f>$H$151*月別販売比率!AB11</f>
        <v>11.738152220362336</v>
      </c>
      <c r="AO151" s="10">
        <f t="shared" si="382"/>
        <v>11</v>
      </c>
      <c r="AP151" s="21"/>
      <c r="AQ151" s="10">
        <f t="shared" si="383"/>
        <v>11</v>
      </c>
      <c r="AR151" s="24">
        <f t="shared" si="363"/>
        <v>-0.73815222036233585</v>
      </c>
      <c r="AS151" s="81">
        <f>$H$151*月別販売比率!AG11</f>
        <v>7.6007061853017239</v>
      </c>
      <c r="AT151" s="10">
        <f t="shared" si="384"/>
        <v>11</v>
      </c>
      <c r="AU151" s="21"/>
      <c r="AV151" s="10">
        <f t="shared" si="385"/>
        <v>11</v>
      </c>
      <c r="AW151" s="24">
        <f t="shared" si="364"/>
        <v>3.3992938146982761</v>
      </c>
      <c r="AX151" s="81">
        <f>$H$151*月別販売比率!AL11</f>
        <v>9.2646997139228127</v>
      </c>
      <c r="AY151" s="10">
        <f t="shared" si="386"/>
        <v>11</v>
      </c>
      <c r="AZ151" s="21"/>
      <c r="BA151" s="19">
        <f t="shared" si="387"/>
        <v>11</v>
      </c>
      <c r="BB151" s="24">
        <f t="shared" si="365"/>
        <v>1.7353002860771873</v>
      </c>
      <c r="BC151" s="81">
        <f>$H$151*月別販売比率!AQ11</f>
        <v>12.694184100456615</v>
      </c>
      <c r="BD151" s="10">
        <f t="shared" si="388"/>
        <v>11</v>
      </c>
      <c r="BE151" s="21"/>
      <c r="BF151" s="19">
        <f t="shared" si="389"/>
        <v>11</v>
      </c>
      <c r="BG151" s="24">
        <f t="shared" si="366"/>
        <v>-1.6941841004566154</v>
      </c>
      <c r="BH151" s="81">
        <f>$H$151*月別販売比率!AV11</f>
        <v>12.185553560856922</v>
      </c>
      <c r="BI151" s="10">
        <f t="shared" si="390"/>
        <v>11</v>
      </c>
      <c r="BJ151" s="21"/>
      <c r="BK151" s="19">
        <f t="shared" si="391"/>
        <v>11</v>
      </c>
      <c r="BL151" s="24">
        <f t="shared" si="367"/>
        <v>-1.1855535608569223</v>
      </c>
      <c r="BM151" s="81">
        <f>$H$151*月別販売比率!BA11</f>
        <v>7.73619569051663</v>
      </c>
      <c r="BN151" s="10">
        <f t="shared" si="392"/>
        <v>11</v>
      </c>
      <c r="BO151" s="21"/>
      <c r="BP151" s="19">
        <f t="shared" si="398"/>
        <v>11</v>
      </c>
      <c r="BQ151" s="24">
        <f t="shared" si="368"/>
        <v>3.26380430948337</v>
      </c>
      <c r="BR151" s="81">
        <f>$H$151*月別販売比率!BF11</f>
        <v>11.68289290681502</v>
      </c>
      <c r="BS151" s="10">
        <f t="shared" si="393"/>
        <v>11</v>
      </c>
      <c r="BT151" s="21"/>
      <c r="BU151" s="19">
        <f t="shared" si="394"/>
        <v>11</v>
      </c>
      <c r="BV151" s="24">
        <f t="shared" si="369"/>
        <v>-0.68289290681502024</v>
      </c>
      <c r="BW151" s="158">
        <f t="shared" si="395"/>
        <v>11</v>
      </c>
      <c r="BX151" s="29">
        <f t="shared" si="396"/>
        <v>-105.8289290681502</v>
      </c>
    </row>
    <row r="152" spans="2:76" ht="30.75" customHeight="1">
      <c r="C152" s="504"/>
      <c r="D152" s="441">
        <v>2</v>
      </c>
      <c r="E152" s="99" t="s">
        <v>60</v>
      </c>
      <c r="F152" s="57">
        <v>87</v>
      </c>
      <c r="G152" s="5">
        <f t="shared" si="371"/>
        <v>306240</v>
      </c>
      <c r="H152" s="7">
        <f t="shared" si="397"/>
        <v>90.751043115438108</v>
      </c>
      <c r="I152" s="5">
        <f t="shared" si="371"/>
        <v>319443.67176634213</v>
      </c>
      <c r="J152" s="9">
        <v>0</v>
      </c>
      <c r="K152" s="21">
        <f t="shared" si="372"/>
        <v>0</v>
      </c>
      <c r="L152" s="21"/>
      <c r="M152" s="118"/>
      <c r="N152" s="42"/>
      <c r="O152" s="81">
        <f>$H$152*月別販売比率!C11</f>
        <v>9.0751043115438108</v>
      </c>
      <c r="P152" s="10">
        <f t="shared" si="107"/>
        <v>0</v>
      </c>
      <c r="Q152" s="21"/>
      <c r="R152" s="19">
        <f t="shared" si="373"/>
        <v>0</v>
      </c>
      <c r="S152" s="24">
        <f t="shared" si="358"/>
        <v>-9.0751043115438108</v>
      </c>
      <c r="T152" s="81">
        <f>$H$152*月別販売比率!H11</f>
        <v>6.4930190282881046</v>
      </c>
      <c r="U152" s="10">
        <f t="shared" si="374"/>
        <v>0</v>
      </c>
      <c r="V152" s="21"/>
      <c r="W152" s="10">
        <f t="shared" si="375"/>
        <v>0</v>
      </c>
      <c r="X152" s="24">
        <f t="shared" si="359"/>
        <v>-6.4930190282881046</v>
      </c>
      <c r="Y152" s="81">
        <f>$H$152*月別販売比率!M11</f>
        <v>7.1976229750354497</v>
      </c>
      <c r="Z152" s="10">
        <f t="shared" si="376"/>
        <v>0</v>
      </c>
      <c r="AA152" s="21"/>
      <c r="AB152" s="97">
        <f t="shared" si="377"/>
        <v>0</v>
      </c>
      <c r="AC152" s="24">
        <f t="shared" si="360"/>
        <v>-7.1976229750354497</v>
      </c>
      <c r="AD152" s="81">
        <f>$H$152*月別販売比率!R11</f>
        <v>5.3889473906683909</v>
      </c>
      <c r="AE152" s="10">
        <f t="shared" si="378"/>
        <v>0</v>
      </c>
      <c r="AF152" s="21"/>
      <c r="AG152" s="10">
        <f t="shared" si="379"/>
        <v>0</v>
      </c>
      <c r="AH152" s="24">
        <f t="shared" si="361"/>
        <v>-5.3889473906683909</v>
      </c>
      <c r="AI152" s="81">
        <f>$H$152*月別販売比率!W11</f>
        <v>6.1225616157957887</v>
      </c>
      <c r="AJ152" s="10">
        <f t="shared" si="380"/>
        <v>0</v>
      </c>
      <c r="AK152" s="21"/>
      <c r="AL152" s="10">
        <f t="shared" si="381"/>
        <v>0</v>
      </c>
      <c r="AM152" s="24">
        <f t="shared" si="362"/>
        <v>-6.1225616157957887</v>
      </c>
      <c r="AN152" s="81">
        <f>$H$152*月別販売比率!AB11</f>
        <v>9.118028956888601</v>
      </c>
      <c r="AO152" s="10">
        <f t="shared" si="382"/>
        <v>0</v>
      </c>
      <c r="AP152" s="21"/>
      <c r="AQ152" s="10">
        <f t="shared" si="383"/>
        <v>0</v>
      </c>
      <c r="AR152" s="24">
        <f t="shared" si="363"/>
        <v>-9.118028956888601</v>
      </c>
      <c r="AS152" s="81">
        <f>$H$152*月別販売比率!AG11</f>
        <v>5.9041199832254465</v>
      </c>
      <c r="AT152" s="10">
        <f t="shared" si="384"/>
        <v>0</v>
      </c>
      <c r="AU152" s="21"/>
      <c r="AV152" s="10">
        <f t="shared" si="385"/>
        <v>0</v>
      </c>
      <c r="AW152" s="24">
        <f t="shared" si="364"/>
        <v>-5.9041199832254465</v>
      </c>
      <c r="AX152" s="81">
        <f>$H$152*月別販売比率!AL11</f>
        <v>7.1966863849221854</v>
      </c>
      <c r="AY152" s="10">
        <f t="shared" si="386"/>
        <v>0</v>
      </c>
      <c r="AZ152" s="21"/>
      <c r="BA152" s="19">
        <f t="shared" si="387"/>
        <v>0</v>
      </c>
      <c r="BB152" s="24">
        <f t="shared" si="365"/>
        <v>-7.1966863849221854</v>
      </c>
      <c r="BC152" s="81">
        <f>$H$152*月別販売比率!AQ11</f>
        <v>9.860660863747551</v>
      </c>
      <c r="BD152" s="10">
        <f t="shared" si="388"/>
        <v>0</v>
      </c>
      <c r="BE152" s="21"/>
      <c r="BF152" s="19">
        <f t="shared" si="389"/>
        <v>0</v>
      </c>
      <c r="BG152" s="24">
        <f t="shared" si="366"/>
        <v>-9.860660863747551</v>
      </c>
      <c r="BH152" s="81">
        <f>$H$152*月別販売比率!AV11</f>
        <v>9.4655639267370741</v>
      </c>
      <c r="BI152" s="10">
        <f t="shared" si="390"/>
        <v>0</v>
      </c>
      <c r="BJ152" s="21"/>
      <c r="BK152" s="19">
        <f t="shared" si="391"/>
        <v>0</v>
      </c>
      <c r="BL152" s="24">
        <f t="shared" si="367"/>
        <v>-9.4655639267370741</v>
      </c>
      <c r="BM152" s="81">
        <f>$H$152*月別販売比率!BA11</f>
        <v>6.0093662953120255</v>
      </c>
      <c r="BN152" s="10">
        <f t="shared" si="392"/>
        <v>0</v>
      </c>
      <c r="BO152" s="21"/>
      <c r="BP152" s="19">
        <f t="shared" si="398"/>
        <v>0</v>
      </c>
      <c r="BQ152" s="24">
        <f t="shared" si="368"/>
        <v>-6.0093662953120255</v>
      </c>
      <c r="BR152" s="81">
        <f>$H$152*月別販売比率!BF11</f>
        <v>9.0751043115438108</v>
      </c>
      <c r="BS152" s="10">
        <f t="shared" si="393"/>
        <v>0</v>
      </c>
      <c r="BT152" s="21"/>
      <c r="BU152" s="19">
        <f t="shared" si="394"/>
        <v>0</v>
      </c>
      <c r="BV152" s="24">
        <f t="shared" si="369"/>
        <v>-9.0751043115438108</v>
      </c>
      <c r="BW152" s="158">
        <f t="shared" si="395"/>
        <v>0</v>
      </c>
      <c r="BX152" s="29">
        <f t="shared" si="396"/>
        <v>-90.751043115438108</v>
      </c>
    </row>
    <row r="153" spans="2:76" ht="30.75" customHeight="1">
      <c r="C153" s="504"/>
      <c r="D153" s="441"/>
      <c r="E153" s="94" t="s">
        <v>62</v>
      </c>
      <c r="F153" s="57">
        <v>105</v>
      </c>
      <c r="G153" s="5">
        <f t="shared" si="371"/>
        <v>369600</v>
      </c>
      <c r="H153" s="7">
        <f t="shared" si="397"/>
        <v>109.52712100139081</v>
      </c>
      <c r="I153" s="5">
        <f t="shared" si="371"/>
        <v>385535.46592489566</v>
      </c>
      <c r="J153" s="9">
        <v>0</v>
      </c>
      <c r="K153" s="21">
        <f t="shared" si="372"/>
        <v>0</v>
      </c>
      <c r="L153" s="21"/>
      <c r="M153" s="118"/>
      <c r="N153" s="42"/>
      <c r="O153" s="81">
        <f>$H$153*月別販売比率!C11</f>
        <v>10.952712100139081</v>
      </c>
      <c r="P153" s="10">
        <f t="shared" si="107"/>
        <v>0</v>
      </c>
      <c r="Q153" s="21"/>
      <c r="R153" s="19">
        <f t="shared" si="373"/>
        <v>0</v>
      </c>
      <c r="S153" s="24">
        <f t="shared" si="358"/>
        <v>-10.952712100139081</v>
      </c>
      <c r="T153" s="81">
        <f>$H$153*月別販売比率!H11</f>
        <v>7.8364022755201255</v>
      </c>
      <c r="U153" s="10">
        <f t="shared" si="374"/>
        <v>0</v>
      </c>
      <c r="V153" s="21"/>
      <c r="W153" s="10">
        <f t="shared" si="375"/>
        <v>0</v>
      </c>
      <c r="X153" s="24">
        <f t="shared" si="359"/>
        <v>-7.8364022755201255</v>
      </c>
      <c r="Y153" s="81">
        <f>$H$153*月別販売比率!M11</f>
        <v>8.6867863491807142</v>
      </c>
      <c r="Z153" s="10">
        <f t="shared" si="376"/>
        <v>0</v>
      </c>
      <c r="AA153" s="21"/>
      <c r="AB153" s="97">
        <f t="shared" si="377"/>
        <v>0</v>
      </c>
      <c r="AC153" s="24">
        <f t="shared" si="360"/>
        <v>-8.6867863491807142</v>
      </c>
      <c r="AD153" s="81">
        <f>$H$153*月別販売比率!R11</f>
        <v>6.503902023220471</v>
      </c>
      <c r="AE153" s="10">
        <f t="shared" si="378"/>
        <v>0</v>
      </c>
      <c r="AF153" s="21"/>
      <c r="AG153" s="10">
        <f t="shared" si="379"/>
        <v>0</v>
      </c>
      <c r="AH153" s="24">
        <f t="shared" si="361"/>
        <v>-6.503902023220471</v>
      </c>
      <c r="AI153" s="81">
        <f>$H$153*月別販売比率!W11</f>
        <v>7.3892985018225037</v>
      </c>
      <c r="AJ153" s="10">
        <f t="shared" si="380"/>
        <v>0</v>
      </c>
      <c r="AK153" s="21"/>
      <c r="AL153" s="10">
        <f t="shared" si="381"/>
        <v>0</v>
      </c>
      <c r="AM153" s="24">
        <f t="shared" si="362"/>
        <v>-7.3892985018225037</v>
      </c>
      <c r="AN153" s="81">
        <f>$H$153*月別販売比率!AB11</f>
        <v>11.00451770658969</v>
      </c>
      <c r="AO153" s="10">
        <f t="shared" si="382"/>
        <v>0</v>
      </c>
      <c r="AP153" s="21"/>
      <c r="AQ153" s="10">
        <f t="shared" si="383"/>
        <v>0</v>
      </c>
      <c r="AR153" s="24">
        <f t="shared" si="363"/>
        <v>-11.00451770658969</v>
      </c>
      <c r="AS153" s="81">
        <f>$H$153*月別販売比率!AG11</f>
        <v>7.1256620487203657</v>
      </c>
      <c r="AT153" s="10">
        <f t="shared" si="384"/>
        <v>0</v>
      </c>
      <c r="AU153" s="21"/>
      <c r="AV153" s="10">
        <f t="shared" si="385"/>
        <v>0</v>
      </c>
      <c r="AW153" s="24">
        <f t="shared" si="364"/>
        <v>-7.1256620487203657</v>
      </c>
      <c r="AX153" s="81">
        <f>$H$153*月別販売比率!AL11</f>
        <v>8.6856559818026362</v>
      </c>
      <c r="AY153" s="10">
        <f t="shared" si="386"/>
        <v>0</v>
      </c>
      <c r="AZ153" s="21"/>
      <c r="BA153" s="19">
        <f t="shared" si="387"/>
        <v>0</v>
      </c>
      <c r="BB153" s="24">
        <f t="shared" si="365"/>
        <v>-8.6856559818026362</v>
      </c>
      <c r="BC153" s="81">
        <f>$H$153*月別販売比率!AQ11</f>
        <v>11.900797594178076</v>
      </c>
      <c r="BD153" s="10">
        <f t="shared" si="388"/>
        <v>0</v>
      </c>
      <c r="BE153" s="21"/>
      <c r="BF153" s="19">
        <f t="shared" si="389"/>
        <v>0</v>
      </c>
      <c r="BG153" s="24">
        <f t="shared" si="366"/>
        <v>-11.900797594178076</v>
      </c>
      <c r="BH153" s="81">
        <f>$H$153*月別販売比率!AV11</f>
        <v>11.423956463303366</v>
      </c>
      <c r="BI153" s="10">
        <f t="shared" si="390"/>
        <v>0</v>
      </c>
      <c r="BJ153" s="21"/>
      <c r="BK153" s="19">
        <f t="shared" si="391"/>
        <v>0</v>
      </c>
      <c r="BL153" s="24">
        <f t="shared" si="367"/>
        <v>-11.423956463303366</v>
      </c>
      <c r="BM153" s="81">
        <f>$H$153*月別販売比率!BA11</f>
        <v>7.2526834598593402</v>
      </c>
      <c r="BN153" s="10">
        <f t="shared" si="392"/>
        <v>0</v>
      </c>
      <c r="BO153" s="21"/>
      <c r="BP153" s="19">
        <f t="shared" si="398"/>
        <v>0</v>
      </c>
      <c r="BQ153" s="24">
        <f t="shared" si="368"/>
        <v>-7.2526834598593402</v>
      </c>
      <c r="BR153" s="81">
        <f>$H$153*月別販売比率!BF11</f>
        <v>10.952712100139081</v>
      </c>
      <c r="BS153" s="10">
        <f t="shared" si="393"/>
        <v>0</v>
      </c>
      <c r="BT153" s="21"/>
      <c r="BU153" s="19">
        <f t="shared" si="394"/>
        <v>0</v>
      </c>
      <c r="BV153" s="24">
        <f t="shared" si="369"/>
        <v>-10.952712100139081</v>
      </c>
      <c r="BW153" s="158">
        <f t="shared" si="395"/>
        <v>0</v>
      </c>
      <c r="BX153" s="29">
        <f t="shared" si="396"/>
        <v>-109.52712100139081</v>
      </c>
    </row>
    <row r="154" spans="2:76" ht="30.75" customHeight="1">
      <c r="C154" s="504"/>
      <c r="D154" s="441"/>
      <c r="E154" s="94" t="s">
        <v>61</v>
      </c>
      <c r="F154" s="57">
        <v>114</v>
      </c>
      <c r="G154" s="5">
        <f t="shared" si="371"/>
        <v>401280</v>
      </c>
      <c r="H154" s="7">
        <f t="shared" si="397"/>
        <v>118.91515994436718</v>
      </c>
      <c r="I154" s="5">
        <f t="shared" si="371"/>
        <v>418581.36300417245</v>
      </c>
      <c r="J154" s="9">
        <v>3</v>
      </c>
      <c r="K154" s="21">
        <f t="shared" si="372"/>
        <v>7</v>
      </c>
      <c r="L154" s="21">
        <v>7</v>
      </c>
      <c r="M154" s="118"/>
      <c r="N154" s="42"/>
      <c r="O154" s="81">
        <f>$H$154*月別販売比率!C11</f>
        <v>11.891515994436718</v>
      </c>
      <c r="P154" s="10">
        <f t="shared" si="107"/>
        <v>7</v>
      </c>
      <c r="Q154" s="21"/>
      <c r="R154" s="19">
        <f t="shared" si="373"/>
        <v>7</v>
      </c>
      <c r="S154" s="24">
        <f t="shared" si="358"/>
        <v>-4.8915159944367179</v>
      </c>
      <c r="T154" s="81">
        <f>$H$154*月別販売比率!H11</f>
        <v>8.5080938991361368</v>
      </c>
      <c r="U154" s="10">
        <f t="shared" si="374"/>
        <v>7</v>
      </c>
      <c r="V154" s="21"/>
      <c r="W154" s="10">
        <f t="shared" si="375"/>
        <v>7</v>
      </c>
      <c r="X154" s="24">
        <f t="shared" si="359"/>
        <v>-1.5080938991361368</v>
      </c>
      <c r="Y154" s="81">
        <f>$H$154*月別販売比率!M11</f>
        <v>9.4313680362533479</v>
      </c>
      <c r="Z154" s="10">
        <f t="shared" si="376"/>
        <v>7</v>
      </c>
      <c r="AA154" s="21"/>
      <c r="AB154" s="97">
        <f t="shared" si="377"/>
        <v>7</v>
      </c>
      <c r="AC154" s="24">
        <f t="shared" si="360"/>
        <v>-2.4313680362533479</v>
      </c>
      <c r="AD154" s="81">
        <f>$H$154*月別販売比率!R11</f>
        <v>7.0613793394965114</v>
      </c>
      <c r="AE154" s="10">
        <f t="shared" si="378"/>
        <v>7</v>
      </c>
      <c r="AF154" s="21"/>
      <c r="AG154" s="10">
        <f t="shared" si="379"/>
        <v>7</v>
      </c>
      <c r="AH154" s="24">
        <f t="shared" si="361"/>
        <v>-6.137933949651142E-2</v>
      </c>
      <c r="AI154" s="81">
        <f>$H$154*月別販売比率!W11</f>
        <v>8.0226669448358621</v>
      </c>
      <c r="AJ154" s="10">
        <f t="shared" si="380"/>
        <v>7</v>
      </c>
      <c r="AK154" s="21"/>
      <c r="AL154" s="10">
        <f t="shared" si="381"/>
        <v>7</v>
      </c>
      <c r="AM154" s="24">
        <f t="shared" si="362"/>
        <v>-1.0226669448358621</v>
      </c>
      <c r="AN154" s="81">
        <f>$H$154*月別販売比率!AB11</f>
        <v>11.947762081440235</v>
      </c>
      <c r="AO154" s="10">
        <f t="shared" si="382"/>
        <v>7</v>
      </c>
      <c r="AP154" s="21"/>
      <c r="AQ154" s="10">
        <f t="shared" si="383"/>
        <v>7</v>
      </c>
      <c r="AR154" s="24">
        <f t="shared" si="363"/>
        <v>-4.947762081440235</v>
      </c>
      <c r="AS154" s="81">
        <f>$H$154*月別販売比率!AG11</f>
        <v>7.736433081467827</v>
      </c>
      <c r="AT154" s="10">
        <f t="shared" si="384"/>
        <v>7</v>
      </c>
      <c r="AU154" s="21"/>
      <c r="AV154" s="10">
        <f t="shared" si="385"/>
        <v>7</v>
      </c>
      <c r="AW154" s="24">
        <f t="shared" si="364"/>
        <v>-0.73643308146782704</v>
      </c>
      <c r="AX154" s="81">
        <f>$H$154*月別販売比率!AL11</f>
        <v>9.4301407802428638</v>
      </c>
      <c r="AY154" s="10">
        <f t="shared" si="386"/>
        <v>7</v>
      </c>
      <c r="AZ154" s="21"/>
      <c r="BA154" s="19">
        <f t="shared" si="387"/>
        <v>7</v>
      </c>
      <c r="BB154" s="24">
        <f t="shared" si="365"/>
        <v>-2.4301407802428638</v>
      </c>
      <c r="BC154" s="81">
        <f>$H$154*月別販売比率!AQ11</f>
        <v>12.920865959393343</v>
      </c>
      <c r="BD154" s="10">
        <f t="shared" si="388"/>
        <v>7</v>
      </c>
      <c r="BE154" s="21"/>
      <c r="BF154" s="19">
        <f t="shared" si="389"/>
        <v>7</v>
      </c>
      <c r="BG154" s="24">
        <f t="shared" si="366"/>
        <v>-5.9208659593933426</v>
      </c>
      <c r="BH154" s="81">
        <f>$H$154*月別販売比率!AV11</f>
        <v>12.403152731586511</v>
      </c>
      <c r="BI154" s="10">
        <f t="shared" si="390"/>
        <v>7</v>
      </c>
      <c r="BJ154" s="21"/>
      <c r="BK154" s="19">
        <f t="shared" si="391"/>
        <v>7</v>
      </c>
      <c r="BL154" s="24">
        <f t="shared" si="367"/>
        <v>-5.4031527315865109</v>
      </c>
      <c r="BM154" s="81">
        <f>$H$154*月別販売比率!BA11</f>
        <v>7.8743420421329988</v>
      </c>
      <c r="BN154" s="10">
        <f t="shared" si="392"/>
        <v>7</v>
      </c>
      <c r="BO154" s="21"/>
      <c r="BP154" s="19">
        <f t="shared" si="398"/>
        <v>7</v>
      </c>
      <c r="BQ154" s="24">
        <f t="shared" si="368"/>
        <v>-0.87434204213299882</v>
      </c>
      <c r="BR154" s="81">
        <f>$H$154*月別販売比率!BF11</f>
        <v>11.891515994436718</v>
      </c>
      <c r="BS154" s="10">
        <f t="shared" si="393"/>
        <v>7</v>
      </c>
      <c r="BT154" s="21"/>
      <c r="BU154" s="19">
        <f t="shared" si="394"/>
        <v>7</v>
      </c>
      <c r="BV154" s="24">
        <f t="shared" si="369"/>
        <v>-4.8915159944367179</v>
      </c>
      <c r="BW154" s="158">
        <f t="shared" si="395"/>
        <v>7</v>
      </c>
      <c r="BX154" s="29">
        <f t="shared" si="396"/>
        <v>-111.91515994436718</v>
      </c>
    </row>
    <row r="155" spans="2:76" ht="30.75" customHeight="1">
      <c r="C155" s="505"/>
      <c r="D155" s="444"/>
      <c r="E155" s="122" t="s">
        <v>63</v>
      </c>
      <c r="F155" s="58">
        <v>113</v>
      </c>
      <c r="G155" s="35">
        <f t="shared" si="371"/>
        <v>397760</v>
      </c>
      <c r="H155" s="181">
        <f t="shared" si="397"/>
        <v>117.87204450625869</v>
      </c>
      <c r="I155" s="35">
        <f t="shared" si="371"/>
        <v>414909.59666203061</v>
      </c>
      <c r="J155" s="113">
        <v>23</v>
      </c>
      <c r="K155" s="103">
        <f t="shared" si="372"/>
        <v>9</v>
      </c>
      <c r="L155" s="104">
        <v>9</v>
      </c>
      <c r="M155" s="114"/>
      <c r="N155" s="117"/>
      <c r="O155" s="81">
        <f>$H$155*月別販売比率!C11</f>
        <v>11.78720445062587</v>
      </c>
      <c r="P155" s="106">
        <f t="shared" si="107"/>
        <v>9</v>
      </c>
      <c r="Q155" s="107"/>
      <c r="R155" s="2">
        <f t="shared" si="373"/>
        <v>9</v>
      </c>
      <c r="S155" s="195">
        <f t="shared" si="358"/>
        <v>-2.78720445062587</v>
      </c>
      <c r="T155" s="81">
        <f>$H$155*月別販売比率!H11</f>
        <v>8.4334614965121357</v>
      </c>
      <c r="U155" s="106">
        <f t="shared" si="374"/>
        <v>9</v>
      </c>
      <c r="V155" s="107"/>
      <c r="W155" s="106">
        <f t="shared" si="375"/>
        <v>9</v>
      </c>
      <c r="X155" s="195">
        <f t="shared" si="359"/>
        <v>0.56653850348786428</v>
      </c>
      <c r="Y155" s="81">
        <f>$H$155*月別販売比率!M11</f>
        <v>9.3486367376897217</v>
      </c>
      <c r="Z155" s="106">
        <f t="shared" si="376"/>
        <v>9</v>
      </c>
      <c r="AA155" s="107"/>
      <c r="AB155" s="196">
        <f t="shared" si="377"/>
        <v>9</v>
      </c>
      <c r="AC155" s="195">
        <f t="shared" si="360"/>
        <v>-0.3486367376897217</v>
      </c>
      <c r="AD155" s="81">
        <f>$H$155*月別販売比率!R11</f>
        <v>6.9994374154658408</v>
      </c>
      <c r="AE155" s="106">
        <f t="shared" si="378"/>
        <v>9</v>
      </c>
      <c r="AF155" s="107"/>
      <c r="AG155" s="106">
        <f t="shared" si="379"/>
        <v>9</v>
      </c>
      <c r="AH155" s="195">
        <f t="shared" si="361"/>
        <v>2.0005625845341592</v>
      </c>
      <c r="AI155" s="81">
        <f>$H$155*月別販売比率!W11</f>
        <v>7.9522926733899331</v>
      </c>
      <c r="AJ155" s="106">
        <f t="shared" si="380"/>
        <v>9</v>
      </c>
      <c r="AK155" s="107"/>
      <c r="AL155" s="106">
        <f t="shared" si="381"/>
        <v>9</v>
      </c>
      <c r="AM155" s="195">
        <f t="shared" si="362"/>
        <v>1.0477073266100669</v>
      </c>
      <c r="AN155" s="81">
        <f>$H$155*月別販売比率!AB11</f>
        <v>11.842957150901286</v>
      </c>
      <c r="AO155" s="106">
        <f t="shared" si="382"/>
        <v>9</v>
      </c>
      <c r="AP155" s="107"/>
      <c r="AQ155" s="106">
        <f t="shared" si="383"/>
        <v>9</v>
      </c>
      <c r="AR155" s="195">
        <f t="shared" si="363"/>
        <v>-2.8429571509012863</v>
      </c>
      <c r="AS155" s="81">
        <f>$H$155*月別販売比率!AG11</f>
        <v>7.6685696333847755</v>
      </c>
      <c r="AT155" s="106">
        <f t="shared" si="384"/>
        <v>9</v>
      </c>
      <c r="AU155" s="107"/>
      <c r="AV155" s="106">
        <f t="shared" si="385"/>
        <v>9</v>
      </c>
      <c r="AW155" s="195">
        <f t="shared" si="364"/>
        <v>1.3314303666152245</v>
      </c>
      <c r="AX155" s="81">
        <f>$H$155*月別販売比率!AL11</f>
        <v>9.3474202470828374</v>
      </c>
      <c r="AY155" s="106">
        <f t="shared" si="386"/>
        <v>9</v>
      </c>
      <c r="AZ155" s="107"/>
      <c r="BA155" s="2">
        <f t="shared" si="387"/>
        <v>9</v>
      </c>
      <c r="BB155" s="195">
        <f t="shared" si="365"/>
        <v>-0.34742024708283736</v>
      </c>
      <c r="BC155" s="81">
        <f>$H$155*月別販売比率!AQ11</f>
        <v>12.80752502992498</v>
      </c>
      <c r="BD155" s="106">
        <f t="shared" si="388"/>
        <v>9</v>
      </c>
      <c r="BE155" s="107"/>
      <c r="BF155" s="2">
        <f t="shared" si="389"/>
        <v>9</v>
      </c>
      <c r="BG155" s="195">
        <f t="shared" si="366"/>
        <v>-3.8075250299249799</v>
      </c>
      <c r="BH155" s="81">
        <f>$H$155*月別販売比率!AV11</f>
        <v>12.294353146221717</v>
      </c>
      <c r="BI155" s="106">
        <f t="shared" si="390"/>
        <v>9</v>
      </c>
      <c r="BJ155" s="107"/>
      <c r="BK155" s="2">
        <f t="shared" si="391"/>
        <v>9</v>
      </c>
      <c r="BL155" s="195">
        <f t="shared" si="367"/>
        <v>-3.2943531462217166</v>
      </c>
      <c r="BM155" s="81">
        <f>$H$155*月別販売比率!BA11</f>
        <v>7.8052688663248144</v>
      </c>
      <c r="BN155" s="106">
        <f t="shared" si="392"/>
        <v>9</v>
      </c>
      <c r="BO155" s="107"/>
      <c r="BP155" s="2">
        <f t="shared" si="398"/>
        <v>9</v>
      </c>
      <c r="BQ155" s="195">
        <f t="shared" si="368"/>
        <v>1.1947311336751856</v>
      </c>
      <c r="BR155" s="81">
        <f>$H$155*月別販売比率!BF11</f>
        <v>11.78720445062587</v>
      </c>
      <c r="BS155" s="106">
        <f t="shared" si="393"/>
        <v>9</v>
      </c>
      <c r="BT155" s="107"/>
      <c r="BU155" s="115">
        <f t="shared" si="394"/>
        <v>9</v>
      </c>
      <c r="BV155" s="92">
        <f t="shared" si="369"/>
        <v>-2.78720445062587</v>
      </c>
      <c r="BW155" s="159">
        <f t="shared" si="395"/>
        <v>9</v>
      </c>
      <c r="BX155" s="116">
        <f t="shared" si="396"/>
        <v>-108.87204450625869</v>
      </c>
    </row>
    <row r="156" spans="2:76" ht="30.75" customHeight="1">
      <c r="B156" s="2">
        <v>12</v>
      </c>
      <c r="C156" s="435" t="s">
        <v>18</v>
      </c>
      <c r="D156" s="436"/>
      <c r="E156" s="445"/>
      <c r="F156" s="130">
        <v>663</v>
      </c>
      <c r="G156" s="131">
        <v>2254344.8482499998</v>
      </c>
      <c r="H156" s="132">
        <v>700</v>
      </c>
      <c r="I156" s="131">
        <f t="shared" si="42"/>
        <v>2380152.9317873297</v>
      </c>
      <c r="J156" s="133">
        <f>SUM(J158:J165)</f>
        <v>346</v>
      </c>
      <c r="K156" s="134">
        <f t="shared" ref="K156:N156" si="399">SUM(K158:K165)</f>
        <v>79</v>
      </c>
      <c r="L156" s="134">
        <f t="shared" si="399"/>
        <v>12</v>
      </c>
      <c r="M156" s="134">
        <f t="shared" si="399"/>
        <v>67</v>
      </c>
      <c r="N156" s="135">
        <f t="shared" si="399"/>
        <v>0</v>
      </c>
      <c r="O156" s="150">
        <f t="shared" si="344"/>
        <v>58.333333333333336</v>
      </c>
      <c r="P156" s="151">
        <f t="shared" si="107"/>
        <v>79</v>
      </c>
      <c r="Q156" s="148">
        <f>SUM(Q158:Q165)</f>
        <v>0</v>
      </c>
      <c r="R156" s="152">
        <f t="shared" si="108"/>
        <v>79</v>
      </c>
      <c r="S156" s="153">
        <f t="shared" si="358"/>
        <v>20.666666666666664</v>
      </c>
      <c r="T156" s="150">
        <f t="shared" si="109"/>
        <v>58.333333333333336</v>
      </c>
      <c r="U156" s="151">
        <f t="shared" si="110"/>
        <v>79</v>
      </c>
      <c r="V156" s="148">
        <f>SUM(V158:V165)</f>
        <v>300</v>
      </c>
      <c r="W156" s="152">
        <f t="shared" si="111"/>
        <v>379</v>
      </c>
      <c r="X156" s="153">
        <f t="shared" si="359"/>
        <v>320.66666666666669</v>
      </c>
      <c r="Y156" s="150">
        <f t="shared" si="112"/>
        <v>58.333333333333336</v>
      </c>
      <c r="Z156" s="151">
        <f t="shared" si="113"/>
        <v>79</v>
      </c>
      <c r="AA156" s="148">
        <f>SUM(AA158:AA165)</f>
        <v>0</v>
      </c>
      <c r="AB156" s="154">
        <f t="shared" si="114"/>
        <v>79</v>
      </c>
      <c r="AC156" s="153">
        <f t="shared" si="360"/>
        <v>20.666666666666664</v>
      </c>
      <c r="AD156" s="150">
        <f t="shared" si="115"/>
        <v>58.333333333333336</v>
      </c>
      <c r="AE156" s="151">
        <f t="shared" si="116"/>
        <v>79</v>
      </c>
      <c r="AF156" s="148">
        <f>SUM(AF158:AF165)</f>
        <v>300</v>
      </c>
      <c r="AG156" s="152">
        <f t="shared" si="117"/>
        <v>379</v>
      </c>
      <c r="AH156" s="153">
        <f t="shared" si="361"/>
        <v>320.66666666666669</v>
      </c>
      <c r="AI156" s="150">
        <f t="shared" si="118"/>
        <v>58.333333333333336</v>
      </c>
      <c r="AJ156" s="151">
        <f t="shared" si="119"/>
        <v>79</v>
      </c>
      <c r="AK156" s="148">
        <f>SUM(AK158:AK165)</f>
        <v>0</v>
      </c>
      <c r="AL156" s="152">
        <f t="shared" si="120"/>
        <v>79</v>
      </c>
      <c r="AM156" s="153">
        <f t="shared" si="362"/>
        <v>20.666666666666664</v>
      </c>
      <c r="AN156" s="150">
        <f t="shared" si="121"/>
        <v>58.333333333333336</v>
      </c>
      <c r="AO156" s="151">
        <f t="shared" si="122"/>
        <v>79</v>
      </c>
      <c r="AP156" s="148">
        <f>SUM(AP158:AP165)</f>
        <v>0</v>
      </c>
      <c r="AQ156" s="152">
        <f t="shared" si="123"/>
        <v>79</v>
      </c>
      <c r="AR156" s="153">
        <f t="shared" si="363"/>
        <v>20.666666666666664</v>
      </c>
      <c r="AS156" s="150">
        <f t="shared" si="124"/>
        <v>58.333333333333336</v>
      </c>
      <c r="AT156" s="151">
        <f t="shared" si="125"/>
        <v>79</v>
      </c>
      <c r="AU156" s="148">
        <f>SUM(AU158:AU165)</f>
        <v>0</v>
      </c>
      <c r="AV156" s="152">
        <f t="shared" si="126"/>
        <v>79</v>
      </c>
      <c r="AW156" s="153">
        <f t="shared" si="364"/>
        <v>20.666666666666664</v>
      </c>
      <c r="AX156" s="150">
        <f t="shared" si="127"/>
        <v>58.333333333333336</v>
      </c>
      <c r="AY156" s="151">
        <f t="shared" si="128"/>
        <v>79</v>
      </c>
      <c r="AZ156" s="148">
        <f>SUM(AZ158:AZ165)</f>
        <v>0</v>
      </c>
      <c r="BA156" s="152">
        <f t="shared" si="129"/>
        <v>79</v>
      </c>
      <c r="BB156" s="153">
        <f t="shared" si="365"/>
        <v>20.666666666666664</v>
      </c>
      <c r="BC156" s="150">
        <f t="shared" si="130"/>
        <v>58.333333333333336</v>
      </c>
      <c r="BD156" s="151">
        <f t="shared" si="131"/>
        <v>79</v>
      </c>
      <c r="BE156" s="148">
        <f>SUM(BE158:BE165)</f>
        <v>0</v>
      </c>
      <c r="BF156" s="152">
        <f t="shared" si="132"/>
        <v>79</v>
      </c>
      <c r="BG156" s="153">
        <f t="shared" si="366"/>
        <v>20.666666666666664</v>
      </c>
      <c r="BH156" s="150">
        <f t="shared" si="133"/>
        <v>58.333333333333336</v>
      </c>
      <c r="BI156" s="151">
        <f t="shared" si="134"/>
        <v>79</v>
      </c>
      <c r="BJ156" s="148">
        <f>SUM(BJ158:BJ165)</f>
        <v>0</v>
      </c>
      <c r="BK156" s="152">
        <f t="shared" si="135"/>
        <v>79</v>
      </c>
      <c r="BL156" s="153">
        <f t="shared" si="367"/>
        <v>20.666666666666664</v>
      </c>
      <c r="BM156" s="150">
        <f t="shared" si="136"/>
        <v>58.333333333333336</v>
      </c>
      <c r="BN156" s="151">
        <f t="shared" si="137"/>
        <v>79</v>
      </c>
      <c r="BO156" s="148">
        <f>SUM(BO158:BO165)</f>
        <v>0</v>
      </c>
      <c r="BP156" s="152">
        <f t="shared" si="138"/>
        <v>79</v>
      </c>
      <c r="BQ156" s="153">
        <f t="shared" si="368"/>
        <v>20.666666666666664</v>
      </c>
      <c r="BR156" s="150">
        <f t="shared" si="139"/>
        <v>58.333333333333336</v>
      </c>
      <c r="BS156" s="151">
        <f t="shared" si="140"/>
        <v>79</v>
      </c>
      <c r="BT156" s="148">
        <f>SUM(BT158:BT165)</f>
        <v>0</v>
      </c>
      <c r="BU156" s="138">
        <f t="shared" si="141"/>
        <v>79</v>
      </c>
      <c r="BV156" s="139">
        <f t="shared" si="369"/>
        <v>20.666666666666664</v>
      </c>
      <c r="BW156" s="143">
        <f>AF156+AA156+V156+Q156+AK156+AP156+AU156+AZ156+BE156+BJ156+BO156+BT156+K156</f>
        <v>679</v>
      </c>
      <c r="BX156" s="142">
        <f t="shared" si="49"/>
        <v>-21</v>
      </c>
    </row>
    <row r="157" spans="2:76" ht="30.75" customHeight="1">
      <c r="C157" s="167" t="s">
        <v>81</v>
      </c>
      <c r="D157" s="168"/>
      <c r="E157" s="169"/>
      <c r="F157" s="170">
        <f>SUM(F158:F165)</f>
        <v>648</v>
      </c>
      <c r="G157" s="171">
        <f>SUM(G158:G165)</f>
        <v>4134240</v>
      </c>
      <c r="H157" s="170">
        <f>SUM(H158:H165)</f>
        <v>684.16289592760177</v>
      </c>
      <c r="I157" s="171">
        <f>SUM(I158:I165)</f>
        <v>4364959.2760180999</v>
      </c>
      <c r="J157" s="172"/>
      <c r="K157" s="173"/>
      <c r="L157" s="173"/>
      <c r="M157" s="173"/>
      <c r="N157" s="174"/>
      <c r="O157" s="216">
        <f>SUM(O158:O165)</f>
        <v>48.482691261154017</v>
      </c>
      <c r="P157" s="217"/>
      <c r="Q157" s="218"/>
      <c r="R157" s="219"/>
      <c r="S157" s="220"/>
      <c r="T157" s="216">
        <f>SUM(T158:T165)</f>
        <v>47.891402714932134</v>
      </c>
      <c r="U157" s="217"/>
      <c r="V157" s="218"/>
      <c r="W157" s="219"/>
      <c r="X157" s="220"/>
      <c r="Y157" s="216">
        <f>SUM(Y158:Y165)</f>
        <v>69.144026223965994</v>
      </c>
      <c r="Z157" s="217"/>
      <c r="AA157" s="218"/>
      <c r="AB157" s="219"/>
      <c r="AC157" s="220"/>
      <c r="AD157" s="216">
        <f>SUM(AD158:AD165)</f>
        <v>54.733031674208149</v>
      </c>
      <c r="AE157" s="217"/>
      <c r="AF157" s="218"/>
      <c r="AG157" s="219"/>
      <c r="AH157" s="220"/>
      <c r="AI157" s="216">
        <f>SUM(AI158:AI165)</f>
        <v>52.110443953213959</v>
      </c>
      <c r="AJ157" s="217"/>
      <c r="AK157" s="218"/>
      <c r="AL157" s="219"/>
      <c r="AM157" s="220"/>
      <c r="AN157" s="216">
        <f>SUM(AN158:AN165)</f>
        <v>82.099547511312238</v>
      </c>
      <c r="AO157" s="217"/>
      <c r="AP157" s="218"/>
      <c r="AQ157" s="219"/>
      <c r="AR157" s="220"/>
      <c r="AS157" s="216">
        <f>SUM(AS158:AS165)</f>
        <v>68.416289592760194</v>
      </c>
      <c r="AT157" s="217"/>
      <c r="AU157" s="218"/>
      <c r="AV157" s="219"/>
      <c r="AW157" s="220"/>
      <c r="AX157" s="216">
        <f>SUM(AX158:AX165)</f>
        <v>61.574660633484157</v>
      </c>
      <c r="AY157" s="217"/>
      <c r="AZ157" s="218"/>
      <c r="BA157" s="219"/>
      <c r="BB157" s="220"/>
      <c r="BC157" s="216">
        <f>SUM(BC158:BC165)</f>
        <v>68.416289592760194</v>
      </c>
      <c r="BD157" s="217"/>
      <c r="BE157" s="218"/>
      <c r="BF157" s="219"/>
      <c r="BG157" s="220"/>
      <c r="BH157" s="216">
        <f>SUM(BH158:BH165)</f>
        <v>41.66167228745212</v>
      </c>
      <c r="BI157" s="217"/>
      <c r="BJ157" s="218"/>
      <c r="BK157" s="219"/>
      <c r="BL157" s="220"/>
      <c r="BM157" s="216">
        <f>SUM(BM158:BM165)</f>
        <v>38.055275342095705</v>
      </c>
      <c r="BN157" s="217"/>
      <c r="BO157" s="218"/>
      <c r="BP157" s="219"/>
      <c r="BQ157" s="220"/>
      <c r="BR157" s="216">
        <f>SUM(BR158:BR165)</f>
        <v>54.733031674208149</v>
      </c>
      <c r="BS157" s="176"/>
      <c r="BT157" s="173"/>
      <c r="BU157" s="177"/>
      <c r="BV157" s="178"/>
      <c r="BW157" s="179"/>
      <c r="BX157" s="180"/>
    </row>
    <row r="158" spans="2:76" ht="30.75" customHeight="1">
      <c r="C158" s="506"/>
      <c r="D158" s="443">
        <v>1</v>
      </c>
      <c r="E158" s="99" t="s">
        <v>46</v>
      </c>
      <c r="F158" s="56">
        <v>140</v>
      </c>
      <c r="G158" s="46">
        <f t="shared" ref="G158:I158" si="400">F158*6380</f>
        <v>893200</v>
      </c>
      <c r="H158" s="7">
        <f>F158*($H$156/$F$156)</f>
        <v>147.81297134238312</v>
      </c>
      <c r="I158" s="46">
        <f t="shared" si="400"/>
        <v>943046.75716440426</v>
      </c>
      <c r="J158" s="49">
        <v>0</v>
      </c>
      <c r="K158" s="21">
        <f t="shared" si="372"/>
        <v>0</v>
      </c>
      <c r="L158" s="39"/>
      <c r="M158" s="39"/>
      <c r="N158" s="42"/>
      <c r="O158" s="81">
        <f>$H$158*月別販売比率!C5</f>
        <v>10.474655519385129</v>
      </c>
      <c r="P158" s="40">
        <f t="shared" si="107"/>
        <v>0</v>
      </c>
      <c r="Q158" s="39"/>
      <c r="R158" s="43">
        <f>Q158+K158</f>
        <v>0</v>
      </c>
      <c r="S158" s="91">
        <f t="shared" si="358"/>
        <v>-10.474655519385129</v>
      </c>
      <c r="T158" s="81">
        <f>$H$158*月別販売比率!H5</f>
        <v>10.34690799396682</v>
      </c>
      <c r="U158" s="40">
        <f>K158</f>
        <v>0</v>
      </c>
      <c r="V158" s="39">
        <v>110</v>
      </c>
      <c r="W158" s="40">
        <f t="shared" ref="W158:W165" si="401">K158+V158</f>
        <v>110</v>
      </c>
      <c r="X158" s="24">
        <f t="shared" si="359"/>
        <v>99.653092006033177</v>
      </c>
      <c r="Y158" s="81">
        <f>$H$158*月別販売比率!M5</f>
        <v>14.938524184190186</v>
      </c>
      <c r="Z158" s="40">
        <f>K158</f>
        <v>0</v>
      </c>
      <c r="AA158" s="39"/>
      <c r="AB158" s="96">
        <f t="shared" ref="AB158:AB165" si="402">K158+AA158</f>
        <v>0</v>
      </c>
      <c r="AC158" s="24">
        <f t="shared" si="360"/>
        <v>-14.938524184190186</v>
      </c>
      <c r="AD158" s="81">
        <f>$H$158*月別販売比率!R5</f>
        <v>11.825037707390649</v>
      </c>
      <c r="AE158" s="40">
        <f>K158</f>
        <v>0</v>
      </c>
      <c r="AF158" s="39">
        <v>110</v>
      </c>
      <c r="AG158" s="40">
        <f t="shared" ref="AG158:AG165" si="403">K158+AF158</f>
        <v>110</v>
      </c>
      <c r="AH158" s="24">
        <f t="shared" si="361"/>
        <v>98.174962292609351</v>
      </c>
      <c r="AI158" s="81">
        <f>$H$158*月別販売比率!W5</f>
        <v>11.258429249151165</v>
      </c>
      <c r="AJ158" s="40">
        <f>K158</f>
        <v>0</v>
      </c>
      <c r="AK158" s="39"/>
      <c r="AL158" s="19">
        <f t="shared" ref="AL158:AL165" si="404">K158+AK158</f>
        <v>0</v>
      </c>
      <c r="AM158" s="24">
        <f t="shared" si="362"/>
        <v>-11.258429249151165</v>
      </c>
      <c r="AN158" s="81">
        <f>$H$158*月別販売比率!AB5</f>
        <v>17.737556561085974</v>
      </c>
      <c r="AO158" s="40">
        <f>K158</f>
        <v>0</v>
      </c>
      <c r="AP158" s="39"/>
      <c r="AQ158" s="19">
        <f t="shared" ref="AQ158:AQ165" si="405">K158+AP158</f>
        <v>0</v>
      </c>
      <c r="AR158" s="24">
        <f t="shared" si="363"/>
        <v>-17.737556561085974</v>
      </c>
      <c r="AS158" s="81">
        <f>$H$158*月別販売比率!AG5</f>
        <v>14.781297134238313</v>
      </c>
      <c r="AT158" s="40">
        <f>K158</f>
        <v>0</v>
      </c>
      <c r="AU158" s="39"/>
      <c r="AV158" s="19">
        <f t="shared" ref="AV158:AV165" si="406">K158+AU158</f>
        <v>0</v>
      </c>
      <c r="AW158" s="24">
        <f t="shared" si="364"/>
        <v>-14.781297134238313</v>
      </c>
      <c r="AX158" s="81">
        <f>$H$158*月別販売比率!AL5</f>
        <v>13.30316742081448</v>
      </c>
      <c r="AY158" s="40">
        <f>K158</f>
        <v>0</v>
      </c>
      <c r="AZ158" s="39"/>
      <c r="BA158" s="43">
        <f>K158+AZ158</f>
        <v>0</v>
      </c>
      <c r="BB158" s="24">
        <f t="shared" si="365"/>
        <v>-13.30316742081448</v>
      </c>
      <c r="BC158" s="81">
        <f>$H$158*月別販売比率!AQ5</f>
        <v>14.781297134238313</v>
      </c>
      <c r="BD158" s="40">
        <f>K158</f>
        <v>0</v>
      </c>
      <c r="BE158" s="39"/>
      <c r="BF158" s="43">
        <f>K158+BE158</f>
        <v>0</v>
      </c>
      <c r="BG158" s="24">
        <f t="shared" si="366"/>
        <v>-14.781297134238313</v>
      </c>
      <c r="BH158" s="81">
        <f>$H$158*月別販売比率!AV5</f>
        <v>9.0009785806223714</v>
      </c>
      <c r="BI158" s="40">
        <f>K158</f>
        <v>0</v>
      </c>
      <c r="BJ158" s="39"/>
      <c r="BK158" s="43">
        <f>K158+BJ158</f>
        <v>0</v>
      </c>
      <c r="BL158" s="24">
        <f t="shared" si="367"/>
        <v>-9.0009785806223714</v>
      </c>
      <c r="BM158" s="81">
        <f>$H$158*月別販売比率!BA5</f>
        <v>8.2218187467490704</v>
      </c>
      <c r="BN158" s="40">
        <f>K158</f>
        <v>0</v>
      </c>
      <c r="BO158" s="39"/>
      <c r="BP158" s="43">
        <f>K158+BO158</f>
        <v>0</v>
      </c>
      <c r="BQ158" s="24">
        <f t="shared" si="368"/>
        <v>-8.2218187467490704</v>
      </c>
      <c r="BR158" s="81">
        <f>$H$158*月別販売比率!BF5</f>
        <v>11.825037707390649</v>
      </c>
      <c r="BS158" s="40">
        <f>K158</f>
        <v>0</v>
      </c>
      <c r="BT158" s="39"/>
      <c r="BU158" s="43">
        <f>K158+BT158</f>
        <v>0</v>
      </c>
      <c r="BV158" s="24">
        <f t="shared" si="369"/>
        <v>-11.825037707390649</v>
      </c>
      <c r="BW158" s="157">
        <f t="shared" ref="BW158:BW165" si="407">AF158+AA158+V158+Q158+AK158+AP158+AU158+AZ158+BE158+BJ158+BO158+BT158+K158</f>
        <v>220</v>
      </c>
      <c r="BX158" s="51">
        <f t="shared" ref="BX158:BX165" si="408">BW158-H158</f>
        <v>72.187028657616878</v>
      </c>
    </row>
    <row r="159" spans="2:76" ht="30.75" customHeight="1">
      <c r="C159" s="507"/>
      <c r="D159" s="441"/>
      <c r="E159" s="94" t="s">
        <v>47</v>
      </c>
      <c r="F159" s="57">
        <v>166</v>
      </c>
      <c r="G159" s="5">
        <f t="shared" ref="G159:I159" si="409">F159*6380</f>
        <v>1059080</v>
      </c>
      <c r="H159" s="7">
        <f t="shared" ref="H159:H165" si="410">F159*($H$156/$F$156)</f>
        <v>175.26395173453997</v>
      </c>
      <c r="I159" s="5">
        <f t="shared" si="409"/>
        <v>1118184.012066365</v>
      </c>
      <c r="J159" s="9">
        <v>0</v>
      </c>
      <c r="K159" s="21">
        <f t="shared" si="372"/>
        <v>0</v>
      </c>
      <c r="L159" s="21"/>
      <c r="M159" s="21"/>
      <c r="N159" s="42"/>
      <c r="O159" s="81">
        <f>$H$159*月別販売比率!C5</f>
        <v>12.419948687270937</v>
      </c>
      <c r="P159" s="10">
        <f t="shared" si="107"/>
        <v>0</v>
      </c>
      <c r="Q159" s="21"/>
      <c r="R159" s="19">
        <f t="shared" ref="R159:R165" si="411">Q159+K159</f>
        <v>0</v>
      </c>
      <c r="S159" s="24">
        <f t="shared" si="358"/>
        <v>-12.419948687270937</v>
      </c>
      <c r="T159" s="81">
        <f>$H$159*月別販売比率!H5</f>
        <v>12.268476621417799</v>
      </c>
      <c r="U159" s="10">
        <f t="shared" ref="U159:U165" si="412">K159</f>
        <v>0</v>
      </c>
      <c r="V159" s="21">
        <v>120</v>
      </c>
      <c r="W159" s="10">
        <f t="shared" si="401"/>
        <v>120</v>
      </c>
      <c r="X159" s="24">
        <f t="shared" si="359"/>
        <v>107.7315233785822</v>
      </c>
      <c r="Y159" s="81">
        <f>$H$159*月別販売比率!M5</f>
        <v>17.712821532682646</v>
      </c>
      <c r="Z159" s="10">
        <f t="shared" ref="Z159:Z165" si="413">K159</f>
        <v>0</v>
      </c>
      <c r="AA159" s="21"/>
      <c r="AB159" s="97">
        <f t="shared" si="402"/>
        <v>0</v>
      </c>
      <c r="AC159" s="24">
        <f t="shared" si="360"/>
        <v>-17.712821532682646</v>
      </c>
      <c r="AD159" s="81">
        <f>$H$159*月別販売比率!R5</f>
        <v>14.021116138763198</v>
      </c>
      <c r="AE159" s="10">
        <f t="shared" ref="AE159:AE165" si="414">K159</f>
        <v>0</v>
      </c>
      <c r="AF159" s="21">
        <v>120</v>
      </c>
      <c r="AG159" s="10">
        <f t="shared" si="403"/>
        <v>120</v>
      </c>
      <c r="AH159" s="24">
        <f t="shared" si="361"/>
        <v>105.9788838612368</v>
      </c>
      <c r="AI159" s="81">
        <f>$H$159*月別販売比率!W5</f>
        <v>13.349280395422094</v>
      </c>
      <c r="AJ159" s="10">
        <f t="shared" ref="AJ159:AJ165" si="415">K159</f>
        <v>0</v>
      </c>
      <c r="AK159" s="21"/>
      <c r="AL159" s="19">
        <f t="shared" si="404"/>
        <v>0</v>
      </c>
      <c r="AM159" s="24">
        <f t="shared" si="362"/>
        <v>-13.349280395422094</v>
      </c>
      <c r="AN159" s="81">
        <f>$H$159*月別販売比率!AB5</f>
        <v>21.031674208144796</v>
      </c>
      <c r="AO159" s="10">
        <f t="shared" ref="AO159:AO165" si="416">K159</f>
        <v>0</v>
      </c>
      <c r="AP159" s="21"/>
      <c r="AQ159" s="19">
        <f t="shared" si="405"/>
        <v>0</v>
      </c>
      <c r="AR159" s="24">
        <f t="shared" si="363"/>
        <v>-21.031674208144796</v>
      </c>
      <c r="AS159" s="81">
        <f>$H$159*月別販売比率!AG5</f>
        <v>17.526395173453999</v>
      </c>
      <c r="AT159" s="10">
        <f t="shared" ref="AT159:AT165" si="417">K159</f>
        <v>0</v>
      </c>
      <c r="AU159" s="21"/>
      <c r="AV159" s="19">
        <f t="shared" si="406"/>
        <v>0</v>
      </c>
      <c r="AW159" s="24">
        <f t="shared" si="364"/>
        <v>-17.526395173453999</v>
      </c>
      <c r="AX159" s="81">
        <f>$H$159*月別販売比率!AL5</f>
        <v>15.773755656108596</v>
      </c>
      <c r="AY159" s="10">
        <f t="shared" ref="AY159:AY165" si="418">K159</f>
        <v>0</v>
      </c>
      <c r="AZ159" s="21"/>
      <c r="BA159" s="19">
        <f t="shared" ref="BA159:BA165" si="419">K159+AZ159</f>
        <v>0</v>
      </c>
      <c r="BB159" s="24">
        <f t="shared" si="365"/>
        <v>-15.773755656108596</v>
      </c>
      <c r="BC159" s="81">
        <f>$H$159*月別販売比率!AQ5</f>
        <v>17.526395173453999</v>
      </c>
      <c r="BD159" s="10">
        <f t="shared" ref="BD159:BD165" si="420">K159</f>
        <v>0</v>
      </c>
      <c r="BE159" s="21"/>
      <c r="BF159" s="19">
        <f t="shared" ref="BF159:BF165" si="421">K159+BE159</f>
        <v>0</v>
      </c>
      <c r="BG159" s="24">
        <f t="shared" si="366"/>
        <v>-17.526395173453999</v>
      </c>
      <c r="BH159" s="81">
        <f>$H$159*月別販売比率!AV5</f>
        <v>10.672588888452239</v>
      </c>
      <c r="BI159" s="10">
        <f t="shared" ref="BI159:BI165" si="422">K159</f>
        <v>0</v>
      </c>
      <c r="BJ159" s="21"/>
      <c r="BK159" s="19">
        <f t="shared" ref="BK159:BK165" si="423">K159+BJ159</f>
        <v>0</v>
      </c>
      <c r="BL159" s="24">
        <f t="shared" si="367"/>
        <v>-10.672588888452239</v>
      </c>
      <c r="BM159" s="81">
        <f>$H$159*月別販売比率!BA5</f>
        <v>9.7487279425738986</v>
      </c>
      <c r="BN159" s="10">
        <f t="shared" ref="BN159:BN165" si="424">K159</f>
        <v>0</v>
      </c>
      <c r="BO159" s="21"/>
      <c r="BP159" s="19">
        <f>K159+BO159</f>
        <v>0</v>
      </c>
      <c r="BQ159" s="24">
        <f t="shared" si="368"/>
        <v>-9.7487279425738986</v>
      </c>
      <c r="BR159" s="81">
        <f>$H$159*月別販売比率!BF5</f>
        <v>14.021116138763198</v>
      </c>
      <c r="BS159" s="10">
        <f t="shared" ref="BS159:BS165" si="425">K159</f>
        <v>0</v>
      </c>
      <c r="BT159" s="21"/>
      <c r="BU159" s="19">
        <f t="shared" ref="BU159:BU165" si="426">K159+BT159</f>
        <v>0</v>
      </c>
      <c r="BV159" s="24">
        <f t="shared" si="369"/>
        <v>-14.021116138763198</v>
      </c>
      <c r="BW159" s="158">
        <f t="shared" si="407"/>
        <v>240</v>
      </c>
      <c r="BX159" s="29">
        <f t="shared" si="408"/>
        <v>64.736048265460028</v>
      </c>
    </row>
    <row r="160" spans="2:76" ht="30.75" customHeight="1">
      <c r="C160" s="507"/>
      <c r="D160" s="441"/>
      <c r="E160" s="94" t="s">
        <v>48</v>
      </c>
      <c r="F160" s="57">
        <v>75</v>
      </c>
      <c r="G160" s="5">
        <f t="shared" ref="G160:I160" si="427">F160*6380</f>
        <v>478500</v>
      </c>
      <c r="H160" s="7">
        <f t="shared" si="410"/>
        <v>79.185520361990953</v>
      </c>
      <c r="I160" s="5">
        <f t="shared" si="427"/>
        <v>505203.61990950227</v>
      </c>
      <c r="J160" s="9">
        <v>43</v>
      </c>
      <c r="K160" s="21">
        <f t="shared" si="372"/>
        <v>27</v>
      </c>
      <c r="L160" s="21">
        <v>9</v>
      </c>
      <c r="M160" s="21">
        <v>18</v>
      </c>
      <c r="N160" s="42"/>
      <c r="O160" s="81">
        <f>$H$160*月別販売比率!C5</f>
        <v>5.611422599670604</v>
      </c>
      <c r="P160" s="10">
        <f t="shared" si="107"/>
        <v>27</v>
      </c>
      <c r="Q160" s="21"/>
      <c r="R160" s="19">
        <f t="shared" si="411"/>
        <v>27</v>
      </c>
      <c r="S160" s="24">
        <f t="shared" si="358"/>
        <v>21.388577400329396</v>
      </c>
      <c r="T160" s="81">
        <f>$H$160*月別販売比率!H5</f>
        <v>5.5429864253393673</v>
      </c>
      <c r="U160" s="10">
        <f t="shared" si="412"/>
        <v>27</v>
      </c>
      <c r="V160" s="21">
        <v>40</v>
      </c>
      <c r="W160" s="10">
        <f t="shared" si="401"/>
        <v>67</v>
      </c>
      <c r="X160" s="24">
        <f t="shared" si="359"/>
        <v>61.457013574660635</v>
      </c>
      <c r="Y160" s="81">
        <f>$H$160*月別販売比率!M5</f>
        <v>8.0027808129590277</v>
      </c>
      <c r="Z160" s="10">
        <f t="shared" si="413"/>
        <v>27</v>
      </c>
      <c r="AA160" s="21"/>
      <c r="AB160" s="97">
        <f t="shared" si="402"/>
        <v>27</v>
      </c>
      <c r="AC160" s="24">
        <f t="shared" si="360"/>
        <v>18.997219187040972</v>
      </c>
      <c r="AD160" s="81">
        <f>$H$160*月別販売比率!R5</f>
        <v>6.3348416289592766</v>
      </c>
      <c r="AE160" s="10">
        <f t="shared" si="414"/>
        <v>27</v>
      </c>
      <c r="AF160" s="21">
        <v>40</v>
      </c>
      <c r="AG160" s="10">
        <f t="shared" si="403"/>
        <v>67</v>
      </c>
      <c r="AH160" s="24">
        <f t="shared" si="361"/>
        <v>60.665158371040725</v>
      </c>
      <c r="AI160" s="81">
        <f>$H$160*月別販売比率!W5</f>
        <v>6.0313013834738376</v>
      </c>
      <c r="AJ160" s="10">
        <f t="shared" si="415"/>
        <v>27</v>
      </c>
      <c r="AK160" s="21"/>
      <c r="AL160" s="19">
        <f t="shared" si="404"/>
        <v>27</v>
      </c>
      <c r="AM160" s="24">
        <f t="shared" si="362"/>
        <v>20.968698616526162</v>
      </c>
      <c r="AN160" s="81">
        <f>$H$160*月別販売比率!AB5</f>
        <v>9.502262443438914</v>
      </c>
      <c r="AO160" s="10">
        <f t="shared" si="416"/>
        <v>27</v>
      </c>
      <c r="AP160" s="21"/>
      <c r="AQ160" s="19">
        <f t="shared" si="405"/>
        <v>27</v>
      </c>
      <c r="AR160" s="24">
        <f t="shared" si="363"/>
        <v>17.497737556561084</v>
      </c>
      <c r="AS160" s="81">
        <f>$H$160*月別販売比率!AG5</f>
        <v>7.9185520361990953</v>
      </c>
      <c r="AT160" s="10">
        <f t="shared" si="417"/>
        <v>27</v>
      </c>
      <c r="AU160" s="21"/>
      <c r="AV160" s="19">
        <f t="shared" si="406"/>
        <v>27</v>
      </c>
      <c r="AW160" s="24">
        <f t="shared" si="364"/>
        <v>19.081447963800905</v>
      </c>
      <c r="AX160" s="81">
        <f>$H$160*月別販売比率!AL5</f>
        <v>7.126696832579186</v>
      </c>
      <c r="AY160" s="10">
        <f t="shared" si="418"/>
        <v>27</v>
      </c>
      <c r="AZ160" s="21"/>
      <c r="BA160" s="19">
        <f t="shared" si="419"/>
        <v>27</v>
      </c>
      <c r="BB160" s="24">
        <f t="shared" si="365"/>
        <v>19.873303167420815</v>
      </c>
      <c r="BC160" s="81">
        <f>$H$160*月別販売比率!AQ5</f>
        <v>7.9185520361990953</v>
      </c>
      <c r="BD160" s="10">
        <f t="shared" si="420"/>
        <v>27</v>
      </c>
      <c r="BE160" s="21"/>
      <c r="BF160" s="19">
        <f t="shared" si="421"/>
        <v>27</v>
      </c>
      <c r="BG160" s="24">
        <f t="shared" si="366"/>
        <v>19.081447963800905</v>
      </c>
      <c r="BH160" s="81">
        <f>$H$160*月別販売比率!AV5</f>
        <v>4.8219528110476979</v>
      </c>
      <c r="BI160" s="10">
        <f t="shared" si="422"/>
        <v>27</v>
      </c>
      <c r="BJ160" s="21"/>
      <c r="BK160" s="19">
        <f t="shared" si="423"/>
        <v>27</v>
      </c>
      <c r="BL160" s="24">
        <f t="shared" si="367"/>
        <v>22.178047188952302</v>
      </c>
      <c r="BM160" s="81">
        <f>$H$160*月別販売比率!BA5</f>
        <v>4.4045457571870026</v>
      </c>
      <c r="BN160" s="10">
        <f t="shared" si="424"/>
        <v>27</v>
      </c>
      <c r="BO160" s="21"/>
      <c r="BP160" s="19">
        <f t="shared" ref="BP160:BP165" si="428">K160+BO160</f>
        <v>27</v>
      </c>
      <c r="BQ160" s="24">
        <f t="shared" si="368"/>
        <v>22.595454242812998</v>
      </c>
      <c r="BR160" s="81">
        <f>$H$160*月別販売比率!BF5</f>
        <v>6.3348416289592766</v>
      </c>
      <c r="BS160" s="10">
        <f t="shared" si="425"/>
        <v>27</v>
      </c>
      <c r="BT160" s="21"/>
      <c r="BU160" s="19">
        <f t="shared" si="426"/>
        <v>27</v>
      </c>
      <c r="BV160" s="24">
        <f t="shared" si="369"/>
        <v>20.665158371040725</v>
      </c>
      <c r="BW160" s="158">
        <f t="shared" si="407"/>
        <v>107</v>
      </c>
      <c r="BX160" s="29">
        <f t="shared" si="408"/>
        <v>27.814479638009047</v>
      </c>
    </row>
    <row r="161" spans="2:76" ht="30.75" customHeight="1">
      <c r="C161" s="507"/>
      <c r="D161" s="441"/>
      <c r="E161" s="94" t="s">
        <v>49</v>
      </c>
      <c r="F161" s="57">
        <v>35</v>
      </c>
      <c r="G161" s="5">
        <f t="shared" ref="G161:I161" si="429">F161*6380</f>
        <v>223300</v>
      </c>
      <c r="H161" s="7">
        <f t="shared" si="410"/>
        <v>36.95324283559578</v>
      </c>
      <c r="I161" s="5">
        <f t="shared" si="429"/>
        <v>235761.68929110107</v>
      </c>
      <c r="J161" s="9">
        <v>0</v>
      </c>
      <c r="K161" s="21">
        <f t="shared" si="372"/>
        <v>6</v>
      </c>
      <c r="L161" s="21">
        <v>3</v>
      </c>
      <c r="M161" s="21">
        <v>3</v>
      </c>
      <c r="N161" s="42"/>
      <c r="O161" s="81">
        <f>$H$161*月別販売比率!C5</f>
        <v>2.6186638798462822</v>
      </c>
      <c r="P161" s="10">
        <f>K161</f>
        <v>6</v>
      </c>
      <c r="Q161" s="21"/>
      <c r="R161" s="19">
        <f t="shared" si="411"/>
        <v>6</v>
      </c>
      <c r="S161" s="24">
        <f t="shared" si="358"/>
        <v>3.3813361201537178</v>
      </c>
      <c r="T161" s="81">
        <f>$H$161*月別販売比率!H5</f>
        <v>2.586726998491705</v>
      </c>
      <c r="U161" s="10">
        <f t="shared" si="412"/>
        <v>6</v>
      </c>
      <c r="V161" s="21">
        <v>30</v>
      </c>
      <c r="W161" s="10">
        <f t="shared" si="401"/>
        <v>36</v>
      </c>
      <c r="X161" s="24">
        <f t="shared" si="359"/>
        <v>33.413273001508294</v>
      </c>
      <c r="Y161" s="81">
        <f>$H$161*月別販売比率!M5</f>
        <v>3.7346310460475465</v>
      </c>
      <c r="Z161" s="10">
        <f t="shared" si="413"/>
        <v>6</v>
      </c>
      <c r="AA161" s="21"/>
      <c r="AB161" s="97">
        <f t="shared" si="402"/>
        <v>6</v>
      </c>
      <c r="AC161" s="24">
        <f t="shared" si="360"/>
        <v>2.2653689539524535</v>
      </c>
      <c r="AD161" s="81">
        <f>$H$161*月別販売比率!R5</f>
        <v>2.9562594268476623</v>
      </c>
      <c r="AE161" s="10">
        <f t="shared" si="414"/>
        <v>6</v>
      </c>
      <c r="AF161" s="21">
        <v>30</v>
      </c>
      <c r="AG161" s="10">
        <f t="shared" si="403"/>
        <v>36</v>
      </c>
      <c r="AH161" s="24">
        <f t="shared" si="361"/>
        <v>33.043740573152334</v>
      </c>
      <c r="AI161" s="81">
        <f>$H$161*月別販売比率!W5</f>
        <v>2.8146073122877913</v>
      </c>
      <c r="AJ161" s="10">
        <f t="shared" si="415"/>
        <v>6</v>
      </c>
      <c r="AK161" s="21"/>
      <c r="AL161" s="19">
        <f t="shared" si="404"/>
        <v>6</v>
      </c>
      <c r="AM161" s="24">
        <f t="shared" si="362"/>
        <v>3.1853926877122087</v>
      </c>
      <c r="AN161" s="81">
        <f>$H$161*月別販売比率!AB5</f>
        <v>4.4343891402714934</v>
      </c>
      <c r="AO161" s="10">
        <f t="shared" si="416"/>
        <v>6</v>
      </c>
      <c r="AP161" s="21"/>
      <c r="AQ161" s="19">
        <f t="shared" si="405"/>
        <v>6</v>
      </c>
      <c r="AR161" s="24">
        <f t="shared" si="363"/>
        <v>1.5656108597285066</v>
      </c>
      <c r="AS161" s="81">
        <f>$H$161*月別販売比率!AG5</f>
        <v>3.6953242835595783</v>
      </c>
      <c r="AT161" s="10">
        <f t="shared" si="417"/>
        <v>6</v>
      </c>
      <c r="AU161" s="21"/>
      <c r="AV161" s="19">
        <f t="shared" si="406"/>
        <v>6</v>
      </c>
      <c r="AW161" s="24">
        <f t="shared" si="364"/>
        <v>2.3046757164404217</v>
      </c>
      <c r="AX161" s="81">
        <f>$H$161*月別販売比率!AL5</f>
        <v>3.3257918552036201</v>
      </c>
      <c r="AY161" s="10">
        <f t="shared" si="418"/>
        <v>6</v>
      </c>
      <c r="AZ161" s="21"/>
      <c r="BA161" s="19">
        <f t="shared" si="419"/>
        <v>6</v>
      </c>
      <c r="BB161" s="24">
        <f t="shared" si="365"/>
        <v>2.6742081447963799</v>
      </c>
      <c r="BC161" s="81">
        <f>$H$161*月別販売比率!AQ5</f>
        <v>3.6953242835595783</v>
      </c>
      <c r="BD161" s="10">
        <f t="shared" si="420"/>
        <v>6</v>
      </c>
      <c r="BE161" s="21"/>
      <c r="BF161" s="19">
        <f t="shared" si="421"/>
        <v>6</v>
      </c>
      <c r="BG161" s="24">
        <f t="shared" si="366"/>
        <v>2.3046757164404217</v>
      </c>
      <c r="BH161" s="81">
        <f>$H$161*月別販売比率!AV5</f>
        <v>2.2502446451555929</v>
      </c>
      <c r="BI161" s="10">
        <f t="shared" si="422"/>
        <v>6</v>
      </c>
      <c r="BJ161" s="21"/>
      <c r="BK161" s="19">
        <f t="shared" si="423"/>
        <v>6</v>
      </c>
      <c r="BL161" s="24">
        <f t="shared" si="367"/>
        <v>3.7497553548444071</v>
      </c>
      <c r="BM161" s="81">
        <f>$H$161*月別販売比率!BA5</f>
        <v>2.0554546866872676</v>
      </c>
      <c r="BN161" s="10">
        <f t="shared" si="424"/>
        <v>6</v>
      </c>
      <c r="BO161" s="21"/>
      <c r="BP161" s="19">
        <f t="shared" si="428"/>
        <v>6</v>
      </c>
      <c r="BQ161" s="24">
        <f t="shared" si="368"/>
        <v>3.9445453133127324</v>
      </c>
      <c r="BR161" s="81">
        <f>$H$161*月別販売比率!BF5</f>
        <v>2.9562594268476623</v>
      </c>
      <c r="BS161" s="10">
        <f t="shared" si="425"/>
        <v>6</v>
      </c>
      <c r="BT161" s="21"/>
      <c r="BU161" s="19">
        <f t="shared" si="426"/>
        <v>6</v>
      </c>
      <c r="BV161" s="24">
        <f t="shared" si="369"/>
        <v>3.0437405731523377</v>
      </c>
      <c r="BW161" s="158">
        <f t="shared" si="407"/>
        <v>66</v>
      </c>
      <c r="BX161" s="29">
        <f t="shared" si="408"/>
        <v>29.04675716440422</v>
      </c>
    </row>
    <row r="162" spans="2:76" ht="30.75" customHeight="1">
      <c r="C162" s="507"/>
      <c r="D162" s="443">
        <v>2</v>
      </c>
      <c r="E162" s="99" t="s">
        <v>46</v>
      </c>
      <c r="F162" s="56">
        <v>72</v>
      </c>
      <c r="G162" s="46">
        <f t="shared" ref="G162:I162" si="430">F162*6380</f>
        <v>459360</v>
      </c>
      <c r="H162" s="45">
        <f t="shared" si="410"/>
        <v>76.018099547511312</v>
      </c>
      <c r="I162" s="46">
        <f t="shared" si="430"/>
        <v>484995.4751131222</v>
      </c>
      <c r="J162" s="49">
        <v>61</v>
      </c>
      <c r="K162" s="39">
        <f t="shared" si="372"/>
        <v>9</v>
      </c>
      <c r="L162" s="39"/>
      <c r="M162" s="39">
        <v>9</v>
      </c>
      <c r="N162" s="42"/>
      <c r="O162" s="81">
        <f>$H$162*月別販売比率!C5</f>
        <v>5.3869656956837799</v>
      </c>
      <c r="P162" s="10">
        <f t="shared" si="107"/>
        <v>9</v>
      </c>
      <c r="Q162" s="21"/>
      <c r="R162" s="19">
        <f t="shared" si="411"/>
        <v>9</v>
      </c>
      <c r="S162" s="24">
        <f t="shared" si="358"/>
        <v>3.6130343043162201</v>
      </c>
      <c r="T162" s="81">
        <f>$H$162*月別販売比率!H5</f>
        <v>5.3212669683257925</v>
      </c>
      <c r="U162" s="40">
        <f t="shared" si="412"/>
        <v>9</v>
      </c>
      <c r="V162" s="39"/>
      <c r="W162" s="40">
        <f t="shared" si="401"/>
        <v>9</v>
      </c>
      <c r="X162" s="91">
        <f t="shared" si="359"/>
        <v>3.6787330316742075</v>
      </c>
      <c r="Y162" s="81">
        <f>$H$162*月別販売比率!M5</f>
        <v>7.6826695804406659</v>
      </c>
      <c r="Z162" s="40">
        <f t="shared" si="413"/>
        <v>9</v>
      </c>
      <c r="AA162" s="39"/>
      <c r="AB162" s="96">
        <f t="shared" si="402"/>
        <v>9</v>
      </c>
      <c r="AC162" s="91">
        <f t="shared" si="360"/>
        <v>1.3173304195593341</v>
      </c>
      <c r="AD162" s="81">
        <f>$H$162*月別販売比率!R5</f>
        <v>6.0814479638009047</v>
      </c>
      <c r="AE162" s="40">
        <f t="shared" si="414"/>
        <v>9</v>
      </c>
      <c r="AF162" s="39"/>
      <c r="AG162" s="40">
        <f t="shared" si="403"/>
        <v>9</v>
      </c>
      <c r="AH162" s="91">
        <f t="shared" si="361"/>
        <v>2.9185520361990953</v>
      </c>
      <c r="AI162" s="81">
        <f>$H$162*月別販売比率!W5</f>
        <v>5.7900493281348835</v>
      </c>
      <c r="AJ162" s="40">
        <f t="shared" si="415"/>
        <v>9</v>
      </c>
      <c r="AK162" s="39"/>
      <c r="AL162" s="43">
        <f t="shared" si="404"/>
        <v>9</v>
      </c>
      <c r="AM162" s="91">
        <f t="shared" si="362"/>
        <v>3.2099506718651165</v>
      </c>
      <c r="AN162" s="81">
        <f>$H$162*月別販売比率!AB5</f>
        <v>9.122171945701357</v>
      </c>
      <c r="AO162" s="40">
        <f t="shared" si="416"/>
        <v>9</v>
      </c>
      <c r="AP162" s="39"/>
      <c r="AQ162" s="43">
        <f t="shared" si="405"/>
        <v>9</v>
      </c>
      <c r="AR162" s="91">
        <f t="shared" si="363"/>
        <v>-0.12217194570135703</v>
      </c>
      <c r="AS162" s="81">
        <f>$H$162*月別販売比率!AG5</f>
        <v>7.6018099547511317</v>
      </c>
      <c r="AT162" s="40">
        <f t="shared" si="417"/>
        <v>9</v>
      </c>
      <c r="AU162" s="39"/>
      <c r="AV162" s="43">
        <f t="shared" si="406"/>
        <v>9</v>
      </c>
      <c r="AW162" s="91">
        <f t="shared" si="364"/>
        <v>1.3981900452488683</v>
      </c>
      <c r="AX162" s="81">
        <f>$H$162*月別販売比率!AL5</f>
        <v>6.8416289592760178</v>
      </c>
      <c r="AY162" s="40">
        <f t="shared" si="418"/>
        <v>9</v>
      </c>
      <c r="AZ162" s="39"/>
      <c r="BA162" s="43">
        <f t="shared" si="419"/>
        <v>9</v>
      </c>
      <c r="BB162" s="91">
        <f t="shared" si="365"/>
        <v>2.1583710407239822</v>
      </c>
      <c r="BC162" s="81">
        <f>$H$162*月別販売比率!AQ5</f>
        <v>7.6018099547511317</v>
      </c>
      <c r="BD162" s="40">
        <f t="shared" si="420"/>
        <v>9</v>
      </c>
      <c r="BE162" s="39"/>
      <c r="BF162" s="43">
        <f t="shared" si="421"/>
        <v>9</v>
      </c>
      <c r="BG162" s="91">
        <f t="shared" si="366"/>
        <v>1.3981900452488683</v>
      </c>
      <c r="BH162" s="81">
        <f>$H$162*月別販売比率!AV5</f>
        <v>4.6290746986057902</v>
      </c>
      <c r="BI162" s="40">
        <f t="shared" si="422"/>
        <v>9</v>
      </c>
      <c r="BJ162" s="39"/>
      <c r="BK162" s="43">
        <f t="shared" si="423"/>
        <v>9</v>
      </c>
      <c r="BL162" s="91">
        <f t="shared" si="367"/>
        <v>4.3709253013942098</v>
      </c>
      <c r="BM162" s="81">
        <f>$H$162*月別販売比率!BA5</f>
        <v>4.2283639268995223</v>
      </c>
      <c r="BN162" s="40">
        <f t="shared" si="424"/>
        <v>9</v>
      </c>
      <c r="BO162" s="39"/>
      <c r="BP162" s="43">
        <f t="shared" si="428"/>
        <v>9</v>
      </c>
      <c r="BQ162" s="91">
        <f t="shared" si="368"/>
        <v>4.7716360731004777</v>
      </c>
      <c r="BR162" s="81">
        <f>$H$162*月別販売比率!BF5</f>
        <v>6.0814479638009047</v>
      </c>
      <c r="BS162" s="40">
        <f t="shared" si="425"/>
        <v>9</v>
      </c>
      <c r="BT162" s="39"/>
      <c r="BU162" s="43">
        <f t="shared" si="426"/>
        <v>9</v>
      </c>
      <c r="BV162" s="91">
        <f t="shared" si="369"/>
        <v>2.9185520361990953</v>
      </c>
      <c r="BW162" s="158">
        <f t="shared" si="407"/>
        <v>9</v>
      </c>
      <c r="BX162" s="29">
        <f t="shared" si="408"/>
        <v>-67.018099547511312</v>
      </c>
    </row>
    <row r="163" spans="2:76" ht="30.75" customHeight="1">
      <c r="C163" s="507"/>
      <c r="D163" s="441"/>
      <c r="E163" s="94" t="s">
        <v>47</v>
      </c>
      <c r="F163" s="57">
        <v>92</v>
      </c>
      <c r="G163" s="5">
        <f t="shared" ref="G163:I163" si="431">F163*6380</f>
        <v>586960</v>
      </c>
      <c r="H163" s="7">
        <f t="shared" si="410"/>
        <v>97.134238310708895</v>
      </c>
      <c r="I163" s="5">
        <f t="shared" si="431"/>
        <v>619716.44042232272</v>
      </c>
      <c r="J163" s="9">
        <v>49</v>
      </c>
      <c r="K163" s="21">
        <f t="shared" si="372"/>
        <v>15</v>
      </c>
      <c r="L163" s="21"/>
      <c r="M163" s="21">
        <v>15</v>
      </c>
      <c r="N163" s="42"/>
      <c r="O163" s="81">
        <f>$H$163*月別販売比率!C5</f>
        <v>6.8833450555959406</v>
      </c>
      <c r="P163" s="10">
        <f t="shared" si="107"/>
        <v>15</v>
      </c>
      <c r="Q163" s="21"/>
      <c r="R163" s="19">
        <f t="shared" si="411"/>
        <v>15</v>
      </c>
      <c r="S163" s="24">
        <f t="shared" si="358"/>
        <v>8.1166549444040594</v>
      </c>
      <c r="T163" s="81">
        <f>$H$163*月別販売比率!H5</f>
        <v>6.7993966817496236</v>
      </c>
      <c r="U163" s="10">
        <f t="shared" si="412"/>
        <v>15</v>
      </c>
      <c r="V163" s="21"/>
      <c r="W163" s="10">
        <f t="shared" si="401"/>
        <v>15</v>
      </c>
      <c r="X163" s="24">
        <f t="shared" si="359"/>
        <v>8.2006033182503764</v>
      </c>
      <c r="Y163" s="81">
        <f>$H$163*月別販売比率!M5</f>
        <v>9.8167444638964056</v>
      </c>
      <c r="Z163" s="10">
        <f t="shared" si="413"/>
        <v>15</v>
      </c>
      <c r="AA163" s="21"/>
      <c r="AB163" s="97">
        <f t="shared" si="402"/>
        <v>15</v>
      </c>
      <c r="AC163" s="24">
        <f t="shared" si="360"/>
        <v>5.1832555361035944</v>
      </c>
      <c r="AD163" s="81">
        <f>$H$163*月別販売比率!R5</f>
        <v>7.7707390648567118</v>
      </c>
      <c r="AE163" s="10">
        <f t="shared" si="414"/>
        <v>15</v>
      </c>
      <c r="AF163" s="21"/>
      <c r="AG163" s="10">
        <f t="shared" si="403"/>
        <v>15</v>
      </c>
      <c r="AH163" s="24">
        <f t="shared" si="361"/>
        <v>7.2292609351432882</v>
      </c>
      <c r="AI163" s="81">
        <f>$H$163*月別販売比率!W5</f>
        <v>7.3983963637279064</v>
      </c>
      <c r="AJ163" s="10">
        <f t="shared" si="415"/>
        <v>15</v>
      </c>
      <c r="AK163" s="21"/>
      <c r="AL163" s="19">
        <f t="shared" si="404"/>
        <v>15</v>
      </c>
      <c r="AM163" s="24">
        <f t="shared" si="362"/>
        <v>7.6016036362720936</v>
      </c>
      <c r="AN163" s="81">
        <f>$H$163*月別販売比率!AB5</f>
        <v>11.656108597285067</v>
      </c>
      <c r="AO163" s="10">
        <f t="shared" si="416"/>
        <v>15</v>
      </c>
      <c r="AP163" s="21"/>
      <c r="AQ163" s="19">
        <f t="shared" si="405"/>
        <v>15</v>
      </c>
      <c r="AR163" s="24">
        <f t="shared" si="363"/>
        <v>3.3438914027149327</v>
      </c>
      <c r="AS163" s="81">
        <f>$H$163*月別販売比率!AG5</f>
        <v>9.7134238310708909</v>
      </c>
      <c r="AT163" s="10">
        <f t="shared" si="417"/>
        <v>15</v>
      </c>
      <c r="AU163" s="21"/>
      <c r="AV163" s="19">
        <f t="shared" si="406"/>
        <v>15</v>
      </c>
      <c r="AW163" s="24">
        <f t="shared" si="364"/>
        <v>5.2865761689291091</v>
      </c>
      <c r="AX163" s="81">
        <f>$H$163*月別販売比率!AL5</f>
        <v>8.7420814479638</v>
      </c>
      <c r="AY163" s="10">
        <f t="shared" si="418"/>
        <v>15</v>
      </c>
      <c r="AZ163" s="21"/>
      <c r="BA163" s="19">
        <f t="shared" si="419"/>
        <v>15</v>
      </c>
      <c r="BB163" s="24">
        <f t="shared" si="365"/>
        <v>6.2579185520362</v>
      </c>
      <c r="BC163" s="81">
        <f>$H$163*月別販売比率!AQ5</f>
        <v>9.7134238310708909</v>
      </c>
      <c r="BD163" s="10">
        <f t="shared" si="420"/>
        <v>15</v>
      </c>
      <c r="BE163" s="21"/>
      <c r="BF163" s="19">
        <f t="shared" si="421"/>
        <v>15</v>
      </c>
      <c r="BG163" s="24">
        <f t="shared" si="366"/>
        <v>5.2865761689291091</v>
      </c>
      <c r="BH163" s="81">
        <f>$H$163*月別販売比率!AV5</f>
        <v>5.9149287815518425</v>
      </c>
      <c r="BI163" s="10">
        <f t="shared" si="422"/>
        <v>15</v>
      </c>
      <c r="BJ163" s="21"/>
      <c r="BK163" s="19">
        <f t="shared" si="423"/>
        <v>15</v>
      </c>
      <c r="BL163" s="24">
        <f t="shared" si="367"/>
        <v>9.0850712184481566</v>
      </c>
      <c r="BM163" s="81">
        <f>$H$163*月別販売比率!BA5</f>
        <v>5.4029094621493892</v>
      </c>
      <c r="BN163" s="10">
        <f t="shared" si="424"/>
        <v>15</v>
      </c>
      <c r="BO163" s="21"/>
      <c r="BP163" s="19">
        <f t="shared" si="428"/>
        <v>15</v>
      </c>
      <c r="BQ163" s="24">
        <f t="shared" si="368"/>
        <v>9.5970905378506117</v>
      </c>
      <c r="BR163" s="81">
        <f>$H$163*月別販売比率!BF5</f>
        <v>7.7707390648567118</v>
      </c>
      <c r="BS163" s="10">
        <f t="shared" si="425"/>
        <v>15</v>
      </c>
      <c r="BT163" s="21"/>
      <c r="BU163" s="19">
        <f t="shared" si="426"/>
        <v>15</v>
      </c>
      <c r="BV163" s="24">
        <f t="shared" si="369"/>
        <v>7.2292609351432882</v>
      </c>
      <c r="BW163" s="158">
        <f t="shared" si="407"/>
        <v>15</v>
      </c>
      <c r="BX163" s="29">
        <f t="shared" si="408"/>
        <v>-82.134238310708895</v>
      </c>
    </row>
    <row r="164" spans="2:76" ht="30.75" customHeight="1">
      <c r="C164" s="507"/>
      <c r="D164" s="441"/>
      <c r="E164" s="94" t="s">
        <v>48</v>
      </c>
      <c r="F164" s="57">
        <v>48</v>
      </c>
      <c r="G164" s="5">
        <f t="shared" ref="G164:I164" si="432">F164*6380</f>
        <v>306240</v>
      </c>
      <c r="H164" s="7">
        <f t="shared" si="410"/>
        <v>50.678733031674213</v>
      </c>
      <c r="I164" s="5">
        <f t="shared" si="432"/>
        <v>323330.31674208149</v>
      </c>
      <c r="J164" s="9">
        <v>121</v>
      </c>
      <c r="K164" s="21">
        <f t="shared" si="372"/>
        <v>12</v>
      </c>
      <c r="L164" s="21"/>
      <c r="M164" s="21">
        <v>12</v>
      </c>
      <c r="N164" s="42"/>
      <c r="O164" s="81">
        <f>$H$164*月別販売比率!C5</f>
        <v>3.5913104637891871</v>
      </c>
      <c r="P164" s="10">
        <f t="shared" si="107"/>
        <v>12</v>
      </c>
      <c r="Q164" s="21"/>
      <c r="R164" s="19">
        <f t="shared" si="411"/>
        <v>12</v>
      </c>
      <c r="S164" s="24">
        <f t="shared" si="358"/>
        <v>8.4086895362108134</v>
      </c>
      <c r="T164" s="81">
        <f>$H$164*月別販売比率!H5</f>
        <v>3.5475113122171953</v>
      </c>
      <c r="U164" s="10">
        <f t="shared" si="412"/>
        <v>12</v>
      </c>
      <c r="V164" s="21"/>
      <c r="W164" s="10">
        <f t="shared" si="401"/>
        <v>12</v>
      </c>
      <c r="X164" s="24">
        <f t="shared" si="359"/>
        <v>8.4524886877828038</v>
      </c>
      <c r="Y164" s="81">
        <f>$H$164*月別販売比率!M5</f>
        <v>5.1217797202937776</v>
      </c>
      <c r="Z164" s="10">
        <f t="shared" si="413"/>
        <v>12</v>
      </c>
      <c r="AA164" s="21"/>
      <c r="AB164" s="97">
        <f t="shared" si="402"/>
        <v>12</v>
      </c>
      <c r="AC164" s="24">
        <f t="shared" si="360"/>
        <v>6.8782202797062224</v>
      </c>
      <c r="AD164" s="81">
        <f>$H$164*月別販売比率!R5</f>
        <v>4.0542986425339373</v>
      </c>
      <c r="AE164" s="10">
        <f t="shared" si="414"/>
        <v>12</v>
      </c>
      <c r="AF164" s="21"/>
      <c r="AG164" s="40">
        <f t="shared" si="403"/>
        <v>12</v>
      </c>
      <c r="AH164" s="24">
        <f t="shared" si="361"/>
        <v>7.9457013574660627</v>
      </c>
      <c r="AI164" s="81">
        <f>$H$164*月別販売比率!W5</f>
        <v>3.8600328854232564</v>
      </c>
      <c r="AJ164" s="40">
        <f t="shared" si="415"/>
        <v>12</v>
      </c>
      <c r="AK164" s="39"/>
      <c r="AL164" s="43">
        <f t="shared" si="404"/>
        <v>12</v>
      </c>
      <c r="AM164" s="24">
        <f t="shared" si="362"/>
        <v>8.1399671145767432</v>
      </c>
      <c r="AN164" s="81">
        <f>$H$164*月別販売比率!AB5</f>
        <v>6.0814479638009056</v>
      </c>
      <c r="AO164" s="40">
        <f t="shared" si="416"/>
        <v>12</v>
      </c>
      <c r="AP164" s="39"/>
      <c r="AQ164" s="43">
        <f t="shared" si="405"/>
        <v>12</v>
      </c>
      <c r="AR164" s="24">
        <f t="shared" si="363"/>
        <v>5.9185520361990944</v>
      </c>
      <c r="AS164" s="81">
        <f>$H$164*月別販売比率!AG5</f>
        <v>5.0678733031674215</v>
      </c>
      <c r="AT164" s="40">
        <f t="shared" si="417"/>
        <v>12</v>
      </c>
      <c r="AU164" s="39"/>
      <c r="AV164" s="43">
        <f t="shared" si="406"/>
        <v>12</v>
      </c>
      <c r="AW164" s="24">
        <f t="shared" si="364"/>
        <v>6.9321266968325785</v>
      </c>
      <c r="AX164" s="81">
        <f>$H$164*月別販売比率!AL5</f>
        <v>4.5610859728506794</v>
      </c>
      <c r="AY164" s="40">
        <f t="shared" si="418"/>
        <v>12</v>
      </c>
      <c r="AZ164" s="39"/>
      <c r="BA164" s="43">
        <f t="shared" si="419"/>
        <v>12</v>
      </c>
      <c r="BB164" s="24">
        <f t="shared" si="365"/>
        <v>7.4389140271493206</v>
      </c>
      <c r="BC164" s="81">
        <f>$H$164*月別販売比率!AQ5</f>
        <v>5.0678733031674215</v>
      </c>
      <c r="BD164" s="40">
        <f t="shared" si="420"/>
        <v>12</v>
      </c>
      <c r="BE164" s="39"/>
      <c r="BF164" s="43">
        <f t="shared" si="421"/>
        <v>12</v>
      </c>
      <c r="BG164" s="24">
        <f t="shared" si="366"/>
        <v>6.9321266968325785</v>
      </c>
      <c r="BH164" s="81">
        <f>$H$164*月別販売比率!AV5</f>
        <v>3.0860497990705271</v>
      </c>
      <c r="BI164" s="40">
        <f t="shared" si="422"/>
        <v>12</v>
      </c>
      <c r="BJ164" s="39"/>
      <c r="BK164" s="43">
        <f t="shared" si="423"/>
        <v>12</v>
      </c>
      <c r="BL164" s="24">
        <f t="shared" si="367"/>
        <v>8.9139502009294738</v>
      </c>
      <c r="BM164" s="81">
        <f>$H$164*月別販売比率!BA5</f>
        <v>2.8189092845996817</v>
      </c>
      <c r="BN164" s="40">
        <f t="shared" si="424"/>
        <v>12</v>
      </c>
      <c r="BO164" s="39"/>
      <c r="BP164" s="43">
        <f t="shared" si="428"/>
        <v>12</v>
      </c>
      <c r="BQ164" s="24">
        <f t="shared" si="368"/>
        <v>9.1810907154003178</v>
      </c>
      <c r="BR164" s="81">
        <f>$H$164*月別販売比率!BF5</f>
        <v>4.0542986425339373</v>
      </c>
      <c r="BS164" s="40">
        <f t="shared" si="425"/>
        <v>12</v>
      </c>
      <c r="BT164" s="39"/>
      <c r="BU164" s="125">
        <f t="shared" si="426"/>
        <v>12</v>
      </c>
      <c r="BV164" s="24">
        <f t="shared" si="369"/>
        <v>7.9457013574660627</v>
      </c>
      <c r="BW164" s="158">
        <f t="shared" si="407"/>
        <v>12</v>
      </c>
      <c r="BX164" s="29">
        <f t="shared" si="408"/>
        <v>-38.678733031674213</v>
      </c>
    </row>
    <row r="165" spans="2:76" ht="30.75" customHeight="1">
      <c r="C165" s="508"/>
      <c r="D165" s="444"/>
      <c r="E165" s="101" t="s">
        <v>49</v>
      </c>
      <c r="F165" s="58">
        <v>20</v>
      </c>
      <c r="G165" s="35">
        <f t="shared" ref="G165:I165" si="433">F165*6380</f>
        <v>127600</v>
      </c>
      <c r="H165" s="181">
        <f t="shared" si="410"/>
        <v>21.116138763197586</v>
      </c>
      <c r="I165" s="35">
        <f t="shared" si="433"/>
        <v>134720.9653092006</v>
      </c>
      <c r="J165" s="113">
        <v>72</v>
      </c>
      <c r="K165" s="103">
        <f t="shared" si="372"/>
        <v>10</v>
      </c>
      <c r="L165" s="104"/>
      <c r="M165" s="104">
        <v>10</v>
      </c>
      <c r="N165" s="117"/>
      <c r="O165" s="81">
        <f>$H$165*月別販売比率!C5</f>
        <v>1.4963793599121611</v>
      </c>
      <c r="P165" s="106">
        <f t="shared" si="107"/>
        <v>10</v>
      </c>
      <c r="Q165" s="107"/>
      <c r="R165" s="2">
        <f t="shared" si="411"/>
        <v>10</v>
      </c>
      <c r="S165" s="195">
        <f t="shared" si="358"/>
        <v>8.5036206400878385</v>
      </c>
      <c r="T165" s="81">
        <f>$H$165*月別販売比率!H5</f>
        <v>1.4781297134238311</v>
      </c>
      <c r="U165" s="106">
        <f t="shared" si="412"/>
        <v>10</v>
      </c>
      <c r="V165" s="107"/>
      <c r="W165" s="106">
        <f t="shared" si="401"/>
        <v>10</v>
      </c>
      <c r="X165" s="195">
        <f t="shared" si="359"/>
        <v>8.5218702865761689</v>
      </c>
      <c r="Y165" s="81">
        <f>$H$165*月別販売比率!M5</f>
        <v>2.1340748834557406</v>
      </c>
      <c r="Z165" s="106">
        <f t="shared" si="413"/>
        <v>10</v>
      </c>
      <c r="AA165" s="107"/>
      <c r="AB165" s="196">
        <f t="shared" si="402"/>
        <v>10</v>
      </c>
      <c r="AC165" s="195">
        <f t="shared" si="360"/>
        <v>7.8659251165442594</v>
      </c>
      <c r="AD165" s="81">
        <f>$H$165*月別販売比率!R5</f>
        <v>1.6892911010558069</v>
      </c>
      <c r="AE165" s="106">
        <f t="shared" si="414"/>
        <v>10</v>
      </c>
      <c r="AF165" s="107"/>
      <c r="AG165" s="106">
        <f t="shared" si="403"/>
        <v>10</v>
      </c>
      <c r="AH165" s="195">
        <f t="shared" si="361"/>
        <v>8.3107088989441937</v>
      </c>
      <c r="AI165" s="81">
        <f>$H$165*月別販売比率!W5</f>
        <v>1.6083470355930232</v>
      </c>
      <c r="AJ165" s="106">
        <f t="shared" si="415"/>
        <v>10</v>
      </c>
      <c r="AK165" s="107"/>
      <c r="AL165" s="2">
        <f t="shared" si="404"/>
        <v>10</v>
      </c>
      <c r="AM165" s="195">
        <f t="shared" si="362"/>
        <v>8.3916529644069762</v>
      </c>
      <c r="AN165" s="81">
        <f>$H$165*月別販売比率!AB5</f>
        <v>2.5339366515837103</v>
      </c>
      <c r="AO165" s="106">
        <f t="shared" si="416"/>
        <v>10</v>
      </c>
      <c r="AP165" s="107"/>
      <c r="AQ165" s="2">
        <f t="shared" si="405"/>
        <v>10</v>
      </c>
      <c r="AR165" s="195">
        <f t="shared" si="363"/>
        <v>7.4660633484162897</v>
      </c>
      <c r="AS165" s="81">
        <f>$H$165*月別販売比率!AG5</f>
        <v>2.1116138763197587</v>
      </c>
      <c r="AT165" s="106">
        <f t="shared" si="417"/>
        <v>10</v>
      </c>
      <c r="AU165" s="107"/>
      <c r="AV165" s="2">
        <f t="shared" si="406"/>
        <v>10</v>
      </c>
      <c r="AW165" s="195">
        <f t="shared" si="364"/>
        <v>7.8883861236802417</v>
      </c>
      <c r="AX165" s="81">
        <f>$H$165*月別販売比率!AL5</f>
        <v>1.9004524886877827</v>
      </c>
      <c r="AY165" s="106">
        <f t="shared" si="418"/>
        <v>10</v>
      </c>
      <c r="AZ165" s="107"/>
      <c r="BA165" s="2">
        <f t="shared" si="419"/>
        <v>10</v>
      </c>
      <c r="BB165" s="195">
        <f t="shared" si="365"/>
        <v>8.0995475113122168</v>
      </c>
      <c r="BC165" s="81">
        <f>$H$165*月別販売比率!AQ5</f>
        <v>2.1116138763197587</v>
      </c>
      <c r="BD165" s="106">
        <f t="shared" si="420"/>
        <v>10</v>
      </c>
      <c r="BE165" s="107"/>
      <c r="BF165" s="2">
        <f t="shared" si="421"/>
        <v>10</v>
      </c>
      <c r="BG165" s="195">
        <f t="shared" si="366"/>
        <v>7.8883861236802417</v>
      </c>
      <c r="BH165" s="81">
        <f>$H$165*月別販売比率!AV5</f>
        <v>1.2858540829460527</v>
      </c>
      <c r="BI165" s="106">
        <f t="shared" si="422"/>
        <v>10</v>
      </c>
      <c r="BJ165" s="107"/>
      <c r="BK165" s="2">
        <f t="shared" si="423"/>
        <v>10</v>
      </c>
      <c r="BL165" s="195">
        <f t="shared" si="367"/>
        <v>8.7141459170539477</v>
      </c>
      <c r="BM165" s="81">
        <f>$H$165*月別販売比率!BA5</f>
        <v>1.1745455352498673</v>
      </c>
      <c r="BN165" s="106">
        <f t="shared" si="424"/>
        <v>10</v>
      </c>
      <c r="BO165" s="107"/>
      <c r="BP165" s="2">
        <f t="shared" si="428"/>
        <v>10</v>
      </c>
      <c r="BQ165" s="195">
        <f t="shared" si="368"/>
        <v>8.8254544647501323</v>
      </c>
      <c r="BR165" s="81">
        <f>$H$165*月別販売比率!BF5</f>
        <v>1.6892911010558069</v>
      </c>
      <c r="BS165" s="110">
        <f t="shared" si="425"/>
        <v>10</v>
      </c>
      <c r="BT165" s="104"/>
      <c r="BU165" s="100">
        <f t="shared" si="426"/>
        <v>10</v>
      </c>
      <c r="BV165" s="92">
        <f t="shared" si="369"/>
        <v>8.3107088989441937</v>
      </c>
      <c r="BW165" s="159">
        <f t="shared" si="407"/>
        <v>10</v>
      </c>
      <c r="BX165" s="116">
        <f t="shared" si="408"/>
        <v>-11.116138763197586</v>
      </c>
    </row>
    <row r="166" spans="2:76" ht="30.75" customHeight="1">
      <c r="B166" s="2">
        <v>13</v>
      </c>
      <c r="C166" s="435" t="s">
        <v>7</v>
      </c>
      <c r="D166" s="436"/>
      <c r="E166" s="445"/>
      <c r="F166" s="130">
        <v>422</v>
      </c>
      <c r="G166" s="131">
        <v>2087509.5140624999</v>
      </c>
      <c r="H166" s="132">
        <v>450</v>
      </c>
      <c r="I166" s="131">
        <f t="shared" si="42"/>
        <v>2226017.2543320493</v>
      </c>
      <c r="J166" s="133">
        <f>SUM(J168:J183)</f>
        <v>2002</v>
      </c>
      <c r="K166" s="134">
        <f t="shared" ref="K166:N166" si="434">SUM(K168:K183)</f>
        <v>300</v>
      </c>
      <c r="L166" s="134">
        <f t="shared" si="434"/>
        <v>187</v>
      </c>
      <c r="M166" s="134">
        <f t="shared" si="434"/>
        <v>113</v>
      </c>
      <c r="N166" s="135">
        <f t="shared" si="434"/>
        <v>0</v>
      </c>
      <c r="O166" s="150">
        <f t="shared" si="344"/>
        <v>37.5</v>
      </c>
      <c r="P166" s="151">
        <f t="shared" si="107"/>
        <v>300</v>
      </c>
      <c r="Q166" s="148">
        <f>SUM(Q168:Q183)</f>
        <v>0</v>
      </c>
      <c r="R166" s="152">
        <f t="shared" si="108"/>
        <v>300</v>
      </c>
      <c r="S166" s="153">
        <f t="shared" si="358"/>
        <v>262.5</v>
      </c>
      <c r="T166" s="150">
        <f t="shared" si="109"/>
        <v>37.5</v>
      </c>
      <c r="U166" s="151">
        <f t="shared" si="110"/>
        <v>300</v>
      </c>
      <c r="V166" s="148">
        <f>SUM(V168:V183)</f>
        <v>0</v>
      </c>
      <c r="W166" s="152">
        <f t="shared" si="111"/>
        <v>300</v>
      </c>
      <c r="X166" s="153">
        <f t="shared" si="359"/>
        <v>262.5</v>
      </c>
      <c r="Y166" s="150">
        <f t="shared" si="112"/>
        <v>37.5</v>
      </c>
      <c r="Z166" s="151">
        <f t="shared" si="113"/>
        <v>300</v>
      </c>
      <c r="AA166" s="148">
        <f>SUM(AA168:AA183)</f>
        <v>0</v>
      </c>
      <c r="AB166" s="154">
        <f t="shared" si="114"/>
        <v>300</v>
      </c>
      <c r="AC166" s="153">
        <f t="shared" si="360"/>
        <v>262.5</v>
      </c>
      <c r="AD166" s="150">
        <f t="shared" si="115"/>
        <v>37.5</v>
      </c>
      <c r="AE166" s="151">
        <f t="shared" si="116"/>
        <v>300</v>
      </c>
      <c r="AF166" s="148">
        <f>SUM(AF168:AF183)</f>
        <v>0</v>
      </c>
      <c r="AG166" s="152">
        <f t="shared" si="117"/>
        <v>300</v>
      </c>
      <c r="AH166" s="153">
        <f t="shared" si="361"/>
        <v>262.5</v>
      </c>
      <c r="AI166" s="150">
        <f t="shared" si="118"/>
        <v>37.5</v>
      </c>
      <c r="AJ166" s="151">
        <f t="shared" si="119"/>
        <v>300</v>
      </c>
      <c r="AK166" s="148">
        <f>SUM(AK168:AK183)</f>
        <v>0</v>
      </c>
      <c r="AL166" s="152">
        <f t="shared" si="120"/>
        <v>300</v>
      </c>
      <c r="AM166" s="153">
        <f t="shared" si="362"/>
        <v>262.5</v>
      </c>
      <c r="AN166" s="150">
        <f t="shared" si="121"/>
        <v>37.5</v>
      </c>
      <c r="AO166" s="151">
        <f t="shared" si="122"/>
        <v>300</v>
      </c>
      <c r="AP166" s="148">
        <f>SUM(AP168:AP183)</f>
        <v>0</v>
      </c>
      <c r="AQ166" s="152">
        <f t="shared" si="123"/>
        <v>300</v>
      </c>
      <c r="AR166" s="153">
        <f t="shared" si="363"/>
        <v>262.5</v>
      </c>
      <c r="AS166" s="150">
        <f t="shared" si="124"/>
        <v>37.5</v>
      </c>
      <c r="AT166" s="151">
        <f t="shared" si="125"/>
        <v>300</v>
      </c>
      <c r="AU166" s="148">
        <f>SUM(AU168:AU183)</f>
        <v>0</v>
      </c>
      <c r="AV166" s="152">
        <f t="shared" si="126"/>
        <v>300</v>
      </c>
      <c r="AW166" s="153">
        <f t="shared" si="364"/>
        <v>262.5</v>
      </c>
      <c r="AX166" s="150">
        <f t="shared" si="127"/>
        <v>37.5</v>
      </c>
      <c r="AY166" s="151">
        <f t="shared" si="128"/>
        <v>300</v>
      </c>
      <c r="AZ166" s="148">
        <f>SUM(AZ168:AZ183)</f>
        <v>0</v>
      </c>
      <c r="BA166" s="152">
        <f t="shared" si="129"/>
        <v>300</v>
      </c>
      <c r="BB166" s="153">
        <f t="shared" si="365"/>
        <v>262.5</v>
      </c>
      <c r="BC166" s="150">
        <f t="shared" si="130"/>
        <v>37.5</v>
      </c>
      <c r="BD166" s="151">
        <f t="shared" si="131"/>
        <v>300</v>
      </c>
      <c r="BE166" s="148">
        <f>SUM(BE168:BE183)</f>
        <v>0</v>
      </c>
      <c r="BF166" s="152">
        <f t="shared" si="132"/>
        <v>300</v>
      </c>
      <c r="BG166" s="153">
        <f t="shared" si="366"/>
        <v>262.5</v>
      </c>
      <c r="BH166" s="150">
        <f t="shared" si="133"/>
        <v>37.5</v>
      </c>
      <c r="BI166" s="151">
        <f t="shared" si="134"/>
        <v>300</v>
      </c>
      <c r="BJ166" s="148">
        <f>SUM(BJ168:BJ183)</f>
        <v>0</v>
      </c>
      <c r="BK166" s="152">
        <f t="shared" si="135"/>
        <v>300</v>
      </c>
      <c r="BL166" s="153">
        <f t="shared" si="367"/>
        <v>262.5</v>
      </c>
      <c r="BM166" s="150">
        <f t="shared" si="136"/>
        <v>37.5</v>
      </c>
      <c r="BN166" s="151">
        <f t="shared" si="137"/>
        <v>300</v>
      </c>
      <c r="BO166" s="148">
        <f>SUM(BO168:BO183)</f>
        <v>0</v>
      </c>
      <c r="BP166" s="152">
        <f t="shared" si="138"/>
        <v>300</v>
      </c>
      <c r="BQ166" s="153">
        <f t="shared" si="368"/>
        <v>262.5</v>
      </c>
      <c r="BR166" s="150">
        <f t="shared" si="139"/>
        <v>37.5</v>
      </c>
      <c r="BS166" s="137">
        <f t="shared" si="140"/>
        <v>300</v>
      </c>
      <c r="BT166" s="134">
        <f>SUM(BT168:BT183)</f>
        <v>0</v>
      </c>
      <c r="BU166" s="138">
        <f t="shared" si="141"/>
        <v>300</v>
      </c>
      <c r="BV166" s="139">
        <f t="shared" si="369"/>
        <v>262.5</v>
      </c>
      <c r="BW166" s="143">
        <f>AF166+AA166+V166+Q166+AK166+AP166+AU166+AZ166+BE166+BJ166+BO166+BT166+K166</f>
        <v>300</v>
      </c>
      <c r="BX166" s="142">
        <f t="shared" si="49"/>
        <v>-150</v>
      </c>
    </row>
    <row r="167" spans="2:76" ht="30.75" customHeight="1">
      <c r="C167" s="167" t="s">
        <v>81</v>
      </c>
      <c r="D167" s="168"/>
      <c r="E167" s="169"/>
      <c r="F167" s="170">
        <f>SUM(F168:F183)</f>
        <v>421</v>
      </c>
      <c r="G167" s="171">
        <f>SUM(G168:G183)</f>
        <v>2083950</v>
      </c>
      <c r="H167" s="170">
        <f>SUM(H168:H183)</f>
        <v>448.93364928909955</v>
      </c>
      <c r="I167" s="171">
        <f>SUM(I168:I183)</f>
        <v>2222221.5639810432</v>
      </c>
      <c r="J167" s="172"/>
      <c r="K167" s="173"/>
      <c r="L167" s="173"/>
      <c r="M167" s="173"/>
      <c r="N167" s="174"/>
      <c r="O167" s="175">
        <f>SUM(O168:O183)</f>
        <v>31.813346857573283</v>
      </c>
      <c r="P167" s="176"/>
      <c r="Q167" s="173"/>
      <c r="R167" s="177"/>
      <c r="S167" s="178"/>
      <c r="T167" s="175">
        <f>SUM(T168:T183)</f>
        <v>31.425355450236971</v>
      </c>
      <c r="U167" s="176"/>
      <c r="V167" s="173"/>
      <c r="W167" s="177"/>
      <c r="X167" s="178"/>
      <c r="Y167" s="175">
        <f>SUM(Y168:Y183)</f>
        <v>45.37089076890107</v>
      </c>
      <c r="Z167" s="176"/>
      <c r="AA167" s="173"/>
      <c r="AB167" s="177"/>
      <c r="AC167" s="178"/>
      <c r="AD167" s="175">
        <f>SUM(AD168:AD183)</f>
        <v>35.914691943127963</v>
      </c>
      <c r="AE167" s="176"/>
      <c r="AF167" s="173"/>
      <c r="AG167" s="177"/>
      <c r="AH167" s="178"/>
      <c r="AI167" s="175">
        <f>SUM(AI168:AI183)</f>
        <v>34.193803711429275</v>
      </c>
      <c r="AJ167" s="176"/>
      <c r="AK167" s="173"/>
      <c r="AL167" s="177"/>
      <c r="AM167" s="178"/>
      <c r="AN167" s="175">
        <f>SUM(AN168:AN183)</f>
        <v>53.872037914691951</v>
      </c>
      <c r="AO167" s="176"/>
      <c r="AP167" s="173"/>
      <c r="AQ167" s="177"/>
      <c r="AR167" s="178"/>
      <c r="AS167" s="175">
        <f>SUM(AS168:AS183)</f>
        <v>44.893364928909961</v>
      </c>
      <c r="AT167" s="176"/>
      <c r="AU167" s="173"/>
      <c r="AV167" s="177"/>
      <c r="AW167" s="178"/>
      <c r="AX167" s="175">
        <f>SUM(AX168:AX183)</f>
        <v>40.404028436018955</v>
      </c>
      <c r="AY167" s="176"/>
      <c r="AZ167" s="173"/>
      <c r="BA167" s="177"/>
      <c r="BB167" s="178"/>
      <c r="BC167" s="175">
        <f>SUM(BC168:BC183)</f>
        <v>44.893364928909961</v>
      </c>
      <c r="BD167" s="176"/>
      <c r="BE167" s="173"/>
      <c r="BF167" s="177"/>
      <c r="BG167" s="178"/>
      <c r="BH167" s="175">
        <f>SUM(BH168:BH183)</f>
        <v>27.337534214178742</v>
      </c>
      <c r="BI167" s="176"/>
      <c r="BJ167" s="173"/>
      <c r="BK167" s="177"/>
      <c r="BL167" s="178"/>
      <c r="BM167" s="175">
        <f>SUM(BM168:BM183)</f>
        <v>24.97109056296495</v>
      </c>
      <c r="BN167" s="176"/>
      <c r="BO167" s="173"/>
      <c r="BP167" s="177"/>
      <c r="BQ167" s="178"/>
      <c r="BR167" s="175">
        <f>SUM(BR168:BR183)</f>
        <v>35.914691943127963</v>
      </c>
      <c r="BS167" s="176"/>
      <c r="BT167" s="173"/>
      <c r="BU167" s="177"/>
      <c r="BV167" s="178"/>
      <c r="BW167" s="179"/>
      <c r="BX167" s="180"/>
    </row>
    <row r="168" spans="2:76" ht="30.75" customHeight="1">
      <c r="C168" s="503" t="s">
        <v>74</v>
      </c>
      <c r="D168" s="443">
        <v>1</v>
      </c>
      <c r="E168" s="99" t="s">
        <v>47</v>
      </c>
      <c r="F168" s="56">
        <v>72</v>
      </c>
      <c r="G168" s="46">
        <f>F168*4950</f>
        <v>356400</v>
      </c>
      <c r="H168" s="7">
        <f>F168*($H$166/$F$166)</f>
        <v>76.777251184834128</v>
      </c>
      <c r="I168" s="46">
        <f t="shared" ref="I168:I183" si="435">H168*4950</f>
        <v>380047.39336492895</v>
      </c>
      <c r="J168" s="49">
        <v>40</v>
      </c>
      <c r="K168" s="39">
        <f t="shared" si="372"/>
        <v>18</v>
      </c>
      <c r="L168" s="39">
        <v>11</v>
      </c>
      <c r="M168" s="39">
        <v>7</v>
      </c>
      <c r="N168" s="42"/>
      <c r="O168" s="81">
        <f>$H$168*月別販売比率!C5</f>
        <v>5.4407624079460257</v>
      </c>
      <c r="P168" s="40">
        <f t="shared" si="107"/>
        <v>18</v>
      </c>
      <c r="Q168" s="39"/>
      <c r="R168" s="43">
        <f t="shared" ref="R168:R179" si="436">Q168+K168</f>
        <v>18</v>
      </c>
      <c r="S168" s="91">
        <f t="shared" si="358"/>
        <v>12.559237592053975</v>
      </c>
      <c r="T168" s="81">
        <f>$H$168*月別販売比率!H5</f>
        <v>5.3744075829383897</v>
      </c>
      <c r="U168" s="40">
        <f t="shared" ref="U168:U179" si="437">K168</f>
        <v>18</v>
      </c>
      <c r="V168" s="39"/>
      <c r="W168" s="40">
        <f t="shared" ref="W168:W183" si="438">K168+V168</f>
        <v>18</v>
      </c>
      <c r="X168" s="91">
        <f t="shared" si="359"/>
        <v>12.625592417061611</v>
      </c>
      <c r="Y168" s="81">
        <f>$H$168*月別販売比率!M5</f>
        <v>7.759392245512772</v>
      </c>
      <c r="Z168" s="40">
        <f t="shared" ref="Z168:Z179" si="439">K168</f>
        <v>18</v>
      </c>
      <c r="AA168" s="39"/>
      <c r="AB168" s="96">
        <f t="shared" ref="AB168:AB183" si="440">K168+AA168</f>
        <v>18</v>
      </c>
      <c r="AC168" s="91">
        <f t="shared" si="360"/>
        <v>10.240607754487229</v>
      </c>
      <c r="AD168" s="81">
        <f>$H$168*月別販売比率!R5</f>
        <v>6.1421800947867302</v>
      </c>
      <c r="AE168" s="40">
        <f t="shared" ref="AE168:AE179" si="441">K168</f>
        <v>18</v>
      </c>
      <c r="AF168" s="39"/>
      <c r="AG168" s="40">
        <f t="shared" ref="AG168:AG183" si="442">K168+AF168</f>
        <v>18</v>
      </c>
      <c r="AH168" s="91">
        <f t="shared" si="361"/>
        <v>11.857819905213269</v>
      </c>
      <c r="AI168" s="81">
        <f>$H$168*月別販売比率!W5</f>
        <v>5.8478714185817289</v>
      </c>
      <c r="AJ168" s="40">
        <f t="shared" ref="AJ168:AJ179" si="443">K168</f>
        <v>18</v>
      </c>
      <c r="AK168" s="39"/>
      <c r="AL168" s="40">
        <f t="shared" ref="AL168:AL183" si="444">K168+AK168</f>
        <v>18</v>
      </c>
      <c r="AM168" s="91">
        <f t="shared" si="362"/>
        <v>12.152128581418271</v>
      </c>
      <c r="AN168" s="81">
        <f>$H$168*月別販売比率!AB5</f>
        <v>9.2132701421800949</v>
      </c>
      <c r="AO168" s="40">
        <f t="shared" ref="AO168:AO179" si="445">K168</f>
        <v>18</v>
      </c>
      <c r="AP168" s="39"/>
      <c r="AQ168" s="40">
        <f t="shared" ref="AQ168:AQ183" si="446">K168+AP168</f>
        <v>18</v>
      </c>
      <c r="AR168" s="91">
        <f t="shared" si="363"/>
        <v>8.7867298578199051</v>
      </c>
      <c r="AS168" s="81">
        <f>$H$168*月別販売比率!AG5</f>
        <v>7.677725118483413</v>
      </c>
      <c r="AT168" s="40">
        <f t="shared" ref="AT168:AT179" si="447">K168</f>
        <v>18</v>
      </c>
      <c r="AU168" s="39"/>
      <c r="AV168" s="40">
        <f t="shared" ref="AV168:AV183" si="448">K168+AU168</f>
        <v>18</v>
      </c>
      <c r="AW168" s="91">
        <f t="shared" si="364"/>
        <v>10.322274881516588</v>
      </c>
      <c r="AX168" s="81">
        <f>$H$168*月別販売比率!AL5</f>
        <v>6.9099526066350716</v>
      </c>
      <c r="AY168" s="40">
        <f t="shared" ref="AY168:AY179" si="449">K168</f>
        <v>18</v>
      </c>
      <c r="AZ168" s="39"/>
      <c r="BA168" s="43">
        <f t="shared" ref="BA168:BA179" si="450">K168+AZ168</f>
        <v>18</v>
      </c>
      <c r="BB168" s="91">
        <f t="shared" si="365"/>
        <v>11.090047393364928</v>
      </c>
      <c r="BC168" s="81">
        <f>$H$168*月別販売比率!AQ5</f>
        <v>7.677725118483413</v>
      </c>
      <c r="BD168" s="40">
        <f t="shared" ref="BD168:BD179" si="451">K168</f>
        <v>18</v>
      </c>
      <c r="BE168" s="39"/>
      <c r="BF168" s="43">
        <f t="shared" ref="BF168:BF179" si="452">K168+BE168</f>
        <v>18</v>
      </c>
      <c r="BG168" s="91">
        <f t="shared" si="366"/>
        <v>10.322274881516588</v>
      </c>
      <c r="BH168" s="81">
        <f>$H$168*月別販売比率!AV5</f>
        <v>4.6753027634699986</v>
      </c>
      <c r="BI168" s="40">
        <f t="shared" ref="BI168:BI179" si="453">K168</f>
        <v>18</v>
      </c>
      <c r="BJ168" s="39"/>
      <c r="BK168" s="43">
        <f t="shared" ref="BK168:BK179" si="454">K168+BJ168</f>
        <v>18</v>
      </c>
      <c r="BL168" s="91">
        <f t="shared" si="367"/>
        <v>13.324697236530001</v>
      </c>
      <c r="BM168" s="81">
        <f>$H$168*月別販売比率!BA5</f>
        <v>4.2705903100557636</v>
      </c>
      <c r="BN168" s="40">
        <f t="shared" ref="BN168:BN179" si="455">K168</f>
        <v>18</v>
      </c>
      <c r="BO168" s="39"/>
      <c r="BP168" s="43">
        <f>K168+BO168</f>
        <v>18</v>
      </c>
      <c r="BQ168" s="91">
        <f t="shared" si="368"/>
        <v>13.729409689944237</v>
      </c>
      <c r="BR168" s="81">
        <f>$H$168*月別販売比率!BF5</f>
        <v>6.1421800947867302</v>
      </c>
      <c r="BS168" s="40">
        <f t="shared" ref="BS168:BS179" si="456">K168</f>
        <v>18</v>
      </c>
      <c r="BT168" s="39"/>
      <c r="BU168" s="43">
        <f t="shared" ref="BU168:BU179" si="457">K168+BT168</f>
        <v>18</v>
      </c>
      <c r="BV168" s="91">
        <f t="shared" si="369"/>
        <v>11.857819905213269</v>
      </c>
      <c r="BW168" s="157">
        <f t="shared" ref="BW168:BW183" si="458">AF168+AA168+V168+Q168+AK168+AP168+AU168+AZ168+BE168+BJ168+BO168+BT168+K168</f>
        <v>18</v>
      </c>
      <c r="BX168" s="51">
        <f t="shared" ref="BX168:BX183" si="459">BW168-H168</f>
        <v>-58.777251184834128</v>
      </c>
    </row>
    <row r="169" spans="2:76" ht="30.75" customHeight="1">
      <c r="C169" s="504"/>
      <c r="D169" s="441"/>
      <c r="E169" s="94" t="s">
        <v>51</v>
      </c>
      <c r="F169" s="57">
        <v>48</v>
      </c>
      <c r="G169" s="5">
        <f t="shared" ref="G169:G183" si="460">F169*4950</f>
        <v>237600</v>
      </c>
      <c r="H169" s="7">
        <f t="shared" ref="H169:H183" si="461">F169*($H$166/$F$166)</f>
        <v>51.18483412322275</v>
      </c>
      <c r="I169" s="5">
        <f t="shared" si="435"/>
        <v>253364.92890995261</v>
      </c>
      <c r="J169" s="9">
        <v>39</v>
      </c>
      <c r="K169" s="21">
        <f t="shared" si="372"/>
        <v>23</v>
      </c>
      <c r="L169" s="21">
        <v>19</v>
      </c>
      <c r="M169" s="21">
        <v>4</v>
      </c>
      <c r="N169" s="42"/>
      <c r="O169" s="81">
        <f>$H$169*月別販売比率!C5</f>
        <v>3.6271749386306835</v>
      </c>
      <c r="P169" s="10">
        <f t="shared" si="107"/>
        <v>23</v>
      </c>
      <c r="Q169" s="21"/>
      <c r="R169" s="19">
        <f t="shared" si="436"/>
        <v>23</v>
      </c>
      <c r="S169" s="24">
        <f t="shared" si="358"/>
        <v>19.372825061369316</v>
      </c>
      <c r="T169" s="81">
        <f>$H$169*月別販売比率!H5</f>
        <v>3.582938388625593</v>
      </c>
      <c r="U169" s="10">
        <f t="shared" si="437"/>
        <v>23</v>
      </c>
      <c r="V169" s="21"/>
      <c r="W169" s="10">
        <f t="shared" si="438"/>
        <v>23</v>
      </c>
      <c r="X169" s="24">
        <f t="shared" si="359"/>
        <v>19.417061611374407</v>
      </c>
      <c r="Y169" s="81">
        <f>$H$169*月別販売比率!M5</f>
        <v>5.1729281636751816</v>
      </c>
      <c r="Z169" s="10">
        <f t="shared" si="439"/>
        <v>23</v>
      </c>
      <c r="AA169" s="21"/>
      <c r="AB169" s="97">
        <f t="shared" si="440"/>
        <v>23</v>
      </c>
      <c r="AC169" s="24">
        <f t="shared" si="360"/>
        <v>17.827071836324819</v>
      </c>
      <c r="AD169" s="81">
        <f>$H$169*月別販売比率!R5</f>
        <v>4.0947867298578204</v>
      </c>
      <c r="AE169" s="10">
        <f t="shared" si="441"/>
        <v>23</v>
      </c>
      <c r="AF169" s="21"/>
      <c r="AG169" s="10">
        <f t="shared" si="442"/>
        <v>23</v>
      </c>
      <c r="AH169" s="24">
        <f t="shared" si="361"/>
        <v>18.90521327014218</v>
      </c>
      <c r="AI169" s="81">
        <f>$H$169*月別販売比率!W5</f>
        <v>3.8985809457211524</v>
      </c>
      <c r="AJ169" s="10">
        <f t="shared" si="443"/>
        <v>23</v>
      </c>
      <c r="AK169" s="21"/>
      <c r="AL169" s="10">
        <f t="shared" si="444"/>
        <v>23</v>
      </c>
      <c r="AM169" s="24">
        <f t="shared" si="362"/>
        <v>19.101419054278846</v>
      </c>
      <c r="AN169" s="81">
        <f>$H$169*月別販売比率!AB5</f>
        <v>6.1421800947867293</v>
      </c>
      <c r="AO169" s="10">
        <f t="shared" si="445"/>
        <v>23</v>
      </c>
      <c r="AP169" s="21"/>
      <c r="AQ169" s="10">
        <f t="shared" si="446"/>
        <v>23</v>
      </c>
      <c r="AR169" s="24">
        <f t="shared" si="363"/>
        <v>16.857819905213269</v>
      </c>
      <c r="AS169" s="81">
        <f>$H$169*月別販売比率!AG5</f>
        <v>5.1184834123222753</v>
      </c>
      <c r="AT169" s="10">
        <f t="shared" si="447"/>
        <v>23</v>
      </c>
      <c r="AU169" s="21"/>
      <c r="AV169" s="10">
        <f t="shared" si="448"/>
        <v>23</v>
      </c>
      <c r="AW169" s="24">
        <f t="shared" si="364"/>
        <v>17.881516587677723</v>
      </c>
      <c r="AX169" s="81">
        <f>$H$169*月別販売比率!AL5</f>
        <v>4.6066350710900474</v>
      </c>
      <c r="AY169" s="10">
        <f t="shared" si="449"/>
        <v>23</v>
      </c>
      <c r="AZ169" s="21"/>
      <c r="BA169" s="19">
        <f t="shared" si="450"/>
        <v>23</v>
      </c>
      <c r="BB169" s="24">
        <f t="shared" si="365"/>
        <v>18.393364928909953</v>
      </c>
      <c r="BC169" s="81">
        <f>$H$169*月別販売比率!AQ5</f>
        <v>5.1184834123222753</v>
      </c>
      <c r="BD169" s="10">
        <f t="shared" si="451"/>
        <v>23</v>
      </c>
      <c r="BE169" s="21"/>
      <c r="BF169" s="19">
        <f t="shared" si="452"/>
        <v>23</v>
      </c>
      <c r="BG169" s="24">
        <f t="shared" si="366"/>
        <v>17.881516587677723</v>
      </c>
      <c r="BH169" s="81">
        <f>$H$169*月別販売比率!AV5</f>
        <v>3.1168685089799988</v>
      </c>
      <c r="BI169" s="10">
        <f t="shared" si="453"/>
        <v>23</v>
      </c>
      <c r="BJ169" s="21"/>
      <c r="BK169" s="19">
        <f t="shared" si="454"/>
        <v>23</v>
      </c>
      <c r="BL169" s="24">
        <f t="shared" si="367"/>
        <v>19.883131491020002</v>
      </c>
      <c r="BM169" s="81">
        <f>$H$169*月別販売比率!BA5</f>
        <v>2.847060206703842</v>
      </c>
      <c r="BN169" s="10">
        <f t="shared" si="455"/>
        <v>23</v>
      </c>
      <c r="BO169" s="21"/>
      <c r="BP169" s="19">
        <f t="shared" ref="BP169:BP179" si="462">K169+BO169</f>
        <v>23</v>
      </c>
      <c r="BQ169" s="24">
        <f t="shared" si="368"/>
        <v>20.152939793296159</v>
      </c>
      <c r="BR169" s="81">
        <f>$H$169*月別販売比率!BF5</f>
        <v>4.0947867298578204</v>
      </c>
      <c r="BS169" s="10">
        <f t="shared" si="456"/>
        <v>23</v>
      </c>
      <c r="BT169" s="21"/>
      <c r="BU169" s="19">
        <f t="shared" si="457"/>
        <v>23</v>
      </c>
      <c r="BV169" s="24">
        <f t="shared" si="369"/>
        <v>18.90521327014218</v>
      </c>
      <c r="BW169" s="158">
        <f t="shared" si="458"/>
        <v>23</v>
      </c>
      <c r="BX169" s="29">
        <f t="shared" si="459"/>
        <v>-28.18483412322275</v>
      </c>
    </row>
    <row r="170" spans="2:76" ht="30.75" customHeight="1">
      <c r="C170" s="504"/>
      <c r="D170" s="441"/>
      <c r="E170" s="94" t="s">
        <v>49</v>
      </c>
      <c r="F170" s="57">
        <v>22</v>
      </c>
      <c r="G170" s="5">
        <f t="shared" si="460"/>
        <v>108900</v>
      </c>
      <c r="H170" s="7">
        <f t="shared" si="461"/>
        <v>23.459715639810426</v>
      </c>
      <c r="I170" s="5">
        <f t="shared" si="435"/>
        <v>116125.59241706161</v>
      </c>
      <c r="J170" s="9">
        <v>37</v>
      </c>
      <c r="K170" s="21">
        <f t="shared" si="372"/>
        <v>23</v>
      </c>
      <c r="L170" s="21">
        <v>18</v>
      </c>
      <c r="M170" s="21">
        <v>5</v>
      </c>
      <c r="N170" s="42"/>
      <c r="O170" s="81">
        <f>$H$170*月別販売比率!C5</f>
        <v>1.6624551802057299</v>
      </c>
      <c r="P170" s="10">
        <f t="shared" si="107"/>
        <v>23</v>
      </c>
      <c r="Q170" s="21"/>
      <c r="R170" s="19">
        <f t="shared" si="436"/>
        <v>23</v>
      </c>
      <c r="S170" s="24">
        <f t="shared" si="358"/>
        <v>21.337544819794271</v>
      </c>
      <c r="T170" s="81">
        <f>$H$170*月別販売比率!H5</f>
        <v>1.64218009478673</v>
      </c>
      <c r="U170" s="10">
        <f t="shared" si="437"/>
        <v>23</v>
      </c>
      <c r="V170" s="21"/>
      <c r="W170" s="10">
        <f t="shared" si="438"/>
        <v>23</v>
      </c>
      <c r="X170" s="24">
        <f t="shared" si="359"/>
        <v>21.357819905213269</v>
      </c>
      <c r="Y170" s="81">
        <f>$H$170*月別販売比率!M5</f>
        <v>2.3709254083511246</v>
      </c>
      <c r="Z170" s="10">
        <f t="shared" si="439"/>
        <v>23</v>
      </c>
      <c r="AA170" s="21"/>
      <c r="AB170" s="97">
        <f t="shared" si="440"/>
        <v>23</v>
      </c>
      <c r="AC170" s="24">
        <f t="shared" si="360"/>
        <v>20.629074591648877</v>
      </c>
      <c r="AD170" s="81">
        <f>$H$170*月別販売比率!R5</f>
        <v>1.8767772511848342</v>
      </c>
      <c r="AE170" s="10">
        <f t="shared" si="441"/>
        <v>23</v>
      </c>
      <c r="AF170" s="21"/>
      <c r="AG170" s="10">
        <f t="shared" si="442"/>
        <v>23</v>
      </c>
      <c r="AH170" s="24">
        <f t="shared" si="361"/>
        <v>21.123222748815166</v>
      </c>
      <c r="AI170" s="81">
        <f>$H$170*月別販売比率!W5</f>
        <v>1.7868496001221947</v>
      </c>
      <c r="AJ170" s="10">
        <f t="shared" si="443"/>
        <v>23</v>
      </c>
      <c r="AK170" s="21"/>
      <c r="AL170" s="10">
        <f t="shared" si="444"/>
        <v>23</v>
      </c>
      <c r="AM170" s="24">
        <f t="shared" si="362"/>
        <v>21.213150399877804</v>
      </c>
      <c r="AN170" s="81">
        <f>$H$170*月別販売比率!AB5</f>
        <v>2.8151658767772512</v>
      </c>
      <c r="AO170" s="10">
        <f t="shared" si="445"/>
        <v>23</v>
      </c>
      <c r="AP170" s="21"/>
      <c r="AQ170" s="10">
        <f t="shared" si="446"/>
        <v>23</v>
      </c>
      <c r="AR170" s="24">
        <f t="shared" si="363"/>
        <v>20.18483412322275</v>
      </c>
      <c r="AS170" s="81">
        <f>$H$170*月別販売比率!AG5</f>
        <v>2.3459715639810428</v>
      </c>
      <c r="AT170" s="10">
        <f t="shared" si="447"/>
        <v>23</v>
      </c>
      <c r="AU170" s="21"/>
      <c r="AV170" s="10">
        <f t="shared" si="448"/>
        <v>23</v>
      </c>
      <c r="AW170" s="24">
        <f t="shared" si="364"/>
        <v>20.654028436018958</v>
      </c>
      <c r="AX170" s="81">
        <f>$H$170*月別販売比率!AL5</f>
        <v>2.1113744075829382</v>
      </c>
      <c r="AY170" s="10">
        <f t="shared" si="449"/>
        <v>23</v>
      </c>
      <c r="AZ170" s="21"/>
      <c r="BA170" s="19">
        <f t="shared" si="450"/>
        <v>23</v>
      </c>
      <c r="BB170" s="24">
        <f t="shared" si="365"/>
        <v>20.888625592417061</v>
      </c>
      <c r="BC170" s="81">
        <f>$H$170*月別販売比率!AQ5</f>
        <v>2.3459715639810428</v>
      </c>
      <c r="BD170" s="10">
        <f t="shared" si="451"/>
        <v>23</v>
      </c>
      <c r="BE170" s="21"/>
      <c r="BF170" s="19">
        <f t="shared" si="452"/>
        <v>23</v>
      </c>
      <c r="BG170" s="24">
        <f t="shared" si="366"/>
        <v>20.654028436018958</v>
      </c>
      <c r="BH170" s="81">
        <f>$H$170*月別販売比率!AV5</f>
        <v>1.4285647332824993</v>
      </c>
      <c r="BI170" s="10">
        <f t="shared" si="453"/>
        <v>23</v>
      </c>
      <c r="BJ170" s="21"/>
      <c r="BK170" s="19">
        <f t="shared" si="454"/>
        <v>23</v>
      </c>
      <c r="BL170" s="24">
        <f t="shared" si="367"/>
        <v>21.571435266717501</v>
      </c>
      <c r="BM170" s="81">
        <f>$H$170*月別販売比率!BA5</f>
        <v>1.304902594739261</v>
      </c>
      <c r="BN170" s="10">
        <f t="shared" si="455"/>
        <v>23</v>
      </c>
      <c r="BO170" s="21"/>
      <c r="BP170" s="19">
        <f t="shared" si="462"/>
        <v>23</v>
      </c>
      <c r="BQ170" s="24">
        <f t="shared" si="368"/>
        <v>21.695097405260739</v>
      </c>
      <c r="BR170" s="81">
        <f>$H$170*月別販売比率!BF5</f>
        <v>1.8767772511848342</v>
      </c>
      <c r="BS170" s="10">
        <f t="shared" si="456"/>
        <v>23</v>
      </c>
      <c r="BT170" s="21"/>
      <c r="BU170" s="19">
        <f t="shared" si="457"/>
        <v>23</v>
      </c>
      <c r="BV170" s="24">
        <f t="shared" si="369"/>
        <v>21.123222748815166</v>
      </c>
      <c r="BW170" s="158">
        <f t="shared" si="458"/>
        <v>23</v>
      </c>
      <c r="BX170" s="29">
        <f t="shared" si="459"/>
        <v>-0.45971563981042607</v>
      </c>
    </row>
    <row r="171" spans="2:76" ht="30.75" customHeight="1">
      <c r="C171" s="504"/>
      <c r="D171" s="442"/>
      <c r="E171" s="94" t="s">
        <v>50</v>
      </c>
      <c r="F171" s="57">
        <v>13</v>
      </c>
      <c r="G171" s="5">
        <f t="shared" si="460"/>
        <v>64350</v>
      </c>
      <c r="H171" s="7">
        <f t="shared" si="461"/>
        <v>13.862559241706162</v>
      </c>
      <c r="I171" s="5">
        <f t="shared" si="435"/>
        <v>68619.668246445508</v>
      </c>
      <c r="J171" s="9">
        <v>0</v>
      </c>
      <c r="K171" s="21">
        <f t="shared" si="372"/>
        <v>4</v>
      </c>
      <c r="L171" s="21"/>
      <c r="M171" s="21">
        <v>4</v>
      </c>
      <c r="N171" s="42"/>
      <c r="O171" s="81">
        <f>$H$171*月別販売比率!C5</f>
        <v>0.98235987921247681</v>
      </c>
      <c r="P171" s="10">
        <f t="shared" si="107"/>
        <v>4</v>
      </c>
      <c r="Q171" s="21"/>
      <c r="R171" s="19">
        <f t="shared" si="436"/>
        <v>4</v>
      </c>
      <c r="S171" s="24">
        <f t="shared" si="358"/>
        <v>3.0176401207875232</v>
      </c>
      <c r="T171" s="81">
        <f>$H$171*月別販売比率!H5</f>
        <v>0.97037914691943139</v>
      </c>
      <c r="U171" s="10">
        <f t="shared" si="437"/>
        <v>4</v>
      </c>
      <c r="V171" s="21"/>
      <c r="W171" s="10">
        <f t="shared" si="438"/>
        <v>4</v>
      </c>
      <c r="X171" s="24">
        <f t="shared" si="359"/>
        <v>3.0296208530805684</v>
      </c>
      <c r="Y171" s="81">
        <f>$H$171*月別販売比率!M5</f>
        <v>1.4010013776620283</v>
      </c>
      <c r="Z171" s="10">
        <f t="shared" si="439"/>
        <v>4</v>
      </c>
      <c r="AA171" s="21"/>
      <c r="AB171" s="97">
        <f t="shared" si="440"/>
        <v>4</v>
      </c>
      <c r="AC171" s="24">
        <f t="shared" si="360"/>
        <v>2.5989986223379717</v>
      </c>
      <c r="AD171" s="81">
        <f>$H$171*月別販売比率!R5</f>
        <v>1.109004739336493</v>
      </c>
      <c r="AE171" s="10">
        <f t="shared" si="441"/>
        <v>4</v>
      </c>
      <c r="AF171" s="21"/>
      <c r="AG171" s="10">
        <f t="shared" si="442"/>
        <v>4</v>
      </c>
      <c r="AH171" s="24">
        <f t="shared" si="361"/>
        <v>2.890995260663507</v>
      </c>
      <c r="AI171" s="81">
        <f>$H$171*月別販売比率!W5</f>
        <v>1.0558656727994788</v>
      </c>
      <c r="AJ171" s="10">
        <f t="shared" si="443"/>
        <v>4</v>
      </c>
      <c r="AK171" s="21"/>
      <c r="AL171" s="10">
        <f t="shared" si="444"/>
        <v>4</v>
      </c>
      <c r="AM171" s="24">
        <f t="shared" si="362"/>
        <v>2.9441343272005209</v>
      </c>
      <c r="AN171" s="81">
        <f>$H$171*月別販売比率!AB5</f>
        <v>1.6635071090047393</v>
      </c>
      <c r="AO171" s="10">
        <f t="shared" si="445"/>
        <v>4</v>
      </c>
      <c r="AP171" s="21"/>
      <c r="AQ171" s="10">
        <f t="shared" si="446"/>
        <v>4</v>
      </c>
      <c r="AR171" s="24">
        <f t="shared" si="363"/>
        <v>2.3364928909952605</v>
      </c>
      <c r="AS171" s="81">
        <f>$H$171*月別販売比率!AG5</f>
        <v>1.3862559241706163</v>
      </c>
      <c r="AT171" s="10">
        <f t="shared" si="447"/>
        <v>4</v>
      </c>
      <c r="AU171" s="21"/>
      <c r="AV171" s="10">
        <f t="shared" si="448"/>
        <v>4</v>
      </c>
      <c r="AW171" s="24">
        <f t="shared" si="364"/>
        <v>2.6137440758293837</v>
      </c>
      <c r="AX171" s="81">
        <f>$H$171*月別販売比率!AL5</f>
        <v>1.2476303317535544</v>
      </c>
      <c r="AY171" s="10">
        <f t="shared" si="449"/>
        <v>4</v>
      </c>
      <c r="AZ171" s="21"/>
      <c r="BA171" s="19">
        <f t="shared" si="450"/>
        <v>4</v>
      </c>
      <c r="BB171" s="24">
        <f t="shared" si="365"/>
        <v>2.7523696682464456</v>
      </c>
      <c r="BC171" s="81">
        <f>$H$171*月別販売比率!AQ5</f>
        <v>1.3862559241706163</v>
      </c>
      <c r="BD171" s="10">
        <f t="shared" si="451"/>
        <v>4</v>
      </c>
      <c r="BE171" s="21"/>
      <c r="BF171" s="19">
        <f t="shared" si="452"/>
        <v>4</v>
      </c>
      <c r="BG171" s="24">
        <f t="shared" si="366"/>
        <v>2.6137440758293837</v>
      </c>
      <c r="BH171" s="81">
        <f>$H$171*月別販売比率!AV5</f>
        <v>0.84415188784874973</v>
      </c>
      <c r="BI171" s="10">
        <f t="shared" si="453"/>
        <v>4</v>
      </c>
      <c r="BJ171" s="21"/>
      <c r="BK171" s="19">
        <f t="shared" si="454"/>
        <v>4</v>
      </c>
      <c r="BL171" s="24">
        <f t="shared" si="367"/>
        <v>3.1558481121512503</v>
      </c>
      <c r="BM171" s="81">
        <f>$H$171*月別販売比率!BA5</f>
        <v>0.77107880598229062</v>
      </c>
      <c r="BN171" s="10">
        <f t="shared" si="455"/>
        <v>4</v>
      </c>
      <c r="BO171" s="21"/>
      <c r="BP171" s="19">
        <f t="shared" si="462"/>
        <v>4</v>
      </c>
      <c r="BQ171" s="24">
        <f t="shared" si="368"/>
        <v>3.2289211940177092</v>
      </c>
      <c r="BR171" s="81">
        <f>$H$171*月別販売比率!BF5</f>
        <v>1.109004739336493</v>
      </c>
      <c r="BS171" s="10">
        <f t="shared" si="456"/>
        <v>4</v>
      </c>
      <c r="BT171" s="21"/>
      <c r="BU171" s="19">
        <f t="shared" si="457"/>
        <v>4</v>
      </c>
      <c r="BV171" s="24">
        <f t="shared" si="369"/>
        <v>2.890995260663507</v>
      </c>
      <c r="BW171" s="158">
        <f t="shared" si="458"/>
        <v>4</v>
      </c>
      <c r="BX171" s="29">
        <f t="shared" si="459"/>
        <v>-9.8625592417061618</v>
      </c>
    </row>
    <row r="172" spans="2:76" ht="30.75" customHeight="1">
      <c r="C172" s="504"/>
      <c r="D172" s="441">
        <v>2</v>
      </c>
      <c r="E172" s="94" t="s">
        <v>47</v>
      </c>
      <c r="F172" s="57">
        <v>55</v>
      </c>
      <c r="G172" s="5">
        <f t="shared" si="460"/>
        <v>272250</v>
      </c>
      <c r="H172" s="7">
        <f t="shared" si="461"/>
        <v>58.649289099526065</v>
      </c>
      <c r="I172" s="5">
        <f t="shared" si="435"/>
        <v>290313.98104265402</v>
      </c>
      <c r="J172" s="9">
        <v>90</v>
      </c>
      <c r="K172" s="21">
        <f t="shared" si="372"/>
        <v>20</v>
      </c>
      <c r="L172" s="21">
        <v>10</v>
      </c>
      <c r="M172" s="21">
        <v>10</v>
      </c>
      <c r="N172" s="42"/>
      <c r="O172" s="81">
        <f>$H$172*月別販売比率!C5</f>
        <v>4.1561379505143243</v>
      </c>
      <c r="P172" s="10">
        <f t="shared" si="107"/>
        <v>20</v>
      </c>
      <c r="Q172" s="21"/>
      <c r="R172" s="19">
        <f t="shared" si="436"/>
        <v>20</v>
      </c>
      <c r="S172" s="24">
        <f t="shared" si="358"/>
        <v>15.843862049485676</v>
      </c>
      <c r="T172" s="81">
        <f>$H$172*月別販売比率!H5</f>
        <v>4.1054502369668251</v>
      </c>
      <c r="U172" s="10">
        <f t="shared" si="437"/>
        <v>20</v>
      </c>
      <c r="V172" s="21"/>
      <c r="W172" s="10">
        <f t="shared" si="438"/>
        <v>20</v>
      </c>
      <c r="X172" s="24">
        <f t="shared" si="359"/>
        <v>15.894549763033176</v>
      </c>
      <c r="Y172" s="81">
        <f>$H$172*月別販売比率!M5</f>
        <v>5.9273135208778118</v>
      </c>
      <c r="Z172" s="10">
        <f t="shared" si="439"/>
        <v>20</v>
      </c>
      <c r="AA172" s="21"/>
      <c r="AB172" s="97">
        <f t="shared" si="440"/>
        <v>20</v>
      </c>
      <c r="AC172" s="24">
        <f t="shared" si="360"/>
        <v>14.072686479122188</v>
      </c>
      <c r="AD172" s="81">
        <f>$H$172*月別販売比率!R5</f>
        <v>4.6919431279620856</v>
      </c>
      <c r="AE172" s="10">
        <f t="shared" si="441"/>
        <v>20</v>
      </c>
      <c r="AF172" s="21"/>
      <c r="AG172" s="10">
        <f t="shared" si="442"/>
        <v>20</v>
      </c>
      <c r="AH172" s="24">
        <f t="shared" si="361"/>
        <v>15.308056872037914</v>
      </c>
      <c r="AI172" s="81">
        <f>$H$172*月別販売比率!W5</f>
        <v>4.4671240003054873</v>
      </c>
      <c r="AJ172" s="10">
        <f t="shared" si="443"/>
        <v>20</v>
      </c>
      <c r="AK172" s="21"/>
      <c r="AL172" s="10">
        <f t="shared" si="444"/>
        <v>20</v>
      </c>
      <c r="AM172" s="24">
        <f t="shared" si="362"/>
        <v>15.532875999694513</v>
      </c>
      <c r="AN172" s="81">
        <f>$H$172*月別販売比率!AB5</f>
        <v>7.0379146919431275</v>
      </c>
      <c r="AO172" s="10">
        <f t="shared" si="445"/>
        <v>20</v>
      </c>
      <c r="AP172" s="21"/>
      <c r="AQ172" s="10">
        <f t="shared" si="446"/>
        <v>20</v>
      </c>
      <c r="AR172" s="24">
        <f t="shared" si="363"/>
        <v>12.962085308056873</v>
      </c>
      <c r="AS172" s="81">
        <f>$H$172*月別販売比率!AG5</f>
        <v>5.8649289099526065</v>
      </c>
      <c r="AT172" s="10">
        <f t="shared" si="447"/>
        <v>20</v>
      </c>
      <c r="AU172" s="21"/>
      <c r="AV172" s="10">
        <f t="shared" si="448"/>
        <v>20</v>
      </c>
      <c r="AW172" s="24">
        <f t="shared" si="364"/>
        <v>14.135071090047393</v>
      </c>
      <c r="AX172" s="81">
        <f>$H$172*月別販売比率!AL5</f>
        <v>5.278436018957346</v>
      </c>
      <c r="AY172" s="10">
        <f t="shared" si="449"/>
        <v>20</v>
      </c>
      <c r="AZ172" s="21"/>
      <c r="BA172" s="19">
        <f t="shared" si="450"/>
        <v>20</v>
      </c>
      <c r="BB172" s="24">
        <f t="shared" si="365"/>
        <v>14.721563981042653</v>
      </c>
      <c r="BC172" s="81">
        <f>$H$172*月別販売比率!AQ5</f>
        <v>5.8649289099526065</v>
      </c>
      <c r="BD172" s="10">
        <f t="shared" si="451"/>
        <v>20</v>
      </c>
      <c r="BE172" s="21"/>
      <c r="BF172" s="19">
        <f t="shared" si="452"/>
        <v>20</v>
      </c>
      <c r="BG172" s="24">
        <f t="shared" si="366"/>
        <v>14.135071090047393</v>
      </c>
      <c r="BH172" s="81">
        <f>$H$172*月別販売比率!AV5</f>
        <v>3.5714118332062488</v>
      </c>
      <c r="BI172" s="10">
        <f t="shared" si="453"/>
        <v>20</v>
      </c>
      <c r="BJ172" s="21"/>
      <c r="BK172" s="19">
        <f t="shared" si="454"/>
        <v>20</v>
      </c>
      <c r="BL172" s="24">
        <f t="shared" si="367"/>
        <v>16.428588166793752</v>
      </c>
      <c r="BM172" s="81">
        <f>$H$172*月別販売比率!BA5</f>
        <v>3.2622564868481523</v>
      </c>
      <c r="BN172" s="10">
        <f t="shared" si="455"/>
        <v>20</v>
      </c>
      <c r="BO172" s="21"/>
      <c r="BP172" s="19">
        <f t="shared" si="462"/>
        <v>20</v>
      </c>
      <c r="BQ172" s="24">
        <f t="shared" si="368"/>
        <v>16.737743513151848</v>
      </c>
      <c r="BR172" s="81">
        <f>$H$172*月別販売比率!BF5</f>
        <v>4.6919431279620856</v>
      </c>
      <c r="BS172" s="10">
        <f t="shared" si="456"/>
        <v>20</v>
      </c>
      <c r="BT172" s="21"/>
      <c r="BU172" s="19">
        <f t="shared" si="457"/>
        <v>20</v>
      </c>
      <c r="BV172" s="24">
        <f t="shared" si="369"/>
        <v>15.308056872037914</v>
      </c>
      <c r="BW172" s="158">
        <f t="shared" si="458"/>
        <v>20</v>
      </c>
      <c r="BX172" s="29">
        <f t="shared" si="459"/>
        <v>-38.649289099526065</v>
      </c>
    </row>
    <row r="173" spans="2:76" ht="30.75" customHeight="1">
      <c r="C173" s="504"/>
      <c r="D173" s="441"/>
      <c r="E173" s="94" t="s">
        <v>51</v>
      </c>
      <c r="F173" s="57">
        <v>40</v>
      </c>
      <c r="G173" s="5">
        <f t="shared" si="460"/>
        <v>198000</v>
      </c>
      <c r="H173" s="7">
        <f t="shared" si="461"/>
        <v>42.654028436018962</v>
      </c>
      <c r="I173" s="5">
        <f t="shared" si="435"/>
        <v>211137.44075829387</v>
      </c>
      <c r="J173" s="9">
        <v>121</v>
      </c>
      <c r="K173" s="21">
        <f t="shared" si="372"/>
        <v>18</v>
      </c>
      <c r="L173" s="21">
        <v>10</v>
      </c>
      <c r="M173" s="21">
        <v>8</v>
      </c>
      <c r="N173" s="42"/>
      <c r="O173" s="81">
        <f>$H$173*月別販売比率!C5</f>
        <v>3.0226457821922366</v>
      </c>
      <c r="P173" s="10">
        <f t="shared" si="107"/>
        <v>18</v>
      </c>
      <c r="Q173" s="21"/>
      <c r="R173" s="19">
        <f t="shared" si="436"/>
        <v>18</v>
      </c>
      <c r="S173" s="24">
        <f t="shared" si="358"/>
        <v>14.977354217807763</v>
      </c>
      <c r="T173" s="81">
        <f>$H$173*月別販売比率!H5</f>
        <v>2.9857819905213274</v>
      </c>
      <c r="U173" s="10">
        <f t="shared" si="437"/>
        <v>18</v>
      </c>
      <c r="V173" s="21"/>
      <c r="W173" s="10">
        <f t="shared" si="438"/>
        <v>18</v>
      </c>
      <c r="X173" s="24">
        <f t="shared" si="359"/>
        <v>15.014218009478672</v>
      </c>
      <c r="Y173" s="81">
        <f>$H$173*月別販売比率!M5</f>
        <v>4.3107734697293179</v>
      </c>
      <c r="Z173" s="10">
        <f t="shared" si="439"/>
        <v>18</v>
      </c>
      <c r="AA173" s="21"/>
      <c r="AB173" s="97">
        <f t="shared" si="440"/>
        <v>18</v>
      </c>
      <c r="AC173" s="24">
        <f t="shared" si="360"/>
        <v>13.689226530270682</v>
      </c>
      <c r="AD173" s="81">
        <f>$H$173*月別販売比率!R5</f>
        <v>3.4123222748815172</v>
      </c>
      <c r="AE173" s="10">
        <f t="shared" si="441"/>
        <v>18</v>
      </c>
      <c r="AF173" s="21"/>
      <c r="AG173" s="10">
        <f t="shared" si="442"/>
        <v>18</v>
      </c>
      <c r="AH173" s="24">
        <f t="shared" si="361"/>
        <v>14.587677725118482</v>
      </c>
      <c r="AI173" s="81">
        <f>$H$173*月別販売比率!W5</f>
        <v>3.2488174547676274</v>
      </c>
      <c r="AJ173" s="10">
        <f t="shared" si="443"/>
        <v>18</v>
      </c>
      <c r="AK173" s="21"/>
      <c r="AL173" s="10">
        <f t="shared" si="444"/>
        <v>18</v>
      </c>
      <c r="AM173" s="24">
        <f t="shared" si="362"/>
        <v>14.751182545232373</v>
      </c>
      <c r="AN173" s="81">
        <f>$H$173*月別販売比率!AB5</f>
        <v>5.1184834123222753</v>
      </c>
      <c r="AO173" s="10">
        <f t="shared" si="445"/>
        <v>18</v>
      </c>
      <c r="AP173" s="21"/>
      <c r="AQ173" s="10">
        <f t="shared" si="446"/>
        <v>18</v>
      </c>
      <c r="AR173" s="24">
        <f t="shared" si="363"/>
        <v>12.881516587677725</v>
      </c>
      <c r="AS173" s="81">
        <f>$H$173*月別販売比率!AG5</f>
        <v>4.2654028436018967</v>
      </c>
      <c r="AT173" s="10">
        <f t="shared" si="447"/>
        <v>18</v>
      </c>
      <c r="AU173" s="21"/>
      <c r="AV173" s="10">
        <f t="shared" si="448"/>
        <v>18</v>
      </c>
      <c r="AW173" s="24">
        <f t="shared" si="364"/>
        <v>13.734597156398102</v>
      </c>
      <c r="AX173" s="81">
        <f>$H$173*月別販売比率!AL5</f>
        <v>3.8388625592417065</v>
      </c>
      <c r="AY173" s="10">
        <f t="shared" si="449"/>
        <v>18</v>
      </c>
      <c r="AZ173" s="21"/>
      <c r="BA173" s="19">
        <f t="shared" si="450"/>
        <v>18</v>
      </c>
      <c r="BB173" s="24">
        <f t="shared" si="365"/>
        <v>14.161137440758294</v>
      </c>
      <c r="BC173" s="81">
        <f>$H$173*月別販売比率!AQ5</f>
        <v>4.2654028436018967</v>
      </c>
      <c r="BD173" s="10">
        <f t="shared" si="451"/>
        <v>18</v>
      </c>
      <c r="BE173" s="21"/>
      <c r="BF173" s="19">
        <f t="shared" si="452"/>
        <v>18</v>
      </c>
      <c r="BG173" s="24">
        <f t="shared" si="366"/>
        <v>13.734597156398102</v>
      </c>
      <c r="BH173" s="81">
        <f>$H$173*月別販売比率!AV5</f>
        <v>2.5973904241499994</v>
      </c>
      <c r="BI173" s="10">
        <f t="shared" si="453"/>
        <v>18</v>
      </c>
      <c r="BJ173" s="21"/>
      <c r="BK173" s="19">
        <f t="shared" si="454"/>
        <v>18</v>
      </c>
      <c r="BL173" s="24">
        <f t="shared" si="367"/>
        <v>15.402609575850001</v>
      </c>
      <c r="BM173" s="81">
        <f>$H$173*月別販売比率!BA5</f>
        <v>2.3725501722532019</v>
      </c>
      <c r="BN173" s="10">
        <f t="shared" si="455"/>
        <v>18</v>
      </c>
      <c r="BO173" s="21"/>
      <c r="BP173" s="19">
        <f t="shared" si="462"/>
        <v>18</v>
      </c>
      <c r="BQ173" s="24">
        <f t="shared" si="368"/>
        <v>15.627449827746798</v>
      </c>
      <c r="BR173" s="81">
        <f>$H$173*月別販売比率!BF5</f>
        <v>3.4123222748815172</v>
      </c>
      <c r="BS173" s="10">
        <f t="shared" si="456"/>
        <v>18</v>
      </c>
      <c r="BT173" s="21"/>
      <c r="BU173" s="19">
        <f t="shared" si="457"/>
        <v>18</v>
      </c>
      <c r="BV173" s="24">
        <f t="shared" si="369"/>
        <v>14.587677725118482</v>
      </c>
      <c r="BW173" s="158">
        <f t="shared" si="458"/>
        <v>18</v>
      </c>
      <c r="BX173" s="29">
        <f t="shared" si="459"/>
        <v>-24.654028436018962</v>
      </c>
    </row>
    <row r="174" spans="2:76" ht="30.75" customHeight="1">
      <c r="C174" s="504"/>
      <c r="D174" s="441"/>
      <c r="E174" s="94" t="s">
        <v>49</v>
      </c>
      <c r="F174" s="57">
        <v>11</v>
      </c>
      <c r="G174" s="5">
        <f t="shared" si="460"/>
        <v>54450</v>
      </c>
      <c r="H174" s="7">
        <f t="shared" si="461"/>
        <v>11.729857819905213</v>
      </c>
      <c r="I174" s="5">
        <f t="shared" si="435"/>
        <v>58062.796208530803</v>
      </c>
      <c r="J174" s="9">
        <v>119</v>
      </c>
      <c r="K174" s="21">
        <f t="shared" si="372"/>
        <v>21</v>
      </c>
      <c r="L174" s="21">
        <v>15</v>
      </c>
      <c r="M174" s="21">
        <v>6</v>
      </c>
      <c r="N174" s="42"/>
      <c r="O174" s="81">
        <f>$H$174*月別販売比率!C5</f>
        <v>0.83122759010286495</v>
      </c>
      <c r="P174" s="10">
        <f t="shared" si="107"/>
        <v>21</v>
      </c>
      <c r="Q174" s="21"/>
      <c r="R174" s="19">
        <f t="shared" si="436"/>
        <v>21</v>
      </c>
      <c r="S174" s="24">
        <f t="shared" si="358"/>
        <v>20.168772409897134</v>
      </c>
      <c r="T174" s="81">
        <f>$H$174*月別販売比率!H5</f>
        <v>0.821090047393365</v>
      </c>
      <c r="U174" s="10">
        <f t="shared" si="437"/>
        <v>21</v>
      </c>
      <c r="V174" s="21"/>
      <c r="W174" s="10">
        <f t="shared" si="438"/>
        <v>21</v>
      </c>
      <c r="X174" s="24">
        <f t="shared" si="359"/>
        <v>20.178909952606634</v>
      </c>
      <c r="Y174" s="81">
        <f>$H$174*月別販売比率!M5</f>
        <v>1.1854627041755623</v>
      </c>
      <c r="Z174" s="10">
        <f t="shared" si="439"/>
        <v>21</v>
      </c>
      <c r="AA174" s="21"/>
      <c r="AB174" s="97">
        <f t="shared" si="440"/>
        <v>21</v>
      </c>
      <c r="AC174" s="24">
        <f t="shared" si="360"/>
        <v>19.814537295824437</v>
      </c>
      <c r="AD174" s="81">
        <f>$H$174*月別販売比率!R5</f>
        <v>0.93838862559241709</v>
      </c>
      <c r="AE174" s="10">
        <f t="shared" si="441"/>
        <v>21</v>
      </c>
      <c r="AF174" s="21"/>
      <c r="AG174" s="10">
        <f t="shared" si="442"/>
        <v>21</v>
      </c>
      <c r="AH174" s="24">
        <f t="shared" si="361"/>
        <v>20.061611374407583</v>
      </c>
      <c r="AI174" s="81">
        <f>$H$174*月別販売比率!W5</f>
        <v>0.89342480006109737</v>
      </c>
      <c r="AJ174" s="10">
        <f t="shared" si="443"/>
        <v>21</v>
      </c>
      <c r="AK174" s="21"/>
      <c r="AL174" s="10">
        <f t="shared" si="444"/>
        <v>21</v>
      </c>
      <c r="AM174" s="24">
        <f t="shared" si="362"/>
        <v>20.106575199938902</v>
      </c>
      <c r="AN174" s="81">
        <f>$H$174*月別販売比率!AB5</f>
        <v>1.4075829383886256</v>
      </c>
      <c r="AO174" s="10">
        <f t="shared" si="445"/>
        <v>21</v>
      </c>
      <c r="AP174" s="21"/>
      <c r="AQ174" s="10">
        <f t="shared" si="446"/>
        <v>21</v>
      </c>
      <c r="AR174" s="24">
        <f t="shared" si="363"/>
        <v>19.592417061611375</v>
      </c>
      <c r="AS174" s="81">
        <f>$H$174*月別販売比率!AG5</f>
        <v>1.1729857819905214</v>
      </c>
      <c r="AT174" s="10">
        <f t="shared" si="447"/>
        <v>21</v>
      </c>
      <c r="AU174" s="21"/>
      <c r="AV174" s="10">
        <f t="shared" si="448"/>
        <v>21</v>
      </c>
      <c r="AW174" s="24">
        <f t="shared" si="364"/>
        <v>19.827014218009477</v>
      </c>
      <c r="AX174" s="81">
        <f>$H$174*月別販売比率!AL5</f>
        <v>1.0556872037914691</v>
      </c>
      <c r="AY174" s="10">
        <f t="shared" si="449"/>
        <v>21</v>
      </c>
      <c r="AZ174" s="21"/>
      <c r="BA174" s="19">
        <f t="shared" si="450"/>
        <v>21</v>
      </c>
      <c r="BB174" s="24">
        <f t="shared" si="365"/>
        <v>19.944312796208532</v>
      </c>
      <c r="BC174" s="81">
        <f>$H$174*月別販売比率!AQ5</f>
        <v>1.1729857819905214</v>
      </c>
      <c r="BD174" s="10">
        <f t="shared" si="451"/>
        <v>21</v>
      </c>
      <c r="BE174" s="21"/>
      <c r="BF174" s="19">
        <f t="shared" si="452"/>
        <v>21</v>
      </c>
      <c r="BG174" s="24">
        <f t="shared" si="366"/>
        <v>19.827014218009477</v>
      </c>
      <c r="BH174" s="81">
        <f>$H$174*月別販売比率!AV5</f>
        <v>0.71428236664124967</v>
      </c>
      <c r="BI174" s="10">
        <f t="shared" si="453"/>
        <v>21</v>
      </c>
      <c r="BJ174" s="21"/>
      <c r="BK174" s="19">
        <f t="shared" si="454"/>
        <v>21</v>
      </c>
      <c r="BL174" s="24">
        <f t="shared" si="367"/>
        <v>20.28571763335875</v>
      </c>
      <c r="BM174" s="81">
        <f>$H$174*月別販売比率!BA5</f>
        <v>0.65245129736963048</v>
      </c>
      <c r="BN174" s="10">
        <f t="shared" si="455"/>
        <v>21</v>
      </c>
      <c r="BO174" s="21"/>
      <c r="BP174" s="19">
        <f t="shared" si="462"/>
        <v>21</v>
      </c>
      <c r="BQ174" s="24">
        <f t="shared" si="368"/>
        <v>20.34754870263037</v>
      </c>
      <c r="BR174" s="81">
        <f>$H$174*月別販売比率!BF5</f>
        <v>0.93838862559241709</v>
      </c>
      <c r="BS174" s="10">
        <f t="shared" si="456"/>
        <v>21</v>
      </c>
      <c r="BT174" s="21"/>
      <c r="BU174" s="19">
        <f t="shared" si="457"/>
        <v>21</v>
      </c>
      <c r="BV174" s="24">
        <f t="shared" si="369"/>
        <v>20.061611374407583</v>
      </c>
      <c r="BW174" s="158">
        <f t="shared" si="458"/>
        <v>21</v>
      </c>
      <c r="BX174" s="29">
        <f t="shared" si="459"/>
        <v>9.270142180094787</v>
      </c>
    </row>
    <row r="175" spans="2:76" ht="30.75" customHeight="1">
      <c r="C175" s="504"/>
      <c r="D175" s="442"/>
      <c r="E175" s="94" t="s">
        <v>50</v>
      </c>
      <c r="F175" s="57">
        <v>5</v>
      </c>
      <c r="G175" s="5">
        <f t="shared" si="460"/>
        <v>24750</v>
      </c>
      <c r="H175" s="7">
        <f t="shared" si="461"/>
        <v>5.3317535545023702</v>
      </c>
      <c r="I175" s="5">
        <f t="shared" si="435"/>
        <v>26392.180094786734</v>
      </c>
      <c r="J175" s="9">
        <v>0</v>
      </c>
      <c r="K175" s="21">
        <f t="shared" si="372"/>
        <v>16</v>
      </c>
      <c r="L175" s="21">
        <v>11</v>
      </c>
      <c r="M175" s="21">
        <v>5</v>
      </c>
      <c r="N175" s="42"/>
      <c r="O175" s="81">
        <f>$H$175*月別販売比率!C5</f>
        <v>0.37783072277402957</v>
      </c>
      <c r="P175" s="10">
        <f t="shared" si="107"/>
        <v>16</v>
      </c>
      <c r="Q175" s="21"/>
      <c r="R175" s="19">
        <f t="shared" si="436"/>
        <v>16</v>
      </c>
      <c r="S175" s="24">
        <f t="shared" si="358"/>
        <v>15.62216927722597</v>
      </c>
      <c r="T175" s="81">
        <f>$H$175*月別販売比率!H5</f>
        <v>0.37322274881516593</v>
      </c>
      <c r="U175" s="10">
        <f t="shared" si="437"/>
        <v>16</v>
      </c>
      <c r="V175" s="21"/>
      <c r="W175" s="10">
        <f t="shared" si="438"/>
        <v>16</v>
      </c>
      <c r="X175" s="24">
        <f t="shared" si="359"/>
        <v>15.626777251184834</v>
      </c>
      <c r="Y175" s="81">
        <f>$H$175*月別販売比率!M5</f>
        <v>0.53884668371616473</v>
      </c>
      <c r="Z175" s="10">
        <f t="shared" si="439"/>
        <v>16</v>
      </c>
      <c r="AA175" s="21"/>
      <c r="AB175" s="97">
        <f t="shared" si="440"/>
        <v>16</v>
      </c>
      <c r="AC175" s="24">
        <f t="shared" si="360"/>
        <v>15.461153316283836</v>
      </c>
      <c r="AD175" s="81">
        <f>$H$175*月別販売比率!R5</f>
        <v>0.42654028436018965</v>
      </c>
      <c r="AE175" s="10">
        <f t="shared" si="441"/>
        <v>16</v>
      </c>
      <c r="AF175" s="21"/>
      <c r="AG175" s="10">
        <f t="shared" si="442"/>
        <v>16</v>
      </c>
      <c r="AH175" s="24">
        <f t="shared" si="361"/>
        <v>15.57345971563981</v>
      </c>
      <c r="AI175" s="81">
        <f>$H$175*月別販売比率!W5</f>
        <v>0.40610218184595342</v>
      </c>
      <c r="AJ175" s="10">
        <f t="shared" si="443"/>
        <v>16</v>
      </c>
      <c r="AK175" s="21"/>
      <c r="AL175" s="10">
        <f t="shared" si="444"/>
        <v>16</v>
      </c>
      <c r="AM175" s="24">
        <f t="shared" si="362"/>
        <v>15.593897818154046</v>
      </c>
      <c r="AN175" s="81">
        <f>$H$175*月別販売比率!AB5</f>
        <v>0.63981042654028442</v>
      </c>
      <c r="AO175" s="10">
        <f t="shared" si="445"/>
        <v>16</v>
      </c>
      <c r="AP175" s="21"/>
      <c r="AQ175" s="10">
        <f t="shared" si="446"/>
        <v>16</v>
      </c>
      <c r="AR175" s="24">
        <f t="shared" si="363"/>
        <v>15.360189573459715</v>
      </c>
      <c r="AS175" s="81">
        <f>$H$175*月別販売比率!AG5</f>
        <v>0.53317535545023709</v>
      </c>
      <c r="AT175" s="10">
        <f t="shared" si="447"/>
        <v>16</v>
      </c>
      <c r="AU175" s="21"/>
      <c r="AV175" s="10">
        <f t="shared" si="448"/>
        <v>16</v>
      </c>
      <c r="AW175" s="24">
        <f t="shared" si="364"/>
        <v>15.466824644549764</v>
      </c>
      <c r="AX175" s="81">
        <f>$H$175*月別販売比率!AL5</f>
        <v>0.47985781990521331</v>
      </c>
      <c r="AY175" s="10">
        <f t="shared" si="449"/>
        <v>16</v>
      </c>
      <c r="AZ175" s="21"/>
      <c r="BA175" s="19">
        <f t="shared" si="450"/>
        <v>16</v>
      </c>
      <c r="BB175" s="24">
        <f t="shared" si="365"/>
        <v>15.520142180094787</v>
      </c>
      <c r="BC175" s="81">
        <f>$H$175*月別販売比率!AQ5</f>
        <v>0.53317535545023709</v>
      </c>
      <c r="BD175" s="10">
        <f t="shared" si="451"/>
        <v>16</v>
      </c>
      <c r="BE175" s="21"/>
      <c r="BF175" s="19">
        <f t="shared" si="452"/>
        <v>16</v>
      </c>
      <c r="BG175" s="24">
        <f t="shared" si="366"/>
        <v>15.466824644549764</v>
      </c>
      <c r="BH175" s="81">
        <f>$H$175*月別販売比率!AV5</f>
        <v>0.32467380301874993</v>
      </c>
      <c r="BI175" s="10">
        <f t="shared" si="453"/>
        <v>16</v>
      </c>
      <c r="BJ175" s="21"/>
      <c r="BK175" s="19">
        <f t="shared" si="454"/>
        <v>16</v>
      </c>
      <c r="BL175" s="24">
        <f t="shared" si="367"/>
        <v>15.675326196981249</v>
      </c>
      <c r="BM175" s="81">
        <f>$H$175*月別販売比率!BA5</f>
        <v>0.29656877153165023</v>
      </c>
      <c r="BN175" s="10">
        <f t="shared" si="455"/>
        <v>16</v>
      </c>
      <c r="BO175" s="21"/>
      <c r="BP175" s="19">
        <f t="shared" si="462"/>
        <v>16</v>
      </c>
      <c r="BQ175" s="24">
        <f t="shared" si="368"/>
        <v>15.70343122846835</v>
      </c>
      <c r="BR175" s="81">
        <f>$H$175*月別販売比率!BF5</f>
        <v>0.42654028436018965</v>
      </c>
      <c r="BS175" s="10">
        <f t="shared" si="456"/>
        <v>16</v>
      </c>
      <c r="BT175" s="21"/>
      <c r="BU175" s="19">
        <f t="shared" si="457"/>
        <v>16</v>
      </c>
      <c r="BV175" s="24">
        <f t="shared" si="369"/>
        <v>15.57345971563981</v>
      </c>
      <c r="BW175" s="158">
        <f t="shared" si="458"/>
        <v>16</v>
      </c>
      <c r="BX175" s="29">
        <f t="shared" si="459"/>
        <v>10.66824644549763</v>
      </c>
    </row>
    <row r="176" spans="2:76" ht="30.75" customHeight="1">
      <c r="C176" s="504"/>
      <c r="D176" s="441">
        <v>3</v>
      </c>
      <c r="E176" s="94" t="s">
        <v>47</v>
      </c>
      <c r="F176" s="57">
        <v>41</v>
      </c>
      <c r="G176" s="5">
        <f t="shared" si="460"/>
        <v>202950</v>
      </c>
      <c r="H176" s="7">
        <f t="shared" si="461"/>
        <v>43.720379146919434</v>
      </c>
      <c r="I176" s="5">
        <f t="shared" si="435"/>
        <v>216415.87677725119</v>
      </c>
      <c r="J176" s="9">
        <v>900</v>
      </c>
      <c r="K176" s="21">
        <f t="shared" si="372"/>
        <v>22</v>
      </c>
      <c r="L176" s="21">
        <v>12</v>
      </c>
      <c r="M176" s="21">
        <v>10</v>
      </c>
      <c r="N176" s="42"/>
      <c r="O176" s="81">
        <f>$H$176*月別販売比率!C5</f>
        <v>3.0982119267470423</v>
      </c>
      <c r="P176" s="10">
        <f t="shared" si="107"/>
        <v>22</v>
      </c>
      <c r="Q176" s="21"/>
      <c r="R176" s="19">
        <f t="shared" si="436"/>
        <v>22</v>
      </c>
      <c r="S176" s="24">
        <f t="shared" si="358"/>
        <v>18.901788073252959</v>
      </c>
      <c r="T176" s="81">
        <f>$H$176*月別販売比率!H5</f>
        <v>3.0604265402843609</v>
      </c>
      <c r="U176" s="10">
        <f t="shared" si="437"/>
        <v>22</v>
      </c>
      <c r="V176" s="21"/>
      <c r="W176" s="10">
        <f t="shared" si="438"/>
        <v>22</v>
      </c>
      <c r="X176" s="24">
        <f t="shared" si="359"/>
        <v>18.939573459715639</v>
      </c>
      <c r="Y176" s="81">
        <f>$H$176*月別販売比率!M5</f>
        <v>4.4185428064725505</v>
      </c>
      <c r="Z176" s="10">
        <f t="shared" si="439"/>
        <v>22</v>
      </c>
      <c r="AA176" s="21"/>
      <c r="AB176" s="97">
        <f t="shared" si="440"/>
        <v>22</v>
      </c>
      <c r="AC176" s="24">
        <f t="shared" si="360"/>
        <v>17.581457193527449</v>
      </c>
      <c r="AD176" s="81">
        <f>$H$176*月別販売比率!R5</f>
        <v>3.4976303317535549</v>
      </c>
      <c r="AE176" s="10">
        <f t="shared" si="441"/>
        <v>22</v>
      </c>
      <c r="AF176" s="21"/>
      <c r="AG176" s="10">
        <f t="shared" si="442"/>
        <v>22</v>
      </c>
      <c r="AH176" s="24">
        <f t="shared" si="361"/>
        <v>18.502369668246445</v>
      </c>
      <c r="AI176" s="81">
        <f>$H$176*月別販売比率!W5</f>
        <v>3.330037891136818</v>
      </c>
      <c r="AJ176" s="10">
        <f t="shared" si="443"/>
        <v>22</v>
      </c>
      <c r="AK176" s="21"/>
      <c r="AL176" s="10">
        <f t="shared" si="444"/>
        <v>22</v>
      </c>
      <c r="AM176" s="24">
        <f t="shared" si="362"/>
        <v>18.669962108863182</v>
      </c>
      <c r="AN176" s="81">
        <f>$H$176*月別販売比率!AB5</f>
        <v>5.2464454976303321</v>
      </c>
      <c r="AO176" s="10">
        <f t="shared" si="445"/>
        <v>22</v>
      </c>
      <c r="AP176" s="21"/>
      <c r="AQ176" s="10">
        <f t="shared" si="446"/>
        <v>22</v>
      </c>
      <c r="AR176" s="24">
        <f t="shared" si="363"/>
        <v>16.753554502369667</v>
      </c>
      <c r="AS176" s="81">
        <f>$H$176*月別販売比率!AG5</f>
        <v>4.3720379146919433</v>
      </c>
      <c r="AT176" s="10">
        <f t="shared" si="447"/>
        <v>22</v>
      </c>
      <c r="AU176" s="21"/>
      <c r="AV176" s="10">
        <f t="shared" si="448"/>
        <v>22</v>
      </c>
      <c r="AW176" s="24">
        <f t="shared" si="364"/>
        <v>17.627962085308056</v>
      </c>
      <c r="AX176" s="81">
        <f>$H$176*月別販売比率!AL5</f>
        <v>3.9348341232227488</v>
      </c>
      <c r="AY176" s="10">
        <f t="shared" si="449"/>
        <v>22</v>
      </c>
      <c r="AZ176" s="21"/>
      <c r="BA176" s="19">
        <f t="shared" si="450"/>
        <v>22</v>
      </c>
      <c r="BB176" s="24">
        <f t="shared" si="365"/>
        <v>18.06516587677725</v>
      </c>
      <c r="BC176" s="81">
        <f>$H$176*月別販売比率!AQ5</f>
        <v>4.3720379146919433</v>
      </c>
      <c r="BD176" s="10">
        <f t="shared" si="451"/>
        <v>22</v>
      </c>
      <c r="BE176" s="21"/>
      <c r="BF176" s="19">
        <f t="shared" si="452"/>
        <v>22</v>
      </c>
      <c r="BG176" s="24">
        <f t="shared" si="366"/>
        <v>17.627962085308056</v>
      </c>
      <c r="BH176" s="81">
        <f>$H$176*月別販売比率!AV5</f>
        <v>2.6623251847537492</v>
      </c>
      <c r="BI176" s="10">
        <f t="shared" si="453"/>
        <v>22</v>
      </c>
      <c r="BJ176" s="21"/>
      <c r="BK176" s="19">
        <f t="shared" si="454"/>
        <v>22</v>
      </c>
      <c r="BL176" s="24">
        <f t="shared" si="367"/>
        <v>19.337674815246253</v>
      </c>
      <c r="BM176" s="81">
        <f>$H$176*月別販売比率!BA5</f>
        <v>2.4318639265595317</v>
      </c>
      <c r="BN176" s="10">
        <f t="shared" si="455"/>
        <v>22</v>
      </c>
      <c r="BO176" s="21"/>
      <c r="BP176" s="19">
        <f t="shared" si="462"/>
        <v>22</v>
      </c>
      <c r="BQ176" s="24">
        <f t="shared" si="368"/>
        <v>19.568136073440467</v>
      </c>
      <c r="BR176" s="81">
        <f>$H$176*月別販売比率!BF5</f>
        <v>3.4976303317535549</v>
      </c>
      <c r="BS176" s="10">
        <f t="shared" si="456"/>
        <v>22</v>
      </c>
      <c r="BT176" s="21"/>
      <c r="BU176" s="19">
        <f t="shared" si="457"/>
        <v>22</v>
      </c>
      <c r="BV176" s="24">
        <f t="shared" si="369"/>
        <v>18.502369668246445</v>
      </c>
      <c r="BW176" s="158">
        <f t="shared" si="458"/>
        <v>22</v>
      </c>
      <c r="BX176" s="29">
        <f t="shared" si="459"/>
        <v>-21.720379146919434</v>
      </c>
    </row>
    <row r="177" spans="2:76" ht="30.75" customHeight="1">
      <c r="C177" s="504"/>
      <c r="D177" s="441"/>
      <c r="E177" s="94" t="s">
        <v>51</v>
      </c>
      <c r="F177" s="57">
        <v>21</v>
      </c>
      <c r="G177" s="5">
        <f t="shared" si="460"/>
        <v>103950</v>
      </c>
      <c r="H177" s="7">
        <f t="shared" si="461"/>
        <v>22.393364928909953</v>
      </c>
      <c r="I177" s="5">
        <f t="shared" si="435"/>
        <v>110847.15639810427</v>
      </c>
      <c r="J177" s="9">
        <v>64</v>
      </c>
      <c r="K177" s="21">
        <f t="shared" si="372"/>
        <v>22</v>
      </c>
      <c r="L177" s="21">
        <v>13</v>
      </c>
      <c r="M177" s="21">
        <v>9</v>
      </c>
      <c r="N177" s="42"/>
      <c r="O177" s="81">
        <f>$H$177*月別販売比率!C5</f>
        <v>1.586889035650924</v>
      </c>
      <c r="P177" s="10">
        <f t="shared" si="107"/>
        <v>22</v>
      </c>
      <c r="Q177" s="21"/>
      <c r="R177" s="19">
        <f t="shared" si="436"/>
        <v>22</v>
      </c>
      <c r="S177" s="24">
        <f t="shared" si="358"/>
        <v>20.413110964349077</v>
      </c>
      <c r="T177" s="81">
        <f>$H$177*月別販売比率!H5</f>
        <v>1.567535545023697</v>
      </c>
      <c r="U177" s="10">
        <f t="shared" si="437"/>
        <v>22</v>
      </c>
      <c r="V177" s="21"/>
      <c r="W177" s="10">
        <f t="shared" si="438"/>
        <v>22</v>
      </c>
      <c r="X177" s="24">
        <f t="shared" si="359"/>
        <v>20.432464454976301</v>
      </c>
      <c r="Y177" s="81">
        <f>$H$177*月別販売比率!M5</f>
        <v>2.263156071607892</v>
      </c>
      <c r="Z177" s="10">
        <f t="shared" si="439"/>
        <v>22</v>
      </c>
      <c r="AA177" s="21"/>
      <c r="AB177" s="97">
        <f t="shared" si="440"/>
        <v>22</v>
      </c>
      <c r="AC177" s="24">
        <f t="shared" si="360"/>
        <v>19.736843928392108</v>
      </c>
      <c r="AD177" s="81">
        <f>$H$177*月別販売比率!R5</f>
        <v>1.7914691943127963</v>
      </c>
      <c r="AE177" s="10">
        <f t="shared" si="441"/>
        <v>22</v>
      </c>
      <c r="AF177" s="21"/>
      <c r="AG177" s="10">
        <f t="shared" si="442"/>
        <v>22</v>
      </c>
      <c r="AH177" s="24">
        <f t="shared" si="361"/>
        <v>20.208530805687204</v>
      </c>
      <c r="AI177" s="81">
        <f>$H$177*月別販売比率!W5</f>
        <v>1.7056291637530041</v>
      </c>
      <c r="AJ177" s="10">
        <f t="shared" si="443"/>
        <v>22</v>
      </c>
      <c r="AK177" s="21"/>
      <c r="AL177" s="10">
        <f t="shared" si="444"/>
        <v>22</v>
      </c>
      <c r="AM177" s="24">
        <f t="shared" si="362"/>
        <v>20.294370836246998</v>
      </c>
      <c r="AN177" s="81">
        <f>$H$177*月別販売比率!AB5</f>
        <v>2.6872037914691944</v>
      </c>
      <c r="AO177" s="10">
        <f t="shared" si="445"/>
        <v>22</v>
      </c>
      <c r="AP177" s="21"/>
      <c r="AQ177" s="10">
        <f t="shared" si="446"/>
        <v>22</v>
      </c>
      <c r="AR177" s="24">
        <f t="shared" si="363"/>
        <v>19.312796208530806</v>
      </c>
      <c r="AS177" s="81">
        <f>$H$177*月別販売比率!AG5</f>
        <v>2.2393364928909953</v>
      </c>
      <c r="AT177" s="10">
        <f t="shared" si="447"/>
        <v>22</v>
      </c>
      <c r="AU177" s="21"/>
      <c r="AV177" s="10">
        <f t="shared" si="448"/>
        <v>22</v>
      </c>
      <c r="AW177" s="24">
        <f t="shared" si="364"/>
        <v>19.760663507109005</v>
      </c>
      <c r="AX177" s="81">
        <f>$H$177*月別販売比率!AL5</f>
        <v>2.0154028436018958</v>
      </c>
      <c r="AY177" s="10">
        <f t="shared" si="449"/>
        <v>22</v>
      </c>
      <c r="AZ177" s="21"/>
      <c r="BA177" s="19">
        <f t="shared" si="450"/>
        <v>22</v>
      </c>
      <c r="BB177" s="24">
        <f t="shared" si="365"/>
        <v>19.984597156398102</v>
      </c>
      <c r="BC177" s="81">
        <f>$H$177*月別販売比率!AQ5</f>
        <v>2.2393364928909953</v>
      </c>
      <c r="BD177" s="10">
        <f t="shared" si="451"/>
        <v>22</v>
      </c>
      <c r="BE177" s="21"/>
      <c r="BF177" s="19">
        <f t="shared" si="452"/>
        <v>22</v>
      </c>
      <c r="BG177" s="24">
        <f t="shared" si="366"/>
        <v>19.760663507109005</v>
      </c>
      <c r="BH177" s="81">
        <f>$H$177*月別販売比率!AV5</f>
        <v>1.3636299726787495</v>
      </c>
      <c r="BI177" s="10">
        <f t="shared" si="453"/>
        <v>22</v>
      </c>
      <c r="BJ177" s="21"/>
      <c r="BK177" s="19">
        <f t="shared" si="454"/>
        <v>22</v>
      </c>
      <c r="BL177" s="24">
        <f t="shared" si="367"/>
        <v>20.636370027321249</v>
      </c>
      <c r="BM177" s="81">
        <f>$H$177*月別販売比率!BA5</f>
        <v>1.2455888404329309</v>
      </c>
      <c r="BN177" s="10">
        <f t="shared" si="455"/>
        <v>22</v>
      </c>
      <c r="BO177" s="21"/>
      <c r="BP177" s="19">
        <f t="shared" si="462"/>
        <v>22</v>
      </c>
      <c r="BQ177" s="24">
        <f t="shared" si="368"/>
        <v>20.75441115956707</v>
      </c>
      <c r="BR177" s="81">
        <f>$H$177*月別販売比率!BF5</f>
        <v>1.7914691943127963</v>
      </c>
      <c r="BS177" s="10">
        <f t="shared" si="456"/>
        <v>22</v>
      </c>
      <c r="BT177" s="21"/>
      <c r="BU177" s="19">
        <f t="shared" si="457"/>
        <v>22</v>
      </c>
      <c r="BV177" s="24">
        <f t="shared" si="369"/>
        <v>20.208530805687204</v>
      </c>
      <c r="BW177" s="158">
        <f t="shared" si="458"/>
        <v>22</v>
      </c>
      <c r="BX177" s="29">
        <f t="shared" si="459"/>
        <v>-0.39336492890995345</v>
      </c>
    </row>
    <row r="178" spans="2:76" ht="30.75" customHeight="1">
      <c r="C178" s="504"/>
      <c r="D178" s="441"/>
      <c r="E178" s="94" t="s">
        <v>49</v>
      </c>
      <c r="F178" s="57">
        <v>7</v>
      </c>
      <c r="G178" s="5">
        <f t="shared" si="460"/>
        <v>34650</v>
      </c>
      <c r="H178" s="7">
        <f t="shared" si="461"/>
        <v>7.4644549763033172</v>
      </c>
      <c r="I178" s="5">
        <f t="shared" si="435"/>
        <v>36949.052132701421</v>
      </c>
      <c r="J178" s="9">
        <v>35</v>
      </c>
      <c r="K178" s="21">
        <f t="shared" si="372"/>
        <v>23</v>
      </c>
      <c r="L178" s="21">
        <v>15</v>
      </c>
      <c r="M178" s="21">
        <v>8</v>
      </c>
      <c r="N178" s="42"/>
      <c r="O178" s="81">
        <f>$H$178*月別販売比率!C5</f>
        <v>0.52896301188364125</v>
      </c>
      <c r="P178" s="10">
        <f t="shared" si="107"/>
        <v>23</v>
      </c>
      <c r="Q178" s="21"/>
      <c r="R178" s="19">
        <f t="shared" si="436"/>
        <v>23</v>
      </c>
      <c r="S178" s="24">
        <f t="shared" si="358"/>
        <v>22.47103698811636</v>
      </c>
      <c r="T178" s="81">
        <f>$H$178*月別販売比率!H5</f>
        <v>0.52251184834123221</v>
      </c>
      <c r="U178" s="10">
        <f t="shared" si="437"/>
        <v>23</v>
      </c>
      <c r="V178" s="21"/>
      <c r="W178" s="10">
        <f t="shared" si="438"/>
        <v>23</v>
      </c>
      <c r="X178" s="24">
        <f t="shared" si="359"/>
        <v>22.477488151658768</v>
      </c>
      <c r="Y178" s="81">
        <f>$H$178*月別販売比率!M5</f>
        <v>0.75438535720263056</v>
      </c>
      <c r="Z178" s="10">
        <f t="shared" si="439"/>
        <v>23</v>
      </c>
      <c r="AA178" s="21"/>
      <c r="AB178" s="97">
        <f t="shared" si="440"/>
        <v>23</v>
      </c>
      <c r="AC178" s="24">
        <f t="shared" si="360"/>
        <v>22.245614642797371</v>
      </c>
      <c r="AD178" s="81">
        <f>$H$178*月別販売比率!R5</f>
        <v>0.59715639810426535</v>
      </c>
      <c r="AE178" s="10">
        <f t="shared" si="441"/>
        <v>23</v>
      </c>
      <c r="AF178" s="21"/>
      <c r="AG178" s="10">
        <f t="shared" si="442"/>
        <v>23</v>
      </c>
      <c r="AH178" s="24">
        <f t="shared" si="361"/>
        <v>22.402843601895736</v>
      </c>
      <c r="AI178" s="81">
        <f>$H$178*月別販売比率!W5</f>
        <v>0.56854305458433474</v>
      </c>
      <c r="AJ178" s="10">
        <f t="shared" si="443"/>
        <v>23</v>
      </c>
      <c r="AK178" s="21"/>
      <c r="AL178" s="10">
        <f t="shared" si="444"/>
        <v>23</v>
      </c>
      <c r="AM178" s="24">
        <f t="shared" si="362"/>
        <v>22.431456945415665</v>
      </c>
      <c r="AN178" s="81">
        <f>$H$178*月別販売比率!AB5</f>
        <v>0.89573459715639803</v>
      </c>
      <c r="AO178" s="10">
        <f t="shared" si="445"/>
        <v>23</v>
      </c>
      <c r="AP178" s="21"/>
      <c r="AQ178" s="10">
        <f t="shared" si="446"/>
        <v>23</v>
      </c>
      <c r="AR178" s="24">
        <f t="shared" si="363"/>
        <v>22.104265402843602</v>
      </c>
      <c r="AS178" s="81">
        <f>$H$178*月別販売比率!AG5</f>
        <v>0.74644549763033174</v>
      </c>
      <c r="AT178" s="10">
        <f t="shared" si="447"/>
        <v>23</v>
      </c>
      <c r="AU178" s="21"/>
      <c r="AV178" s="10">
        <f t="shared" si="448"/>
        <v>23</v>
      </c>
      <c r="AW178" s="24">
        <f t="shared" si="364"/>
        <v>22.253554502369667</v>
      </c>
      <c r="AX178" s="81">
        <f>$H$178*月別販売比率!AL5</f>
        <v>0.67180094786729849</v>
      </c>
      <c r="AY178" s="10">
        <f t="shared" si="449"/>
        <v>23</v>
      </c>
      <c r="AZ178" s="21"/>
      <c r="BA178" s="19">
        <f t="shared" si="450"/>
        <v>23</v>
      </c>
      <c r="BB178" s="24">
        <f t="shared" si="365"/>
        <v>22.328199052132703</v>
      </c>
      <c r="BC178" s="81">
        <f>$H$178*月別販売比率!AQ5</f>
        <v>0.74644549763033174</v>
      </c>
      <c r="BD178" s="10">
        <f t="shared" si="451"/>
        <v>23</v>
      </c>
      <c r="BE178" s="21"/>
      <c r="BF178" s="19">
        <f t="shared" si="452"/>
        <v>23</v>
      </c>
      <c r="BG178" s="24">
        <f t="shared" si="366"/>
        <v>22.253554502369667</v>
      </c>
      <c r="BH178" s="81">
        <f>$H$178*月別販売比率!AV5</f>
        <v>0.45454332422624982</v>
      </c>
      <c r="BI178" s="10">
        <f t="shared" si="453"/>
        <v>23</v>
      </c>
      <c r="BJ178" s="21"/>
      <c r="BK178" s="19">
        <f t="shared" si="454"/>
        <v>23</v>
      </c>
      <c r="BL178" s="24">
        <f t="shared" si="367"/>
        <v>22.54545667577375</v>
      </c>
      <c r="BM178" s="81">
        <f>$H$178*月別販売比率!BA5</f>
        <v>0.41519628014431026</v>
      </c>
      <c r="BN178" s="10">
        <f t="shared" si="455"/>
        <v>23</v>
      </c>
      <c r="BO178" s="21"/>
      <c r="BP178" s="19">
        <f t="shared" si="462"/>
        <v>23</v>
      </c>
      <c r="BQ178" s="24">
        <f t="shared" si="368"/>
        <v>22.584803719855689</v>
      </c>
      <c r="BR178" s="81">
        <f>$H$178*月別販売比率!BF5</f>
        <v>0.59715639810426535</v>
      </c>
      <c r="BS178" s="10">
        <f t="shared" si="456"/>
        <v>23</v>
      </c>
      <c r="BT178" s="21"/>
      <c r="BU178" s="19">
        <f t="shared" si="457"/>
        <v>23</v>
      </c>
      <c r="BV178" s="24">
        <f t="shared" si="369"/>
        <v>22.402843601895736</v>
      </c>
      <c r="BW178" s="158">
        <f t="shared" si="458"/>
        <v>23</v>
      </c>
      <c r="BX178" s="29">
        <f t="shared" si="459"/>
        <v>15.535545023696683</v>
      </c>
    </row>
    <row r="179" spans="2:76" ht="30.75" customHeight="1">
      <c r="C179" s="504"/>
      <c r="D179" s="441"/>
      <c r="E179" s="119" t="s">
        <v>50</v>
      </c>
      <c r="F179" s="120">
        <v>7</v>
      </c>
      <c r="G179" s="36">
        <f t="shared" si="460"/>
        <v>34650</v>
      </c>
      <c r="H179" s="182">
        <f t="shared" si="461"/>
        <v>7.4644549763033172</v>
      </c>
      <c r="I179" s="36">
        <f t="shared" si="435"/>
        <v>36949.052132701421</v>
      </c>
      <c r="J179" s="102">
        <v>34</v>
      </c>
      <c r="K179" s="21">
        <f t="shared" si="372"/>
        <v>2</v>
      </c>
      <c r="M179" s="107">
        <v>2</v>
      </c>
      <c r="N179" s="42"/>
      <c r="O179" s="81">
        <f>$H$179*月別販売比率!C5</f>
        <v>0.52896301188364125</v>
      </c>
      <c r="P179" s="106">
        <f t="shared" si="107"/>
        <v>2</v>
      </c>
      <c r="Q179" s="107"/>
      <c r="R179" s="2">
        <f t="shared" si="436"/>
        <v>2</v>
      </c>
      <c r="S179" s="24">
        <f t="shared" si="358"/>
        <v>1.4710369881163587</v>
      </c>
      <c r="T179" s="81">
        <f>$H$179*月別販売比率!H5</f>
        <v>0.52251184834123221</v>
      </c>
      <c r="U179" s="106">
        <f t="shared" si="437"/>
        <v>2</v>
      </c>
      <c r="V179" s="107"/>
      <c r="W179" s="10">
        <f t="shared" si="438"/>
        <v>2</v>
      </c>
      <c r="X179" s="24">
        <f t="shared" si="359"/>
        <v>1.4774881516587679</v>
      </c>
      <c r="Y179" s="81">
        <f>$H$179*月別販売比率!M5</f>
        <v>0.75438535720263056</v>
      </c>
      <c r="Z179" s="106">
        <f t="shared" si="439"/>
        <v>2</v>
      </c>
      <c r="AA179" s="107"/>
      <c r="AB179" s="97">
        <f t="shared" si="440"/>
        <v>2</v>
      </c>
      <c r="AC179" s="24">
        <f t="shared" si="360"/>
        <v>1.2456146427973693</v>
      </c>
      <c r="AD179" s="81">
        <f>$H$179*月別販売比率!R5</f>
        <v>0.59715639810426535</v>
      </c>
      <c r="AE179" s="106">
        <f t="shared" si="441"/>
        <v>2</v>
      </c>
      <c r="AF179" s="107"/>
      <c r="AG179" s="10">
        <f t="shared" si="442"/>
        <v>2</v>
      </c>
      <c r="AH179" s="24">
        <f t="shared" si="361"/>
        <v>1.4028436018957346</v>
      </c>
      <c r="AI179" s="81">
        <f>$H$179*月別販売比率!W5</f>
        <v>0.56854305458433474</v>
      </c>
      <c r="AJ179" s="106">
        <f t="shared" si="443"/>
        <v>2</v>
      </c>
      <c r="AK179" s="107"/>
      <c r="AL179" s="10">
        <f t="shared" si="444"/>
        <v>2</v>
      </c>
      <c r="AM179" s="24">
        <f t="shared" si="362"/>
        <v>1.4314569454156651</v>
      </c>
      <c r="AN179" s="81">
        <f>$H$179*月別販売比率!AB5</f>
        <v>0.89573459715639803</v>
      </c>
      <c r="AO179" s="106">
        <f t="shared" si="445"/>
        <v>2</v>
      </c>
      <c r="AP179" s="107"/>
      <c r="AQ179" s="10">
        <f t="shared" si="446"/>
        <v>2</v>
      </c>
      <c r="AR179" s="24">
        <f t="shared" si="363"/>
        <v>1.1042654028436019</v>
      </c>
      <c r="AS179" s="81">
        <f>$H$179*月別販売比率!AG5</f>
        <v>0.74644549763033174</v>
      </c>
      <c r="AT179" s="106">
        <f t="shared" si="447"/>
        <v>2</v>
      </c>
      <c r="AU179" s="107"/>
      <c r="AV179" s="10">
        <f t="shared" si="448"/>
        <v>2</v>
      </c>
      <c r="AW179" s="24">
        <f t="shared" si="364"/>
        <v>1.2535545023696684</v>
      </c>
      <c r="AX179" s="81">
        <f>$H$179*月別販売比率!AL5</f>
        <v>0.67180094786729849</v>
      </c>
      <c r="AY179" s="106">
        <f t="shared" si="449"/>
        <v>2</v>
      </c>
      <c r="AZ179" s="107"/>
      <c r="BA179" s="2">
        <f t="shared" si="450"/>
        <v>2</v>
      </c>
      <c r="BB179" s="24">
        <f t="shared" si="365"/>
        <v>1.3281990521327014</v>
      </c>
      <c r="BC179" s="81">
        <f>$H$179*月別販売比率!AQ5</f>
        <v>0.74644549763033174</v>
      </c>
      <c r="BD179" s="106">
        <f t="shared" si="451"/>
        <v>2</v>
      </c>
      <c r="BE179" s="107"/>
      <c r="BF179" s="2">
        <f t="shared" si="452"/>
        <v>2</v>
      </c>
      <c r="BG179" s="24">
        <f t="shared" si="366"/>
        <v>1.2535545023696684</v>
      </c>
      <c r="BH179" s="81">
        <f>$H$179*月別販売比率!AV5</f>
        <v>0.45454332422624982</v>
      </c>
      <c r="BI179" s="106">
        <f t="shared" si="453"/>
        <v>2</v>
      </c>
      <c r="BJ179" s="107"/>
      <c r="BK179" s="2">
        <f t="shared" si="454"/>
        <v>2</v>
      </c>
      <c r="BL179" s="24">
        <f t="shared" si="367"/>
        <v>1.5454566757737502</v>
      </c>
      <c r="BM179" s="81">
        <f>$H$179*月別販売比率!BA5</f>
        <v>0.41519628014431026</v>
      </c>
      <c r="BN179" s="106">
        <f t="shared" si="455"/>
        <v>2</v>
      </c>
      <c r="BO179" s="107"/>
      <c r="BP179" s="2">
        <f t="shared" si="462"/>
        <v>2</v>
      </c>
      <c r="BQ179" s="24">
        <f t="shared" si="368"/>
        <v>1.5848037198556897</v>
      </c>
      <c r="BR179" s="81">
        <f>$H$179*月別販売比率!BF5</f>
        <v>0.59715639810426535</v>
      </c>
      <c r="BS179" s="106">
        <f t="shared" si="456"/>
        <v>2</v>
      </c>
      <c r="BT179" s="107"/>
      <c r="BU179" s="2">
        <f t="shared" si="457"/>
        <v>2</v>
      </c>
      <c r="BV179" s="24">
        <f t="shared" si="369"/>
        <v>1.4028436018957346</v>
      </c>
      <c r="BW179" s="158">
        <f t="shared" si="458"/>
        <v>2</v>
      </c>
      <c r="BX179" s="29">
        <f t="shared" si="459"/>
        <v>-5.4644549763033172</v>
      </c>
    </row>
    <row r="180" spans="2:76" ht="30.75" customHeight="1">
      <c r="C180" s="504"/>
      <c r="D180" s="494">
        <v>4</v>
      </c>
      <c r="E180" s="99" t="s">
        <v>47</v>
      </c>
      <c r="F180" s="56">
        <v>38</v>
      </c>
      <c r="G180" s="46">
        <f t="shared" si="460"/>
        <v>188100</v>
      </c>
      <c r="H180" s="45">
        <f t="shared" si="461"/>
        <v>40.521327014218009</v>
      </c>
      <c r="I180" s="46">
        <f t="shared" si="435"/>
        <v>200580.56872037915</v>
      </c>
      <c r="J180" s="49">
        <v>129</v>
      </c>
      <c r="K180" s="21">
        <f t="shared" si="372"/>
        <v>21</v>
      </c>
      <c r="L180" s="107">
        <v>11</v>
      </c>
      <c r="M180" s="39">
        <v>10</v>
      </c>
      <c r="N180" s="42"/>
      <c r="O180" s="81">
        <f>$H$180*月別販売比率!C5</f>
        <v>2.8715134930826243</v>
      </c>
      <c r="P180" s="40">
        <f t="shared" ref="P180:P183" si="463">K180</f>
        <v>21</v>
      </c>
      <c r="Q180" s="39"/>
      <c r="R180" s="43">
        <f t="shared" ref="R180:R183" si="464">Q180+K180</f>
        <v>21</v>
      </c>
      <c r="S180" s="24">
        <f t="shared" si="358"/>
        <v>18.128486506917376</v>
      </c>
      <c r="T180" s="81">
        <f>$H$180*月別販売比率!H5</f>
        <v>2.8364928909952609</v>
      </c>
      <c r="U180" s="40">
        <f t="shared" ref="U180:U183" si="465">K180</f>
        <v>21</v>
      </c>
      <c r="V180" s="39"/>
      <c r="W180" s="10">
        <f t="shared" si="438"/>
        <v>21</v>
      </c>
      <c r="X180" s="24">
        <f t="shared" si="359"/>
        <v>18.16350710900474</v>
      </c>
      <c r="Y180" s="81">
        <f>$H$180*月別販売比率!M5</f>
        <v>4.0952347962428517</v>
      </c>
      <c r="Z180" s="40">
        <f t="shared" ref="Z180:Z183" si="466">K180</f>
        <v>21</v>
      </c>
      <c r="AA180" s="39"/>
      <c r="AB180" s="97">
        <f t="shared" si="440"/>
        <v>21</v>
      </c>
      <c r="AC180" s="24">
        <f t="shared" si="360"/>
        <v>16.904765203757147</v>
      </c>
      <c r="AD180" s="81">
        <f>$H$180*月別販売比率!R5</f>
        <v>3.2417061611374409</v>
      </c>
      <c r="AE180" s="40">
        <f t="shared" ref="AE180:AE183" si="467">K180</f>
        <v>21</v>
      </c>
      <c r="AF180" s="39"/>
      <c r="AG180" s="10">
        <f t="shared" si="442"/>
        <v>21</v>
      </c>
      <c r="AH180" s="24">
        <f t="shared" si="361"/>
        <v>17.75829383886256</v>
      </c>
      <c r="AI180" s="81">
        <f>$H$180*月別販売比率!W5</f>
        <v>3.0863765820292457</v>
      </c>
      <c r="AJ180" s="40">
        <f t="shared" ref="AJ180:AJ183" si="468">K180</f>
        <v>21</v>
      </c>
      <c r="AK180" s="39"/>
      <c r="AL180" s="10">
        <f t="shared" si="444"/>
        <v>21</v>
      </c>
      <c r="AM180" s="24">
        <f t="shared" si="362"/>
        <v>17.913623417970754</v>
      </c>
      <c r="AN180" s="81">
        <f>$H$180*月別販売比率!AB5</f>
        <v>4.8625592417061609</v>
      </c>
      <c r="AO180" s="40">
        <f t="shared" ref="AO180:AO183" si="469">K180</f>
        <v>21</v>
      </c>
      <c r="AP180" s="39"/>
      <c r="AQ180" s="10">
        <f t="shared" si="446"/>
        <v>21</v>
      </c>
      <c r="AR180" s="24">
        <f t="shared" si="363"/>
        <v>16.137440758293838</v>
      </c>
      <c r="AS180" s="81">
        <f>$H$180*月別販売比率!AG5</f>
        <v>4.0521327014218009</v>
      </c>
      <c r="AT180" s="40">
        <f t="shared" ref="AT180:AT183" si="470">K180</f>
        <v>21</v>
      </c>
      <c r="AU180" s="39"/>
      <c r="AV180" s="10">
        <f t="shared" si="448"/>
        <v>21</v>
      </c>
      <c r="AW180" s="24">
        <f t="shared" si="364"/>
        <v>16.947867298578199</v>
      </c>
      <c r="AX180" s="81">
        <f>$H$180*月別販売比率!AL5</f>
        <v>3.6469194312796205</v>
      </c>
      <c r="AY180" s="40">
        <f t="shared" ref="AY180:AY183" si="471">K180</f>
        <v>21</v>
      </c>
      <c r="AZ180" s="39"/>
      <c r="BA180" s="43">
        <f t="shared" ref="BA180:BA183" si="472">K180+AZ180</f>
        <v>21</v>
      </c>
      <c r="BB180" s="24">
        <f t="shared" si="365"/>
        <v>17.35308056872038</v>
      </c>
      <c r="BC180" s="81">
        <f>$H$180*月別販売比率!AQ5</f>
        <v>4.0521327014218009</v>
      </c>
      <c r="BD180" s="40">
        <f t="shared" ref="BD180:BD183" si="473">K180</f>
        <v>21</v>
      </c>
      <c r="BE180" s="39"/>
      <c r="BF180" s="43">
        <f t="shared" ref="BF180:BF183" si="474">K180+BE180</f>
        <v>21</v>
      </c>
      <c r="BG180" s="24">
        <f t="shared" si="366"/>
        <v>16.947867298578199</v>
      </c>
      <c r="BH180" s="81">
        <f>$H$180*月別販売比率!AV5</f>
        <v>2.4675209029424989</v>
      </c>
      <c r="BI180" s="40">
        <f t="shared" ref="BI180:BI183" si="475">K180</f>
        <v>21</v>
      </c>
      <c r="BJ180" s="39"/>
      <c r="BK180" s="43">
        <f t="shared" ref="BK180:BK183" si="476">K180+BJ180</f>
        <v>21</v>
      </c>
      <c r="BL180" s="24">
        <f t="shared" si="367"/>
        <v>18.5324790970575</v>
      </c>
      <c r="BM180" s="81">
        <f>$H$180*月別販売比率!BA5</f>
        <v>2.2539226636405414</v>
      </c>
      <c r="BN180" s="40">
        <f t="shared" ref="BN180:BN183" si="477">K180</f>
        <v>21</v>
      </c>
      <c r="BO180" s="39"/>
      <c r="BP180" s="43">
        <f t="shared" ref="BP180:BP183" si="478">K180+BO180</f>
        <v>21</v>
      </c>
      <c r="BQ180" s="24">
        <f t="shared" si="368"/>
        <v>18.746077336359459</v>
      </c>
      <c r="BR180" s="81">
        <f>$H$180*月別販売比率!BF5</f>
        <v>3.2417061611374409</v>
      </c>
      <c r="BS180" s="40">
        <f t="shared" ref="BS180:BS183" si="479">K180</f>
        <v>21</v>
      </c>
      <c r="BT180" s="39"/>
      <c r="BU180" s="43">
        <f t="shared" ref="BU180:BU183" si="480">K180+BT180</f>
        <v>21</v>
      </c>
      <c r="BV180" s="24">
        <f t="shared" si="369"/>
        <v>17.75829383886256</v>
      </c>
      <c r="BW180" s="158">
        <f t="shared" si="458"/>
        <v>21</v>
      </c>
      <c r="BX180" s="29">
        <f t="shared" si="459"/>
        <v>-19.521327014218009</v>
      </c>
    </row>
    <row r="181" spans="2:76" ht="30.75" customHeight="1">
      <c r="C181" s="504"/>
      <c r="D181" s="494"/>
      <c r="E181" s="99" t="s">
        <v>51</v>
      </c>
      <c r="F181" s="56">
        <v>19</v>
      </c>
      <c r="G181" s="46">
        <f t="shared" si="460"/>
        <v>94050</v>
      </c>
      <c r="H181" s="45">
        <f t="shared" si="461"/>
        <v>20.260663507109005</v>
      </c>
      <c r="I181" s="46">
        <f t="shared" si="435"/>
        <v>100290.28436018957</v>
      </c>
      <c r="J181" s="49">
        <v>176</v>
      </c>
      <c r="K181" s="21">
        <f>SUM(L181:N181)</f>
        <v>24</v>
      </c>
      <c r="L181" s="39">
        <v>14</v>
      </c>
      <c r="M181" s="39">
        <v>10</v>
      </c>
      <c r="N181" s="42"/>
      <c r="O181" s="81">
        <f>$H$181*月別販売比率!C5</f>
        <v>1.4357567465413121</v>
      </c>
      <c r="P181" s="40">
        <f t="shared" si="463"/>
        <v>24</v>
      </c>
      <c r="Q181" s="39"/>
      <c r="R181" s="43">
        <f t="shared" si="464"/>
        <v>24</v>
      </c>
      <c r="S181" s="24">
        <f t="shared" si="358"/>
        <v>22.564243253458688</v>
      </c>
      <c r="T181" s="81">
        <f>$H$181*月別販売比率!H5</f>
        <v>1.4182464454976305</v>
      </c>
      <c r="U181" s="40">
        <f t="shared" si="465"/>
        <v>24</v>
      </c>
      <c r="V181" s="39"/>
      <c r="W181" s="10">
        <f t="shared" si="438"/>
        <v>24</v>
      </c>
      <c r="X181" s="24">
        <f t="shared" si="359"/>
        <v>22.58175355450237</v>
      </c>
      <c r="Y181" s="81">
        <f>$H$181*月別販売比率!M5</f>
        <v>2.0476173981214258</v>
      </c>
      <c r="Z181" s="40">
        <f t="shared" si="466"/>
        <v>24</v>
      </c>
      <c r="AA181" s="39"/>
      <c r="AB181" s="97">
        <f t="shared" si="440"/>
        <v>24</v>
      </c>
      <c r="AC181" s="24">
        <f t="shared" si="360"/>
        <v>21.952382601878575</v>
      </c>
      <c r="AD181" s="81">
        <f>$H$181*月別販売比率!R5</f>
        <v>1.6208530805687205</v>
      </c>
      <c r="AE181" s="40">
        <f t="shared" si="467"/>
        <v>24</v>
      </c>
      <c r="AF181" s="39"/>
      <c r="AG181" s="10">
        <f t="shared" si="442"/>
        <v>24</v>
      </c>
      <c r="AH181" s="24">
        <f t="shared" si="361"/>
        <v>22.379146919431278</v>
      </c>
      <c r="AI181" s="81">
        <f>$H$181*月別販売比率!W5</f>
        <v>1.5431882910146228</v>
      </c>
      <c r="AJ181" s="40">
        <f t="shared" si="468"/>
        <v>24</v>
      </c>
      <c r="AK181" s="39"/>
      <c r="AL181" s="10">
        <f t="shared" si="444"/>
        <v>24</v>
      </c>
      <c r="AM181" s="24">
        <f t="shared" si="362"/>
        <v>22.456811708985377</v>
      </c>
      <c r="AN181" s="81">
        <f>$H$181*月別販売比率!AB5</f>
        <v>2.4312796208530805</v>
      </c>
      <c r="AO181" s="40">
        <f t="shared" si="469"/>
        <v>24</v>
      </c>
      <c r="AP181" s="39"/>
      <c r="AQ181" s="10">
        <f t="shared" si="446"/>
        <v>24</v>
      </c>
      <c r="AR181" s="24">
        <f t="shared" si="363"/>
        <v>21.568720379146921</v>
      </c>
      <c r="AS181" s="81">
        <f>$H$181*月別販売比率!AG5</f>
        <v>2.0260663507109005</v>
      </c>
      <c r="AT181" s="40">
        <f t="shared" si="470"/>
        <v>24</v>
      </c>
      <c r="AU181" s="39"/>
      <c r="AV181" s="10">
        <f t="shared" si="448"/>
        <v>24</v>
      </c>
      <c r="AW181" s="24">
        <f t="shared" si="364"/>
        <v>21.973933649289101</v>
      </c>
      <c r="AX181" s="81">
        <f>$H$181*月別販売比率!AL5</f>
        <v>1.8234597156398102</v>
      </c>
      <c r="AY181" s="40">
        <f t="shared" si="471"/>
        <v>24</v>
      </c>
      <c r="AZ181" s="39"/>
      <c r="BA181" s="43">
        <f t="shared" si="472"/>
        <v>24</v>
      </c>
      <c r="BB181" s="24">
        <f t="shared" si="365"/>
        <v>22.17654028436019</v>
      </c>
      <c r="BC181" s="81">
        <f>$H$181*月別販売比率!AQ5</f>
        <v>2.0260663507109005</v>
      </c>
      <c r="BD181" s="40">
        <f t="shared" si="473"/>
        <v>24</v>
      </c>
      <c r="BE181" s="39"/>
      <c r="BF181" s="43">
        <f t="shared" si="474"/>
        <v>24</v>
      </c>
      <c r="BG181" s="24">
        <f t="shared" si="366"/>
        <v>21.973933649289101</v>
      </c>
      <c r="BH181" s="81">
        <f>$H$181*月別販売比率!AV5</f>
        <v>1.2337604514712495</v>
      </c>
      <c r="BI181" s="40">
        <f t="shared" si="475"/>
        <v>24</v>
      </c>
      <c r="BJ181" s="39"/>
      <c r="BK181" s="43">
        <f t="shared" si="476"/>
        <v>24</v>
      </c>
      <c r="BL181" s="24">
        <f t="shared" si="367"/>
        <v>22.766239548528752</v>
      </c>
      <c r="BM181" s="81">
        <f>$H$181*月別販売比率!BA5</f>
        <v>1.1269613318202707</v>
      </c>
      <c r="BN181" s="40">
        <f t="shared" si="477"/>
        <v>24</v>
      </c>
      <c r="BO181" s="39"/>
      <c r="BP181" s="43">
        <f t="shared" si="478"/>
        <v>24</v>
      </c>
      <c r="BQ181" s="24">
        <f t="shared" si="368"/>
        <v>22.873038668179728</v>
      </c>
      <c r="BR181" s="81">
        <f>$H$181*月別販売比率!BF5</f>
        <v>1.6208530805687205</v>
      </c>
      <c r="BS181" s="40">
        <f t="shared" si="479"/>
        <v>24</v>
      </c>
      <c r="BT181" s="39"/>
      <c r="BU181" s="43">
        <f t="shared" si="480"/>
        <v>24</v>
      </c>
      <c r="BV181" s="24">
        <f t="shared" si="369"/>
        <v>22.379146919431278</v>
      </c>
      <c r="BW181" s="158">
        <f t="shared" si="458"/>
        <v>24</v>
      </c>
      <c r="BX181" s="29">
        <f t="shared" si="459"/>
        <v>3.7393364928909953</v>
      </c>
    </row>
    <row r="182" spans="2:76" ht="30.75" customHeight="1">
      <c r="C182" s="504"/>
      <c r="D182" s="494"/>
      <c r="E182" s="99" t="s">
        <v>49</v>
      </c>
      <c r="F182" s="56">
        <v>13</v>
      </c>
      <c r="G182" s="46">
        <f t="shared" si="460"/>
        <v>64350</v>
      </c>
      <c r="H182" s="45">
        <f t="shared" si="461"/>
        <v>13.862559241706162</v>
      </c>
      <c r="I182" s="46">
        <f t="shared" si="435"/>
        <v>68619.668246445508</v>
      </c>
      <c r="J182" s="49">
        <v>164</v>
      </c>
      <c r="K182" s="21">
        <f t="shared" si="372"/>
        <v>24</v>
      </c>
      <c r="L182" s="39">
        <v>14</v>
      </c>
      <c r="M182" s="39">
        <v>10</v>
      </c>
      <c r="N182" s="42"/>
      <c r="O182" s="81">
        <f>$H$182*月別販売比率!C5</f>
        <v>0.98235987921247681</v>
      </c>
      <c r="P182" s="40">
        <f t="shared" si="463"/>
        <v>24</v>
      </c>
      <c r="Q182" s="39"/>
      <c r="R182" s="43">
        <f t="shared" si="464"/>
        <v>24</v>
      </c>
      <c r="S182" s="24">
        <f t="shared" si="358"/>
        <v>23.017640120787522</v>
      </c>
      <c r="T182" s="81">
        <f>$H$182*月別販売比率!H5</f>
        <v>0.97037914691943139</v>
      </c>
      <c r="U182" s="40">
        <f t="shared" si="465"/>
        <v>24</v>
      </c>
      <c r="V182" s="39"/>
      <c r="W182" s="10">
        <f t="shared" si="438"/>
        <v>24</v>
      </c>
      <c r="X182" s="24">
        <f t="shared" si="359"/>
        <v>23.029620853080569</v>
      </c>
      <c r="Y182" s="81">
        <f>$H$182*月別販売比率!M5</f>
        <v>1.4010013776620283</v>
      </c>
      <c r="Z182" s="40">
        <f t="shared" si="466"/>
        <v>24</v>
      </c>
      <c r="AA182" s="39"/>
      <c r="AB182" s="97">
        <f t="shared" si="440"/>
        <v>24</v>
      </c>
      <c r="AC182" s="24">
        <f t="shared" si="360"/>
        <v>22.598998622337973</v>
      </c>
      <c r="AD182" s="81">
        <f>$H$182*月別販売比率!R5</f>
        <v>1.109004739336493</v>
      </c>
      <c r="AE182" s="40">
        <f t="shared" si="467"/>
        <v>24</v>
      </c>
      <c r="AF182" s="39"/>
      <c r="AG182" s="10">
        <f t="shared" si="442"/>
        <v>24</v>
      </c>
      <c r="AH182" s="24">
        <f t="shared" si="361"/>
        <v>22.890995260663509</v>
      </c>
      <c r="AI182" s="81">
        <f>$H$182*月別販売比率!W5</f>
        <v>1.0558656727994788</v>
      </c>
      <c r="AJ182" s="40">
        <f t="shared" si="468"/>
        <v>24</v>
      </c>
      <c r="AK182" s="39"/>
      <c r="AL182" s="10">
        <f t="shared" si="444"/>
        <v>24</v>
      </c>
      <c r="AM182" s="24">
        <f t="shared" si="362"/>
        <v>22.944134327200523</v>
      </c>
      <c r="AN182" s="81">
        <f>$H$182*月別販売比率!AB5</f>
        <v>1.6635071090047393</v>
      </c>
      <c r="AO182" s="40">
        <f t="shared" si="469"/>
        <v>24</v>
      </c>
      <c r="AP182" s="39"/>
      <c r="AQ182" s="10">
        <f t="shared" si="446"/>
        <v>24</v>
      </c>
      <c r="AR182" s="24">
        <f t="shared" si="363"/>
        <v>22.33649289099526</v>
      </c>
      <c r="AS182" s="81">
        <f>$H$182*月別販売比率!AG5</f>
        <v>1.3862559241706163</v>
      </c>
      <c r="AT182" s="40">
        <f t="shared" si="470"/>
        <v>24</v>
      </c>
      <c r="AU182" s="39"/>
      <c r="AV182" s="10">
        <f t="shared" si="448"/>
        <v>24</v>
      </c>
      <c r="AW182" s="24">
        <f t="shared" si="364"/>
        <v>22.613744075829384</v>
      </c>
      <c r="AX182" s="81">
        <f>$H$182*月別販売比率!AL5</f>
        <v>1.2476303317535544</v>
      </c>
      <c r="AY182" s="40">
        <f t="shared" si="471"/>
        <v>24</v>
      </c>
      <c r="AZ182" s="39"/>
      <c r="BA182" s="43">
        <f t="shared" si="472"/>
        <v>24</v>
      </c>
      <c r="BB182" s="24">
        <f t="shared" si="365"/>
        <v>22.752369668246445</v>
      </c>
      <c r="BC182" s="81">
        <f>$H$182*月別販売比率!AQ5</f>
        <v>1.3862559241706163</v>
      </c>
      <c r="BD182" s="40">
        <f t="shared" si="473"/>
        <v>24</v>
      </c>
      <c r="BE182" s="39"/>
      <c r="BF182" s="43">
        <f t="shared" si="474"/>
        <v>24</v>
      </c>
      <c r="BG182" s="24">
        <f t="shared" si="366"/>
        <v>22.613744075829384</v>
      </c>
      <c r="BH182" s="81">
        <f>$H$182*月別販売比率!AV5</f>
        <v>0.84415188784874973</v>
      </c>
      <c r="BI182" s="40">
        <f t="shared" si="475"/>
        <v>24</v>
      </c>
      <c r="BJ182" s="39"/>
      <c r="BK182" s="43">
        <f t="shared" si="476"/>
        <v>24</v>
      </c>
      <c r="BL182" s="24">
        <f t="shared" si="367"/>
        <v>23.155848112151251</v>
      </c>
      <c r="BM182" s="81">
        <f>$H$182*月別販売比率!BA5</f>
        <v>0.77107880598229062</v>
      </c>
      <c r="BN182" s="40">
        <f t="shared" si="477"/>
        <v>24</v>
      </c>
      <c r="BO182" s="39"/>
      <c r="BP182" s="43">
        <f t="shared" si="478"/>
        <v>24</v>
      </c>
      <c r="BQ182" s="24">
        <f t="shared" si="368"/>
        <v>23.228921194017708</v>
      </c>
      <c r="BR182" s="81">
        <f>$H$182*月別販売比率!BF5</f>
        <v>1.109004739336493</v>
      </c>
      <c r="BS182" s="40">
        <f t="shared" si="479"/>
        <v>24</v>
      </c>
      <c r="BT182" s="39"/>
      <c r="BU182" s="43">
        <f t="shared" si="480"/>
        <v>24</v>
      </c>
      <c r="BV182" s="24">
        <f t="shared" si="369"/>
        <v>22.890995260663509</v>
      </c>
      <c r="BW182" s="158">
        <f t="shared" si="458"/>
        <v>24</v>
      </c>
      <c r="BX182" s="29">
        <f t="shared" si="459"/>
        <v>10.137440758293838</v>
      </c>
    </row>
    <row r="183" spans="2:76" ht="30.75" customHeight="1">
      <c r="C183" s="505"/>
      <c r="D183" s="495"/>
      <c r="E183" s="122" t="s">
        <v>50</v>
      </c>
      <c r="F183" s="126">
        <v>9</v>
      </c>
      <c r="G183" s="53">
        <f t="shared" si="460"/>
        <v>44550</v>
      </c>
      <c r="H183" s="52">
        <f t="shared" si="461"/>
        <v>9.597156398104266</v>
      </c>
      <c r="I183" s="53">
        <f t="shared" si="435"/>
        <v>47505.924170616119</v>
      </c>
      <c r="J183" s="127">
        <v>54</v>
      </c>
      <c r="K183" s="103">
        <f t="shared" si="372"/>
        <v>19</v>
      </c>
      <c r="L183" s="103">
        <v>14</v>
      </c>
      <c r="M183" s="103">
        <v>5</v>
      </c>
      <c r="N183" s="117"/>
      <c r="O183" s="81">
        <f>$H$183*月別販売比率!C5</f>
        <v>0.68009530099325322</v>
      </c>
      <c r="P183" s="80">
        <f t="shared" si="463"/>
        <v>19</v>
      </c>
      <c r="Q183" s="79"/>
      <c r="R183" s="78">
        <f t="shared" si="464"/>
        <v>19</v>
      </c>
      <c r="S183" s="195">
        <f t="shared" si="358"/>
        <v>18.319904699006745</v>
      </c>
      <c r="T183" s="81">
        <f>$H$183*月別販売比率!H5</f>
        <v>0.67180094786729871</v>
      </c>
      <c r="U183" s="80">
        <f t="shared" si="465"/>
        <v>19</v>
      </c>
      <c r="V183" s="79"/>
      <c r="W183" s="106">
        <f t="shared" si="438"/>
        <v>19</v>
      </c>
      <c r="X183" s="195">
        <f t="shared" si="359"/>
        <v>18.3281990521327</v>
      </c>
      <c r="Y183" s="81">
        <f>$H$183*月別販売比率!M5</f>
        <v>0.96992403068909649</v>
      </c>
      <c r="Z183" s="80">
        <f t="shared" si="466"/>
        <v>19</v>
      </c>
      <c r="AA183" s="79"/>
      <c r="AB183" s="196">
        <f t="shared" si="440"/>
        <v>19</v>
      </c>
      <c r="AC183" s="195">
        <f t="shared" si="360"/>
        <v>18.030075969310904</v>
      </c>
      <c r="AD183" s="81">
        <f>$H$183*月別販売比率!R5</f>
        <v>0.76777251184834128</v>
      </c>
      <c r="AE183" s="80">
        <f t="shared" si="467"/>
        <v>19</v>
      </c>
      <c r="AF183" s="79"/>
      <c r="AG183" s="106">
        <f t="shared" si="442"/>
        <v>19</v>
      </c>
      <c r="AH183" s="195">
        <f t="shared" si="361"/>
        <v>18.232227488151658</v>
      </c>
      <c r="AI183" s="81">
        <f>$H$183*月別販売比率!W5</f>
        <v>0.73098392732271611</v>
      </c>
      <c r="AJ183" s="80">
        <f t="shared" si="468"/>
        <v>19</v>
      </c>
      <c r="AK183" s="79"/>
      <c r="AL183" s="106">
        <f t="shared" si="444"/>
        <v>19</v>
      </c>
      <c r="AM183" s="195">
        <f t="shared" si="362"/>
        <v>18.269016072677285</v>
      </c>
      <c r="AN183" s="81">
        <f>$H$183*月別販売比率!AB5</f>
        <v>1.1516587677725119</v>
      </c>
      <c r="AO183" s="80">
        <f t="shared" si="469"/>
        <v>19</v>
      </c>
      <c r="AP183" s="79"/>
      <c r="AQ183" s="106">
        <f t="shared" si="446"/>
        <v>19</v>
      </c>
      <c r="AR183" s="195">
        <f t="shared" si="363"/>
        <v>17.848341232227487</v>
      </c>
      <c r="AS183" s="81">
        <f>$H$183*月別販売比率!AG5</f>
        <v>0.95971563981042662</v>
      </c>
      <c r="AT183" s="80">
        <f t="shared" si="470"/>
        <v>19</v>
      </c>
      <c r="AU183" s="79"/>
      <c r="AV183" s="106">
        <f t="shared" si="448"/>
        <v>19</v>
      </c>
      <c r="AW183" s="195">
        <f t="shared" si="364"/>
        <v>18.040284360189574</v>
      </c>
      <c r="AX183" s="81">
        <f>$H$183*月別販売比率!AL5</f>
        <v>0.86374407582938395</v>
      </c>
      <c r="AY183" s="80">
        <f t="shared" si="471"/>
        <v>19</v>
      </c>
      <c r="AZ183" s="79"/>
      <c r="BA183" s="78">
        <f t="shared" si="472"/>
        <v>19</v>
      </c>
      <c r="BB183" s="195">
        <f t="shared" si="365"/>
        <v>18.136255924170616</v>
      </c>
      <c r="BC183" s="81">
        <f>$H$183*月別販売比率!AQ5</f>
        <v>0.95971563981042662</v>
      </c>
      <c r="BD183" s="80">
        <f t="shared" si="473"/>
        <v>19</v>
      </c>
      <c r="BE183" s="79"/>
      <c r="BF183" s="78">
        <f t="shared" si="474"/>
        <v>19</v>
      </c>
      <c r="BG183" s="195">
        <f t="shared" si="366"/>
        <v>18.040284360189574</v>
      </c>
      <c r="BH183" s="81">
        <f>$H$183*月別販売比率!AV5</f>
        <v>0.58441284543374983</v>
      </c>
      <c r="BI183" s="80">
        <f t="shared" si="475"/>
        <v>19</v>
      </c>
      <c r="BJ183" s="79"/>
      <c r="BK183" s="78">
        <f t="shared" si="476"/>
        <v>19</v>
      </c>
      <c r="BL183" s="195">
        <f t="shared" si="367"/>
        <v>18.41558715456625</v>
      </c>
      <c r="BM183" s="81">
        <f>$H$183*月別販売比率!BA5</f>
        <v>0.53382378875697045</v>
      </c>
      <c r="BN183" s="80">
        <f t="shared" si="477"/>
        <v>19</v>
      </c>
      <c r="BO183" s="79"/>
      <c r="BP183" s="78">
        <f t="shared" si="478"/>
        <v>19</v>
      </c>
      <c r="BQ183" s="195">
        <f t="shared" si="368"/>
        <v>18.466176211243031</v>
      </c>
      <c r="BR183" s="81">
        <f>$H$183*月別販売比率!BF5</f>
        <v>0.76777251184834128</v>
      </c>
      <c r="BS183" s="80">
        <f t="shared" si="479"/>
        <v>19</v>
      </c>
      <c r="BT183" s="79"/>
      <c r="BU183" s="123">
        <f t="shared" si="480"/>
        <v>19</v>
      </c>
      <c r="BV183" s="92">
        <f t="shared" si="369"/>
        <v>18.232227488151658</v>
      </c>
      <c r="BW183" s="159">
        <f t="shared" si="458"/>
        <v>19</v>
      </c>
      <c r="BX183" s="116">
        <f t="shared" si="459"/>
        <v>9.402843601895734</v>
      </c>
    </row>
    <row r="184" spans="2:76" ht="30.75" customHeight="1">
      <c r="B184" s="2">
        <v>14</v>
      </c>
      <c r="C184" s="435" t="s">
        <v>11</v>
      </c>
      <c r="D184" s="436"/>
      <c r="E184" s="445"/>
      <c r="F184" s="130">
        <v>213.63981160714286</v>
      </c>
      <c r="G184" s="131">
        <v>1410022.7566071427</v>
      </c>
      <c r="H184" s="132">
        <v>300</v>
      </c>
      <c r="I184" s="131">
        <f t="shared" si="42"/>
        <v>1979999.9999999998</v>
      </c>
      <c r="J184" s="133">
        <f>SUM(J186:J194)</f>
        <v>64</v>
      </c>
      <c r="K184" s="134">
        <f t="shared" ref="K184:N184" si="481">SUM(K186:K194)</f>
        <v>51</v>
      </c>
      <c r="L184" s="134">
        <f t="shared" si="481"/>
        <v>43</v>
      </c>
      <c r="M184" s="134">
        <f t="shared" si="481"/>
        <v>8</v>
      </c>
      <c r="N184" s="135">
        <f t="shared" si="481"/>
        <v>0</v>
      </c>
      <c r="O184" s="150">
        <f t="shared" si="344"/>
        <v>25</v>
      </c>
      <c r="P184" s="151">
        <f t="shared" si="107"/>
        <v>51</v>
      </c>
      <c r="Q184" s="148">
        <f>SUM(Q186:Q194)</f>
        <v>0</v>
      </c>
      <c r="R184" s="152">
        <f t="shared" si="108"/>
        <v>51</v>
      </c>
      <c r="S184" s="153">
        <f t="shared" si="358"/>
        <v>26</v>
      </c>
      <c r="T184" s="150">
        <f t="shared" si="109"/>
        <v>25</v>
      </c>
      <c r="U184" s="151">
        <f t="shared" si="110"/>
        <v>51</v>
      </c>
      <c r="V184" s="148">
        <f>SUM(V186:V194)</f>
        <v>0</v>
      </c>
      <c r="W184" s="152">
        <f t="shared" si="111"/>
        <v>51</v>
      </c>
      <c r="X184" s="153">
        <f t="shared" si="359"/>
        <v>26</v>
      </c>
      <c r="Y184" s="150">
        <f t="shared" si="112"/>
        <v>25</v>
      </c>
      <c r="Z184" s="151">
        <f t="shared" si="113"/>
        <v>51</v>
      </c>
      <c r="AA184" s="148">
        <f>SUM(AA186:AA194)</f>
        <v>0</v>
      </c>
      <c r="AB184" s="154">
        <f t="shared" si="114"/>
        <v>51</v>
      </c>
      <c r="AC184" s="153">
        <f t="shared" si="360"/>
        <v>26</v>
      </c>
      <c r="AD184" s="150">
        <f t="shared" si="115"/>
        <v>25</v>
      </c>
      <c r="AE184" s="151">
        <f t="shared" si="116"/>
        <v>51</v>
      </c>
      <c r="AF184" s="148">
        <f>SUM(AF186:AF194)</f>
        <v>0</v>
      </c>
      <c r="AG184" s="152">
        <f t="shared" si="117"/>
        <v>51</v>
      </c>
      <c r="AH184" s="153">
        <f t="shared" si="361"/>
        <v>26</v>
      </c>
      <c r="AI184" s="150">
        <f t="shared" si="118"/>
        <v>25</v>
      </c>
      <c r="AJ184" s="151">
        <f t="shared" si="119"/>
        <v>51</v>
      </c>
      <c r="AK184" s="148">
        <f>SUM(AK186:AK194)</f>
        <v>0</v>
      </c>
      <c r="AL184" s="152">
        <f t="shared" si="120"/>
        <v>51</v>
      </c>
      <c r="AM184" s="153">
        <f t="shared" si="362"/>
        <v>26</v>
      </c>
      <c r="AN184" s="150">
        <f t="shared" si="121"/>
        <v>25</v>
      </c>
      <c r="AO184" s="151">
        <f t="shared" si="122"/>
        <v>51</v>
      </c>
      <c r="AP184" s="148">
        <f>SUM(AP186:AP194)</f>
        <v>0</v>
      </c>
      <c r="AQ184" s="152">
        <f t="shared" si="123"/>
        <v>51</v>
      </c>
      <c r="AR184" s="153">
        <f t="shared" si="363"/>
        <v>26</v>
      </c>
      <c r="AS184" s="150">
        <f t="shared" si="124"/>
        <v>25</v>
      </c>
      <c r="AT184" s="151">
        <f t="shared" si="125"/>
        <v>51</v>
      </c>
      <c r="AU184" s="148">
        <f>SUM(AU186:AU194)</f>
        <v>0</v>
      </c>
      <c r="AV184" s="152">
        <f t="shared" si="126"/>
        <v>51</v>
      </c>
      <c r="AW184" s="153">
        <f t="shared" si="364"/>
        <v>26</v>
      </c>
      <c r="AX184" s="150">
        <f t="shared" si="127"/>
        <v>25</v>
      </c>
      <c r="AY184" s="151">
        <f t="shared" si="128"/>
        <v>51</v>
      </c>
      <c r="AZ184" s="148">
        <f>SUM(AZ186:AZ194)</f>
        <v>0</v>
      </c>
      <c r="BA184" s="152">
        <f t="shared" si="129"/>
        <v>51</v>
      </c>
      <c r="BB184" s="153">
        <f t="shared" si="365"/>
        <v>26</v>
      </c>
      <c r="BC184" s="150">
        <f t="shared" si="130"/>
        <v>25</v>
      </c>
      <c r="BD184" s="151">
        <f t="shared" si="131"/>
        <v>51</v>
      </c>
      <c r="BE184" s="148">
        <f>SUM(BE186:BE194)</f>
        <v>0</v>
      </c>
      <c r="BF184" s="152">
        <f t="shared" si="132"/>
        <v>51</v>
      </c>
      <c r="BG184" s="153">
        <f t="shared" si="366"/>
        <v>26</v>
      </c>
      <c r="BH184" s="150">
        <f t="shared" si="133"/>
        <v>25</v>
      </c>
      <c r="BI184" s="151">
        <f t="shared" si="134"/>
        <v>51</v>
      </c>
      <c r="BJ184" s="148">
        <f>SUM(BJ186:BJ194)</f>
        <v>0</v>
      </c>
      <c r="BK184" s="152">
        <f t="shared" si="135"/>
        <v>51</v>
      </c>
      <c r="BL184" s="153">
        <f t="shared" si="367"/>
        <v>26</v>
      </c>
      <c r="BM184" s="150">
        <f t="shared" si="136"/>
        <v>25</v>
      </c>
      <c r="BN184" s="151">
        <f t="shared" si="137"/>
        <v>51</v>
      </c>
      <c r="BO184" s="148">
        <f>SUM(BO186:BO194)</f>
        <v>0</v>
      </c>
      <c r="BP184" s="152">
        <f t="shared" si="138"/>
        <v>51</v>
      </c>
      <c r="BQ184" s="153">
        <f t="shared" si="368"/>
        <v>26</v>
      </c>
      <c r="BR184" s="150">
        <f t="shared" si="139"/>
        <v>25</v>
      </c>
      <c r="BS184" s="151">
        <f t="shared" si="140"/>
        <v>51</v>
      </c>
      <c r="BT184" s="148">
        <f>SUM(BT186:BT194)</f>
        <v>0</v>
      </c>
      <c r="BU184" s="138">
        <f t="shared" si="141"/>
        <v>51</v>
      </c>
      <c r="BV184" s="139">
        <f t="shared" si="369"/>
        <v>26</v>
      </c>
      <c r="BW184" s="143">
        <f>AF184+AA184+V184+Q184+AK184+AP184+AU184+AZ184+BE184+BJ184+BO184+BT184+K184</f>
        <v>51</v>
      </c>
      <c r="BX184" s="142">
        <f t="shared" si="49"/>
        <v>-249</v>
      </c>
    </row>
    <row r="185" spans="2:76" ht="30.6" customHeight="1">
      <c r="C185" s="167" t="s">
        <v>82</v>
      </c>
      <c r="D185" s="168"/>
      <c r="E185" s="169"/>
      <c r="F185" s="170">
        <f>SUM(F186:F194)</f>
        <v>198</v>
      </c>
      <c r="G185" s="171">
        <f>SUM(G186:G194)</f>
        <v>1306800</v>
      </c>
      <c r="H185" s="170">
        <f>SUM(H186:H194)</f>
        <v>278.03806581345077</v>
      </c>
      <c r="I185" s="171">
        <f>SUM(I186:I194)</f>
        <v>1835051.2343687748</v>
      </c>
      <c r="J185" s="172"/>
      <c r="K185" s="173"/>
      <c r="L185" s="173"/>
      <c r="M185" s="173"/>
      <c r="N185" s="174"/>
      <c r="O185" s="175">
        <f>SUM(O186:O194)</f>
        <v>19.462664606941555</v>
      </c>
      <c r="P185" s="176"/>
      <c r="Q185" s="173"/>
      <c r="R185" s="177"/>
      <c r="S185" s="178"/>
      <c r="T185" s="175">
        <f>SUM(T186:T194)</f>
        <v>22.243045265076059</v>
      </c>
      <c r="U185" s="176"/>
      <c r="V185" s="173"/>
      <c r="W185" s="177"/>
      <c r="X185" s="178"/>
      <c r="Y185" s="175">
        <f>SUM(Y186:Y194)</f>
        <v>38.92532921388311</v>
      </c>
      <c r="Z185" s="176"/>
      <c r="AA185" s="173"/>
      <c r="AB185" s="177"/>
      <c r="AC185" s="178"/>
      <c r="AD185" s="175">
        <f>SUM(AD186:AD194)</f>
        <v>50.046851846421127</v>
      </c>
      <c r="AE185" s="176"/>
      <c r="AF185" s="173"/>
      <c r="AG185" s="177"/>
      <c r="AH185" s="178"/>
      <c r="AI185" s="175">
        <f>SUM(AI186:AI194)</f>
        <v>27.803806581345071</v>
      </c>
      <c r="AJ185" s="176"/>
      <c r="AK185" s="173"/>
      <c r="AL185" s="177"/>
      <c r="AM185" s="178"/>
      <c r="AN185" s="175">
        <f>SUM(AN186:AN194)</f>
        <v>33.36456789761408</v>
      </c>
      <c r="AO185" s="176"/>
      <c r="AP185" s="173"/>
      <c r="AQ185" s="177"/>
      <c r="AR185" s="178"/>
      <c r="AS185" s="175">
        <f>SUM(AS186:AS194)</f>
        <v>22.243045265076059</v>
      </c>
      <c r="AT185" s="176"/>
      <c r="AU185" s="173"/>
      <c r="AV185" s="177"/>
      <c r="AW185" s="178"/>
      <c r="AX185" s="175">
        <f>SUM(AX186:AX194)</f>
        <v>14.012380244856569</v>
      </c>
      <c r="AY185" s="176"/>
      <c r="AZ185" s="173"/>
      <c r="BA185" s="177"/>
      <c r="BB185" s="178"/>
      <c r="BC185" s="175">
        <f>SUM(BC186:BC194)</f>
        <v>15.612942026089724</v>
      </c>
      <c r="BD185" s="176"/>
      <c r="BE185" s="173"/>
      <c r="BF185" s="177"/>
      <c r="BG185" s="178"/>
      <c r="BH185" s="175">
        <f>SUM(BH186:BH194)</f>
        <v>11.12152263253803</v>
      </c>
      <c r="BI185" s="176"/>
      <c r="BJ185" s="173"/>
      <c r="BK185" s="177"/>
      <c r="BL185" s="178"/>
      <c r="BM185" s="175">
        <f>SUM(BM186:BM194)</f>
        <v>8.34114197440352</v>
      </c>
      <c r="BN185" s="176"/>
      <c r="BO185" s="173"/>
      <c r="BP185" s="177"/>
      <c r="BQ185" s="178"/>
      <c r="BR185" s="175">
        <f>SUM(BR186:BR194)</f>
        <v>13.874891640655196</v>
      </c>
      <c r="BS185" s="176"/>
      <c r="BT185" s="173"/>
      <c r="BU185" s="177"/>
      <c r="BV185" s="178"/>
      <c r="BW185" s="179"/>
      <c r="BX185" s="180"/>
    </row>
    <row r="186" spans="2:76" ht="30.75" customHeight="1">
      <c r="C186" s="509"/>
      <c r="D186" s="443">
        <v>1</v>
      </c>
      <c r="E186" s="99" t="s">
        <v>47</v>
      </c>
      <c r="F186" s="56">
        <v>26</v>
      </c>
      <c r="G186" s="46">
        <f>F186*6600</f>
        <v>171600</v>
      </c>
      <c r="H186" s="45">
        <f>F186*($H$184/$F$184)</f>
        <v>36.510049046210703</v>
      </c>
      <c r="I186" s="46">
        <f t="shared" ref="I186:I194" si="482">H186*6600</f>
        <v>240966.32370499065</v>
      </c>
      <c r="J186" s="49">
        <v>0</v>
      </c>
      <c r="K186" s="39">
        <f t="shared" si="372"/>
        <v>0</v>
      </c>
      <c r="L186" s="39"/>
      <c r="M186" s="39"/>
      <c r="N186" s="42"/>
      <c r="O186" s="81">
        <f>$H$186*月別販売比率!C9</f>
        <v>2.5557034332347497</v>
      </c>
      <c r="P186" s="40">
        <f t="shared" ref="P186:P194" si="483">K186</f>
        <v>0</v>
      </c>
      <c r="Q186" s="39"/>
      <c r="R186" s="43">
        <f t="shared" si="108"/>
        <v>0</v>
      </c>
      <c r="S186" s="91">
        <f t="shared" si="358"/>
        <v>-2.5557034332347497</v>
      </c>
      <c r="T186" s="81">
        <f>$H$186*月別販売比率!H9</f>
        <v>2.9208039236968562</v>
      </c>
      <c r="U186" s="40">
        <f t="shared" si="110"/>
        <v>0</v>
      </c>
      <c r="V186" s="39"/>
      <c r="W186" s="40">
        <f t="shared" ref="W186:W194" si="484">K186+V186</f>
        <v>0</v>
      </c>
      <c r="X186" s="91">
        <f t="shared" si="359"/>
        <v>-2.9208039236968562</v>
      </c>
      <c r="Y186" s="81">
        <f>$H$186*月別販売比率!M9</f>
        <v>5.1114068664694994</v>
      </c>
      <c r="Z186" s="40">
        <f t="shared" si="113"/>
        <v>0</v>
      </c>
      <c r="AA186" s="39"/>
      <c r="AB186" s="129">
        <f t="shared" ref="AB186:AB194" si="485">K186+AA186</f>
        <v>0</v>
      </c>
      <c r="AC186" s="91">
        <f t="shared" si="360"/>
        <v>-5.1114068664694994</v>
      </c>
      <c r="AD186" s="81">
        <f>$H$186*月別販売比率!R9</f>
        <v>6.5718088283179261</v>
      </c>
      <c r="AE186" s="40">
        <f t="shared" si="116"/>
        <v>0</v>
      </c>
      <c r="AF186" s="39"/>
      <c r="AG186" s="43">
        <f t="shared" ref="AG186:AG194" si="486">K186+AF186</f>
        <v>0</v>
      </c>
      <c r="AH186" s="91">
        <f t="shared" si="361"/>
        <v>-6.5718088283179261</v>
      </c>
      <c r="AI186" s="81">
        <f>$H$186*月別販売比率!W9</f>
        <v>3.6510049046210704</v>
      </c>
      <c r="AJ186" s="40">
        <f t="shared" si="119"/>
        <v>0</v>
      </c>
      <c r="AK186" s="39"/>
      <c r="AL186" s="43">
        <f t="shared" ref="AL186:AL194" si="487">K186+AK186</f>
        <v>0</v>
      </c>
      <c r="AM186" s="91">
        <f t="shared" si="362"/>
        <v>-3.6510049046210704</v>
      </c>
      <c r="AN186" s="81">
        <f>$H$186*月別販売比率!AB9</f>
        <v>4.3812058855452838</v>
      </c>
      <c r="AO186" s="40">
        <f t="shared" si="122"/>
        <v>0</v>
      </c>
      <c r="AP186" s="39"/>
      <c r="AQ186" s="40">
        <f t="shared" ref="AQ186:AQ194" si="488">K186+AP186</f>
        <v>0</v>
      </c>
      <c r="AR186" s="91">
        <f t="shared" si="363"/>
        <v>-4.3812058855452838</v>
      </c>
      <c r="AS186" s="81">
        <f>$H$186*月別販売比率!AG9</f>
        <v>2.9208039236968562</v>
      </c>
      <c r="AT186" s="40">
        <f t="shared" si="125"/>
        <v>0</v>
      </c>
      <c r="AU186" s="39"/>
      <c r="AV186" s="40">
        <f t="shared" ref="AV186:AV194" si="489">K186+AU186</f>
        <v>0</v>
      </c>
      <c r="AW186" s="91">
        <f t="shared" si="364"/>
        <v>-2.9208039236968562</v>
      </c>
      <c r="AX186" s="81">
        <f>$H$186*月別販売比率!AL9</f>
        <v>1.8400095271023778</v>
      </c>
      <c r="AY186" s="40">
        <f t="shared" si="128"/>
        <v>0</v>
      </c>
      <c r="AZ186" s="39"/>
      <c r="BA186" s="43">
        <f t="shared" si="129"/>
        <v>0</v>
      </c>
      <c r="BB186" s="91">
        <f t="shared" si="365"/>
        <v>-1.8400095271023778</v>
      </c>
      <c r="BC186" s="81">
        <f>$H$186*月別販売比率!AQ9</f>
        <v>2.0501843064562264</v>
      </c>
      <c r="BD186" s="40">
        <f t="shared" si="131"/>
        <v>0</v>
      </c>
      <c r="BE186" s="39"/>
      <c r="BF186" s="43">
        <f t="shared" si="132"/>
        <v>0</v>
      </c>
      <c r="BG186" s="91">
        <f t="shared" si="366"/>
        <v>-2.0501843064562264</v>
      </c>
      <c r="BH186" s="81">
        <f>$H$186*月別販売比率!AV9</f>
        <v>1.4604019618484281</v>
      </c>
      <c r="BI186" s="40">
        <f t="shared" si="134"/>
        <v>0</v>
      </c>
      <c r="BJ186" s="39"/>
      <c r="BK186" s="43">
        <f t="shared" si="135"/>
        <v>0</v>
      </c>
      <c r="BL186" s="91">
        <f t="shared" si="367"/>
        <v>-1.4604019618484281</v>
      </c>
      <c r="BM186" s="81">
        <f>$H$186*月別販売比率!BA9</f>
        <v>1.0953014713863209</v>
      </c>
      <c r="BN186" s="40">
        <f t="shared" si="137"/>
        <v>0</v>
      </c>
      <c r="BO186" s="39"/>
      <c r="BP186" s="43">
        <f>K186+BO186</f>
        <v>0</v>
      </c>
      <c r="BQ186" s="91">
        <f t="shared" si="368"/>
        <v>-1.0953014713863209</v>
      </c>
      <c r="BR186" s="81">
        <f>$H$186*月別販売比率!BF9</f>
        <v>1.821955467964824</v>
      </c>
      <c r="BS186" s="40">
        <f t="shared" si="140"/>
        <v>0</v>
      </c>
      <c r="BT186" s="39"/>
      <c r="BU186" s="43">
        <f t="shared" si="141"/>
        <v>0</v>
      </c>
      <c r="BV186" s="91">
        <f t="shared" si="369"/>
        <v>-1.821955467964824</v>
      </c>
      <c r="BW186" s="157">
        <f t="shared" ref="BW186:BW194" si="490">AF186+AA186+V186+Q186+AK186+AP186+AU186+AZ186+BE186+BJ186+BO186+BT186+K186</f>
        <v>0</v>
      </c>
      <c r="BX186" s="51">
        <f t="shared" ref="BX186:BX194" si="491">BW186-H186</f>
        <v>-36.510049046210703</v>
      </c>
    </row>
    <row r="187" spans="2:76" ht="30.75" customHeight="1">
      <c r="C187" s="507"/>
      <c r="D187" s="441"/>
      <c r="E187" s="94" t="s">
        <v>51</v>
      </c>
      <c r="F187" s="57">
        <v>26</v>
      </c>
      <c r="G187" s="5">
        <f t="shared" ref="G187:G194" si="492">F187*6600</f>
        <v>171600</v>
      </c>
      <c r="H187" s="7">
        <f t="shared" ref="H187:H194" si="493">F187*($H$184/$F$184)</f>
        <v>36.510049046210703</v>
      </c>
      <c r="I187" s="5">
        <f t="shared" si="482"/>
        <v>240966.32370499065</v>
      </c>
      <c r="J187" s="9">
        <v>0</v>
      </c>
      <c r="K187" s="21">
        <f t="shared" si="372"/>
        <v>1</v>
      </c>
      <c r="L187" s="21"/>
      <c r="M187" s="21">
        <v>1</v>
      </c>
      <c r="N187" s="42"/>
      <c r="O187" s="81">
        <f>$H$187*月別販売比率!C9</f>
        <v>2.5557034332347497</v>
      </c>
      <c r="P187" s="10">
        <f t="shared" si="483"/>
        <v>1</v>
      </c>
      <c r="Q187" s="21"/>
      <c r="R187" s="19">
        <f t="shared" si="108"/>
        <v>1</v>
      </c>
      <c r="S187" s="24">
        <f t="shared" si="358"/>
        <v>-1.5557034332347497</v>
      </c>
      <c r="T187" s="81">
        <f>$H$187*月別販売比率!H9</f>
        <v>2.9208039236968562</v>
      </c>
      <c r="U187" s="10">
        <f t="shared" si="110"/>
        <v>1</v>
      </c>
      <c r="V187" s="21"/>
      <c r="W187" s="10">
        <f t="shared" si="484"/>
        <v>1</v>
      </c>
      <c r="X187" s="24">
        <f t="shared" si="359"/>
        <v>-1.9208039236968562</v>
      </c>
      <c r="Y187" s="81">
        <f>$H$187*月別販売比率!M9</f>
        <v>5.1114068664694994</v>
      </c>
      <c r="Z187" s="10">
        <f t="shared" si="113"/>
        <v>1</v>
      </c>
      <c r="AA187" s="21"/>
      <c r="AB187" s="124">
        <f t="shared" si="485"/>
        <v>1</v>
      </c>
      <c r="AC187" s="24">
        <f t="shared" si="360"/>
        <v>-4.1114068664694994</v>
      </c>
      <c r="AD187" s="81">
        <f>$H$187*月別販売比率!R9</f>
        <v>6.5718088283179261</v>
      </c>
      <c r="AE187" s="10">
        <f t="shared" si="116"/>
        <v>1</v>
      </c>
      <c r="AF187" s="21"/>
      <c r="AG187" s="19">
        <f t="shared" si="486"/>
        <v>1</v>
      </c>
      <c r="AH187" s="24">
        <f t="shared" si="361"/>
        <v>-5.5718088283179261</v>
      </c>
      <c r="AI187" s="81">
        <f>$H$187*月別販売比率!W9</f>
        <v>3.6510049046210704</v>
      </c>
      <c r="AJ187" s="10">
        <f t="shared" si="119"/>
        <v>1</v>
      </c>
      <c r="AK187" s="21"/>
      <c r="AL187" s="19">
        <f t="shared" si="487"/>
        <v>1</v>
      </c>
      <c r="AM187" s="24">
        <f t="shared" si="362"/>
        <v>-2.6510049046210704</v>
      </c>
      <c r="AN187" s="81">
        <f>$H$187*月別販売比率!AB9</f>
        <v>4.3812058855452838</v>
      </c>
      <c r="AO187" s="10">
        <f t="shared" si="122"/>
        <v>1</v>
      </c>
      <c r="AP187" s="21"/>
      <c r="AQ187" s="10">
        <f t="shared" si="488"/>
        <v>1</v>
      </c>
      <c r="AR187" s="24">
        <f t="shared" si="363"/>
        <v>-3.3812058855452838</v>
      </c>
      <c r="AS187" s="81">
        <f>$H$187*月別販売比率!AG9</f>
        <v>2.9208039236968562</v>
      </c>
      <c r="AT187" s="10">
        <f t="shared" si="125"/>
        <v>1</v>
      </c>
      <c r="AU187" s="21"/>
      <c r="AV187" s="10">
        <f t="shared" si="489"/>
        <v>1</v>
      </c>
      <c r="AW187" s="24">
        <f t="shared" si="364"/>
        <v>-1.9208039236968562</v>
      </c>
      <c r="AX187" s="81">
        <f>$H$187*月別販売比率!AL9</f>
        <v>1.8400095271023778</v>
      </c>
      <c r="AY187" s="10">
        <f t="shared" si="128"/>
        <v>1</v>
      </c>
      <c r="AZ187" s="21"/>
      <c r="BA187" s="19">
        <f t="shared" si="129"/>
        <v>1</v>
      </c>
      <c r="BB187" s="24">
        <f t="shared" si="365"/>
        <v>-0.84000952710237775</v>
      </c>
      <c r="BC187" s="81">
        <f>$H$187*月別販売比率!AQ9</f>
        <v>2.0501843064562264</v>
      </c>
      <c r="BD187" s="10">
        <f t="shared" si="131"/>
        <v>1</v>
      </c>
      <c r="BE187" s="21"/>
      <c r="BF187" s="19">
        <f t="shared" si="132"/>
        <v>1</v>
      </c>
      <c r="BG187" s="24">
        <f t="shared" si="366"/>
        <v>-1.0501843064562264</v>
      </c>
      <c r="BH187" s="81">
        <f>$H$187*月別販売比率!AV9</f>
        <v>1.4604019618484281</v>
      </c>
      <c r="BI187" s="10">
        <f t="shared" si="134"/>
        <v>1</v>
      </c>
      <c r="BJ187" s="21"/>
      <c r="BK187" s="19">
        <f t="shared" si="135"/>
        <v>1</v>
      </c>
      <c r="BL187" s="24">
        <f t="shared" si="367"/>
        <v>-0.46040196184842808</v>
      </c>
      <c r="BM187" s="81">
        <f>$H$187*月別販売比率!BA9</f>
        <v>1.0953014713863209</v>
      </c>
      <c r="BN187" s="10">
        <f t="shared" si="137"/>
        <v>1</v>
      </c>
      <c r="BO187" s="21"/>
      <c r="BP187" s="19">
        <f t="shared" ref="BP187:BP194" si="494">K187+BO187</f>
        <v>1</v>
      </c>
      <c r="BQ187" s="24">
        <f t="shared" si="368"/>
        <v>-9.5301471386320946E-2</v>
      </c>
      <c r="BR187" s="81">
        <f>$H$187*月別販売比率!BF9</f>
        <v>1.821955467964824</v>
      </c>
      <c r="BS187" s="10">
        <f t="shared" si="140"/>
        <v>1</v>
      </c>
      <c r="BT187" s="21"/>
      <c r="BU187" s="19">
        <f t="shared" si="141"/>
        <v>1</v>
      </c>
      <c r="BV187" s="24">
        <f t="shared" si="369"/>
        <v>-0.82195546796482399</v>
      </c>
      <c r="BW187" s="158">
        <f t="shared" si="490"/>
        <v>1</v>
      </c>
      <c r="BX187" s="29">
        <f t="shared" si="491"/>
        <v>-35.510049046210703</v>
      </c>
    </row>
    <row r="188" spans="2:76" ht="30.75" customHeight="1">
      <c r="C188" s="507"/>
      <c r="D188" s="441"/>
      <c r="E188" s="94" t="s">
        <v>49</v>
      </c>
      <c r="F188" s="57">
        <v>11</v>
      </c>
      <c r="G188" s="5">
        <f t="shared" si="492"/>
        <v>72600</v>
      </c>
      <c r="H188" s="7">
        <f t="shared" si="493"/>
        <v>15.446559211858373</v>
      </c>
      <c r="I188" s="5">
        <f t="shared" si="482"/>
        <v>101947.29079826527</v>
      </c>
      <c r="J188" s="9">
        <v>18</v>
      </c>
      <c r="K188" s="21">
        <f t="shared" si="372"/>
        <v>12</v>
      </c>
      <c r="L188" s="21">
        <v>10</v>
      </c>
      <c r="M188" s="21">
        <v>2</v>
      </c>
      <c r="N188" s="42"/>
      <c r="O188" s="81">
        <f>$H$188*月別販売比率!C9</f>
        <v>1.0812591448300863</v>
      </c>
      <c r="P188" s="10">
        <f t="shared" si="483"/>
        <v>12</v>
      </c>
      <c r="Q188" s="21"/>
      <c r="R188" s="19">
        <f t="shared" si="108"/>
        <v>12</v>
      </c>
      <c r="S188" s="24">
        <f t="shared" si="358"/>
        <v>10.918740855169913</v>
      </c>
      <c r="T188" s="81">
        <f>$H$188*月別販売比率!H9</f>
        <v>1.2357247369486699</v>
      </c>
      <c r="U188" s="10">
        <f t="shared" si="110"/>
        <v>12</v>
      </c>
      <c r="V188" s="21"/>
      <c r="W188" s="10">
        <f t="shared" si="484"/>
        <v>12</v>
      </c>
      <c r="X188" s="24">
        <f t="shared" si="359"/>
        <v>10.76427526305133</v>
      </c>
      <c r="Y188" s="81">
        <f>$H$188*月別販売比率!M9</f>
        <v>2.1625182896601727</v>
      </c>
      <c r="Z188" s="10">
        <f t="shared" si="113"/>
        <v>12</v>
      </c>
      <c r="AA188" s="21"/>
      <c r="AB188" s="124">
        <f t="shared" si="485"/>
        <v>12</v>
      </c>
      <c r="AC188" s="24">
        <f t="shared" si="360"/>
        <v>9.8374817103398264</v>
      </c>
      <c r="AD188" s="81">
        <f>$H$188*月別販売比率!R9</f>
        <v>2.780380658134507</v>
      </c>
      <c r="AE188" s="10">
        <f t="shared" si="116"/>
        <v>12</v>
      </c>
      <c r="AF188" s="21"/>
      <c r="AG188" s="19">
        <f t="shared" si="486"/>
        <v>12</v>
      </c>
      <c r="AH188" s="24">
        <f t="shared" si="361"/>
        <v>9.2196193418654921</v>
      </c>
      <c r="AI188" s="81">
        <f>$H$188*月別販売比率!W9</f>
        <v>1.5446559211858375</v>
      </c>
      <c r="AJ188" s="10">
        <f t="shared" si="119"/>
        <v>12</v>
      </c>
      <c r="AK188" s="21"/>
      <c r="AL188" s="19">
        <f t="shared" si="487"/>
        <v>12</v>
      </c>
      <c r="AM188" s="24">
        <f t="shared" si="362"/>
        <v>10.455344078814163</v>
      </c>
      <c r="AN188" s="81">
        <f>$H$188*月別販売比率!AB9</f>
        <v>1.8535871054230046</v>
      </c>
      <c r="AO188" s="10">
        <f t="shared" si="122"/>
        <v>12</v>
      </c>
      <c r="AP188" s="21"/>
      <c r="AQ188" s="10">
        <f t="shared" si="488"/>
        <v>12</v>
      </c>
      <c r="AR188" s="24">
        <f t="shared" si="363"/>
        <v>10.146412894576995</v>
      </c>
      <c r="AS188" s="81">
        <f>$H$188*月別販売比率!AG9</f>
        <v>1.2357247369486699</v>
      </c>
      <c r="AT188" s="10">
        <f t="shared" si="125"/>
        <v>12</v>
      </c>
      <c r="AU188" s="21"/>
      <c r="AV188" s="10">
        <f t="shared" si="489"/>
        <v>12</v>
      </c>
      <c r="AW188" s="24">
        <f t="shared" si="364"/>
        <v>10.76427526305133</v>
      </c>
      <c r="AX188" s="81">
        <f>$H$188*月別販売比率!AL9</f>
        <v>0.77846556915869825</v>
      </c>
      <c r="AY188" s="10">
        <f t="shared" si="128"/>
        <v>12</v>
      </c>
      <c r="AZ188" s="21"/>
      <c r="BA188" s="19">
        <f t="shared" si="129"/>
        <v>12</v>
      </c>
      <c r="BB188" s="24">
        <f t="shared" si="365"/>
        <v>11.221534430841302</v>
      </c>
      <c r="BC188" s="81">
        <f>$H$188*月別販売比率!AQ9</f>
        <v>0.86738566811609563</v>
      </c>
      <c r="BD188" s="10">
        <f t="shared" si="131"/>
        <v>12</v>
      </c>
      <c r="BE188" s="21"/>
      <c r="BF188" s="19">
        <f t="shared" si="132"/>
        <v>12</v>
      </c>
      <c r="BG188" s="24">
        <f t="shared" si="366"/>
        <v>11.132614331883904</v>
      </c>
      <c r="BH188" s="81">
        <f>$H$188*月別販売比率!AV9</f>
        <v>0.61786236847433496</v>
      </c>
      <c r="BI188" s="10">
        <f t="shared" si="134"/>
        <v>12</v>
      </c>
      <c r="BJ188" s="21"/>
      <c r="BK188" s="19">
        <f t="shared" si="135"/>
        <v>12</v>
      </c>
      <c r="BL188" s="24">
        <f t="shared" si="367"/>
        <v>11.382137631525666</v>
      </c>
      <c r="BM188" s="81">
        <f>$H$188*月別販売比率!BA9</f>
        <v>0.46339677635575116</v>
      </c>
      <c r="BN188" s="10">
        <f t="shared" si="137"/>
        <v>12</v>
      </c>
      <c r="BO188" s="21"/>
      <c r="BP188" s="19">
        <f t="shared" si="494"/>
        <v>12</v>
      </c>
      <c r="BQ188" s="24">
        <f t="shared" si="368"/>
        <v>11.536603223644249</v>
      </c>
      <c r="BR188" s="81">
        <f>$H$188*月別販売比率!BF9</f>
        <v>0.77082731336973309</v>
      </c>
      <c r="BS188" s="10">
        <f t="shared" si="140"/>
        <v>12</v>
      </c>
      <c r="BT188" s="21"/>
      <c r="BU188" s="19">
        <f t="shared" si="141"/>
        <v>12</v>
      </c>
      <c r="BV188" s="24">
        <f t="shared" si="369"/>
        <v>11.229172686630267</v>
      </c>
      <c r="BW188" s="158">
        <f t="shared" si="490"/>
        <v>12</v>
      </c>
      <c r="BX188" s="29">
        <f t="shared" si="491"/>
        <v>-3.4465592118583732</v>
      </c>
    </row>
    <row r="189" spans="2:76" ht="30.75" customHeight="1">
      <c r="C189" s="507"/>
      <c r="D189" s="441">
        <v>2</v>
      </c>
      <c r="E189" s="94" t="s">
        <v>47</v>
      </c>
      <c r="F189" s="57">
        <v>23</v>
      </c>
      <c r="G189" s="5">
        <f t="shared" si="492"/>
        <v>151800</v>
      </c>
      <c r="H189" s="7">
        <f t="shared" si="493"/>
        <v>32.297351079340238</v>
      </c>
      <c r="I189" s="5">
        <f t="shared" si="482"/>
        <v>213162.51712364558</v>
      </c>
      <c r="J189" s="9">
        <v>0</v>
      </c>
      <c r="K189" s="21">
        <f t="shared" si="372"/>
        <v>4</v>
      </c>
      <c r="L189" s="21">
        <v>4</v>
      </c>
      <c r="M189" s="21"/>
      <c r="N189" s="42"/>
      <c r="O189" s="81">
        <f>$H$189*月別販売比率!C9</f>
        <v>2.2608145755538169</v>
      </c>
      <c r="P189" s="10">
        <f t="shared" si="483"/>
        <v>4</v>
      </c>
      <c r="Q189" s="21"/>
      <c r="R189" s="19">
        <f t="shared" si="108"/>
        <v>4</v>
      </c>
      <c r="S189" s="24">
        <f t="shared" si="358"/>
        <v>1.7391854244461831</v>
      </c>
      <c r="T189" s="81">
        <f>$H$189*月別販売比率!H9</f>
        <v>2.5837880863472189</v>
      </c>
      <c r="U189" s="10">
        <f t="shared" si="110"/>
        <v>4</v>
      </c>
      <c r="V189" s="21"/>
      <c r="W189" s="10">
        <f t="shared" si="484"/>
        <v>4</v>
      </c>
      <c r="X189" s="24">
        <f t="shared" si="359"/>
        <v>1.4162119136527811</v>
      </c>
      <c r="Y189" s="81">
        <f>$H$189*月別販売比率!M9</f>
        <v>4.5216291511076339</v>
      </c>
      <c r="Z189" s="10">
        <f t="shared" si="113"/>
        <v>4</v>
      </c>
      <c r="AA189" s="21"/>
      <c r="AB189" s="124">
        <f t="shared" si="485"/>
        <v>4</v>
      </c>
      <c r="AC189" s="24">
        <f t="shared" si="360"/>
        <v>-0.52162915110763386</v>
      </c>
      <c r="AD189" s="81">
        <f>$H$189*月別販売比率!R9</f>
        <v>5.8135231942812426</v>
      </c>
      <c r="AE189" s="10">
        <f t="shared" si="116"/>
        <v>4</v>
      </c>
      <c r="AF189" s="21"/>
      <c r="AG189" s="19">
        <f t="shared" si="486"/>
        <v>4</v>
      </c>
      <c r="AH189" s="24">
        <f t="shared" si="361"/>
        <v>-1.8135231942812426</v>
      </c>
      <c r="AI189" s="81">
        <f>$H$189*月別販売比率!W9</f>
        <v>3.2297351079340242</v>
      </c>
      <c r="AJ189" s="10">
        <f t="shared" si="119"/>
        <v>4</v>
      </c>
      <c r="AK189" s="21"/>
      <c r="AL189" s="19">
        <f t="shared" si="487"/>
        <v>4</v>
      </c>
      <c r="AM189" s="24">
        <f t="shared" si="362"/>
        <v>0.77026489206597581</v>
      </c>
      <c r="AN189" s="81">
        <f>$H$189*月別販売比率!AB9</f>
        <v>3.8756821295208286</v>
      </c>
      <c r="AO189" s="10">
        <f t="shared" si="122"/>
        <v>4</v>
      </c>
      <c r="AP189" s="21"/>
      <c r="AQ189" s="10">
        <f t="shared" si="488"/>
        <v>4</v>
      </c>
      <c r="AR189" s="24">
        <f t="shared" si="363"/>
        <v>0.12431787047917142</v>
      </c>
      <c r="AS189" s="81">
        <f>$H$189*月別販売比率!AG9</f>
        <v>2.5837880863472189</v>
      </c>
      <c r="AT189" s="10">
        <f t="shared" si="125"/>
        <v>4</v>
      </c>
      <c r="AU189" s="21"/>
      <c r="AV189" s="10">
        <f t="shared" si="489"/>
        <v>4</v>
      </c>
      <c r="AW189" s="24">
        <f t="shared" si="364"/>
        <v>1.4162119136527811</v>
      </c>
      <c r="AX189" s="81">
        <f>$H$189*月別販売比率!AL9</f>
        <v>1.6277007355136419</v>
      </c>
      <c r="AY189" s="10">
        <f t="shared" si="128"/>
        <v>4</v>
      </c>
      <c r="AZ189" s="21"/>
      <c r="BA189" s="19">
        <f t="shared" si="129"/>
        <v>4</v>
      </c>
      <c r="BB189" s="24">
        <f t="shared" si="365"/>
        <v>2.3722992644863581</v>
      </c>
      <c r="BC189" s="81">
        <f>$H$189*月別販売比率!AQ9</f>
        <v>1.8136245787882002</v>
      </c>
      <c r="BD189" s="10">
        <f t="shared" si="131"/>
        <v>4</v>
      </c>
      <c r="BE189" s="21"/>
      <c r="BF189" s="19">
        <f t="shared" si="132"/>
        <v>4</v>
      </c>
      <c r="BG189" s="24">
        <f t="shared" si="366"/>
        <v>2.1863754212117996</v>
      </c>
      <c r="BH189" s="81">
        <f>$H$189*月別販売比率!AV9</f>
        <v>1.2918940431736095</v>
      </c>
      <c r="BI189" s="10">
        <f t="shared" si="134"/>
        <v>4</v>
      </c>
      <c r="BJ189" s="21"/>
      <c r="BK189" s="19">
        <f t="shared" si="135"/>
        <v>4</v>
      </c>
      <c r="BL189" s="24">
        <f t="shared" si="367"/>
        <v>2.7081059568263903</v>
      </c>
      <c r="BM189" s="81">
        <f>$H$189*月別販売比率!BA9</f>
        <v>0.96892053238020714</v>
      </c>
      <c r="BN189" s="10">
        <f t="shared" si="137"/>
        <v>4</v>
      </c>
      <c r="BO189" s="21"/>
      <c r="BP189" s="19">
        <f t="shared" si="494"/>
        <v>4</v>
      </c>
      <c r="BQ189" s="24">
        <f t="shared" si="368"/>
        <v>3.0310794676197927</v>
      </c>
      <c r="BR189" s="81">
        <f>$H$189*月別販売比率!BF9</f>
        <v>1.6117298370458057</v>
      </c>
      <c r="BS189" s="10">
        <f t="shared" si="140"/>
        <v>4</v>
      </c>
      <c r="BT189" s="21"/>
      <c r="BU189" s="19">
        <f t="shared" si="141"/>
        <v>4</v>
      </c>
      <c r="BV189" s="24">
        <f t="shared" si="369"/>
        <v>2.3882701629541945</v>
      </c>
      <c r="BW189" s="158">
        <f t="shared" si="490"/>
        <v>4</v>
      </c>
      <c r="BX189" s="29">
        <f t="shared" si="491"/>
        <v>-28.297351079340238</v>
      </c>
    </row>
    <row r="190" spans="2:76" ht="30.75" customHeight="1">
      <c r="C190" s="507"/>
      <c r="D190" s="441"/>
      <c r="E190" s="94" t="s">
        <v>51</v>
      </c>
      <c r="F190" s="57">
        <v>18</v>
      </c>
      <c r="G190" s="5">
        <f t="shared" si="492"/>
        <v>118800</v>
      </c>
      <c r="H190" s="7">
        <f t="shared" si="493"/>
        <v>25.276187801222793</v>
      </c>
      <c r="I190" s="5">
        <f t="shared" si="482"/>
        <v>166822.83948807043</v>
      </c>
      <c r="J190" s="9">
        <v>0</v>
      </c>
      <c r="K190" s="21">
        <f t="shared" si="372"/>
        <v>2</v>
      </c>
      <c r="L190" s="21">
        <v>2</v>
      </c>
      <c r="M190" s="21"/>
      <c r="N190" s="42"/>
      <c r="O190" s="81">
        <f>$H$190*月別販売比率!C9</f>
        <v>1.7693331460855957</v>
      </c>
      <c r="P190" s="10">
        <f t="shared" si="483"/>
        <v>2</v>
      </c>
      <c r="Q190" s="21"/>
      <c r="R190" s="19">
        <f t="shared" si="108"/>
        <v>2</v>
      </c>
      <c r="S190" s="24">
        <f t="shared" si="358"/>
        <v>0.23066685391440434</v>
      </c>
      <c r="T190" s="81">
        <f>$H$190*月別販売比率!H9</f>
        <v>2.0220950240978235</v>
      </c>
      <c r="U190" s="10">
        <f t="shared" si="110"/>
        <v>2</v>
      </c>
      <c r="V190" s="21"/>
      <c r="W190" s="10">
        <f t="shared" si="484"/>
        <v>2</v>
      </c>
      <c r="X190" s="24">
        <f t="shared" si="359"/>
        <v>-2.209502409782349E-2</v>
      </c>
      <c r="Y190" s="81">
        <f>$H$190*月別販売比率!M9</f>
        <v>3.5386662921711913</v>
      </c>
      <c r="Z190" s="10">
        <f t="shared" si="113"/>
        <v>2</v>
      </c>
      <c r="AA190" s="21"/>
      <c r="AB190" s="124">
        <f t="shared" si="485"/>
        <v>2</v>
      </c>
      <c r="AC190" s="24">
        <f t="shared" si="360"/>
        <v>-1.5386662921711913</v>
      </c>
      <c r="AD190" s="81">
        <f>$H$190*月別販売比率!R9</f>
        <v>4.5497138042201026</v>
      </c>
      <c r="AE190" s="10">
        <f t="shared" si="116"/>
        <v>2</v>
      </c>
      <c r="AF190" s="21"/>
      <c r="AG190" s="19">
        <f t="shared" si="486"/>
        <v>2</v>
      </c>
      <c r="AH190" s="24">
        <f t="shared" si="361"/>
        <v>-2.5497138042201026</v>
      </c>
      <c r="AI190" s="81">
        <f>$H$190*月別販売比率!W9</f>
        <v>2.5276187801222796</v>
      </c>
      <c r="AJ190" s="10">
        <f t="shared" si="119"/>
        <v>2</v>
      </c>
      <c r="AK190" s="21"/>
      <c r="AL190" s="19">
        <f t="shared" si="487"/>
        <v>2</v>
      </c>
      <c r="AM190" s="24">
        <f t="shared" si="362"/>
        <v>-0.52761878012227958</v>
      </c>
      <c r="AN190" s="81">
        <f>$H$190*月別販売比率!AB9</f>
        <v>3.0331425361467352</v>
      </c>
      <c r="AO190" s="10">
        <f t="shared" si="122"/>
        <v>2</v>
      </c>
      <c r="AP190" s="21"/>
      <c r="AQ190" s="10">
        <f t="shared" si="488"/>
        <v>2</v>
      </c>
      <c r="AR190" s="24">
        <f t="shared" si="363"/>
        <v>-1.0331425361467352</v>
      </c>
      <c r="AS190" s="81">
        <f>$H$190*月別販売比率!AG9</f>
        <v>2.0220950240978235</v>
      </c>
      <c r="AT190" s="10">
        <f t="shared" si="125"/>
        <v>2</v>
      </c>
      <c r="AU190" s="21"/>
      <c r="AV190" s="10">
        <f t="shared" si="489"/>
        <v>2</v>
      </c>
      <c r="AW190" s="24">
        <f t="shared" si="364"/>
        <v>-2.209502409782349E-2</v>
      </c>
      <c r="AX190" s="81">
        <f>$H$190*月別販売比率!AL9</f>
        <v>1.2738527495324152</v>
      </c>
      <c r="AY190" s="10">
        <f t="shared" si="128"/>
        <v>2</v>
      </c>
      <c r="AZ190" s="21"/>
      <c r="BA190" s="19">
        <f t="shared" si="129"/>
        <v>2</v>
      </c>
      <c r="BB190" s="24">
        <f t="shared" si="365"/>
        <v>0.72614725046758477</v>
      </c>
      <c r="BC190" s="81">
        <f>$H$190*月別販売比率!AQ9</f>
        <v>1.4193583660081566</v>
      </c>
      <c r="BD190" s="10">
        <f t="shared" si="131"/>
        <v>2</v>
      </c>
      <c r="BE190" s="21"/>
      <c r="BF190" s="19">
        <f t="shared" si="132"/>
        <v>2</v>
      </c>
      <c r="BG190" s="24">
        <f t="shared" si="366"/>
        <v>0.58064163399184343</v>
      </c>
      <c r="BH190" s="81">
        <f>$H$190*月別販売比率!AV9</f>
        <v>1.0110475120489117</v>
      </c>
      <c r="BI190" s="10">
        <f t="shared" si="134"/>
        <v>2</v>
      </c>
      <c r="BJ190" s="21"/>
      <c r="BK190" s="19">
        <f t="shared" si="135"/>
        <v>2</v>
      </c>
      <c r="BL190" s="24">
        <f t="shared" si="367"/>
        <v>0.98895248795108825</v>
      </c>
      <c r="BM190" s="81">
        <f>$H$190*月別販売比率!BA9</f>
        <v>0.75828563403668381</v>
      </c>
      <c r="BN190" s="10">
        <f t="shared" si="137"/>
        <v>2</v>
      </c>
      <c r="BO190" s="21"/>
      <c r="BP190" s="19">
        <f t="shared" si="494"/>
        <v>2</v>
      </c>
      <c r="BQ190" s="24">
        <f t="shared" si="368"/>
        <v>1.2417143659633161</v>
      </c>
      <c r="BR190" s="81">
        <f>$H$190*月別販売比率!BF9</f>
        <v>1.2613537855141088</v>
      </c>
      <c r="BS190" s="10">
        <f t="shared" si="140"/>
        <v>2</v>
      </c>
      <c r="BT190" s="21"/>
      <c r="BU190" s="19">
        <f t="shared" si="141"/>
        <v>2</v>
      </c>
      <c r="BV190" s="24">
        <f t="shared" si="369"/>
        <v>0.73864621448589118</v>
      </c>
      <c r="BW190" s="158">
        <f t="shared" si="490"/>
        <v>2</v>
      </c>
      <c r="BX190" s="29">
        <f t="shared" si="491"/>
        <v>-23.276187801222793</v>
      </c>
    </row>
    <row r="191" spans="2:76" ht="30.75" customHeight="1">
      <c r="C191" s="507"/>
      <c r="D191" s="441"/>
      <c r="E191" s="94" t="s">
        <v>49</v>
      </c>
      <c r="F191" s="57">
        <v>27</v>
      </c>
      <c r="G191" s="5">
        <f t="shared" si="492"/>
        <v>178200</v>
      </c>
      <c r="H191" s="7">
        <f t="shared" si="493"/>
        <v>37.914281701834192</v>
      </c>
      <c r="I191" s="5">
        <f t="shared" si="482"/>
        <v>250234.25923210566</v>
      </c>
      <c r="J191" s="9">
        <v>0</v>
      </c>
      <c r="K191" s="21">
        <f t="shared" si="372"/>
        <v>4</v>
      </c>
      <c r="L191" s="21">
        <v>4</v>
      </c>
      <c r="M191" s="21"/>
      <c r="N191" s="42"/>
      <c r="O191" s="81">
        <f>$H$191*月別販売比率!C9</f>
        <v>2.6539997191283935</v>
      </c>
      <c r="P191" s="10">
        <f t="shared" si="483"/>
        <v>4</v>
      </c>
      <c r="Q191" s="21"/>
      <c r="R191" s="19">
        <f t="shared" si="108"/>
        <v>4</v>
      </c>
      <c r="S191" s="24">
        <f t="shared" si="358"/>
        <v>1.3460002808716065</v>
      </c>
      <c r="T191" s="81">
        <f>$H$191*月別販売比率!H9</f>
        <v>3.0331425361467352</v>
      </c>
      <c r="U191" s="10">
        <f t="shared" si="110"/>
        <v>4</v>
      </c>
      <c r="V191" s="21"/>
      <c r="W191" s="10">
        <f t="shared" si="484"/>
        <v>4</v>
      </c>
      <c r="X191" s="24">
        <f t="shared" si="359"/>
        <v>0.96685746385326476</v>
      </c>
      <c r="Y191" s="81">
        <f>$H$191*月別販売比率!M9</f>
        <v>5.307999438256787</v>
      </c>
      <c r="Z191" s="10">
        <f t="shared" si="113"/>
        <v>4</v>
      </c>
      <c r="AA191" s="21"/>
      <c r="AB191" s="124">
        <f t="shared" si="485"/>
        <v>4</v>
      </c>
      <c r="AC191" s="24">
        <f t="shared" si="360"/>
        <v>-1.307999438256787</v>
      </c>
      <c r="AD191" s="81">
        <f>$H$191*月別販売比率!R9</f>
        <v>6.8245707063301539</v>
      </c>
      <c r="AE191" s="10">
        <f t="shared" si="116"/>
        <v>4</v>
      </c>
      <c r="AF191" s="21"/>
      <c r="AG191" s="19">
        <f t="shared" si="486"/>
        <v>4</v>
      </c>
      <c r="AH191" s="24">
        <f t="shared" si="361"/>
        <v>-2.8245707063301539</v>
      </c>
      <c r="AI191" s="81">
        <f>$H$191*月別販売比率!W9</f>
        <v>3.7914281701834192</v>
      </c>
      <c r="AJ191" s="10">
        <f t="shared" si="119"/>
        <v>4</v>
      </c>
      <c r="AK191" s="21"/>
      <c r="AL191" s="19">
        <f t="shared" si="487"/>
        <v>4</v>
      </c>
      <c r="AM191" s="24">
        <f t="shared" si="362"/>
        <v>0.20857182981658084</v>
      </c>
      <c r="AN191" s="81">
        <f>$H$191*月別販売比率!AB9</f>
        <v>4.5497138042201026</v>
      </c>
      <c r="AO191" s="10">
        <f t="shared" si="122"/>
        <v>4</v>
      </c>
      <c r="AP191" s="21"/>
      <c r="AQ191" s="10">
        <f t="shared" si="488"/>
        <v>4</v>
      </c>
      <c r="AR191" s="24">
        <f t="shared" si="363"/>
        <v>-0.54971380422010263</v>
      </c>
      <c r="AS191" s="81">
        <f>$H$191*月別販売比率!AG9</f>
        <v>3.0331425361467352</v>
      </c>
      <c r="AT191" s="10">
        <f t="shared" si="125"/>
        <v>4</v>
      </c>
      <c r="AU191" s="21"/>
      <c r="AV191" s="10">
        <f t="shared" si="489"/>
        <v>4</v>
      </c>
      <c r="AW191" s="24">
        <f t="shared" si="364"/>
        <v>0.96685746385326476</v>
      </c>
      <c r="AX191" s="81">
        <f>$H$191*月別販売比率!AL9</f>
        <v>1.9107791242986232</v>
      </c>
      <c r="AY191" s="10">
        <f t="shared" si="128"/>
        <v>4</v>
      </c>
      <c r="AZ191" s="21"/>
      <c r="BA191" s="19">
        <f t="shared" si="129"/>
        <v>4</v>
      </c>
      <c r="BB191" s="24">
        <f t="shared" si="365"/>
        <v>2.0892208757013768</v>
      </c>
      <c r="BC191" s="81">
        <f>$H$191*月別販売比率!AQ9</f>
        <v>2.1290375490122351</v>
      </c>
      <c r="BD191" s="10">
        <f t="shared" si="131"/>
        <v>4</v>
      </c>
      <c r="BE191" s="21"/>
      <c r="BF191" s="19">
        <f t="shared" si="132"/>
        <v>4</v>
      </c>
      <c r="BG191" s="24">
        <f t="shared" si="366"/>
        <v>1.8709624509877649</v>
      </c>
      <c r="BH191" s="81">
        <f>$H$191*月別販売比率!AV9</f>
        <v>1.5165712680733676</v>
      </c>
      <c r="BI191" s="10">
        <f t="shared" si="134"/>
        <v>4</v>
      </c>
      <c r="BJ191" s="21"/>
      <c r="BK191" s="19">
        <f t="shared" si="135"/>
        <v>4</v>
      </c>
      <c r="BL191" s="24">
        <f t="shared" si="367"/>
        <v>2.4834287319266322</v>
      </c>
      <c r="BM191" s="81">
        <f>$H$191*月別販売比率!BA9</f>
        <v>1.1374284510550257</v>
      </c>
      <c r="BN191" s="10">
        <f t="shared" si="137"/>
        <v>4</v>
      </c>
      <c r="BO191" s="21"/>
      <c r="BP191" s="19">
        <f t="shared" si="494"/>
        <v>4</v>
      </c>
      <c r="BQ191" s="24">
        <f t="shared" si="368"/>
        <v>2.8625715489449743</v>
      </c>
      <c r="BR191" s="81">
        <f>$H$191*月別販売比率!BF9</f>
        <v>1.8920306782711633</v>
      </c>
      <c r="BS191" s="10">
        <f t="shared" si="140"/>
        <v>4</v>
      </c>
      <c r="BT191" s="21"/>
      <c r="BU191" s="19">
        <f t="shared" si="141"/>
        <v>4</v>
      </c>
      <c r="BV191" s="24">
        <f t="shared" si="369"/>
        <v>2.1079693217288367</v>
      </c>
      <c r="BW191" s="158">
        <f t="shared" si="490"/>
        <v>4</v>
      </c>
      <c r="BX191" s="29">
        <f t="shared" si="491"/>
        <v>-33.914281701834192</v>
      </c>
    </row>
    <row r="192" spans="2:76" ht="30.75" customHeight="1">
      <c r="C192" s="507"/>
      <c r="D192" s="441">
        <v>3</v>
      </c>
      <c r="E192" s="94" t="s">
        <v>47</v>
      </c>
      <c r="F192" s="57">
        <v>30</v>
      </c>
      <c r="G192" s="5">
        <f t="shared" si="492"/>
        <v>198000</v>
      </c>
      <c r="H192" s="7">
        <f t="shared" si="493"/>
        <v>42.126979668704656</v>
      </c>
      <c r="I192" s="5">
        <f t="shared" si="482"/>
        <v>278038.06581345072</v>
      </c>
      <c r="J192" s="9">
        <v>0</v>
      </c>
      <c r="K192" s="21">
        <f t="shared" si="372"/>
        <v>5</v>
      </c>
      <c r="L192" s="21">
        <v>4</v>
      </c>
      <c r="M192" s="21">
        <v>1</v>
      </c>
      <c r="N192" s="42"/>
      <c r="O192" s="81">
        <f>$H$192*月別販売比率!C9</f>
        <v>2.9488885768093263</v>
      </c>
      <c r="P192" s="10">
        <f t="shared" si="483"/>
        <v>5</v>
      </c>
      <c r="Q192" s="21"/>
      <c r="R192" s="19">
        <f t="shared" si="108"/>
        <v>5</v>
      </c>
      <c r="S192" s="24">
        <f t="shared" si="358"/>
        <v>2.0511114231906737</v>
      </c>
      <c r="T192" s="81">
        <f>$H$192*月別販売比率!H9</f>
        <v>3.3701583734963725</v>
      </c>
      <c r="U192" s="10">
        <f t="shared" si="110"/>
        <v>5</v>
      </c>
      <c r="V192" s="21"/>
      <c r="W192" s="10">
        <f t="shared" si="484"/>
        <v>5</v>
      </c>
      <c r="X192" s="24">
        <f t="shared" si="359"/>
        <v>1.6298416265036275</v>
      </c>
      <c r="Y192" s="81">
        <f>$H$192*月別販売比率!M9</f>
        <v>5.8977771536186525</v>
      </c>
      <c r="Z192" s="10">
        <f t="shared" si="113"/>
        <v>5</v>
      </c>
      <c r="AA192" s="21"/>
      <c r="AB192" s="124">
        <f t="shared" si="485"/>
        <v>5</v>
      </c>
      <c r="AC192" s="24">
        <f t="shared" si="360"/>
        <v>-0.89777715361865251</v>
      </c>
      <c r="AD192" s="81">
        <f>$H$192*月別販売比率!R9</f>
        <v>7.5828563403668383</v>
      </c>
      <c r="AE192" s="10">
        <f t="shared" si="116"/>
        <v>5</v>
      </c>
      <c r="AF192" s="21"/>
      <c r="AG192" s="19">
        <f t="shared" si="486"/>
        <v>5</v>
      </c>
      <c r="AH192" s="24">
        <f t="shared" si="361"/>
        <v>-2.5828563403668383</v>
      </c>
      <c r="AI192" s="81">
        <f>$H$192*月別販売比率!W9</f>
        <v>4.2126979668704658</v>
      </c>
      <c r="AJ192" s="10">
        <f t="shared" si="119"/>
        <v>5</v>
      </c>
      <c r="AK192" s="21"/>
      <c r="AL192" s="19">
        <f t="shared" si="487"/>
        <v>5</v>
      </c>
      <c r="AM192" s="24">
        <f t="shared" si="362"/>
        <v>0.78730203312953417</v>
      </c>
      <c r="AN192" s="81">
        <f>$H$192*月別販売比率!AB9</f>
        <v>5.0552375602445583</v>
      </c>
      <c r="AO192" s="10">
        <f t="shared" si="122"/>
        <v>5</v>
      </c>
      <c r="AP192" s="21"/>
      <c r="AQ192" s="10">
        <f t="shared" si="488"/>
        <v>5</v>
      </c>
      <c r="AR192" s="24">
        <f t="shared" si="363"/>
        <v>-5.5237560244558281E-2</v>
      </c>
      <c r="AS192" s="81">
        <f>$H$192*月別販売比率!AG9</f>
        <v>3.3701583734963725</v>
      </c>
      <c r="AT192" s="10">
        <f t="shared" si="125"/>
        <v>5</v>
      </c>
      <c r="AU192" s="21"/>
      <c r="AV192" s="10">
        <f t="shared" si="489"/>
        <v>5</v>
      </c>
      <c r="AW192" s="24">
        <f t="shared" si="364"/>
        <v>1.6298416265036275</v>
      </c>
      <c r="AX192" s="81">
        <f>$H$192*月別販売比率!AL9</f>
        <v>2.1230879158873588</v>
      </c>
      <c r="AY192" s="10">
        <f t="shared" si="128"/>
        <v>5</v>
      </c>
      <c r="AZ192" s="21"/>
      <c r="BA192" s="19">
        <f t="shared" si="129"/>
        <v>5</v>
      </c>
      <c r="BB192" s="24">
        <f t="shared" si="365"/>
        <v>2.8769120841126412</v>
      </c>
      <c r="BC192" s="81">
        <f>$H$192*月別販売比率!AQ9</f>
        <v>2.3655972766802611</v>
      </c>
      <c r="BD192" s="10">
        <f t="shared" si="131"/>
        <v>5</v>
      </c>
      <c r="BE192" s="21"/>
      <c r="BF192" s="19">
        <f t="shared" si="132"/>
        <v>5</v>
      </c>
      <c r="BG192" s="24">
        <f t="shared" si="366"/>
        <v>2.6344027233197389</v>
      </c>
      <c r="BH192" s="81">
        <f>$H$192*月別販売比率!AV9</f>
        <v>1.6850791867481862</v>
      </c>
      <c r="BI192" s="10">
        <f t="shared" si="134"/>
        <v>5</v>
      </c>
      <c r="BJ192" s="21"/>
      <c r="BK192" s="19">
        <f t="shared" si="135"/>
        <v>5</v>
      </c>
      <c r="BL192" s="24">
        <f t="shared" si="367"/>
        <v>3.3149208132518138</v>
      </c>
      <c r="BM192" s="81">
        <f>$H$192*月別販売比率!BA9</f>
        <v>1.2638093900611396</v>
      </c>
      <c r="BN192" s="10">
        <f t="shared" si="137"/>
        <v>5</v>
      </c>
      <c r="BO192" s="21"/>
      <c r="BP192" s="19">
        <f t="shared" si="494"/>
        <v>5</v>
      </c>
      <c r="BQ192" s="24">
        <f t="shared" si="368"/>
        <v>3.7361906099388604</v>
      </c>
      <c r="BR192" s="81">
        <f>$H$192*月別販売比率!BF9</f>
        <v>2.1022563091901816</v>
      </c>
      <c r="BS192" s="10">
        <f t="shared" si="140"/>
        <v>5</v>
      </c>
      <c r="BT192" s="21"/>
      <c r="BU192" s="19">
        <f t="shared" si="141"/>
        <v>5</v>
      </c>
      <c r="BV192" s="24">
        <f t="shared" si="369"/>
        <v>2.8977436908098184</v>
      </c>
      <c r="BW192" s="158">
        <f t="shared" si="490"/>
        <v>5</v>
      </c>
      <c r="BX192" s="29">
        <f t="shared" si="491"/>
        <v>-37.126979668704656</v>
      </c>
    </row>
    <row r="193" spans="2:76" ht="30.75" customHeight="1">
      <c r="C193" s="507"/>
      <c r="D193" s="441"/>
      <c r="E193" s="94" t="s">
        <v>51</v>
      </c>
      <c r="F193" s="57">
        <v>21</v>
      </c>
      <c r="G193" s="5">
        <f t="shared" si="492"/>
        <v>138600</v>
      </c>
      <c r="H193" s="7">
        <f t="shared" si="493"/>
        <v>29.488885768093258</v>
      </c>
      <c r="I193" s="5">
        <f t="shared" si="482"/>
        <v>194626.6460694155</v>
      </c>
      <c r="J193" s="9">
        <v>16</v>
      </c>
      <c r="K193" s="21">
        <f t="shared" si="372"/>
        <v>10</v>
      </c>
      <c r="L193" s="21">
        <v>9</v>
      </c>
      <c r="M193" s="21">
        <v>1</v>
      </c>
      <c r="N193" s="42"/>
      <c r="O193" s="81">
        <f>$H$193*月別販売比率!C9</f>
        <v>2.0642220037665284</v>
      </c>
      <c r="P193" s="10">
        <f t="shared" si="483"/>
        <v>10</v>
      </c>
      <c r="Q193" s="21"/>
      <c r="R193" s="19">
        <f t="shared" si="108"/>
        <v>10</v>
      </c>
      <c r="S193" s="24">
        <f t="shared" si="358"/>
        <v>7.9357779962334716</v>
      </c>
      <c r="T193" s="81">
        <f>$H$193*月別販売比率!H9</f>
        <v>2.3591108614474607</v>
      </c>
      <c r="U193" s="10">
        <f t="shared" si="110"/>
        <v>10</v>
      </c>
      <c r="V193" s="21"/>
      <c r="W193" s="10">
        <f t="shared" si="484"/>
        <v>10</v>
      </c>
      <c r="X193" s="24">
        <f t="shared" si="359"/>
        <v>7.6408891385525397</v>
      </c>
      <c r="Y193" s="81">
        <f>$H$193*月別販売比率!M9</f>
        <v>4.1284440075330568</v>
      </c>
      <c r="Z193" s="10">
        <f t="shared" si="113"/>
        <v>10</v>
      </c>
      <c r="AA193" s="21"/>
      <c r="AB193" s="124">
        <f t="shared" si="485"/>
        <v>10</v>
      </c>
      <c r="AC193" s="24">
        <f t="shared" si="360"/>
        <v>5.8715559924669432</v>
      </c>
      <c r="AD193" s="81">
        <f>$H$193*月別販売比率!R9</f>
        <v>5.3079994382567861</v>
      </c>
      <c r="AE193" s="10">
        <f t="shared" si="116"/>
        <v>10</v>
      </c>
      <c r="AF193" s="21"/>
      <c r="AG193" s="19">
        <f t="shared" si="486"/>
        <v>10</v>
      </c>
      <c r="AH193" s="24">
        <f t="shared" si="361"/>
        <v>4.6920005617432139</v>
      </c>
      <c r="AI193" s="81">
        <f>$H$193*月別販売比率!W9</f>
        <v>2.9488885768093258</v>
      </c>
      <c r="AJ193" s="10">
        <f t="shared" si="119"/>
        <v>10</v>
      </c>
      <c r="AK193" s="21"/>
      <c r="AL193" s="19">
        <f t="shared" si="487"/>
        <v>10</v>
      </c>
      <c r="AM193" s="24">
        <f t="shared" si="362"/>
        <v>7.0511114231906742</v>
      </c>
      <c r="AN193" s="81">
        <f>$H$193*月別販売比率!AB9</f>
        <v>3.5386662921711909</v>
      </c>
      <c r="AO193" s="10">
        <f t="shared" si="122"/>
        <v>10</v>
      </c>
      <c r="AP193" s="21"/>
      <c r="AQ193" s="10">
        <f t="shared" si="488"/>
        <v>10</v>
      </c>
      <c r="AR193" s="24">
        <f t="shared" si="363"/>
        <v>6.4613337078288087</v>
      </c>
      <c r="AS193" s="81">
        <f>$H$193*月別販売比率!AG9</f>
        <v>2.3591108614474607</v>
      </c>
      <c r="AT193" s="10">
        <f t="shared" si="125"/>
        <v>10</v>
      </c>
      <c r="AU193" s="21"/>
      <c r="AV193" s="10">
        <f t="shared" si="489"/>
        <v>10</v>
      </c>
      <c r="AW193" s="24">
        <f t="shared" si="364"/>
        <v>7.6408891385525397</v>
      </c>
      <c r="AX193" s="81">
        <f>$H$193*月別販売比率!AL9</f>
        <v>1.4861615411211513</v>
      </c>
      <c r="AY193" s="10">
        <f t="shared" si="128"/>
        <v>10</v>
      </c>
      <c r="AZ193" s="21"/>
      <c r="BA193" s="19">
        <f t="shared" si="129"/>
        <v>10</v>
      </c>
      <c r="BB193" s="24">
        <f t="shared" si="365"/>
        <v>8.5138384588788494</v>
      </c>
      <c r="BC193" s="81">
        <f>$H$193*月別販売比率!AQ9</f>
        <v>1.6559180936761826</v>
      </c>
      <c r="BD193" s="10">
        <f t="shared" si="131"/>
        <v>10</v>
      </c>
      <c r="BE193" s="21"/>
      <c r="BF193" s="19">
        <f t="shared" si="132"/>
        <v>10</v>
      </c>
      <c r="BG193" s="24">
        <f t="shared" si="366"/>
        <v>8.344081906323817</v>
      </c>
      <c r="BH193" s="81">
        <f>$H$193*月別販売比率!AV9</f>
        <v>1.1795554307237304</v>
      </c>
      <c r="BI193" s="10">
        <f t="shared" si="134"/>
        <v>10</v>
      </c>
      <c r="BJ193" s="21"/>
      <c r="BK193" s="19">
        <f t="shared" si="135"/>
        <v>10</v>
      </c>
      <c r="BL193" s="24">
        <f t="shared" si="367"/>
        <v>8.820444569276269</v>
      </c>
      <c r="BM193" s="81">
        <f>$H$193*月別販売比率!BA9</f>
        <v>0.88466657304279772</v>
      </c>
      <c r="BN193" s="10">
        <f t="shared" si="137"/>
        <v>10</v>
      </c>
      <c r="BO193" s="21"/>
      <c r="BP193" s="19">
        <f t="shared" si="494"/>
        <v>10</v>
      </c>
      <c r="BQ193" s="24">
        <f t="shared" si="368"/>
        <v>9.1153334269572017</v>
      </c>
      <c r="BR193" s="81">
        <f>$H$193*月別販売比率!BF9</f>
        <v>1.4715794164331268</v>
      </c>
      <c r="BS193" s="10">
        <f t="shared" si="140"/>
        <v>10</v>
      </c>
      <c r="BT193" s="21"/>
      <c r="BU193" s="19">
        <f t="shared" si="141"/>
        <v>10</v>
      </c>
      <c r="BV193" s="24">
        <f t="shared" si="369"/>
        <v>8.5284205835668736</v>
      </c>
      <c r="BW193" s="158">
        <f t="shared" si="490"/>
        <v>10</v>
      </c>
      <c r="BX193" s="29">
        <f t="shared" si="491"/>
        <v>-19.488885768093258</v>
      </c>
    </row>
    <row r="194" spans="2:76" ht="30.75" customHeight="1">
      <c r="C194" s="508"/>
      <c r="D194" s="444"/>
      <c r="E194" s="101" t="s">
        <v>49</v>
      </c>
      <c r="F194" s="58">
        <v>16</v>
      </c>
      <c r="G194" s="35">
        <f t="shared" si="492"/>
        <v>105600</v>
      </c>
      <c r="H194" s="181">
        <f t="shared" si="493"/>
        <v>22.467722489975817</v>
      </c>
      <c r="I194" s="35">
        <f t="shared" si="482"/>
        <v>148286.96843384037</v>
      </c>
      <c r="J194" s="113">
        <v>30</v>
      </c>
      <c r="K194" s="103">
        <f t="shared" si="372"/>
        <v>13</v>
      </c>
      <c r="L194" s="104">
        <v>10</v>
      </c>
      <c r="M194" s="104">
        <v>3</v>
      </c>
      <c r="N194" s="117"/>
      <c r="O194" s="81">
        <f>$H$194*月別販売比率!C9</f>
        <v>1.5727405742983074</v>
      </c>
      <c r="P194" s="106">
        <f t="shared" si="483"/>
        <v>13</v>
      </c>
      <c r="Q194" s="107"/>
      <c r="R194" s="2">
        <f t="shared" si="108"/>
        <v>13</v>
      </c>
      <c r="S194" s="195">
        <f t="shared" si="358"/>
        <v>11.427259425701692</v>
      </c>
      <c r="T194" s="81">
        <f>$H$194*月別販売比率!H9</f>
        <v>1.7974177991980653</v>
      </c>
      <c r="U194" s="106">
        <f t="shared" si="110"/>
        <v>13</v>
      </c>
      <c r="V194" s="107"/>
      <c r="W194" s="106">
        <f t="shared" si="484"/>
        <v>13</v>
      </c>
      <c r="X194" s="195">
        <f t="shared" si="359"/>
        <v>11.202582200801935</v>
      </c>
      <c r="Y194" s="81">
        <f>$H$194*月別販売比率!M9</f>
        <v>3.1454811485966148</v>
      </c>
      <c r="Z194" s="106">
        <f t="shared" si="113"/>
        <v>13</v>
      </c>
      <c r="AA194" s="107"/>
      <c r="AB194" s="199">
        <f t="shared" si="485"/>
        <v>13</v>
      </c>
      <c r="AC194" s="195">
        <f t="shared" si="360"/>
        <v>9.8545188514033857</v>
      </c>
      <c r="AD194" s="81">
        <f>$H$194*月別販売比率!R9</f>
        <v>4.044190048195647</v>
      </c>
      <c r="AE194" s="106">
        <f t="shared" si="116"/>
        <v>13</v>
      </c>
      <c r="AF194" s="107"/>
      <c r="AG194" s="80">
        <f t="shared" si="486"/>
        <v>13</v>
      </c>
      <c r="AH194" s="195">
        <f t="shared" si="361"/>
        <v>8.955809951804353</v>
      </c>
      <c r="AI194" s="81">
        <f>$H$194*月別販売比率!W9</f>
        <v>2.2467722489975817</v>
      </c>
      <c r="AJ194" s="106">
        <f t="shared" si="119"/>
        <v>13</v>
      </c>
      <c r="AK194" s="79"/>
      <c r="AL194" s="78">
        <f t="shared" si="487"/>
        <v>13</v>
      </c>
      <c r="AM194" s="195">
        <f t="shared" si="362"/>
        <v>10.753227751002418</v>
      </c>
      <c r="AN194" s="81">
        <f>$H$194*月別販売比率!AB9</f>
        <v>2.696126698797098</v>
      </c>
      <c r="AO194" s="80">
        <f t="shared" si="122"/>
        <v>13</v>
      </c>
      <c r="AP194" s="79"/>
      <c r="AQ194" s="106">
        <f t="shared" si="488"/>
        <v>13</v>
      </c>
      <c r="AR194" s="195">
        <f t="shared" si="363"/>
        <v>10.303873301202902</v>
      </c>
      <c r="AS194" s="81">
        <f>$H$194*月別販売比率!AG9</f>
        <v>1.7974177991980653</v>
      </c>
      <c r="AT194" s="106">
        <f t="shared" si="125"/>
        <v>13</v>
      </c>
      <c r="AU194" s="107"/>
      <c r="AV194" s="106">
        <f t="shared" si="489"/>
        <v>13</v>
      </c>
      <c r="AW194" s="195">
        <f t="shared" si="364"/>
        <v>11.202582200801935</v>
      </c>
      <c r="AX194" s="81">
        <f>$H$194*月別販売比率!AL9</f>
        <v>1.1323135551399248</v>
      </c>
      <c r="AY194" s="106">
        <f t="shared" si="128"/>
        <v>13</v>
      </c>
      <c r="AZ194" s="107"/>
      <c r="BA194" s="2">
        <f t="shared" si="129"/>
        <v>13</v>
      </c>
      <c r="BB194" s="195">
        <f t="shared" si="365"/>
        <v>11.867686444860075</v>
      </c>
      <c r="BC194" s="81">
        <f>$H$194*月別販売比率!AQ9</f>
        <v>1.2616518808961392</v>
      </c>
      <c r="BD194" s="106">
        <f t="shared" si="131"/>
        <v>13</v>
      </c>
      <c r="BE194" s="107"/>
      <c r="BF194" s="2">
        <f t="shared" si="132"/>
        <v>13</v>
      </c>
      <c r="BG194" s="195">
        <f t="shared" si="366"/>
        <v>11.738348119103861</v>
      </c>
      <c r="BH194" s="81">
        <f>$H$194*月別販売比率!AV9</f>
        <v>0.89870889959903266</v>
      </c>
      <c r="BI194" s="106">
        <f t="shared" si="134"/>
        <v>13</v>
      </c>
      <c r="BJ194" s="107"/>
      <c r="BK194" s="2">
        <f t="shared" si="135"/>
        <v>13</v>
      </c>
      <c r="BL194" s="195">
        <f t="shared" si="367"/>
        <v>12.101291100400967</v>
      </c>
      <c r="BM194" s="81">
        <f>$H$194*月別販売比率!BA9</f>
        <v>0.6740316746992745</v>
      </c>
      <c r="BN194" s="106">
        <f t="shared" si="137"/>
        <v>13</v>
      </c>
      <c r="BO194" s="107"/>
      <c r="BP194" s="2">
        <f t="shared" si="494"/>
        <v>13</v>
      </c>
      <c r="BQ194" s="195">
        <f t="shared" si="368"/>
        <v>12.325968325300725</v>
      </c>
      <c r="BR194" s="81">
        <f>$H$194*月別販売比率!BF9</f>
        <v>1.1212033649014301</v>
      </c>
      <c r="BS194" s="110">
        <f t="shared" si="140"/>
        <v>13</v>
      </c>
      <c r="BT194" s="104"/>
      <c r="BU194" s="115">
        <f t="shared" si="141"/>
        <v>13</v>
      </c>
      <c r="BV194" s="92">
        <f t="shared" si="369"/>
        <v>11.878796635098571</v>
      </c>
      <c r="BW194" s="159">
        <f t="shared" si="490"/>
        <v>13</v>
      </c>
      <c r="BX194" s="116">
        <f t="shared" si="491"/>
        <v>-9.4677224899758166</v>
      </c>
    </row>
    <row r="195" spans="2:76" ht="30.75" customHeight="1">
      <c r="B195" s="2">
        <v>15</v>
      </c>
      <c r="C195" s="435" t="s">
        <v>12</v>
      </c>
      <c r="D195" s="436"/>
      <c r="E195" s="445"/>
      <c r="F195" s="130">
        <v>386</v>
      </c>
      <c r="G195" s="131">
        <v>1512978.7798124999</v>
      </c>
      <c r="H195" s="132">
        <v>480</v>
      </c>
      <c r="I195" s="131">
        <f t="shared" si="42"/>
        <v>1881424.3894041448</v>
      </c>
      <c r="J195" s="133">
        <f>SUM(J197:J206)</f>
        <v>181</v>
      </c>
      <c r="K195" s="134">
        <f>SUM(K197:K206)</f>
        <v>440</v>
      </c>
      <c r="L195" s="134">
        <f t="shared" ref="L195:N195" si="495">SUM(L197:L206)</f>
        <v>116</v>
      </c>
      <c r="M195" s="134">
        <f t="shared" si="495"/>
        <v>32</v>
      </c>
      <c r="N195" s="135">
        <f t="shared" si="495"/>
        <v>292</v>
      </c>
      <c r="O195" s="150">
        <f t="shared" si="344"/>
        <v>40</v>
      </c>
      <c r="P195" s="151">
        <f t="shared" si="107"/>
        <v>440</v>
      </c>
      <c r="Q195" s="148">
        <f>SUM(Q197:Q206)</f>
        <v>300</v>
      </c>
      <c r="R195" s="152">
        <f t="shared" si="108"/>
        <v>740</v>
      </c>
      <c r="S195" s="153">
        <f t="shared" si="358"/>
        <v>700</v>
      </c>
      <c r="T195" s="150">
        <f t="shared" si="109"/>
        <v>40</v>
      </c>
      <c r="U195" s="151">
        <f t="shared" si="110"/>
        <v>440</v>
      </c>
      <c r="V195" s="148">
        <f>SUM(V197:V206)</f>
        <v>0</v>
      </c>
      <c r="W195" s="152">
        <f t="shared" si="111"/>
        <v>440</v>
      </c>
      <c r="X195" s="153">
        <f t="shared" si="359"/>
        <v>400</v>
      </c>
      <c r="Y195" s="150">
        <f t="shared" si="112"/>
        <v>40</v>
      </c>
      <c r="Z195" s="151">
        <f t="shared" si="113"/>
        <v>440</v>
      </c>
      <c r="AA195" s="148">
        <f>SUM(AA197:AA206)</f>
        <v>0</v>
      </c>
      <c r="AB195" s="154">
        <f t="shared" si="114"/>
        <v>440</v>
      </c>
      <c r="AC195" s="153">
        <f t="shared" si="360"/>
        <v>400</v>
      </c>
      <c r="AD195" s="150">
        <f t="shared" si="115"/>
        <v>40</v>
      </c>
      <c r="AE195" s="151">
        <f t="shared" si="116"/>
        <v>440</v>
      </c>
      <c r="AF195" s="148">
        <f>SUM(AF197:AF206)</f>
        <v>0</v>
      </c>
      <c r="AG195" s="152">
        <f t="shared" si="117"/>
        <v>440</v>
      </c>
      <c r="AH195" s="153">
        <f t="shared" si="361"/>
        <v>400</v>
      </c>
      <c r="AI195" s="150">
        <f t="shared" si="118"/>
        <v>40</v>
      </c>
      <c r="AJ195" s="151">
        <f t="shared" si="119"/>
        <v>440</v>
      </c>
      <c r="AK195" s="148">
        <f>SUM(AK197:AK206)</f>
        <v>0</v>
      </c>
      <c r="AL195" s="152">
        <f t="shared" si="120"/>
        <v>440</v>
      </c>
      <c r="AM195" s="153">
        <f t="shared" si="362"/>
        <v>400</v>
      </c>
      <c r="AN195" s="150">
        <f t="shared" si="121"/>
        <v>40</v>
      </c>
      <c r="AO195" s="151">
        <f t="shared" si="122"/>
        <v>440</v>
      </c>
      <c r="AP195" s="148">
        <f>SUM(AP197:AP206)</f>
        <v>0</v>
      </c>
      <c r="AQ195" s="152">
        <f t="shared" si="123"/>
        <v>440</v>
      </c>
      <c r="AR195" s="153">
        <f t="shared" si="363"/>
        <v>400</v>
      </c>
      <c r="AS195" s="150">
        <f t="shared" si="124"/>
        <v>40</v>
      </c>
      <c r="AT195" s="151">
        <f t="shared" si="125"/>
        <v>440</v>
      </c>
      <c r="AU195" s="148">
        <f>SUM(AU197:AU206)</f>
        <v>0</v>
      </c>
      <c r="AV195" s="152">
        <f t="shared" si="126"/>
        <v>440</v>
      </c>
      <c r="AW195" s="153">
        <f t="shared" si="364"/>
        <v>400</v>
      </c>
      <c r="AX195" s="150">
        <f t="shared" si="127"/>
        <v>40</v>
      </c>
      <c r="AY195" s="151">
        <f t="shared" si="128"/>
        <v>440</v>
      </c>
      <c r="AZ195" s="148">
        <f>SUM(AZ197:AZ206)</f>
        <v>0</v>
      </c>
      <c r="BA195" s="152">
        <f t="shared" si="129"/>
        <v>440</v>
      </c>
      <c r="BB195" s="153">
        <f t="shared" si="365"/>
        <v>400</v>
      </c>
      <c r="BC195" s="150">
        <f t="shared" si="130"/>
        <v>40</v>
      </c>
      <c r="BD195" s="151">
        <f t="shared" si="131"/>
        <v>440</v>
      </c>
      <c r="BE195" s="148">
        <f>SUM(BE197:BE206)</f>
        <v>0</v>
      </c>
      <c r="BF195" s="152">
        <f t="shared" si="132"/>
        <v>440</v>
      </c>
      <c r="BG195" s="153">
        <f t="shared" si="366"/>
        <v>400</v>
      </c>
      <c r="BH195" s="150">
        <f t="shared" si="133"/>
        <v>40</v>
      </c>
      <c r="BI195" s="151">
        <f t="shared" si="134"/>
        <v>440</v>
      </c>
      <c r="BJ195" s="148">
        <f>SUM(BJ197:BJ206)</f>
        <v>0</v>
      </c>
      <c r="BK195" s="152">
        <f t="shared" si="135"/>
        <v>440</v>
      </c>
      <c r="BL195" s="153">
        <f t="shared" si="367"/>
        <v>400</v>
      </c>
      <c r="BM195" s="150">
        <f t="shared" si="136"/>
        <v>40</v>
      </c>
      <c r="BN195" s="151">
        <f t="shared" si="137"/>
        <v>440</v>
      </c>
      <c r="BO195" s="148">
        <f>SUM(BO197:BO206)</f>
        <v>0</v>
      </c>
      <c r="BP195" s="152">
        <f t="shared" si="138"/>
        <v>440</v>
      </c>
      <c r="BQ195" s="153">
        <f t="shared" si="368"/>
        <v>400</v>
      </c>
      <c r="BR195" s="150">
        <f t="shared" si="139"/>
        <v>40</v>
      </c>
      <c r="BS195" s="137">
        <f t="shared" si="140"/>
        <v>440</v>
      </c>
      <c r="BT195" s="134">
        <f>SUM(BT197:BT206)</f>
        <v>0</v>
      </c>
      <c r="BU195" s="138">
        <f t="shared" si="141"/>
        <v>440</v>
      </c>
      <c r="BV195" s="139">
        <f t="shared" si="369"/>
        <v>400</v>
      </c>
      <c r="BW195" s="143">
        <f>AF195+AA195+V195+Q195+AK195+AP195+AU195+AZ195+BE195+BJ195+BO195+BT195+K195</f>
        <v>740</v>
      </c>
      <c r="BX195" s="142">
        <f t="shared" si="49"/>
        <v>260</v>
      </c>
    </row>
    <row r="196" spans="2:76" ht="30.6" customHeight="1">
      <c r="C196" s="167" t="s">
        <v>81</v>
      </c>
      <c r="D196" s="168"/>
      <c r="E196" s="169"/>
      <c r="F196" s="170">
        <f>SUM(F197:F206)</f>
        <v>593</v>
      </c>
      <c r="G196" s="171">
        <f>SUM(G197:G206)</f>
        <v>2348280</v>
      </c>
      <c r="H196" s="170">
        <f>SUM(H197:H206)</f>
        <v>737.40932642487041</v>
      </c>
      <c r="I196" s="171">
        <f>SUM(I197:I206)</f>
        <v>2920140.9326424869</v>
      </c>
      <c r="J196" s="172"/>
      <c r="K196" s="173"/>
      <c r="L196" s="173"/>
      <c r="M196" s="173"/>
      <c r="N196" s="174"/>
      <c r="O196" s="175">
        <f>SUM(O197:O206)</f>
        <v>52.255959682934595</v>
      </c>
      <c r="P196" s="176"/>
      <c r="Q196" s="173"/>
      <c r="R196" s="177"/>
      <c r="S196" s="178"/>
      <c r="T196" s="175">
        <f>SUM(T197:T206)</f>
        <v>51.61865284974094</v>
      </c>
      <c r="U196" s="176"/>
      <c r="V196" s="173"/>
      <c r="W196" s="177"/>
      <c r="X196" s="178"/>
      <c r="Y196" s="175">
        <f>SUM(Y197:Y206)</f>
        <v>74.525306922686212</v>
      </c>
      <c r="Z196" s="176"/>
      <c r="AA196" s="173"/>
      <c r="AB196" s="177"/>
      <c r="AC196" s="178"/>
      <c r="AD196" s="175">
        <f>SUM(AD197:AD206)</f>
        <v>58.992746113989632</v>
      </c>
      <c r="AE196" s="176"/>
      <c r="AF196" s="173"/>
      <c r="AG196" s="177"/>
      <c r="AH196" s="178"/>
      <c r="AI196" s="175">
        <f>SUM(AI197:AI206)</f>
        <v>56.166049933387193</v>
      </c>
      <c r="AJ196" s="176"/>
      <c r="AK196" s="173"/>
      <c r="AL196" s="177"/>
      <c r="AM196" s="178"/>
      <c r="AN196" s="175">
        <f>SUM(AN197:AN206)</f>
        <v>88.489119170984466</v>
      </c>
      <c r="AO196" s="176"/>
      <c r="AP196" s="173"/>
      <c r="AQ196" s="177"/>
      <c r="AR196" s="178"/>
      <c r="AS196" s="175">
        <f>SUM(AS197:AS206)</f>
        <v>73.740932642487067</v>
      </c>
      <c r="AT196" s="176"/>
      <c r="AU196" s="173"/>
      <c r="AV196" s="177"/>
      <c r="AW196" s="178"/>
      <c r="AX196" s="175">
        <f>SUM(AX197:AX206)</f>
        <v>66.366839378238325</v>
      </c>
      <c r="AY196" s="176"/>
      <c r="AZ196" s="173"/>
      <c r="BA196" s="177"/>
      <c r="BB196" s="178"/>
      <c r="BC196" s="175">
        <f>SUM(BC197:BC206)</f>
        <v>73.740932642487067</v>
      </c>
      <c r="BD196" s="176"/>
      <c r="BE196" s="173"/>
      <c r="BF196" s="177"/>
      <c r="BG196" s="178"/>
      <c r="BH196" s="175">
        <f>SUM(BH197:BH206)</f>
        <v>44.904080420161698</v>
      </c>
      <c r="BI196" s="176"/>
      <c r="BJ196" s="173"/>
      <c r="BK196" s="177"/>
      <c r="BL196" s="178"/>
      <c r="BM196" s="175">
        <f>SUM(BM197:BM206)</f>
        <v>41.017007972758179</v>
      </c>
      <c r="BN196" s="176"/>
      <c r="BO196" s="173"/>
      <c r="BP196" s="177"/>
      <c r="BQ196" s="178"/>
      <c r="BR196" s="175">
        <f>SUM(BR197:BR206)</f>
        <v>58.992746113989632</v>
      </c>
      <c r="BS196" s="176"/>
      <c r="BT196" s="173"/>
      <c r="BU196" s="177"/>
      <c r="BV196" s="178"/>
      <c r="BW196" s="179"/>
      <c r="BX196" s="180"/>
    </row>
    <row r="197" spans="2:76" ht="30.75" customHeight="1">
      <c r="C197" s="506"/>
      <c r="D197" s="443">
        <v>1</v>
      </c>
      <c r="E197" s="99" t="s">
        <v>46</v>
      </c>
      <c r="F197" s="56">
        <v>58</v>
      </c>
      <c r="G197" s="46">
        <f>F197*3960</f>
        <v>229680</v>
      </c>
      <c r="H197" s="7">
        <f>F197*($H$195/$F$195)</f>
        <v>72.124352331606218</v>
      </c>
      <c r="I197" s="46">
        <f>H197*3960</f>
        <v>285612.43523316062</v>
      </c>
      <c r="J197" s="49">
        <v>0</v>
      </c>
      <c r="K197" s="39">
        <f t="shared" si="372"/>
        <v>88</v>
      </c>
      <c r="L197" s="39">
        <v>18</v>
      </c>
      <c r="M197" s="39">
        <v>3</v>
      </c>
      <c r="N197" s="42">
        <v>67</v>
      </c>
      <c r="O197" s="81">
        <f>$H$197*月別販売比率!C5</f>
        <v>5.1110382151942781</v>
      </c>
      <c r="P197" s="40">
        <f t="shared" si="107"/>
        <v>88</v>
      </c>
      <c r="Q197" s="39">
        <v>50</v>
      </c>
      <c r="R197" s="43">
        <f>Q197+K197</f>
        <v>138</v>
      </c>
      <c r="S197" s="91">
        <f t="shared" si="358"/>
        <v>132.88896178480573</v>
      </c>
      <c r="T197" s="81">
        <f>$H$197*月別販売比率!H5</f>
        <v>5.0487046632124359</v>
      </c>
      <c r="U197" s="40">
        <f>K197</f>
        <v>88</v>
      </c>
      <c r="V197" s="39"/>
      <c r="W197" s="40">
        <f t="shared" ref="W197:W206" si="496">K197+V197</f>
        <v>88</v>
      </c>
      <c r="X197" s="91">
        <f t="shared" si="359"/>
        <v>82.951295336787567</v>
      </c>
      <c r="Y197" s="81">
        <f>$H$197*月別販売比率!M5</f>
        <v>7.2891531222863408</v>
      </c>
      <c r="Z197" s="40">
        <f>K197</f>
        <v>88</v>
      </c>
      <c r="AA197" s="39"/>
      <c r="AB197" s="129">
        <f t="shared" ref="AB197:AB206" si="497">K197+AA197</f>
        <v>88</v>
      </c>
      <c r="AC197" s="91">
        <f t="shared" si="360"/>
        <v>80.710846877713664</v>
      </c>
      <c r="AD197" s="81">
        <f>$H$197*月別販売比率!R5</f>
        <v>5.7699481865284978</v>
      </c>
      <c r="AE197" s="40">
        <f>K197</f>
        <v>88</v>
      </c>
      <c r="AF197" s="39"/>
      <c r="AG197" s="43">
        <f t="shared" ref="AG197:AG206" si="498">K197+AF197</f>
        <v>88</v>
      </c>
      <c r="AH197" s="91">
        <f t="shared" si="361"/>
        <v>82.230051813471505</v>
      </c>
      <c r="AI197" s="81">
        <f>$H$197*月別販売比率!W5</f>
        <v>5.4934753729113943</v>
      </c>
      <c r="AJ197" s="40">
        <f>K197</f>
        <v>88</v>
      </c>
      <c r="AK197" s="39"/>
      <c r="AL197" s="43">
        <f t="shared" ref="AL197:AL206" si="499">K197+AK197</f>
        <v>88</v>
      </c>
      <c r="AM197" s="91">
        <f t="shared" si="362"/>
        <v>82.506524627088609</v>
      </c>
      <c r="AN197" s="81">
        <f>$H$197*月別販売比率!AB5</f>
        <v>8.6549222797927463</v>
      </c>
      <c r="AO197" s="40">
        <f>K197</f>
        <v>88</v>
      </c>
      <c r="AP197" s="39"/>
      <c r="AQ197" s="40">
        <f t="shared" ref="AQ197:AQ206" si="500">K197+AP197</f>
        <v>88</v>
      </c>
      <c r="AR197" s="91">
        <f t="shared" si="363"/>
        <v>79.345077720207257</v>
      </c>
      <c r="AS197" s="81">
        <f>$H$197*月別販売比率!AG5</f>
        <v>7.2124352331606225</v>
      </c>
      <c r="AT197" s="40">
        <f>K197</f>
        <v>88</v>
      </c>
      <c r="AU197" s="39"/>
      <c r="AV197" s="40">
        <f t="shared" ref="AV197:AV206" si="501">K197+AU197</f>
        <v>88</v>
      </c>
      <c r="AW197" s="91">
        <f t="shared" si="364"/>
        <v>80.787564766839381</v>
      </c>
      <c r="AX197" s="81">
        <f>$H$197*月別販売比率!AL5</f>
        <v>6.4911917098445597</v>
      </c>
      <c r="AY197" s="40">
        <f>K197</f>
        <v>88</v>
      </c>
      <c r="AZ197" s="39"/>
      <c r="BA197" s="43">
        <f>K197+AZ197</f>
        <v>88</v>
      </c>
      <c r="BB197" s="91">
        <f t="shared" si="365"/>
        <v>81.508808290155443</v>
      </c>
      <c r="BC197" s="81">
        <f>$H$197*月別販売比率!AQ5</f>
        <v>7.2124352331606225</v>
      </c>
      <c r="BD197" s="40">
        <f>K197</f>
        <v>88</v>
      </c>
      <c r="BE197" s="39"/>
      <c r="BF197" s="43">
        <f>K197+BE197</f>
        <v>88</v>
      </c>
      <c r="BG197" s="91">
        <f t="shared" si="366"/>
        <v>80.787564766839381</v>
      </c>
      <c r="BH197" s="81">
        <f>$H$197*月別販売比率!AV5</f>
        <v>4.3919673935402681</v>
      </c>
      <c r="BI197" s="40">
        <f>K197</f>
        <v>88</v>
      </c>
      <c r="BJ197" s="39"/>
      <c r="BK197" s="43">
        <f>K197+BJ197</f>
        <v>88</v>
      </c>
      <c r="BL197" s="91">
        <f t="shared" si="367"/>
        <v>83.60803260645973</v>
      </c>
      <c r="BM197" s="81">
        <f>$H$197*月別販売比率!BA5</f>
        <v>4.0117815555142915</v>
      </c>
      <c r="BN197" s="40">
        <f>K197</f>
        <v>88</v>
      </c>
      <c r="BO197" s="39"/>
      <c r="BP197" s="43">
        <f>K197+BO197</f>
        <v>88</v>
      </c>
      <c r="BQ197" s="91">
        <f t="shared" si="368"/>
        <v>83.98821844448571</v>
      </c>
      <c r="BR197" s="81">
        <f>$H$197*月別販売比率!BF5</f>
        <v>5.7699481865284978</v>
      </c>
      <c r="BS197" s="40">
        <f>K197</f>
        <v>88</v>
      </c>
      <c r="BT197" s="39"/>
      <c r="BU197" s="43">
        <f>K197+BT197</f>
        <v>88</v>
      </c>
      <c r="BV197" s="91">
        <f t="shared" si="369"/>
        <v>82.230051813471505</v>
      </c>
      <c r="BW197" s="157">
        <f t="shared" ref="BW197:BW206" si="502">AF197+AA197+V197+Q197+AK197+AP197+AU197+AZ197+BE197+BJ197+BO197+BT197+K197</f>
        <v>138</v>
      </c>
      <c r="BX197" s="51">
        <f>BW197-H197</f>
        <v>65.875647668393782</v>
      </c>
    </row>
    <row r="198" spans="2:76" ht="30.75" customHeight="1">
      <c r="C198" s="507"/>
      <c r="D198" s="441"/>
      <c r="E198" s="94" t="s">
        <v>47</v>
      </c>
      <c r="F198" s="57">
        <v>76</v>
      </c>
      <c r="G198" s="5">
        <f t="shared" ref="G198:I206" si="503">F198*3960</f>
        <v>300960</v>
      </c>
      <c r="H198" s="7">
        <f t="shared" ref="H198:H206" si="504">F198*($H$195/$F$195)</f>
        <v>94.507772020725383</v>
      </c>
      <c r="I198" s="5">
        <f t="shared" si="503"/>
        <v>374250.7772020725</v>
      </c>
      <c r="J198" s="9">
        <v>0</v>
      </c>
      <c r="K198" s="21">
        <f t="shared" si="372"/>
        <v>69</v>
      </c>
      <c r="L198" s="21">
        <v>17</v>
      </c>
      <c r="M198" s="21">
        <v>3</v>
      </c>
      <c r="N198" s="42">
        <v>49</v>
      </c>
      <c r="O198" s="81">
        <f>$H$198*月別販売比率!C5</f>
        <v>6.6972224888752603</v>
      </c>
      <c r="P198" s="10">
        <f t="shared" si="107"/>
        <v>69</v>
      </c>
      <c r="Q198" s="21">
        <v>50</v>
      </c>
      <c r="R198" s="19">
        <f t="shared" ref="R198:R206" si="505">Q198+K198</f>
        <v>119</v>
      </c>
      <c r="S198" s="24">
        <f t="shared" si="358"/>
        <v>112.30277751112475</v>
      </c>
      <c r="T198" s="81">
        <f>$H$198*月別販売比率!H5</f>
        <v>6.6155440414507778</v>
      </c>
      <c r="U198" s="10">
        <f t="shared" ref="U198:U206" si="506">K198</f>
        <v>69</v>
      </c>
      <c r="V198" s="21"/>
      <c r="W198" s="10">
        <f t="shared" si="496"/>
        <v>69</v>
      </c>
      <c r="X198" s="24">
        <f t="shared" si="359"/>
        <v>62.384455958549225</v>
      </c>
      <c r="Y198" s="81">
        <f>$H$198*月別販売比率!M5</f>
        <v>9.5513040912717564</v>
      </c>
      <c r="Z198" s="10">
        <f t="shared" ref="Z198:Z206" si="507">K198</f>
        <v>69</v>
      </c>
      <c r="AA198" s="21"/>
      <c r="AB198" s="124">
        <f t="shared" si="497"/>
        <v>69</v>
      </c>
      <c r="AC198" s="24">
        <f t="shared" si="360"/>
        <v>59.44869590872824</v>
      </c>
      <c r="AD198" s="81">
        <f>$H$198*月別販売比率!R5</f>
        <v>7.5606217616580311</v>
      </c>
      <c r="AE198" s="10">
        <f t="shared" ref="AE198:AE206" si="508">K198</f>
        <v>69</v>
      </c>
      <c r="AF198" s="21"/>
      <c r="AG198" s="19">
        <f t="shared" si="498"/>
        <v>69</v>
      </c>
      <c r="AH198" s="24">
        <f t="shared" si="361"/>
        <v>61.439378238341966</v>
      </c>
      <c r="AI198" s="81">
        <f>$H$198*月別販売比率!W5</f>
        <v>7.198347040366655</v>
      </c>
      <c r="AJ198" s="10">
        <f t="shared" ref="AJ198:AJ206" si="509">K198</f>
        <v>69</v>
      </c>
      <c r="AK198" s="21"/>
      <c r="AL198" s="19">
        <f t="shared" si="499"/>
        <v>69</v>
      </c>
      <c r="AM198" s="24">
        <f t="shared" si="362"/>
        <v>61.801652959633344</v>
      </c>
      <c r="AN198" s="81">
        <f>$H$198*月別販売比率!AB5</f>
        <v>11.340932642487045</v>
      </c>
      <c r="AO198" s="10">
        <f t="shared" ref="AO198:AO206" si="510">K198</f>
        <v>69</v>
      </c>
      <c r="AP198" s="21"/>
      <c r="AQ198" s="10">
        <f t="shared" si="500"/>
        <v>69</v>
      </c>
      <c r="AR198" s="24">
        <f t="shared" si="363"/>
        <v>57.659067357512953</v>
      </c>
      <c r="AS198" s="81">
        <f>$H$198*月別販売比率!AG5</f>
        <v>9.4507772020725387</v>
      </c>
      <c r="AT198" s="10">
        <f t="shared" ref="AT198:AT206" si="511">K198</f>
        <v>69</v>
      </c>
      <c r="AU198" s="21"/>
      <c r="AV198" s="10">
        <f t="shared" si="501"/>
        <v>69</v>
      </c>
      <c r="AW198" s="24">
        <f t="shared" si="364"/>
        <v>59.549222797927463</v>
      </c>
      <c r="AX198" s="81">
        <f>$H$198*月別販売比率!AL5</f>
        <v>8.5056994818652836</v>
      </c>
      <c r="AY198" s="10">
        <f t="shared" ref="AY198:AY206" si="512">K198</f>
        <v>69</v>
      </c>
      <c r="AZ198" s="21"/>
      <c r="BA198" s="19">
        <f t="shared" ref="BA198:BA206" si="513">K198+AZ198</f>
        <v>69</v>
      </c>
      <c r="BB198" s="24">
        <f t="shared" si="365"/>
        <v>60.494300518134715</v>
      </c>
      <c r="BC198" s="81">
        <f>$H$198*月別販売比率!AQ5</f>
        <v>9.4507772020725387</v>
      </c>
      <c r="BD198" s="10">
        <f t="shared" ref="BD198:BD206" si="514">K198</f>
        <v>69</v>
      </c>
      <c r="BE198" s="21"/>
      <c r="BF198" s="19">
        <f t="shared" ref="BF198:BF206" si="515">K198+BE198</f>
        <v>69</v>
      </c>
      <c r="BG198" s="24">
        <f t="shared" si="366"/>
        <v>59.549222797927463</v>
      </c>
      <c r="BH198" s="81">
        <f>$H$198*月別販売比率!AV5</f>
        <v>5.754991757052764</v>
      </c>
      <c r="BI198" s="10">
        <f t="shared" ref="BI198:BI206" si="516">K198</f>
        <v>69</v>
      </c>
      <c r="BJ198" s="21"/>
      <c r="BK198" s="19">
        <f t="shared" ref="BK198:BK206" si="517">K198+BJ198</f>
        <v>69</v>
      </c>
      <c r="BL198" s="24">
        <f t="shared" si="367"/>
        <v>63.245008242947236</v>
      </c>
      <c r="BM198" s="81">
        <f>$H$198*月別販売比率!BA5</f>
        <v>5.2568172106738986</v>
      </c>
      <c r="BN198" s="10">
        <f t="shared" ref="BN198:BN206" si="518">K198</f>
        <v>69</v>
      </c>
      <c r="BO198" s="21"/>
      <c r="BP198" s="19">
        <f>K198+BO198</f>
        <v>69</v>
      </c>
      <c r="BQ198" s="24">
        <f t="shared" si="368"/>
        <v>63.743182789326099</v>
      </c>
      <c r="BR198" s="81">
        <f>$H$198*月別販売比率!BF5</f>
        <v>7.5606217616580311</v>
      </c>
      <c r="BS198" s="10">
        <f t="shared" ref="BS198:BS206" si="519">K198</f>
        <v>69</v>
      </c>
      <c r="BT198" s="21"/>
      <c r="BU198" s="19">
        <f t="shared" ref="BU198:BU206" si="520">K198+BT198</f>
        <v>69</v>
      </c>
      <c r="BV198" s="24">
        <f t="shared" si="369"/>
        <v>61.439378238341966</v>
      </c>
      <c r="BW198" s="158">
        <f t="shared" si="502"/>
        <v>119</v>
      </c>
      <c r="BX198" s="29">
        <f t="shared" ref="BX198:BX206" si="521">BW198-H198</f>
        <v>24.492227979274617</v>
      </c>
    </row>
    <row r="199" spans="2:76" ht="30.75" customHeight="1">
      <c r="C199" s="507"/>
      <c r="D199" s="441"/>
      <c r="E199" s="94" t="s">
        <v>51</v>
      </c>
      <c r="F199" s="57">
        <v>85</v>
      </c>
      <c r="G199" s="5">
        <f t="shared" si="503"/>
        <v>336600</v>
      </c>
      <c r="H199" s="7">
        <f t="shared" si="504"/>
        <v>105.69948186528497</v>
      </c>
      <c r="I199" s="5">
        <f t="shared" si="503"/>
        <v>418569.94818652846</v>
      </c>
      <c r="J199" s="9">
        <v>0</v>
      </c>
      <c r="K199" s="21">
        <f t="shared" si="372"/>
        <v>59</v>
      </c>
      <c r="L199" s="21">
        <v>12</v>
      </c>
      <c r="M199" s="21">
        <v>3</v>
      </c>
      <c r="N199" s="42">
        <v>44</v>
      </c>
      <c r="O199" s="81">
        <f>$H$199*月別販売比率!C5</f>
        <v>7.4903146257157509</v>
      </c>
      <c r="P199" s="10">
        <f t="shared" si="107"/>
        <v>59</v>
      </c>
      <c r="Q199" s="21">
        <v>50</v>
      </c>
      <c r="R199" s="19">
        <f t="shared" si="505"/>
        <v>109</v>
      </c>
      <c r="S199" s="24">
        <f t="shared" si="358"/>
        <v>101.50968537428425</v>
      </c>
      <c r="T199" s="81">
        <f>$H$199*月別販売比率!H5</f>
        <v>7.3989637305699487</v>
      </c>
      <c r="U199" s="10">
        <f t="shared" si="506"/>
        <v>59</v>
      </c>
      <c r="V199" s="21"/>
      <c r="W199" s="10">
        <f t="shared" si="496"/>
        <v>59</v>
      </c>
      <c r="X199" s="24">
        <f t="shared" si="359"/>
        <v>51.601036269430054</v>
      </c>
      <c r="Y199" s="81">
        <f>$H$199*月別販売比率!M5</f>
        <v>10.682379575764463</v>
      </c>
      <c r="Z199" s="10">
        <f t="shared" si="507"/>
        <v>59</v>
      </c>
      <c r="AA199" s="21"/>
      <c r="AB199" s="124">
        <f t="shared" si="497"/>
        <v>59</v>
      </c>
      <c r="AC199" s="24">
        <f t="shared" si="360"/>
        <v>48.317620424235535</v>
      </c>
      <c r="AD199" s="81">
        <f>$H$199*月別販売比率!R5</f>
        <v>8.4559585492227978</v>
      </c>
      <c r="AE199" s="10">
        <f t="shared" si="508"/>
        <v>59</v>
      </c>
      <c r="AF199" s="21"/>
      <c r="AG199" s="19">
        <f t="shared" si="498"/>
        <v>59</v>
      </c>
      <c r="AH199" s="24">
        <f t="shared" si="361"/>
        <v>50.5440414507772</v>
      </c>
      <c r="AI199" s="81">
        <f>$H$199*月別販売比率!W5</f>
        <v>8.0507828740942848</v>
      </c>
      <c r="AJ199" s="10">
        <f t="shared" si="509"/>
        <v>59</v>
      </c>
      <c r="AK199" s="21"/>
      <c r="AL199" s="19">
        <f t="shared" si="499"/>
        <v>59</v>
      </c>
      <c r="AM199" s="24">
        <f t="shared" si="362"/>
        <v>50.949217125905719</v>
      </c>
      <c r="AN199" s="81">
        <f>$H$199*月別販売比率!AB5</f>
        <v>12.683937823834196</v>
      </c>
      <c r="AO199" s="10">
        <f t="shared" si="510"/>
        <v>59</v>
      </c>
      <c r="AP199" s="21"/>
      <c r="AQ199" s="10">
        <f t="shared" si="500"/>
        <v>59</v>
      </c>
      <c r="AR199" s="24">
        <f t="shared" si="363"/>
        <v>46.316062176165801</v>
      </c>
      <c r="AS199" s="81">
        <f>$H$199*月別販売比率!AG5</f>
        <v>10.569948186528498</v>
      </c>
      <c r="AT199" s="10">
        <f t="shared" si="511"/>
        <v>59</v>
      </c>
      <c r="AU199" s="21"/>
      <c r="AV199" s="10">
        <f t="shared" si="501"/>
        <v>59</v>
      </c>
      <c r="AW199" s="24">
        <f t="shared" si="364"/>
        <v>48.430051813471501</v>
      </c>
      <c r="AX199" s="81">
        <f>$H$199*月別販売比率!AL5</f>
        <v>9.5129533678756459</v>
      </c>
      <c r="AY199" s="10">
        <f t="shared" si="512"/>
        <v>59</v>
      </c>
      <c r="AZ199" s="21"/>
      <c r="BA199" s="19">
        <f t="shared" si="513"/>
        <v>59</v>
      </c>
      <c r="BB199" s="24">
        <f t="shared" si="365"/>
        <v>49.487046632124354</v>
      </c>
      <c r="BC199" s="81">
        <f>$H$199*月別販売比率!AQ5</f>
        <v>10.569948186528498</v>
      </c>
      <c r="BD199" s="10">
        <f t="shared" si="514"/>
        <v>59</v>
      </c>
      <c r="BE199" s="21"/>
      <c r="BF199" s="19">
        <f t="shared" si="515"/>
        <v>59</v>
      </c>
      <c r="BG199" s="24">
        <f t="shared" si="366"/>
        <v>48.430051813471501</v>
      </c>
      <c r="BH199" s="81">
        <f>$H$199*月別販売比率!AV5</f>
        <v>6.4365039388090128</v>
      </c>
      <c r="BI199" s="10">
        <f t="shared" si="516"/>
        <v>59</v>
      </c>
      <c r="BJ199" s="21"/>
      <c r="BK199" s="19">
        <f t="shared" si="517"/>
        <v>59</v>
      </c>
      <c r="BL199" s="24">
        <f t="shared" si="367"/>
        <v>52.563496061190989</v>
      </c>
      <c r="BM199" s="81">
        <f>$H$199*月別販売比率!BA5</f>
        <v>5.8793350382537017</v>
      </c>
      <c r="BN199" s="10">
        <f t="shared" si="518"/>
        <v>59</v>
      </c>
      <c r="BO199" s="21"/>
      <c r="BP199" s="19">
        <f t="shared" ref="BP199:BP206" si="522">K199+BO199</f>
        <v>59</v>
      </c>
      <c r="BQ199" s="24">
        <f t="shared" si="368"/>
        <v>53.1206649617463</v>
      </c>
      <c r="BR199" s="81">
        <f>$H$199*月別販売比率!BF5</f>
        <v>8.4559585492227978</v>
      </c>
      <c r="BS199" s="10">
        <f t="shared" si="519"/>
        <v>59</v>
      </c>
      <c r="BT199" s="21"/>
      <c r="BU199" s="19">
        <f t="shared" si="520"/>
        <v>59</v>
      </c>
      <c r="BV199" s="24">
        <f t="shared" si="369"/>
        <v>50.5440414507772</v>
      </c>
      <c r="BW199" s="158">
        <f t="shared" si="502"/>
        <v>109</v>
      </c>
      <c r="BX199" s="29">
        <f t="shared" si="521"/>
        <v>3.3005181347150341</v>
      </c>
    </row>
    <row r="200" spans="2:76" ht="30.75" customHeight="1">
      <c r="C200" s="507"/>
      <c r="D200" s="441"/>
      <c r="E200" s="94" t="s">
        <v>49</v>
      </c>
      <c r="F200" s="57">
        <v>39</v>
      </c>
      <c r="G200" s="5">
        <f t="shared" si="503"/>
        <v>154440</v>
      </c>
      <c r="H200" s="7">
        <f t="shared" si="504"/>
        <v>48.497409326424872</v>
      </c>
      <c r="I200" s="5">
        <f t="shared" si="503"/>
        <v>192049.74093264248</v>
      </c>
      <c r="J200" s="9">
        <v>50</v>
      </c>
      <c r="K200" s="21">
        <f t="shared" si="372"/>
        <v>34</v>
      </c>
      <c r="L200" s="21">
        <v>11</v>
      </c>
      <c r="M200" s="21">
        <v>3</v>
      </c>
      <c r="N200" s="42">
        <v>20</v>
      </c>
      <c r="O200" s="81">
        <f>$H$200*月別販売比率!C5</f>
        <v>3.4367325929754626</v>
      </c>
      <c r="P200" s="10">
        <f t="shared" si="107"/>
        <v>34</v>
      </c>
      <c r="Q200" s="21"/>
      <c r="R200" s="19">
        <f t="shared" si="505"/>
        <v>34</v>
      </c>
      <c r="S200" s="24">
        <f t="shared" si="358"/>
        <v>30.563267407024536</v>
      </c>
      <c r="T200" s="81">
        <f>$H$200*月別販売比率!H5</f>
        <v>3.3948186528497413</v>
      </c>
      <c r="U200" s="10">
        <f t="shared" si="506"/>
        <v>34</v>
      </c>
      <c r="V200" s="21"/>
      <c r="W200" s="10">
        <f t="shared" si="496"/>
        <v>34</v>
      </c>
      <c r="X200" s="24">
        <f t="shared" si="359"/>
        <v>30.605181347150257</v>
      </c>
      <c r="Y200" s="81">
        <f>$H$200*月別販売比率!M5</f>
        <v>4.9013270994684017</v>
      </c>
      <c r="Z200" s="10">
        <f t="shared" si="507"/>
        <v>34</v>
      </c>
      <c r="AA200" s="21"/>
      <c r="AB200" s="124">
        <f t="shared" si="497"/>
        <v>34</v>
      </c>
      <c r="AC200" s="24">
        <f t="shared" si="360"/>
        <v>29.098672900531596</v>
      </c>
      <c r="AD200" s="81">
        <f>$H$200*月別販売比率!R5</f>
        <v>3.8797927461139898</v>
      </c>
      <c r="AE200" s="10">
        <f t="shared" si="508"/>
        <v>34</v>
      </c>
      <c r="AF200" s="21"/>
      <c r="AG200" s="19">
        <f t="shared" si="498"/>
        <v>34</v>
      </c>
      <c r="AH200" s="24">
        <f t="shared" si="361"/>
        <v>30.120207253886012</v>
      </c>
      <c r="AI200" s="81">
        <f>$H$200*月別販売比率!W5</f>
        <v>3.6938886128197308</v>
      </c>
      <c r="AJ200" s="10">
        <f t="shared" si="509"/>
        <v>34</v>
      </c>
      <c r="AK200" s="21"/>
      <c r="AL200" s="19">
        <f t="shared" si="499"/>
        <v>34</v>
      </c>
      <c r="AM200" s="24">
        <f t="shared" si="362"/>
        <v>30.30611138718027</v>
      </c>
      <c r="AN200" s="81">
        <f>$H$200*月別販売比率!AB5</f>
        <v>5.8196891191709845</v>
      </c>
      <c r="AO200" s="10">
        <f t="shared" si="510"/>
        <v>34</v>
      </c>
      <c r="AP200" s="21"/>
      <c r="AQ200" s="10">
        <f t="shared" si="500"/>
        <v>34</v>
      </c>
      <c r="AR200" s="24">
        <f t="shared" si="363"/>
        <v>28.180310880829015</v>
      </c>
      <c r="AS200" s="81">
        <f>$H$200*月別販売比率!AG5</f>
        <v>4.8497409326424874</v>
      </c>
      <c r="AT200" s="10">
        <f t="shared" si="511"/>
        <v>34</v>
      </c>
      <c r="AU200" s="21"/>
      <c r="AV200" s="10">
        <f t="shared" si="501"/>
        <v>34</v>
      </c>
      <c r="AW200" s="24">
        <f t="shared" si="364"/>
        <v>29.150259067357513</v>
      </c>
      <c r="AX200" s="81">
        <f>$H$200*月別販売比率!AL5</f>
        <v>4.3647668393782384</v>
      </c>
      <c r="AY200" s="10">
        <f t="shared" si="512"/>
        <v>34</v>
      </c>
      <c r="AZ200" s="21"/>
      <c r="BA200" s="19">
        <f t="shared" si="513"/>
        <v>34</v>
      </c>
      <c r="BB200" s="24">
        <f t="shared" si="365"/>
        <v>29.635233160621762</v>
      </c>
      <c r="BC200" s="81">
        <f>$H$200*月別販売比率!AQ5</f>
        <v>4.8497409326424874</v>
      </c>
      <c r="BD200" s="10">
        <f t="shared" si="514"/>
        <v>34</v>
      </c>
      <c r="BE200" s="21"/>
      <c r="BF200" s="19">
        <f t="shared" si="515"/>
        <v>34</v>
      </c>
      <c r="BG200" s="24">
        <f t="shared" si="366"/>
        <v>29.150259067357513</v>
      </c>
      <c r="BH200" s="81">
        <f>$H$200*月別販売比率!AV5</f>
        <v>2.9532194542770767</v>
      </c>
      <c r="BI200" s="10">
        <f t="shared" si="516"/>
        <v>34</v>
      </c>
      <c r="BJ200" s="21"/>
      <c r="BK200" s="19">
        <f t="shared" si="517"/>
        <v>34</v>
      </c>
      <c r="BL200" s="24">
        <f t="shared" si="367"/>
        <v>31.046780545722925</v>
      </c>
      <c r="BM200" s="81">
        <f>$H$200*月別販売比率!BA5</f>
        <v>2.6975772528458166</v>
      </c>
      <c r="BN200" s="10">
        <f t="shared" si="518"/>
        <v>34</v>
      </c>
      <c r="BO200" s="21"/>
      <c r="BP200" s="19">
        <f t="shared" si="522"/>
        <v>34</v>
      </c>
      <c r="BQ200" s="24">
        <f t="shared" si="368"/>
        <v>31.302422747154182</v>
      </c>
      <c r="BR200" s="81">
        <f>$H$200*月別販売比率!BF5</f>
        <v>3.8797927461139898</v>
      </c>
      <c r="BS200" s="10">
        <f t="shared" si="519"/>
        <v>34</v>
      </c>
      <c r="BT200" s="21"/>
      <c r="BU200" s="19">
        <f t="shared" si="520"/>
        <v>34</v>
      </c>
      <c r="BV200" s="24">
        <f t="shared" si="369"/>
        <v>30.120207253886012</v>
      </c>
      <c r="BW200" s="158">
        <f t="shared" si="502"/>
        <v>34</v>
      </c>
      <c r="BX200" s="29">
        <f t="shared" si="521"/>
        <v>-14.497409326424872</v>
      </c>
    </row>
    <row r="201" spans="2:76" ht="30.75" customHeight="1">
      <c r="C201" s="507"/>
      <c r="D201" s="442"/>
      <c r="E201" s="94" t="s">
        <v>50</v>
      </c>
      <c r="F201" s="57">
        <v>18</v>
      </c>
      <c r="G201" s="5">
        <f t="shared" si="503"/>
        <v>71280</v>
      </c>
      <c r="H201" s="7">
        <f t="shared" si="504"/>
        <v>22.383419689119172</v>
      </c>
      <c r="I201" s="5">
        <f t="shared" si="503"/>
        <v>88638.341968911918</v>
      </c>
      <c r="J201" s="9">
        <v>66</v>
      </c>
      <c r="K201" s="21">
        <f t="shared" si="372"/>
        <v>12</v>
      </c>
      <c r="L201" s="21">
        <v>8</v>
      </c>
      <c r="M201" s="21">
        <v>4</v>
      </c>
      <c r="N201" s="42"/>
      <c r="O201" s="81">
        <f>$H$201*月別販売比率!C5</f>
        <v>1.5861842736809828</v>
      </c>
      <c r="P201" s="10">
        <f t="shared" si="107"/>
        <v>12</v>
      </c>
      <c r="Q201" s="21"/>
      <c r="R201" s="19">
        <f t="shared" si="505"/>
        <v>12</v>
      </c>
      <c r="S201" s="24">
        <f t="shared" si="358"/>
        <v>10.413815726319017</v>
      </c>
      <c r="T201" s="81">
        <f>$H$201*月別販売比率!H5</f>
        <v>1.5668393782383423</v>
      </c>
      <c r="U201" s="10">
        <f t="shared" si="506"/>
        <v>12</v>
      </c>
      <c r="V201" s="21"/>
      <c r="W201" s="10">
        <f t="shared" si="496"/>
        <v>12</v>
      </c>
      <c r="X201" s="24">
        <f t="shared" si="359"/>
        <v>10.433160621761658</v>
      </c>
      <c r="Y201" s="81">
        <f>$H$201*月別販売比率!M5</f>
        <v>2.262150968985416</v>
      </c>
      <c r="Z201" s="10">
        <f t="shared" si="507"/>
        <v>12</v>
      </c>
      <c r="AA201" s="21"/>
      <c r="AB201" s="124">
        <f t="shared" si="497"/>
        <v>12</v>
      </c>
      <c r="AC201" s="24">
        <f t="shared" si="360"/>
        <v>9.7378490310145835</v>
      </c>
      <c r="AD201" s="81">
        <f>$H$201*月別販売比率!R5</f>
        <v>1.7906735751295337</v>
      </c>
      <c r="AE201" s="10">
        <f t="shared" si="508"/>
        <v>12</v>
      </c>
      <c r="AF201" s="21"/>
      <c r="AG201" s="19">
        <f t="shared" si="498"/>
        <v>12</v>
      </c>
      <c r="AH201" s="24">
        <f t="shared" si="361"/>
        <v>10.209326424870467</v>
      </c>
      <c r="AI201" s="81">
        <f>$H$201*月別販売比率!W5</f>
        <v>1.7048716674552604</v>
      </c>
      <c r="AJ201" s="10">
        <f t="shared" si="509"/>
        <v>12</v>
      </c>
      <c r="AK201" s="21"/>
      <c r="AL201" s="19">
        <f t="shared" si="499"/>
        <v>12</v>
      </c>
      <c r="AM201" s="24">
        <f t="shared" si="362"/>
        <v>10.29512833254474</v>
      </c>
      <c r="AN201" s="81">
        <f>$H$201*月別販売比率!AB5</f>
        <v>2.6860103626943004</v>
      </c>
      <c r="AO201" s="10">
        <f t="shared" si="510"/>
        <v>12</v>
      </c>
      <c r="AP201" s="21"/>
      <c r="AQ201" s="10">
        <f t="shared" si="500"/>
        <v>12</v>
      </c>
      <c r="AR201" s="24">
        <f t="shared" si="363"/>
        <v>9.3139896373056992</v>
      </c>
      <c r="AS201" s="81">
        <f>$H$201*月別販売比率!AG5</f>
        <v>2.2383419689119175</v>
      </c>
      <c r="AT201" s="10">
        <f t="shared" si="511"/>
        <v>12</v>
      </c>
      <c r="AU201" s="21"/>
      <c r="AV201" s="10">
        <f t="shared" si="501"/>
        <v>12</v>
      </c>
      <c r="AW201" s="24">
        <f t="shared" si="364"/>
        <v>9.7616580310880821</v>
      </c>
      <c r="AX201" s="81">
        <f>$H$201*月別販売比率!AL5</f>
        <v>2.0145077720207256</v>
      </c>
      <c r="AY201" s="10">
        <f t="shared" si="512"/>
        <v>12</v>
      </c>
      <c r="AZ201" s="21"/>
      <c r="BA201" s="19">
        <f t="shared" si="513"/>
        <v>12</v>
      </c>
      <c r="BB201" s="24">
        <f t="shared" si="365"/>
        <v>9.9854922279792753</v>
      </c>
      <c r="BC201" s="81">
        <f>$H$201*月別販売比率!AQ5</f>
        <v>2.2383419689119175</v>
      </c>
      <c r="BD201" s="10">
        <f t="shared" si="514"/>
        <v>12</v>
      </c>
      <c r="BE201" s="21"/>
      <c r="BF201" s="19">
        <f t="shared" si="515"/>
        <v>12</v>
      </c>
      <c r="BG201" s="24">
        <f t="shared" si="366"/>
        <v>9.7616580310880821</v>
      </c>
      <c r="BH201" s="81">
        <f>$H$201*月別販売比率!AV5</f>
        <v>1.363024363512497</v>
      </c>
      <c r="BI201" s="10">
        <f t="shared" si="516"/>
        <v>12</v>
      </c>
      <c r="BJ201" s="21"/>
      <c r="BK201" s="19">
        <f t="shared" si="517"/>
        <v>12</v>
      </c>
      <c r="BL201" s="24">
        <f t="shared" si="367"/>
        <v>10.636975636487502</v>
      </c>
      <c r="BM201" s="81">
        <f>$H$201*月別販売比率!BA5</f>
        <v>1.2450356551596076</v>
      </c>
      <c r="BN201" s="10">
        <f t="shared" si="518"/>
        <v>12</v>
      </c>
      <c r="BO201" s="21"/>
      <c r="BP201" s="19">
        <f t="shared" si="522"/>
        <v>12</v>
      </c>
      <c r="BQ201" s="24">
        <f t="shared" si="368"/>
        <v>10.754964344840392</v>
      </c>
      <c r="BR201" s="81">
        <f>$H$201*月別販売比率!BF5</f>
        <v>1.7906735751295337</v>
      </c>
      <c r="BS201" s="10">
        <f t="shared" si="519"/>
        <v>12</v>
      </c>
      <c r="BT201" s="21"/>
      <c r="BU201" s="19">
        <f t="shared" si="520"/>
        <v>12</v>
      </c>
      <c r="BV201" s="24">
        <f t="shared" si="369"/>
        <v>10.209326424870467</v>
      </c>
      <c r="BW201" s="158">
        <f t="shared" si="502"/>
        <v>12</v>
      </c>
      <c r="BX201" s="29">
        <f t="shared" si="521"/>
        <v>-10.383419689119172</v>
      </c>
    </row>
    <row r="202" spans="2:76" ht="30.75" customHeight="1">
      <c r="C202" s="507"/>
      <c r="D202" s="443">
        <v>2</v>
      </c>
      <c r="E202" s="94" t="s">
        <v>46</v>
      </c>
      <c r="F202" s="57">
        <v>66</v>
      </c>
      <c r="G202" s="5">
        <f t="shared" si="503"/>
        <v>261360</v>
      </c>
      <c r="H202" s="7">
        <f t="shared" si="504"/>
        <v>82.07253886010362</v>
      </c>
      <c r="I202" s="5">
        <f t="shared" si="503"/>
        <v>325007.25388601032</v>
      </c>
      <c r="J202" s="9">
        <v>0</v>
      </c>
      <c r="K202" s="21">
        <f t="shared" si="372"/>
        <v>61</v>
      </c>
      <c r="L202" s="21">
        <v>15</v>
      </c>
      <c r="M202" s="21">
        <v>5</v>
      </c>
      <c r="N202" s="42">
        <v>41</v>
      </c>
      <c r="O202" s="81">
        <f>$H$202*月別販売比率!C5</f>
        <v>5.8160090034969363</v>
      </c>
      <c r="P202" s="10">
        <f t="shared" si="107"/>
        <v>61</v>
      </c>
      <c r="Q202" s="21">
        <v>50</v>
      </c>
      <c r="R202" s="19">
        <f t="shared" si="505"/>
        <v>111</v>
      </c>
      <c r="S202" s="24">
        <f t="shared" si="358"/>
        <v>105.18399099650307</v>
      </c>
      <c r="T202" s="81">
        <f>$H$202*月別販売比率!H5</f>
        <v>5.745077720207254</v>
      </c>
      <c r="U202" s="10">
        <f t="shared" si="506"/>
        <v>61</v>
      </c>
      <c r="V202" s="21"/>
      <c r="W202" s="10">
        <f t="shared" si="496"/>
        <v>61</v>
      </c>
      <c r="X202" s="24">
        <f t="shared" si="359"/>
        <v>55.254922279792744</v>
      </c>
      <c r="Y202" s="81">
        <f>$H$202*月別販売比率!M5</f>
        <v>8.2945535529465246</v>
      </c>
      <c r="Z202" s="10">
        <f t="shared" si="507"/>
        <v>61</v>
      </c>
      <c r="AA202" s="21"/>
      <c r="AB202" s="124">
        <f t="shared" si="497"/>
        <v>61</v>
      </c>
      <c r="AC202" s="24">
        <f t="shared" si="360"/>
        <v>52.705446447053475</v>
      </c>
      <c r="AD202" s="81">
        <f>$H$202*月別販売比率!R5</f>
        <v>6.5658031088082893</v>
      </c>
      <c r="AE202" s="10">
        <f t="shared" si="508"/>
        <v>61</v>
      </c>
      <c r="AF202" s="21"/>
      <c r="AG202" s="19">
        <f t="shared" si="498"/>
        <v>61</v>
      </c>
      <c r="AH202" s="24">
        <f t="shared" si="361"/>
        <v>54.434196891191711</v>
      </c>
      <c r="AI202" s="81">
        <f>$H$202*月別販売比率!W5</f>
        <v>6.2511961140026209</v>
      </c>
      <c r="AJ202" s="10">
        <f t="shared" si="509"/>
        <v>61</v>
      </c>
      <c r="AK202" s="21"/>
      <c r="AL202" s="19">
        <f t="shared" si="499"/>
        <v>61</v>
      </c>
      <c r="AM202" s="24">
        <f t="shared" si="362"/>
        <v>54.748803885997376</v>
      </c>
      <c r="AN202" s="81">
        <f>$H$202*月別販売比率!AB5</f>
        <v>9.848704663212434</v>
      </c>
      <c r="AO202" s="10">
        <f t="shared" si="510"/>
        <v>61</v>
      </c>
      <c r="AP202" s="21"/>
      <c r="AQ202" s="10">
        <f t="shared" si="500"/>
        <v>61</v>
      </c>
      <c r="AR202" s="24">
        <f t="shared" si="363"/>
        <v>51.15129533678757</v>
      </c>
      <c r="AS202" s="81">
        <f>$H$202*月別販売比率!AG5</f>
        <v>8.2072538860103617</v>
      </c>
      <c r="AT202" s="10">
        <f t="shared" si="511"/>
        <v>61</v>
      </c>
      <c r="AU202" s="21"/>
      <c r="AV202" s="10">
        <f t="shared" si="501"/>
        <v>61</v>
      </c>
      <c r="AW202" s="24">
        <f t="shared" si="364"/>
        <v>52.792746113989637</v>
      </c>
      <c r="AX202" s="81">
        <f>$H$202*月別販売比率!AL5</f>
        <v>7.3865284974093255</v>
      </c>
      <c r="AY202" s="10">
        <f t="shared" si="512"/>
        <v>61</v>
      </c>
      <c r="AZ202" s="21"/>
      <c r="BA202" s="19">
        <f t="shared" si="513"/>
        <v>61</v>
      </c>
      <c r="BB202" s="24">
        <f t="shared" si="365"/>
        <v>53.613471502590677</v>
      </c>
      <c r="BC202" s="81">
        <f>$H$202*月別販売比率!AQ5</f>
        <v>8.2072538860103617</v>
      </c>
      <c r="BD202" s="10">
        <f t="shared" si="514"/>
        <v>61</v>
      </c>
      <c r="BE202" s="21"/>
      <c r="BF202" s="19">
        <f t="shared" si="515"/>
        <v>61</v>
      </c>
      <c r="BG202" s="24">
        <f t="shared" si="366"/>
        <v>52.792746113989637</v>
      </c>
      <c r="BH202" s="81">
        <f>$H$202*月別販売比率!AV5</f>
        <v>4.9977559995458218</v>
      </c>
      <c r="BI202" s="10">
        <f t="shared" si="516"/>
        <v>61</v>
      </c>
      <c r="BJ202" s="21"/>
      <c r="BK202" s="19">
        <f t="shared" si="517"/>
        <v>61</v>
      </c>
      <c r="BL202" s="24">
        <f t="shared" si="367"/>
        <v>56.002244000454176</v>
      </c>
      <c r="BM202" s="81">
        <f>$H$202*月別販売比率!BA5</f>
        <v>4.5651307355852273</v>
      </c>
      <c r="BN202" s="10">
        <f t="shared" si="518"/>
        <v>61</v>
      </c>
      <c r="BO202" s="21"/>
      <c r="BP202" s="19">
        <f t="shared" si="522"/>
        <v>61</v>
      </c>
      <c r="BQ202" s="24">
        <f t="shared" si="368"/>
        <v>56.434869264414772</v>
      </c>
      <c r="BR202" s="81">
        <f>$H$202*月別販売比率!BF5</f>
        <v>6.5658031088082893</v>
      </c>
      <c r="BS202" s="10">
        <f t="shared" si="519"/>
        <v>61</v>
      </c>
      <c r="BT202" s="21"/>
      <c r="BU202" s="19">
        <f t="shared" si="520"/>
        <v>61</v>
      </c>
      <c r="BV202" s="24">
        <f t="shared" si="369"/>
        <v>54.434196891191711</v>
      </c>
      <c r="BW202" s="158">
        <f t="shared" si="502"/>
        <v>111</v>
      </c>
      <c r="BX202" s="29">
        <f t="shared" si="521"/>
        <v>28.92746113989638</v>
      </c>
    </row>
    <row r="203" spans="2:76" ht="30.75" customHeight="1">
      <c r="C203" s="507"/>
      <c r="D203" s="441"/>
      <c r="E203" s="94" t="s">
        <v>47</v>
      </c>
      <c r="F203" s="57">
        <v>98</v>
      </c>
      <c r="G203" s="5">
        <f t="shared" si="503"/>
        <v>388080</v>
      </c>
      <c r="H203" s="7">
        <f t="shared" si="504"/>
        <v>121.86528497409326</v>
      </c>
      <c r="I203" s="5">
        <f t="shared" si="503"/>
        <v>482586.52849740931</v>
      </c>
      <c r="J203" s="9">
        <v>0</v>
      </c>
      <c r="K203" s="21">
        <f t="shared" si="372"/>
        <v>39</v>
      </c>
      <c r="L203" s="21">
        <v>11</v>
      </c>
      <c r="M203" s="21">
        <v>3</v>
      </c>
      <c r="N203" s="42">
        <v>25</v>
      </c>
      <c r="O203" s="81">
        <f>$H$203*月別販売比率!C5</f>
        <v>8.6358921567075715</v>
      </c>
      <c r="P203" s="10">
        <f t="shared" si="107"/>
        <v>39</v>
      </c>
      <c r="Q203" s="21">
        <v>50</v>
      </c>
      <c r="R203" s="19">
        <f t="shared" si="505"/>
        <v>89</v>
      </c>
      <c r="S203" s="24">
        <f t="shared" si="358"/>
        <v>80.36410784329243</v>
      </c>
      <c r="T203" s="81">
        <f>$H$203*月別販売比率!H5</f>
        <v>8.5305699481865283</v>
      </c>
      <c r="U203" s="10">
        <f t="shared" si="506"/>
        <v>39</v>
      </c>
      <c r="V203" s="21"/>
      <c r="W203" s="10">
        <f t="shared" si="496"/>
        <v>39</v>
      </c>
      <c r="X203" s="24">
        <f t="shared" si="359"/>
        <v>30.469430051813472</v>
      </c>
      <c r="Y203" s="81">
        <f>$H$203*月別販売比率!M5</f>
        <v>12.316155275587263</v>
      </c>
      <c r="Z203" s="10">
        <f t="shared" si="507"/>
        <v>39</v>
      </c>
      <c r="AA203" s="21"/>
      <c r="AB203" s="124">
        <f t="shared" si="497"/>
        <v>39</v>
      </c>
      <c r="AC203" s="24">
        <f t="shared" si="360"/>
        <v>26.683844724412737</v>
      </c>
      <c r="AD203" s="81">
        <f>$H$203*月別販売比率!R5</f>
        <v>9.7492227979274606</v>
      </c>
      <c r="AE203" s="10">
        <f t="shared" si="508"/>
        <v>39</v>
      </c>
      <c r="AF203" s="21"/>
      <c r="AG203" s="19">
        <f t="shared" si="498"/>
        <v>39</v>
      </c>
      <c r="AH203" s="24">
        <f t="shared" si="361"/>
        <v>29.250777202072541</v>
      </c>
      <c r="AI203" s="81">
        <f>$H$203*月別販売比率!W5</f>
        <v>9.2820790783675289</v>
      </c>
      <c r="AJ203" s="10">
        <f t="shared" si="509"/>
        <v>39</v>
      </c>
      <c r="AK203" s="21"/>
      <c r="AL203" s="19">
        <f t="shared" si="499"/>
        <v>39</v>
      </c>
      <c r="AM203" s="24">
        <f t="shared" si="362"/>
        <v>29.717920921632469</v>
      </c>
      <c r="AN203" s="81">
        <f>$H$203*月別販売比率!AB5</f>
        <v>14.62383419689119</v>
      </c>
      <c r="AO203" s="10">
        <f t="shared" si="510"/>
        <v>39</v>
      </c>
      <c r="AP203" s="21"/>
      <c r="AQ203" s="10">
        <f t="shared" si="500"/>
        <v>39</v>
      </c>
      <c r="AR203" s="24">
        <f t="shared" si="363"/>
        <v>24.376165803108812</v>
      </c>
      <c r="AS203" s="81">
        <f>$H$203*月別販売比率!AG5</f>
        <v>12.186528497409327</v>
      </c>
      <c r="AT203" s="10">
        <f t="shared" si="511"/>
        <v>39</v>
      </c>
      <c r="AU203" s="21"/>
      <c r="AV203" s="10">
        <f t="shared" si="501"/>
        <v>39</v>
      </c>
      <c r="AW203" s="24">
        <f t="shared" si="364"/>
        <v>26.813471502590673</v>
      </c>
      <c r="AX203" s="81">
        <f>$H$203*月別販売比率!AL5</f>
        <v>10.967875647668393</v>
      </c>
      <c r="AY203" s="10">
        <f t="shared" si="512"/>
        <v>39</v>
      </c>
      <c r="AZ203" s="21"/>
      <c r="BA203" s="19">
        <f t="shared" si="513"/>
        <v>39</v>
      </c>
      <c r="BB203" s="24">
        <f t="shared" si="365"/>
        <v>28.032124352331607</v>
      </c>
      <c r="BC203" s="81">
        <f>$H$203*月別販売比率!AQ5</f>
        <v>12.186528497409327</v>
      </c>
      <c r="BD203" s="10">
        <f t="shared" si="514"/>
        <v>39</v>
      </c>
      <c r="BE203" s="21"/>
      <c r="BF203" s="19">
        <f t="shared" si="515"/>
        <v>39</v>
      </c>
      <c r="BG203" s="24">
        <f t="shared" si="366"/>
        <v>26.813471502590673</v>
      </c>
      <c r="BH203" s="81">
        <f>$H$203*月別販売比率!AV5</f>
        <v>7.4209104235680385</v>
      </c>
      <c r="BI203" s="10">
        <f t="shared" si="516"/>
        <v>39</v>
      </c>
      <c r="BJ203" s="21"/>
      <c r="BK203" s="19">
        <f t="shared" si="517"/>
        <v>39</v>
      </c>
      <c r="BL203" s="24">
        <f t="shared" si="367"/>
        <v>31.579089576431961</v>
      </c>
      <c r="BM203" s="81">
        <f>$H$203*月別販売比率!BA5</f>
        <v>6.7785274558689741</v>
      </c>
      <c r="BN203" s="10">
        <f t="shared" si="518"/>
        <v>39</v>
      </c>
      <c r="BO203" s="21"/>
      <c r="BP203" s="19">
        <f t="shared" si="522"/>
        <v>39</v>
      </c>
      <c r="BQ203" s="24">
        <f t="shared" si="368"/>
        <v>32.221472544131025</v>
      </c>
      <c r="BR203" s="81">
        <f>$H$203*月別販売比率!BF5</f>
        <v>9.7492227979274606</v>
      </c>
      <c r="BS203" s="10">
        <f t="shared" si="519"/>
        <v>39</v>
      </c>
      <c r="BT203" s="21"/>
      <c r="BU203" s="19">
        <f t="shared" si="520"/>
        <v>39</v>
      </c>
      <c r="BV203" s="24">
        <f t="shared" si="369"/>
        <v>29.250777202072541</v>
      </c>
      <c r="BW203" s="158">
        <f t="shared" si="502"/>
        <v>89</v>
      </c>
      <c r="BX203" s="29">
        <f t="shared" si="521"/>
        <v>-32.865284974093257</v>
      </c>
    </row>
    <row r="204" spans="2:76" ht="30.75" customHeight="1">
      <c r="C204" s="507"/>
      <c r="D204" s="441"/>
      <c r="E204" s="94" t="s">
        <v>51</v>
      </c>
      <c r="F204" s="57">
        <v>70</v>
      </c>
      <c r="G204" s="5">
        <f t="shared" si="503"/>
        <v>277200</v>
      </c>
      <c r="H204" s="7">
        <f t="shared" si="504"/>
        <v>87.046632124352328</v>
      </c>
      <c r="I204" s="5">
        <f t="shared" si="503"/>
        <v>344704.6632124352</v>
      </c>
      <c r="J204" s="9">
        <v>0</v>
      </c>
      <c r="K204" s="21">
        <f t="shared" si="372"/>
        <v>55</v>
      </c>
      <c r="L204" s="21">
        <v>7</v>
      </c>
      <c r="M204" s="21">
        <v>2</v>
      </c>
      <c r="N204" s="42">
        <v>46</v>
      </c>
      <c r="O204" s="81">
        <f>$H$204*月別販売比率!C5</f>
        <v>6.1684943976482662</v>
      </c>
      <c r="P204" s="10">
        <f t="shared" si="107"/>
        <v>55</v>
      </c>
      <c r="Q204" s="21">
        <v>50</v>
      </c>
      <c r="R204" s="19">
        <f t="shared" si="505"/>
        <v>105</v>
      </c>
      <c r="S204" s="24">
        <f t="shared" si="358"/>
        <v>98.83150560235174</v>
      </c>
      <c r="T204" s="81">
        <f>$H$204*月別販売比率!H5</f>
        <v>6.0932642487046635</v>
      </c>
      <c r="U204" s="10">
        <f t="shared" si="506"/>
        <v>55</v>
      </c>
      <c r="V204" s="21"/>
      <c r="W204" s="10">
        <f t="shared" si="496"/>
        <v>55</v>
      </c>
      <c r="X204" s="24">
        <f t="shared" si="359"/>
        <v>48.906735751295336</v>
      </c>
      <c r="Y204" s="81">
        <f>$H$204*月別販売比率!M5</f>
        <v>8.797253768276617</v>
      </c>
      <c r="Z204" s="10">
        <f t="shared" si="507"/>
        <v>55</v>
      </c>
      <c r="AA204" s="21"/>
      <c r="AB204" s="124">
        <f t="shared" si="497"/>
        <v>55</v>
      </c>
      <c r="AC204" s="24">
        <f t="shared" si="360"/>
        <v>46.202746231723381</v>
      </c>
      <c r="AD204" s="81">
        <f>$H$204*月別販売比率!R5</f>
        <v>6.9637305699481864</v>
      </c>
      <c r="AE204" s="10">
        <f t="shared" si="508"/>
        <v>55</v>
      </c>
      <c r="AF204" s="21"/>
      <c r="AG204" s="19">
        <f t="shared" si="498"/>
        <v>55</v>
      </c>
      <c r="AH204" s="24">
        <f t="shared" si="361"/>
        <v>48.036269430051817</v>
      </c>
      <c r="AI204" s="81">
        <f>$H$204*月別販売比率!W5</f>
        <v>6.630056484548235</v>
      </c>
      <c r="AJ204" s="10">
        <f t="shared" si="509"/>
        <v>55</v>
      </c>
      <c r="AK204" s="21"/>
      <c r="AL204" s="19">
        <f t="shared" si="499"/>
        <v>55</v>
      </c>
      <c r="AM204" s="24">
        <f t="shared" si="362"/>
        <v>48.369943515451766</v>
      </c>
      <c r="AN204" s="81">
        <f>$H$204*月別販売比率!AB5</f>
        <v>10.44559585492228</v>
      </c>
      <c r="AO204" s="10">
        <f t="shared" si="510"/>
        <v>55</v>
      </c>
      <c r="AP204" s="21"/>
      <c r="AQ204" s="10">
        <f t="shared" si="500"/>
        <v>55</v>
      </c>
      <c r="AR204" s="24">
        <f t="shared" si="363"/>
        <v>44.554404145077719</v>
      </c>
      <c r="AS204" s="81">
        <f>$H$204*月別販売比率!AG5</f>
        <v>8.7046632124352339</v>
      </c>
      <c r="AT204" s="10">
        <f t="shared" si="511"/>
        <v>55</v>
      </c>
      <c r="AU204" s="21"/>
      <c r="AV204" s="10">
        <f t="shared" si="501"/>
        <v>55</v>
      </c>
      <c r="AW204" s="24">
        <f t="shared" si="364"/>
        <v>46.295336787564764</v>
      </c>
      <c r="AX204" s="81">
        <f>$H$204*月別販売比率!AL5</f>
        <v>7.8341968911917093</v>
      </c>
      <c r="AY204" s="10">
        <f t="shared" si="512"/>
        <v>55</v>
      </c>
      <c r="AZ204" s="21"/>
      <c r="BA204" s="19">
        <f t="shared" si="513"/>
        <v>55</v>
      </c>
      <c r="BB204" s="24">
        <f t="shared" si="365"/>
        <v>47.165803108808291</v>
      </c>
      <c r="BC204" s="81">
        <f>$H$204*月別販売比率!AQ5</f>
        <v>8.7046632124352339</v>
      </c>
      <c r="BD204" s="10">
        <f t="shared" si="514"/>
        <v>55</v>
      </c>
      <c r="BE204" s="21"/>
      <c r="BF204" s="19">
        <f t="shared" si="515"/>
        <v>55</v>
      </c>
      <c r="BG204" s="24">
        <f t="shared" si="366"/>
        <v>46.295336787564764</v>
      </c>
      <c r="BH204" s="81">
        <f>$H$204*月別販売比率!AV5</f>
        <v>5.3006503025485987</v>
      </c>
      <c r="BI204" s="10">
        <f t="shared" si="516"/>
        <v>55</v>
      </c>
      <c r="BJ204" s="21"/>
      <c r="BK204" s="19">
        <f t="shared" si="517"/>
        <v>55</v>
      </c>
      <c r="BL204" s="24">
        <f t="shared" si="367"/>
        <v>49.699349697451403</v>
      </c>
      <c r="BM204" s="81">
        <f>$H$204*月別販売比率!BA5</f>
        <v>4.8418053256206957</v>
      </c>
      <c r="BN204" s="10">
        <f t="shared" si="518"/>
        <v>55</v>
      </c>
      <c r="BO204" s="21"/>
      <c r="BP204" s="19">
        <f t="shared" si="522"/>
        <v>55</v>
      </c>
      <c r="BQ204" s="24">
        <f t="shared" si="368"/>
        <v>50.158194674379303</v>
      </c>
      <c r="BR204" s="81">
        <f>$H$204*月別販売比率!BF5</f>
        <v>6.9637305699481864</v>
      </c>
      <c r="BS204" s="10">
        <f t="shared" si="519"/>
        <v>55</v>
      </c>
      <c r="BT204" s="21"/>
      <c r="BU204" s="19">
        <f t="shared" si="520"/>
        <v>55</v>
      </c>
      <c r="BV204" s="24">
        <f t="shared" si="369"/>
        <v>48.036269430051817</v>
      </c>
      <c r="BW204" s="158">
        <f t="shared" si="502"/>
        <v>105</v>
      </c>
      <c r="BX204" s="29">
        <f t="shared" si="521"/>
        <v>17.953367875647672</v>
      </c>
    </row>
    <row r="205" spans="2:76" ht="30.75" customHeight="1">
      <c r="C205" s="507"/>
      <c r="D205" s="441"/>
      <c r="E205" s="94" t="s">
        <v>49</v>
      </c>
      <c r="F205" s="57">
        <v>48</v>
      </c>
      <c r="G205" s="5">
        <f t="shared" si="503"/>
        <v>190080</v>
      </c>
      <c r="H205" s="7">
        <f t="shared" si="504"/>
        <v>59.689119170984455</v>
      </c>
      <c r="I205" s="5">
        <f t="shared" si="503"/>
        <v>236368.91191709845</v>
      </c>
      <c r="J205" s="9">
        <v>29</v>
      </c>
      <c r="K205" s="21">
        <f t="shared" si="372"/>
        <v>11</v>
      </c>
      <c r="L205" s="21">
        <v>8</v>
      </c>
      <c r="M205" s="21">
        <v>3</v>
      </c>
      <c r="N205" s="42"/>
      <c r="O205" s="81">
        <f>$H$205*月別販売比率!C5</f>
        <v>4.2298247298159541</v>
      </c>
      <c r="P205" s="10">
        <f t="shared" si="107"/>
        <v>11</v>
      </c>
      <c r="Q205" s="21"/>
      <c r="R205" s="19">
        <f t="shared" si="505"/>
        <v>11</v>
      </c>
      <c r="S205" s="24">
        <f t="shared" si="358"/>
        <v>6.7701752701840459</v>
      </c>
      <c r="T205" s="81">
        <f>$H$205*月別販売比率!H5</f>
        <v>4.1782383419689122</v>
      </c>
      <c r="U205" s="10">
        <f t="shared" si="506"/>
        <v>11</v>
      </c>
      <c r="V205" s="21"/>
      <c r="W205" s="10">
        <f t="shared" si="496"/>
        <v>11</v>
      </c>
      <c r="X205" s="24">
        <f t="shared" si="359"/>
        <v>6.8217616580310878</v>
      </c>
      <c r="Y205" s="81">
        <f>$H$205*月別販売比率!M5</f>
        <v>6.0324025839611091</v>
      </c>
      <c r="Z205" s="10">
        <f t="shared" si="507"/>
        <v>11</v>
      </c>
      <c r="AA205" s="21"/>
      <c r="AB205" s="124">
        <f t="shared" si="497"/>
        <v>11</v>
      </c>
      <c r="AC205" s="24">
        <f t="shared" si="360"/>
        <v>4.9675974160388909</v>
      </c>
      <c r="AD205" s="81">
        <f>$H$205*月別販売比率!R5</f>
        <v>4.7751295336787569</v>
      </c>
      <c r="AE205" s="10">
        <f t="shared" si="508"/>
        <v>11</v>
      </c>
      <c r="AF205" s="21"/>
      <c r="AG205" s="19">
        <f t="shared" si="498"/>
        <v>11</v>
      </c>
      <c r="AH205" s="24">
        <f t="shared" si="361"/>
        <v>6.2248704663212431</v>
      </c>
      <c r="AI205" s="81">
        <f>$H$205*月別販売比率!W5</f>
        <v>4.5463244465473611</v>
      </c>
      <c r="AJ205" s="10">
        <f t="shared" si="509"/>
        <v>11</v>
      </c>
      <c r="AK205" s="21"/>
      <c r="AL205" s="19">
        <f t="shared" si="499"/>
        <v>11</v>
      </c>
      <c r="AM205" s="24">
        <f t="shared" si="362"/>
        <v>6.4536755534526389</v>
      </c>
      <c r="AN205" s="81">
        <f>$H$205*月別販売比率!AB5</f>
        <v>7.162694300518134</v>
      </c>
      <c r="AO205" s="10">
        <f t="shared" si="510"/>
        <v>11</v>
      </c>
      <c r="AP205" s="21"/>
      <c r="AQ205" s="10">
        <f t="shared" si="500"/>
        <v>11</v>
      </c>
      <c r="AR205" s="24">
        <f t="shared" si="363"/>
        <v>3.837305699481866</v>
      </c>
      <c r="AS205" s="81">
        <f>$H$205*月別販売比率!AG5</f>
        <v>5.9689119170984455</v>
      </c>
      <c r="AT205" s="10">
        <f t="shared" si="511"/>
        <v>11</v>
      </c>
      <c r="AU205" s="21"/>
      <c r="AV205" s="10">
        <f t="shared" si="501"/>
        <v>11</v>
      </c>
      <c r="AW205" s="24">
        <f t="shared" si="364"/>
        <v>5.0310880829015545</v>
      </c>
      <c r="AX205" s="81">
        <f>$H$205*月別販売比率!AL5</f>
        <v>5.3720207253886008</v>
      </c>
      <c r="AY205" s="10">
        <f t="shared" si="512"/>
        <v>11</v>
      </c>
      <c r="AZ205" s="21"/>
      <c r="BA205" s="19">
        <f t="shared" si="513"/>
        <v>11</v>
      </c>
      <c r="BB205" s="24">
        <f t="shared" si="365"/>
        <v>5.6279792746113992</v>
      </c>
      <c r="BC205" s="81">
        <f>$H$205*月別販売比率!AQ5</f>
        <v>5.9689119170984455</v>
      </c>
      <c r="BD205" s="10">
        <f t="shared" si="514"/>
        <v>11</v>
      </c>
      <c r="BE205" s="21"/>
      <c r="BF205" s="19">
        <f t="shared" si="515"/>
        <v>11</v>
      </c>
      <c r="BG205" s="24">
        <f t="shared" si="366"/>
        <v>5.0310880829015545</v>
      </c>
      <c r="BH205" s="81">
        <f>$H$205*月別販売比率!AV5</f>
        <v>3.6347316360333251</v>
      </c>
      <c r="BI205" s="10">
        <f t="shared" si="516"/>
        <v>11</v>
      </c>
      <c r="BJ205" s="21"/>
      <c r="BK205" s="19">
        <f t="shared" si="517"/>
        <v>11</v>
      </c>
      <c r="BL205" s="24">
        <f t="shared" si="367"/>
        <v>7.3652683639666749</v>
      </c>
      <c r="BM205" s="81">
        <f>$H$205*月別販売比率!BA5</f>
        <v>3.3200950804256202</v>
      </c>
      <c r="BN205" s="10">
        <f t="shared" si="518"/>
        <v>11</v>
      </c>
      <c r="BO205" s="21"/>
      <c r="BP205" s="19">
        <f t="shared" si="522"/>
        <v>11</v>
      </c>
      <c r="BQ205" s="24">
        <f t="shared" si="368"/>
        <v>7.6799049195743798</v>
      </c>
      <c r="BR205" s="81">
        <f>$H$205*月別販売比率!BF5</f>
        <v>4.7751295336787569</v>
      </c>
      <c r="BS205" s="10">
        <f t="shared" si="519"/>
        <v>11</v>
      </c>
      <c r="BT205" s="21"/>
      <c r="BU205" s="19">
        <f t="shared" si="520"/>
        <v>11</v>
      </c>
      <c r="BV205" s="24">
        <f t="shared" si="369"/>
        <v>6.2248704663212431</v>
      </c>
      <c r="BW205" s="158">
        <f t="shared" si="502"/>
        <v>11</v>
      </c>
      <c r="BX205" s="29">
        <f t="shared" si="521"/>
        <v>-48.689119170984455</v>
      </c>
    </row>
    <row r="206" spans="2:76" ht="30.75" customHeight="1">
      <c r="C206" s="508"/>
      <c r="D206" s="444"/>
      <c r="E206" s="101" t="s">
        <v>50</v>
      </c>
      <c r="F206" s="58">
        <v>35</v>
      </c>
      <c r="G206" s="35">
        <f t="shared" si="503"/>
        <v>138600</v>
      </c>
      <c r="H206" s="181">
        <f t="shared" si="504"/>
        <v>43.523316062176164</v>
      </c>
      <c r="I206" s="35">
        <f t="shared" si="503"/>
        <v>172352.3316062176</v>
      </c>
      <c r="J206" s="113">
        <v>36</v>
      </c>
      <c r="K206" s="104">
        <f t="shared" si="372"/>
        <v>12</v>
      </c>
      <c r="L206" s="104">
        <v>9</v>
      </c>
      <c r="M206" s="104">
        <v>3</v>
      </c>
      <c r="N206" s="117"/>
      <c r="O206" s="81">
        <f>$H$206*月別販売比率!C5</f>
        <v>3.0842471988241331</v>
      </c>
      <c r="P206" s="106">
        <f t="shared" si="107"/>
        <v>12</v>
      </c>
      <c r="Q206" s="107"/>
      <c r="R206" s="2">
        <f t="shared" si="505"/>
        <v>12</v>
      </c>
      <c r="S206" s="195">
        <f t="shared" si="358"/>
        <v>8.9157528011758664</v>
      </c>
      <c r="T206" s="81">
        <f>$H$206*月別販売比率!H5</f>
        <v>3.0466321243523318</v>
      </c>
      <c r="U206" s="106">
        <f t="shared" si="506"/>
        <v>12</v>
      </c>
      <c r="V206" s="107"/>
      <c r="W206" s="106">
        <f t="shared" si="496"/>
        <v>12</v>
      </c>
      <c r="X206" s="195">
        <f t="shared" si="359"/>
        <v>8.9533678756476682</v>
      </c>
      <c r="Y206" s="81">
        <f>$H$206*月別販売比率!M5</f>
        <v>4.3986268841383085</v>
      </c>
      <c r="Z206" s="106">
        <f t="shared" si="507"/>
        <v>12</v>
      </c>
      <c r="AA206" s="79"/>
      <c r="AB206" s="198">
        <f t="shared" si="497"/>
        <v>12</v>
      </c>
      <c r="AC206" s="195">
        <f t="shared" si="360"/>
        <v>7.6013731158616915</v>
      </c>
      <c r="AD206" s="81">
        <f>$H$206*月別販売比率!R5</f>
        <v>3.4818652849740932</v>
      </c>
      <c r="AE206" s="80">
        <f t="shared" si="508"/>
        <v>12</v>
      </c>
      <c r="AF206" s="79"/>
      <c r="AG206" s="78">
        <f t="shared" si="498"/>
        <v>12</v>
      </c>
      <c r="AH206" s="195">
        <f t="shared" si="361"/>
        <v>8.5181347150259068</v>
      </c>
      <c r="AI206" s="81">
        <f>$H$206*月別販売比率!W5</f>
        <v>3.3150282422741175</v>
      </c>
      <c r="AJ206" s="80">
        <f t="shared" si="509"/>
        <v>12</v>
      </c>
      <c r="AK206" s="79"/>
      <c r="AL206" s="78">
        <f t="shared" si="499"/>
        <v>12</v>
      </c>
      <c r="AM206" s="195">
        <f t="shared" si="362"/>
        <v>8.6849717577258829</v>
      </c>
      <c r="AN206" s="81">
        <f>$H$206*月別販売比率!AB5</f>
        <v>5.2227979274611398</v>
      </c>
      <c r="AO206" s="80">
        <f t="shared" si="510"/>
        <v>12</v>
      </c>
      <c r="AP206" s="79"/>
      <c r="AQ206" s="106">
        <f t="shared" si="500"/>
        <v>12</v>
      </c>
      <c r="AR206" s="195">
        <f t="shared" si="363"/>
        <v>6.7772020725388602</v>
      </c>
      <c r="AS206" s="81">
        <f>$H$206*月別販売比率!AG5</f>
        <v>4.3523316062176169</v>
      </c>
      <c r="AT206" s="106">
        <f t="shared" si="511"/>
        <v>12</v>
      </c>
      <c r="AU206" s="107"/>
      <c r="AV206" s="106">
        <f t="shared" si="501"/>
        <v>12</v>
      </c>
      <c r="AW206" s="195">
        <f t="shared" si="364"/>
        <v>7.6476683937823831</v>
      </c>
      <c r="AX206" s="81">
        <f>$H$206*月別販売比率!AL5</f>
        <v>3.9170984455958546</v>
      </c>
      <c r="AY206" s="106">
        <f t="shared" si="512"/>
        <v>12</v>
      </c>
      <c r="AZ206" s="107"/>
      <c r="BA206" s="2">
        <f t="shared" si="513"/>
        <v>12</v>
      </c>
      <c r="BB206" s="195">
        <f t="shared" si="365"/>
        <v>8.0829015544041454</v>
      </c>
      <c r="BC206" s="81">
        <f>$H$206*月別販売比率!AQ5</f>
        <v>4.3523316062176169</v>
      </c>
      <c r="BD206" s="106">
        <f t="shared" si="514"/>
        <v>12</v>
      </c>
      <c r="BE206" s="107"/>
      <c r="BF206" s="2">
        <f t="shared" si="515"/>
        <v>12</v>
      </c>
      <c r="BG206" s="195">
        <f t="shared" si="366"/>
        <v>7.6476683937823831</v>
      </c>
      <c r="BH206" s="81">
        <f>$H$206*月別販売比率!AV5</f>
        <v>2.6503251512742994</v>
      </c>
      <c r="BI206" s="106">
        <f t="shared" si="516"/>
        <v>12</v>
      </c>
      <c r="BJ206" s="107"/>
      <c r="BK206" s="2">
        <f t="shared" si="517"/>
        <v>12</v>
      </c>
      <c r="BL206" s="195">
        <f t="shared" si="367"/>
        <v>9.3496748487257015</v>
      </c>
      <c r="BM206" s="81">
        <f>$H$206*月別販売比率!BA5</f>
        <v>2.4209026628103478</v>
      </c>
      <c r="BN206" s="106">
        <f t="shared" si="518"/>
        <v>12</v>
      </c>
      <c r="BO206" s="107"/>
      <c r="BP206" s="2">
        <f t="shared" si="522"/>
        <v>12</v>
      </c>
      <c r="BQ206" s="195">
        <f t="shared" si="368"/>
        <v>9.5790973371896513</v>
      </c>
      <c r="BR206" s="81">
        <f>$H$206*月別販売比率!BF5</f>
        <v>3.4818652849740932</v>
      </c>
      <c r="BS206" s="110">
        <f t="shared" si="519"/>
        <v>12</v>
      </c>
      <c r="BT206" s="104"/>
      <c r="BU206" s="115">
        <f t="shared" si="520"/>
        <v>12</v>
      </c>
      <c r="BV206" s="92">
        <f t="shared" si="369"/>
        <v>8.5181347150259068</v>
      </c>
      <c r="BW206" s="159">
        <f t="shared" si="502"/>
        <v>12</v>
      </c>
      <c r="BX206" s="116">
        <f t="shared" si="521"/>
        <v>-31.523316062176164</v>
      </c>
    </row>
    <row r="207" spans="2:76" ht="30.75" customHeight="1">
      <c r="B207" s="2">
        <v>16</v>
      </c>
      <c r="C207" s="435" t="s">
        <v>14</v>
      </c>
      <c r="D207" s="436"/>
      <c r="E207" s="445"/>
      <c r="F207" s="130">
        <v>345</v>
      </c>
      <c r="G207" s="131">
        <v>1517169.5549999999</v>
      </c>
      <c r="H207" s="132">
        <v>400</v>
      </c>
      <c r="I207" s="131">
        <f t="shared" si="42"/>
        <v>1759037.1652173912</v>
      </c>
      <c r="J207" s="133">
        <f>SUM(J209:J223)</f>
        <v>382</v>
      </c>
      <c r="K207" s="134">
        <f t="shared" ref="K207:N207" si="523">SUM(K209:K223)</f>
        <v>192</v>
      </c>
      <c r="L207" s="134">
        <f t="shared" si="523"/>
        <v>150</v>
      </c>
      <c r="M207" s="134">
        <f t="shared" si="523"/>
        <v>42</v>
      </c>
      <c r="N207" s="135">
        <f t="shared" si="523"/>
        <v>0</v>
      </c>
      <c r="O207" s="150">
        <f t="shared" si="344"/>
        <v>33.333333333333336</v>
      </c>
      <c r="P207" s="151">
        <f t="shared" si="107"/>
        <v>192</v>
      </c>
      <c r="Q207" s="148">
        <f>SUM(Q209:Q223)</f>
        <v>0</v>
      </c>
      <c r="R207" s="152">
        <f t="shared" si="108"/>
        <v>192</v>
      </c>
      <c r="S207" s="153">
        <f t="shared" si="358"/>
        <v>158.66666666666666</v>
      </c>
      <c r="T207" s="150">
        <f t="shared" si="109"/>
        <v>33.333333333333336</v>
      </c>
      <c r="U207" s="151">
        <f t="shared" si="110"/>
        <v>192</v>
      </c>
      <c r="V207" s="148">
        <f>SUM(V209:V223)</f>
        <v>340</v>
      </c>
      <c r="W207" s="152">
        <f t="shared" si="111"/>
        <v>532</v>
      </c>
      <c r="X207" s="153">
        <f t="shared" si="359"/>
        <v>498.66666666666669</v>
      </c>
      <c r="Y207" s="150">
        <f t="shared" si="112"/>
        <v>33.333333333333336</v>
      </c>
      <c r="Z207" s="151">
        <f t="shared" si="113"/>
        <v>192</v>
      </c>
      <c r="AA207" s="148">
        <f>SUM(AA209:AA223)</f>
        <v>0</v>
      </c>
      <c r="AB207" s="154">
        <f t="shared" si="114"/>
        <v>192</v>
      </c>
      <c r="AC207" s="153">
        <f t="shared" si="360"/>
        <v>158.66666666666666</v>
      </c>
      <c r="AD207" s="150">
        <f t="shared" si="115"/>
        <v>33.333333333333336</v>
      </c>
      <c r="AE207" s="151">
        <f t="shared" si="116"/>
        <v>192</v>
      </c>
      <c r="AF207" s="148">
        <f>SUM(AF209:AF223)</f>
        <v>0</v>
      </c>
      <c r="AG207" s="152">
        <f t="shared" si="117"/>
        <v>192</v>
      </c>
      <c r="AH207" s="153">
        <f t="shared" si="361"/>
        <v>158.66666666666666</v>
      </c>
      <c r="AI207" s="150">
        <f t="shared" si="118"/>
        <v>33.333333333333336</v>
      </c>
      <c r="AJ207" s="151">
        <f t="shared" si="119"/>
        <v>192</v>
      </c>
      <c r="AK207" s="148">
        <f>SUM(AK209:AK223)</f>
        <v>0</v>
      </c>
      <c r="AL207" s="152">
        <f t="shared" si="120"/>
        <v>192</v>
      </c>
      <c r="AM207" s="153">
        <f t="shared" si="362"/>
        <v>158.66666666666666</v>
      </c>
      <c r="AN207" s="150">
        <f t="shared" si="121"/>
        <v>33.333333333333336</v>
      </c>
      <c r="AO207" s="151">
        <f t="shared" si="122"/>
        <v>192</v>
      </c>
      <c r="AP207" s="148">
        <f>SUM(AP209:AP223)</f>
        <v>0</v>
      </c>
      <c r="AQ207" s="152">
        <f t="shared" si="123"/>
        <v>192</v>
      </c>
      <c r="AR207" s="153">
        <f t="shared" si="363"/>
        <v>158.66666666666666</v>
      </c>
      <c r="AS207" s="150">
        <f t="shared" si="124"/>
        <v>33.333333333333336</v>
      </c>
      <c r="AT207" s="151">
        <f t="shared" si="125"/>
        <v>192</v>
      </c>
      <c r="AU207" s="148">
        <f>SUM(AU209:AU223)</f>
        <v>0</v>
      </c>
      <c r="AV207" s="152">
        <f t="shared" si="126"/>
        <v>192</v>
      </c>
      <c r="AW207" s="153">
        <f t="shared" si="364"/>
        <v>158.66666666666666</v>
      </c>
      <c r="AX207" s="150">
        <f t="shared" si="127"/>
        <v>33.333333333333336</v>
      </c>
      <c r="AY207" s="151">
        <f t="shared" si="128"/>
        <v>192</v>
      </c>
      <c r="AZ207" s="148">
        <f>SUM(AZ209:AZ223)</f>
        <v>0</v>
      </c>
      <c r="BA207" s="152">
        <f t="shared" si="129"/>
        <v>192</v>
      </c>
      <c r="BB207" s="153">
        <f t="shared" si="365"/>
        <v>158.66666666666666</v>
      </c>
      <c r="BC207" s="150">
        <f t="shared" si="130"/>
        <v>33.333333333333336</v>
      </c>
      <c r="BD207" s="151">
        <f t="shared" si="131"/>
        <v>192</v>
      </c>
      <c r="BE207" s="148">
        <f>SUM(BE209:BE223)</f>
        <v>0</v>
      </c>
      <c r="BF207" s="152">
        <f t="shared" si="132"/>
        <v>192</v>
      </c>
      <c r="BG207" s="153">
        <f t="shared" si="366"/>
        <v>158.66666666666666</v>
      </c>
      <c r="BH207" s="150">
        <f t="shared" si="133"/>
        <v>33.333333333333336</v>
      </c>
      <c r="BI207" s="151">
        <f t="shared" si="134"/>
        <v>192</v>
      </c>
      <c r="BJ207" s="148">
        <f>SUM(BJ209:BJ223)</f>
        <v>0</v>
      </c>
      <c r="BK207" s="152">
        <f t="shared" si="135"/>
        <v>192</v>
      </c>
      <c r="BL207" s="153">
        <f t="shared" si="367"/>
        <v>158.66666666666666</v>
      </c>
      <c r="BM207" s="150">
        <f t="shared" si="136"/>
        <v>33.333333333333336</v>
      </c>
      <c r="BN207" s="151">
        <f t="shared" si="137"/>
        <v>192</v>
      </c>
      <c r="BO207" s="148">
        <f>SUM(BO209:BO223)</f>
        <v>0</v>
      </c>
      <c r="BP207" s="152">
        <f t="shared" si="138"/>
        <v>192</v>
      </c>
      <c r="BQ207" s="153">
        <f t="shared" si="368"/>
        <v>158.66666666666666</v>
      </c>
      <c r="BR207" s="150">
        <f t="shared" si="139"/>
        <v>33.333333333333336</v>
      </c>
      <c r="BS207" s="137">
        <f t="shared" si="140"/>
        <v>192</v>
      </c>
      <c r="BT207" s="134">
        <f>SUM(BT209:BT223)</f>
        <v>0</v>
      </c>
      <c r="BU207" s="138">
        <f t="shared" si="141"/>
        <v>192</v>
      </c>
      <c r="BV207" s="139">
        <f>BU207-BR207</f>
        <v>158.66666666666666</v>
      </c>
      <c r="BW207" s="143">
        <f>AF207+AA207+V207+Q207+AK207+AP207+AU207+AZ207+BE207+BJ207+BO207+BT207+K207</f>
        <v>532</v>
      </c>
      <c r="BX207" s="142">
        <f>BW207-H207</f>
        <v>132</v>
      </c>
    </row>
    <row r="208" spans="2:76" ht="30.6" customHeight="1">
      <c r="C208" s="167" t="s">
        <v>81</v>
      </c>
      <c r="D208" s="168"/>
      <c r="E208" s="169"/>
      <c r="F208" s="170">
        <f>SUM(F209:F223)</f>
        <v>352</v>
      </c>
      <c r="G208" s="171">
        <f>SUM(G209:G223)</f>
        <v>1548800</v>
      </c>
      <c r="H208" s="170">
        <f>SUM(H209:H223)</f>
        <v>408.11594202898561</v>
      </c>
      <c r="I208" s="171">
        <f>SUM(I209:I223)</f>
        <v>1795710.1449275364</v>
      </c>
      <c r="J208" s="172"/>
      <c r="K208" s="173"/>
      <c r="L208" s="173"/>
      <c r="M208" s="173"/>
      <c r="N208" s="174"/>
      <c r="O208" s="175">
        <f>SUM(O209:O223)</f>
        <v>28.920830600319707</v>
      </c>
      <c r="P208" s="176"/>
      <c r="Q208" s="173"/>
      <c r="R208" s="177"/>
      <c r="S208" s="178"/>
      <c r="T208" s="175">
        <f>SUM(T209:T223)</f>
        <v>28.568115942028982</v>
      </c>
      <c r="U208" s="176"/>
      <c r="V208" s="173"/>
      <c r="W208" s="177"/>
      <c r="X208" s="178"/>
      <c r="Y208" s="175">
        <f>SUM(Y209:Y223)</f>
        <v>41.245702691624587</v>
      </c>
      <c r="Z208" s="176"/>
      <c r="AA208" s="173"/>
      <c r="AB208" s="177"/>
      <c r="AC208" s="178"/>
      <c r="AD208" s="175">
        <f>SUM(AD209:AD223)</f>
        <v>32.649275362318846</v>
      </c>
      <c r="AE208" s="176"/>
      <c r="AF208" s="173"/>
      <c r="AG208" s="177"/>
      <c r="AH208" s="178"/>
      <c r="AI208" s="175">
        <f>SUM(AI209:AI223)</f>
        <v>31.084852818099989</v>
      </c>
      <c r="AJ208" s="176"/>
      <c r="AK208" s="173"/>
      <c r="AL208" s="177"/>
      <c r="AM208" s="178"/>
      <c r="AN208" s="175">
        <f>SUM(AN209:AN223)</f>
        <v>48.973913043478255</v>
      </c>
      <c r="AO208" s="176"/>
      <c r="AP208" s="173"/>
      <c r="AQ208" s="177"/>
      <c r="AR208" s="178"/>
      <c r="AS208" s="175">
        <f>SUM(AS209:AS223)</f>
        <v>40.811594202898554</v>
      </c>
      <c r="AT208" s="176"/>
      <c r="AU208" s="173"/>
      <c r="AV208" s="177"/>
      <c r="AW208" s="178"/>
      <c r="AX208" s="175">
        <f>SUM(AX209:AX223)</f>
        <v>36.73043478260869</v>
      </c>
      <c r="AY208" s="176"/>
      <c r="AZ208" s="173"/>
      <c r="BA208" s="177"/>
      <c r="BB208" s="178"/>
      <c r="BC208" s="175">
        <f>SUM(BC209:BC223)</f>
        <v>40.811594202898554</v>
      </c>
      <c r="BD208" s="176"/>
      <c r="BE208" s="173"/>
      <c r="BF208" s="177"/>
      <c r="BG208" s="178"/>
      <c r="BH208" s="175">
        <f>SUM(BH209:BH223)</f>
        <v>24.851965421252014</v>
      </c>
      <c r="BI208" s="176"/>
      <c r="BJ208" s="173"/>
      <c r="BK208" s="177"/>
      <c r="BL208" s="178"/>
      <c r="BM208" s="175">
        <f>SUM(BM209:BM223)</f>
        <v>22.700682305132343</v>
      </c>
      <c r="BN208" s="176"/>
      <c r="BO208" s="173"/>
      <c r="BP208" s="177"/>
      <c r="BQ208" s="178"/>
      <c r="BR208" s="175">
        <f>SUM(BR209:BR223)</f>
        <v>32.649275362318846</v>
      </c>
      <c r="BS208" s="176"/>
      <c r="BT208" s="173"/>
      <c r="BU208" s="177"/>
      <c r="BV208" s="178"/>
      <c r="BW208" s="179"/>
      <c r="BX208" s="180"/>
    </row>
    <row r="209" spans="2:76" ht="30.75" customHeight="1">
      <c r="C209" s="506"/>
      <c r="D209" s="443">
        <v>1</v>
      </c>
      <c r="E209" s="99" t="s">
        <v>46</v>
      </c>
      <c r="F209" s="56">
        <v>16</v>
      </c>
      <c r="G209" s="46">
        <f>F209*4400</f>
        <v>70400</v>
      </c>
      <c r="H209" s="7">
        <f>F209*($H$207/$F$207)</f>
        <v>18.55072463768116</v>
      </c>
      <c r="I209" s="46">
        <f t="shared" ref="I209:I210" si="524">H209*4400</f>
        <v>81623.188405797104</v>
      </c>
      <c r="J209" s="49">
        <v>40</v>
      </c>
      <c r="K209" s="39">
        <f t="shared" si="372"/>
        <v>17</v>
      </c>
      <c r="L209" s="39">
        <v>15</v>
      </c>
      <c r="M209" s="39">
        <v>2</v>
      </c>
      <c r="N209" s="42"/>
      <c r="O209" s="81">
        <f>$H$209*月別販売比率!C5</f>
        <v>1.3145832091054415</v>
      </c>
      <c r="P209" s="40">
        <f t="shared" ref="P209:P218" si="525">K209</f>
        <v>17</v>
      </c>
      <c r="Q209" s="39"/>
      <c r="R209" s="43">
        <f>Q209+K209</f>
        <v>17</v>
      </c>
      <c r="S209" s="91">
        <f t="shared" si="358"/>
        <v>15.685416790894559</v>
      </c>
      <c r="T209" s="81">
        <f>$H$209*月別販売比率!H5</f>
        <v>1.2985507246376813</v>
      </c>
      <c r="U209" s="40">
        <f>K209</f>
        <v>17</v>
      </c>
      <c r="V209" s="39"/>
      <c r="W209" s="40">
        <f t="shared" ref="W209:W223" si="526">K209+V209</f>
        <v>17</v>
      </c>
      <c r="X209" s="91">
        <f t="shared" si="359"/>
        <v>15.701449275362318</v>
      </c>
      <c r="Y209" s="81">
        <f>$H$209*月別販売比率!M5</f>
        <v>1.8748046678011179</v>
      </c>
      <c r="Z209" s="40">
        <f>K209</f>
        <v>17</v>
      </c>
      <c r="AA209" s="39"/>
      <c r="AB209" s="96">
        <f t="shared" ref="AB209:AB223" si="527">K209+AA209</f>
        <v>17</v>
      </c>
      <c r="AC209" s="91">
        <f t="shared" si="360"/>
        <v>15.125195332198881</v>
      </c>
      <c r="AD209" s="81">
        <f>$H$209*月別販売比率!R5</f>
        <v>1.4840579710144928</v>
      </c>
      <c r="AE209" s="40">
        <f>K209</f>
        <v>17</v>
      </c>
      <c r="AF209" s="39"/>
      <c r="AG209" s="40">
        <f t="shared" ref="AG209:AG223" si="528">K209+AF209</f>
        <v>17</v>
      </c>
      <c r="AH209" s="91">
        <f t="shared" si="361"/>
        <v>15.515942028985506</v>
      </c>
      <c r="AI209" s="81">
        <f>$H$209*月別販売比率!W5</f>
        <v>1.4129478553681816</v>
      </c>
      <c r="AJ209" s="40">
        <f>K209</f>
        <v>17</v>
      </c>
      <c r="AK209" s="39"/>
      <c r="AL209" s="40">
        <f t="shared" ref="AL209:AL223" si="529">K209+AK209</f>
        <v>17</v>
      </c>
      <c r="AM209" s="91">
        <f t="shared" si="362"/>
        <v>15.587052144631819</v>
      </c>
      <c r="AN209" s="81">
        <f>$H$209*月別販売比率!AB5</f>
        <v>2.2260869565217392</v>
      </c>
      <c r="AO209" s="40">
        <f>K209</f>
        <v>17</v>
      </c>
      <c r="AP209" s="39"/>
      <c r="AQ209" s="43">
        <f t="shared" ref="AQ209:AQ223" si="530">K209+AP209</f>
        <v>17</v>
      </c>
      <c r="AR209" s="91">
        <f t="shared" si="363"/>
        <v>14.773913043478261</v>
      </c>
      <c r="AS209" s="81">
        <f>$H$209*月別販売比率!AG5</f>
        <v>1.8550724637681162</v>
      </c>
      <c r="AT209" s="40">
        <f>K209</f>
        <v>17</v>
      </c>
      <c r="AU209" s="39"/>
      <c r="AV209" s="43">
        <f t="shared" ref="AV209:AV223" si="531">K209+AU209</f>
        <v>17</v>
      </c>
      <c r="AW209" s="91">
        <f t="shared" si="364"/>
        <v>15.144927536231883</v>
      </c>
      <c r="AX209" s="81">
        <f>$H$209*月別販売比率!AL5</f>
        <v>1.6695652173913043</v>
      </c>
      <c r="AY209" s="40">
        <f>K209</f>
        <v>17</v>
      </c>
      <c r="AZ209" s="39"/>
      <c r="BA209" s="43">
        <f>K209+AZ209</f>
        <v>17</v>
      </c>
      <c r="BB209" s="91">
        <f t="shared" si="365"/>
        <v>15.330434782608696</v>
      </c>
      <c r="BC209" s="81">
        <f>$H$209*月別販売比率!AQ5</f>
        <v>1.8550724637681162</v>
      </c>
      <c r="BD209" s="40">
        <f>K209</f>
        <v>17</v>
      </c>
      <c r="BE209" s="39"/>
      <c r="BF209" s="43">
        <f>K209+BE209</f>
        <v>17</v>
      </c>
      <c r="BG209" s="91">
        <f t="shared" si="366"/>
        <v>15.144927536231883</v>
      </c>
      <c r="BH209" s="81">
        <f>$H$209*月別販売比率!AV5</f>
        <v>1.1296347918750913</v>
      </c>
      <c r="BI209" s="40">
        <f>K209</f>
        <v>17</v>
      </c>
      <c r="BJ209" s="39"/>
      <c r="BK209" s="43">
        <f>K209+BJ209</f>
        <v>17</v>
      </c>
      <c r="BL209" s="91">
        <f t="shared" si="367"/>
        <v>15.870365208124909</v>
      </c>
      <c r="BM209" s="81">
        <f>$H$209*月別販売比率!BA5</f>
        <v>1.0318491956878337</v>
      </c>
      <c r="BN209" s="40">
        <f>K209</f>
        <v>17</v>
      </c>
      <c r="BO209" s="39"/>
      <c r="BP209" s="43">
        <f>K209+BO209</f>
        <v>17</v>
      </c>
      <c r="BQ209" s="91">
        <f t="shared" si="368"/>
        <v>15.968150804312167</v>
      </c>
      <c r="BR209" s="81">
        <f>$H$209*月別販売比率!BF5</f>
        <v>1.4840579710144928</v>
      </c>
      <c r="BS209" s="40">
        <f>K209</f>
        <v>17</v>
      </c>
      <c r="BT209" s="39"/>
      <c r="BU209" s="43">
        <f>K209+BT209</f>
        <v>17</v>
      </c>
      <c r="BV209" s="91">
        <f t="shared" si="369"/>
        <v>15.515942028985506</v>
      </c>
      <c r="BW209" s="157">
        <f t="shared" ref="BW209:BW223" si="532">AF209+AA209+V209+Q209+AK209+AP209+AU209+AZ209+BE209+BJ209+BO209+BT209+K209</f>
        <v>17</v>
      </c>
      <c r="BX209" s="51">
        <f t="shared" ref="BX209:BX223" si="533">BW209-H209</f>
        <v>-1.5507246376811601</v>
      </c>
    </row>
    <row r="210" spans="2:76" ht="30.75" customHeight="1">
      <c r="C210" s="507"/>
      <c r="D210" s="441"/>
      <c r="E210" s="94" t="s">
        <v>47</v>
      </c>
      <c r="F210" s="57">
        <v>32</v>
      </c>
      <c r="G210" s="5">
        <f t="shared" ref="G210:G223" si="534">F210*4400</f>
        <v>140800</v>
      </c>
      <c r="H210" s="7">
        <f t="shared" ref="H210:H223" si="535">F210*($H$207/$F$207)</f>
        <v>37.10144927536232</v>
      </c>
      <c r="I210" s="5">
        <f t="shared" si="524"/>
        <v>163246.37681159421</v>
      </c>
      <c r="J210" s="9">
        <v>0</v>
      </c>
      <c r="K210" s="21">
        <f t="shared" si="372"/>
        <v>10</v>
      </c>
      <c r="L210" s="21">
        <v>7</v>
      </c>
      <c r="M210" s="21">
        <v>3</v>
      </c>
      <c r="N210" s="42"/>
      <c r="O210" s="81">
        <f>$H$210*月別販売比率!C5</f>
        <v>2.6291664182108829</v>
      </c>
      <c r="P210" s="10">
        <f t="shared" si="525"/>
        <v>10</v>
      </c>
      <c r="Q210" s="21"/>
      <c r="R210" s="19">
        <f t="shared" ref="R210:R218" si="536">Q210+K210</f>
        <v>10</v>
      </c>
      <c r="S210" s="24">
        <f t="shared" si="358"/>
        <v>7.3708335817891175</v>
      </c>
      <c r="T210" s="81">
        <f>$H$210*月別販売比率!H5</f>
        <v>2.5971014492753626</v>
      </c>
      <c r="U210" s="10">
        <f t="shared" ref="U210:U218" si="537">K210</f>
        <v>10</v>
      </c>
      <c r="V210" s="21"/>
      <c r="W210" s="10">
        <f t="shared" si="526"/>
        <v>10</v>
      </c>
      <c r="X210" s="24">
        <f t="shared" si="359"/>
        <v>7.4028985507246379</v>
      </c>
      <c r="Y210" s="81">
        <f>$H$210*月別販売比率!M5</f>
        <v>3.7496093356022357</v>
      </c>
      <c r="Z210" s="10">
        <f t="shared" ref="Z210:Z218" si="538">K210</f>
        <v>10</v>
      </c>
      <c r="AA210" s="21"/>
      <c r="AB210" s="97">
        <f t="shared" si="527"/>
        <v>10</v>
      </c>
      <c r="AC210" s="24">
        <f t="shared" si="360"/>
        <v>6.2503906643977647</v>
      </c>
      <c r="AD210" s="81">
        <f>$H$210*月別販売比率!R5</f>
        <v>2.9681159420289855</v>
      </c>
      <c r="AE210" s="10">
        <f t="shared" ref="AE210:AE218" si="539">K210</f>
        <v>10</v>
      </c>
      <c r="AF210" s="21"/>
      <c r="AG210" s="10">
        <f t="shared" si="528"/>
        <v>10</v>
      </c>
      <c r="AH210" s="24">
        <f t="shared" si="361"/>
        <v>7.0318840579710145</v>
      </c>
      <c r="AI210" s="81">
        <f>$H$210*月別販売比率!W5</f>
        <v>2.8258957107363631</v>
      </c>
      <c r="AJ210" s="10">
        <f t="shared" ref="AJ210:AJ218" si="540">K210</f>
        <v>10</v>
      </c>
      <c r="AK210" s="21"/>
      <c r="AL210" s="10">
        <f t="shared" si="529"/>
        <v>10</v>
      </c>
      <c r="AM210" s="24">
        <f t="shared" si="362"/>
        <v>7.1741042892636369</v>
      </c>
      <c r="AN210" s="81">
        <f>$H$210*月別販売比率!AB5</f>
        <v>4.4521739130434783</v>
      </c>
      <c r="AO210" s="10">
        <f t="shared" ref="AO210:AO218" si="541">K210</f>
        <v>10</v>
      </c>
      <c r="AP210" s="21"/>
      <c r="AQ210" s="19">
        <f t="shared" si="530"/>
        <v>10</v>
      </c>
      <c r="AR210" s="24">
        <f t="shared" si="363"/>
        <v>5.5478260869565217</v>
      </c>
      <c r="AS210" s="81">
        <f>$H$210*月別販売比率!AG5</f>
        <v>3.7101449275362324</v>
      </c>
      <c r="AT210" s="10">
        <f t="shared" ref="AT210:AT218" si="542">K210</f>
        <v>10</v>
      </c>
      <c r="AU210" s="21"/>
      <c r="AV210" s="19">
        <f t="shared" si="531"/>
        <v>10</v>
      </c>
      <c r="AW210" s="24">
        <f t="shared" si="364"/>
        <v>6.2898550724637676</v>
      </c>
      <c r="AX210" s="81">
        <f>$H$210*月別販売比率!AL5</f>
        <v>3.3391304347826085</v>
      </c>
      <c r="AY210" s="10">
        <f t="shared" ref="AY210:AY218" si="543">K210</f>
        <v>10</v>
      </c>
      <c r="AZ210" s="21"/>
      <c r="BA210" s="19">
        <f t="shared" ref="BA210:BA218" si="544">K210+AZ210</f>
        <v>10</v>
      </c>
      <c r="BB210" s="24">
        <f t="shared" si="365"/>
        <v>6.660869565217391</v>
      </c>
      <c r="BC210" s="81">
        <f>$H$210*月別販売比率!AQ5</f>
        <v>3.7101449275362324</v>
      </c>
      <c r="BD210" s="10">
        <f t="shared" ref="BD210:BD218" si="545">K210</f>
        <v>10</v>
      </c>
      <c r="BE210" s="21"/>
      <c r="BF210" s="19">
        <f t="shared" ref="BF210:BF218" si="546">K210+BE210</f>
        <v>10</v>
      </c>
      <c r="BG210" s="24">
        <f t="shared" si="366"/>
        <v>6.2898550724637676</v>
      </c>
      <c r="BH210" s="81">
        <f>$H$210*月別販売比率!AV5</f>
        <v>2.2592695837501826</v>
      </c>
      <c r="BI210" s="10">
        <f t="shared" ref="BI210:BI218" si="547">K210</f>
        <v>10</v>
      </c>
      <c r="BJ210" s="21"/>
      <c r="BK210" s="19">
        <f t="shared" ref="BK210:BK218" si="548">K210+BJ210</f>
        <v>10</v>
      </c>
      <c r="BL210" s="24">
        <f t="shared" si="367"/>
        <v>7.7407304162498178</v>
      </c>
      <c r="BM210" s="81">
        <f>$H$210*月別販売比率!BA5</f>
        <v>2.0636983913756675</v>
      </c>
      <c r="BN210" s="10">
        <f t="shared" ref="BN210:BN218" si="549">K210</f>
        <v>10</v>
      </c>
      <c r="BO210" s="21"/>
      <c r="BP210" s="19">
        <f>K210+BO210</f>
        <v>10</v>
      </c>
      <c r="BQ210" s="24">
        <f t="shared" si="368"/>
        <v>7.9363016086243325</v>
      </c>
      <c r="BR210" s="81">
        <f>$H$210*月別販売比率!BF5</f>
        <v>2.9681159420289855</v>
      </c>
      <c r="BS210" s="10">
        <f t="shared" ref="BS210:BS218" si="550">K210</f>
        <v>10</v>
      </c>
      <c r="BT210" s="21"/>
      <c r="BU210" s="19">
        <f t="shared" ref="BU210:BU218" si="551">K210+BT210</f>
        <v>10</v>
      </c>
      <c r="BV210" s="24">
        <f t="shared" si="369"/>
        <v>7.0318840579710145</v>
      </c>
      <c r="BW210" s="158">
        <f t="shared" si="532"/>
        <v>10</v>
      </c>
      <c r="BX210" s="29">
        <f t="shared" si="533"/>
        <v>-27.10144927536232</v>
      </c>
    </row>
    <row r="211" spans="2:76" ht="30.75" customHeight="1">
      <c r="C211" s="507"/>
      <c r="D211" s="441"/>
      <c r="E211" s="94" t="s">
        <v>51</v>
      </c>
      <c r="F211" s="57">
        <v>22</v>
      </c>
      <c r="G211" s="5">
        <f t="shared" si="534"/>
        <v>96800</v>
      </c>
      <c r="H211" s="7">
        <f t="shared" si="535"/>
        <v>25.507246376811594</v>
      </c>
      <c r="I211" s="5">
        <f t="shared" ref="I211:I222" si="552">H211*4400</f>
        <v>112231.88405797101</v>
      </c>
      <c r="J211" s="9">
        <v>66</v>
      </c>
      <c r="K211" s="21">
        <f t="shared" si="372"/>
        <v>15</v>
      </c>
      <c r="L211" s="21">
        <v>12</v>
      </c>
      <c r="M211" s="21">
        <v>3</v>
      </c>
      <c r="N211" s="42"/>
      <c r="O211" s="81">
        <f>$H$211*月別販売比率!C5</f>
        <v>1.8075519125199819</v>
      </c>
      <c r="P211" s="10">
        <f t="shared" si="525"/>
        <v>15</v>
      </c>
      <c r="Q211" s="21"/>
      <c r="R211" s="19">
        <f t="shared" si="536"/>
        <v>15</v>
      </c>
      <c r="S211" s="24">
        <f t="shared" si="358"/>
        <v>13.192448087480019</v>
      </c>
      <c r="T211" s="81">
        <f>$H$211*月別販売比率!H5</f>
        <v>1.7855072463768118</v>
      </c>
      <c r="U211" s="10">
        <f t="shared" si="537"/>
        <v>15</v>
      </c>
      <c r="V211" s="21"/>
      <c r="W211" s="10">
        <f t="shared" si="526"/>
        <v>15</v>
      </c>
      <c r="X211" s="24">
        <f t="shared" si="359"/>
        <v>13.214492753623189</v>
      </c>
      <c r="Y211" s="81">
        <f>$H$211*月別販売比率!M5</f>
        <v>2.5778564182265367</v>
      </c>
      <c r="Z211" s="10">
        <f t="shared" si="538"/>
        <v>15</v>
      </c>
      <c r="AA211" s="21"/>
      <c r="AB211" s="97">
        <f t="shared" si="527"/>
        <v>15</v>
      </c>
      <c r="AC211" s="24">
        <f t="shared" si="360"/>
        <v>12.422143581773463</v>
      </c>
      <c r="AD211" s="81">
        <f>$H$211*月別販売比率!R5</f>
        <v>2.0405797101449274</v>
      </c>
      <c r="AE211" s="10">
        <f t="shared" si="539"/>
        <v>15</v>
      </c>
      <c r="AF211" s="21"/>
      <c r="AG211" s="10">
        <f t="shared" si="528"/>
        <v>15</v>
      </c>
      <c r="AH211" s="24">
        <f t="shared" si="361"/>
        <v>12.959420289855073</v>
      </c>
      <c r="AI211" s="81">
        <f>$H$211*月別販売比率!W5</f>
        <v>1.9428033011312495</v>
      </c>
      <c r="AJ211" s="10">
        <f t="shared" si="540"/>
        <v>15</v>
      </c>
      <c r="AK211" s="21"/>
      <c r="AL211" s="10">
        <f t="shared" si="529"/>
        <v>15</v>
      </c>
      <c r="AM211" s="24">
        <f t="shared" si="362"/>
        <v>13.057196698868751</v>
      </c>
      <c r="AN211" s="81">
        <f>$H$211*月別販売比率!AB5</f>
        <v>3.060869565217391</v>
      </c>
      <c r="AO211" s="10">
        <f t="shared" si="541"/>
        <v>15</v>
      </c>
      <c r="AP211" s="21"/>
      <c r="AQ211" s="19">
        <f t="shared" si="530"/>
        <v>15</v>
      </c>
      <c r="AR211" s="24">
        <f t="shared" si="363"/>
        <v>11.939130434782609</v>
      </c>
      <c r="AS211" s="81">
        <f>$H$211*月別販売比率!AG5</f>
        <v>2.5507246376811596</v>
      </c>
      <c r="AT211" s="10">
        <f t="shared" si="542"/>
        <v>15</v>
      </c>
      <c r="AU211" s="21"/>
      <c r="AV211" s="19">
        <f t="shared" si="531"/>
        <v>15</v>
      </c>
      <c r="AW211" s="24">
        <f t="shared" si="364"/>
        <v>12.44927536231884</v>
      </c>
      <c r="AX211" s="81">
        <f>$H$211*月別販売比率!AL5</f>
        <v>2.2956521739130435</v>
      </c>
      <c r="AY211" s="10">
        <f t="shared" si="543"/>
        <v>15</v>
      </c>
      <c r="AZ211" s="21"/>
      <c r="BA211" s="19">
        <f t="shared" si="544"/>
        <v>15</v>
      </c>
      <c r="BB211" s="24">
        <f t="shared" si="365"/>
        <v>12.704347826086956</v>
      </c>
      <c r="BC211" s="81">
        <f>$H$211*月別販売比率!AQ5</f>
        <v>2.5507246376811596</v>
      </c>
      <c r="BD211" s="10">
        <f t="shared" si="545"/>
        <v>15</v>
      </c>
      <c r="BE211" s="21"/>
      <c r="BF211" s="19">
        <f t="shared" si="546"/>
        <v>15</v>
      </c>
      <c r="BG211" s="24">
        <f t="shared" si="366"/>
        <v>12.44927536231884</v>
      </c>
      <c r="BH211" s="81">
        <f>$H$211*月別販売比率!AV5</f>
        <v>1.5532478388282507</v>
      </c>
      <c r="BI211" s="10">
        <f t="shared" si="547"/>
        <v>15</v>
      </c>
      <c r="BJ211" s="21"/>
      <c r="BK211" s="19">
        <f t="shared" si="548"/>
        <v>15</v>
      </c>
      <c r="BL211" s="24">
        <f t="shared" si="367"/>
        <v>13.44675216117175</v>
      </c>
      <c r="BM211" s="81">
        <f>$H$211*月別販売比率!BA5</f>
        <v>1.4187926440707712</v>
      </c>
      <c r="BN211" s="10">
        <f t="shared" si="549"/>
        <v>15</v>
      </c>
      <c r="BO211" s="21"/>
      <c r="BP211" s="19">
        <f t="shared" ref="BP211:BP218" si="553">K211+BO211</f>
        <v>15</v>
      </c>
      <c r="BQ211" s="24">
        <f t="shared" si="368"/>
        <v>13.581207355929228</v>
      </c>
      <c r="BR211" s="81">
        <f>$H$211*月別販売比率!BF5</f>
        <v>2.0405797101449274</v>
      </c>
      <c r="BS211" s="10">
        <f t="shared" si="550"/>
        <v>15</v>
      </c>
      <c r="BT211" s="21"/>
      <c r="BU211" s="19">
        <f t="shared" si="551"/>
        <v>15</v>
      </c>
      <c r="BV211" s="24">
        <f t="shared" si="369"/>
        <v>12.959420289855073</v>
      </c>
      <c r="BW211" s="158">
        <f t="shared" si="532"/>
        <v>15</v>
      </c>
      <c r="BX211" s="29">
        <f t="shared" si="533"/>
        <v>-10.507246376811594</v>
      </c>
    </row>
    <row r="212" spans="2:76" ht="30.75" customHeight="1">
      <c r="C212" s="507"/>
      <c r="D212" s="441"/>
      <c r="E212" s="94" t="s">
        <v>49</v>
      </c>
      <c r="F212" s="57">
        <v>6</v>
      </c>
      <c r="G212" s="5">
        <f t="shared" si="534"/>
        <v>26400</v>
      </c>
      <c r="H212" s="7">
        <f t="shared" si="535"/>
        <v>6.9565217391304355</v>
      </c>
      <c r="I212" s="5">
        <f t="shared" si="552"/>
        <v>30608.695652173916</v>
      </c>
      <c r="J212" s="9">
        <v>73</v>
      </c>
      <c r="K212" s="21">
        <f t="shared" si="372"/>
        <v>18</v>
      </c>
      <c r="L212" s="21">
        <v>15</v>
      </c>
      <c r="M212" s="21">
        <v>3</v>
      </c>
      <c r="N212" s="42"/>
      <c r="O212" s="81">
        <f>$H$212*月別販売比率!C5</f>
        <v>0.49296870341454058</v>
      </c>
      <c r="P212" s="10">
        <f t="shared" si="525"/>
        <v>18</v>
      </c>
      <c r="Q212" s="21"/>
      <c r="R212" s="19">
        <f t="shared" si="536"/>
        <v>18</v>
      </c>
      <c r="S212" s="24">
        <f t="shared" si="358"/>
        <v>17.50703129658546</v>
      </c>
      <c r="T212" s="81">
        <f>$H$212*月別販売比率!H5</f>
        <v>0.48695652173913051</v>
      </c>
      <c r="U212" s="10">
        <f t="shared" si="537"/>
        <v>18</v>
      </c>
      <c r="V212" s="21"/>
      <c r="W212" s="10">
        <f t="shared" si="526"/>
        <v>18</v>
      </c>
      <c r="X212" s="24">
        <f t="shared" si="359"/>
        <v>17.513043478260869</v>
      </c>
      <c r="Y212" s="81">
        <f>$H$212*月別販売比率!M5</f>
        <v>0.70305175042541923</v>
      </c>
      <c r="Z212" s="10">
        <f t="shared" si="538"/>
        <v>18</v>
      </c>
      <c r="AA212" s="21"/>
      <c r="AB212" s="97">
        <f t="shared" si="527"/>
        <v>18</v>
      </c>
      <c r="AC212" s="24">
        <f t="shared" si="360"/>
        <v>17.29694824957458</v>
      </c>
      <c r="AD212" s="81">
        <f>$H$212*月別販売比率!R5</f>
        <v>0.5565217391304349</v>
      </c>
      <c r="AE212" s="10">
        <f t="shared" si="539"/>
        <v>18</v>
      </c>
      <c r="AF212" s="21"/>
      <c r="AG212" s="10">
        <f t="shared" si="528"/>
        <v>18</v>
      </c>
      <c r="AH212" s="24">
        <f t="shared" si="361"/>
        <v>17.443478260869565</v>
      </c>
      <c r="AI212" s="81">
        <f>$H$212*月別販売比率!W5</f>
        <v>0.52985544576306809</v>
      </c>
      <c r="AJ212" s="10">
        <f t="shared" si="540"/>
        <v>18</v>
      </c>
      <c r="AK212" s="21"/>
      <c r="AL212" s="10">
        <f t="shared" si="529"/>
        <v>18</v>
      </c>
      <c r="AM212" s="24">
        <f t="shared" si="362"/>
        <v>17.470144554236931</v>
      </c>
      <c r="AN212" s="81">
        <f>$H$212*月別販売比率!AB5</f>
        <v>0.83478260869565224</v>
      </c>
      <c r="AO212" s="10">
        <f t="shared" si="541"/>
        <v>18</v>
      </c>
      <c r="AP212" s="21"/>
      <c r="AQ212" s="19">
        <f t="shared" si="530"/>
        <v>18</v>
      </c>
      <c r="AR212" s="24">
        <f t="shared" si="363"/>
        <v>17.165217391304349</v>
      </c>
      <c r="AS212" s="81">
        <f>$H$212*月別販売比率!AG5</f>
        <v>0.69565217391304357</v>
      </c>
      <c r="AT212" s="10">
        <f t="shared" si="542"/>
        <v>18</v>
      </c>
      <c r="AU212" s="21"/>
      <c r="AV212" s="19">
        <f t="shared" si="531"/>
        <v>18</v>
      </c>
      <c r="AW212" s="24">
        <f t="shared" si="364"/>
        <v>17.304347826086957</v>
      </c>
      <c r="AX212" s="81">
        <f>$H$212*月別販売比率!AL5</f>
        <v>0.62608695652173918</v>
      </c>
      <c r="AY212" s="10">
        <f t="shared" si="543"/>
        <v>18</v>
      </c>
      <c r="AZ212" s="21"/>
      <c r="BA212" s="19">
        <f t="shared" si="544"/>
        <v>18</v>
      </c>
      <c r="BB212" s="24">
        <f t="shared" si="365"/>
        <v>17.373913043478261</v>
      </c>
      <c r="BC212" s="81">
        <f>$H$212*月別販売比率!AQ5</f>
        <v>0.69565217391304357</v>
      </c>
      <c r="BD212" s="10">
        <f t="shared" si="545"/>
        <v>18</v>
      </c>
      <c r="BE212" s="21"/>
      <c r="BF212" s="19">
        <f t="shared" si="546"/>
        <v>18</v>
      </c>
      <c r="BG212" s="24">
        <f t="shared" si="366"/>
        <v>17.304347826086957</v>
      </c>
      <c r="BH212" s="81">
        <f>$H$212*月別販売比率!AV5</f>
        <v>0.42361304695315932</v>
      </c>
      <c r="BI212" s="10">
        <f t="shared" si="547"/>
        <v>18</v>
      </c>
      <c r="BJ212" s="21"/>
      <c r="BK212" s="19">
        <f t="shared" si="548"/>
        <v>18</v>
      </c>
      <c r="BL212" s="24">
        <f t="shared" si="367"/>
        <v>17.576386953046839</v>
      </c>
      <c r="BM212" s="81">
        <f>$H$212*月別販売比率!BA5</f>
        <v>0.38694344838293765</v>
      </c>
      <c r="BN212" s="10">
        <f t="shared" si="549"/>
        <v>18</v>
      </c>
      <c r="BO212" s="21"/>
      <c r="BP212" s="19">
        <f t="shared" si="553"/>
        <v>18</v>
      </c>
      <c r="BQ212" s="24">
        <f t="shared" si="368"/>
        <v>17.613056551617063</v>
      </c>
      <c r="BR212" s="81">
        <f>$H$212*月別販売比率!BF5</f>
        <v>0.5565217391304349</v>
      </c>
      <c r="BS212" s="10">
        <f t="shared" si="550"/>
        <v>18</v>
      </c>
      <c r="BT212" s="21"/>
      <c r="BU212" s="19">
        <f t="shared" si="551"/>
        <v>18</v>
      </c>
      <c r="BV212" s="24">
        <f t="shared" si="369"/>
        <v>17.443478260869565</v>
      </c>
      <c r="BW212" s="158">
        <f t="shared" si="532"/>
        <v>18</v>
      </c>
      <c r="BX212" s="29">
        <f t="shared" si="533"/>
        <v>11.043478260869565</v>
      </c>
    </row>
    <row r="213" spans="2:76" ht="30.75" customHeight="1">
      <c r="C213" s="507"/>
      <c r="D213" s="442"/>
      <c r="E213" s="94" t="s">
        <v>50</v>
      </c>
      <c r="F213" s="57">
        <v>5</v>
      </c>
      <c r="G213" s="5">
        <f t="shared" si="534"/>
        <v>22000</v>
      </c>
      <c r="H213" s="7">
        <f t="shared" si="535"/>
        <v>5.7971014492753623</v>
      </c>
      <c r="I213" s="5">
        <f t="shared" si="552"/>
        <v>25507.246376811596</v>
      </c>
      <c r="J213" s="9">
        <v>55</v>
      </c>
      <c r="K213" s="21">
        <f t="shared" si="372"/>
        <v>16</v>
      </c>
      <c r="L213" s="21">
        <v>13</v>
      </c>
      <c r="M213" s="21">
        <v>3</v>
      </c>
      <c r="N213" s="42"/>
      <c r="O213" s="81">
        <f>$H$213*月別販売比率!C5</f>
        <v>0.41080725284545044</v>
      </c>
      <c r="P213" s="10">
        <f t="shared" si="525"/>
        <v>16</v>
      </c>
      <c r="Q213" s="21"/>
      <c r="R213" s="19">
        <f t="shared" si="536"/>
        <v>16</v>
      </c>
      <c r="S213" s="24">
        <f t="shared" si="358"/>
        <v>15.58919274715455</v>
      </c>
      <c r="T213" s="81">
        <f>$H$213*月別販売比率!H5</f>
        <v>0.40579710144927539</v>
      </c>
      <c r="U213" s="10">
        <f t="shared" si="537"/>
        <v>16</v>
      </c>
      <c r="V213" s="21"/>
      <c r="W213" s="10">
        <f t="shared" si="526"/>
        <v>16</v>
      </c>
      <c r="X213" s="24">
        <f t="shared" si="359"/>
        <v>15.594202898550725</v>
      </c>
      <c r="Y213" s="81">
        <f>$H$213*月別販売比率!M5</f>
        <v>0.58587645868784932</v>
      </c>
      <c r="Z213" s="10">
        <f t="shared" si="538"/>
        <v>16</v>
      </c>
      <c r="AA213" s="21"/>
      <c r="AB213" s="97">
        <f t="shared" si="527"/>
        <v>16</v>
      </c>
      <c r="AC213" s="24">
        <f t="shared" si="360"/>
        <v>15.414123541312151</v>
      </c>
      <c r="AD213" s="81">
        <f>$H$213*月別販売比率!R5</f>
        <v>0.46376811594202899</v>
      </c>
      <c r="AE213" s="10">
        <f t="shared" si="539"/>
        <v>16</v>
      </c>
      <c r="AF213" s="21"/>
      <c r="AG213" s="10">
        <f t="shared" si="528"/>
        <v>16</v>
      </c>
      <c r="AH213" s="24">
        <f t="shared" si="361"/>
        <v>15.536231884057971</v>
      </c>
      <c r="AI213" s="81">
        <f>$H$213*月別販売比率!W5</f>
        <v>0.44154620480255669</v>
      </c>
      <c r="AJ213" s="10">
        <f t="shared" si="540"/>
        <v>16</v>
      </c>
      <c r="AK213" s="21"/>
      <c r="AL213" s="10">
        <f t="shared" si="529"/>
        <v>16</v>
      </c>
      <c r="AM213" s="24">
        <f t="shared" si="362"/>
        <v>15.558453795197444</v>
      </c>
      <c r="AN213" s="81">
        <f>$H$213*月別販売比率!AB5</f>
        <v>0.69565217391304346</v>
      </c>
      <c r="AO213" s="10">
        <f t="shared" si="541"/>
        <v>16</v>
      </c>
      <c r="AP213" s="21"/>
      <c r="AQ213" s="19">
        <f t="shared" si="530"/>
        <v>16</v>
      </c>
      <c r="AR213" s="24">
        <f t="shared" si="363"/>
        <v>15.304347826086957</v>
      </c>
      <c r="AS213" s="81">
        <f>$H$213*月別販売比率!AG5</f>
        <v>0.57971014492753625</v>
      </c>
      <c r="AT213" s="10">
        <f t="shared" si="542"/>
        <v>16</v>
      </c>
      <c r="AU213" s="21"/>
      <c r="AV213" s="19">
        <f t="shared" si="531"/>
        <v>16</v>
      </c>
      <c r="AW213" s="24">
        <f t="shared" si="364"/>
        <v>15.420289855072463</v>
      </c>
      <c r="AX213" s="81">
        <f>$H$213*月別販売比率!AL5</f>
        <v>0.52173913043478259</v>
      </c>
      <c r="AY213" s="10">
        <f t="shared" si="543"/>
        <v>16</v>
      </c>
      <c r="AZ213" s="21"/>
      <c r="BA213" s="19">
        <f t="shared" si="544"/>
        <v>16</v>
      </c>
      <c r="BB213" s="24">
        <f t="shared" si="365"/>
        <v>15.478260869565217</v>
      </c>
      <c r="BC213" s="81">
        <f>$H$213*月別販売比率!AQ5</f>
        <v>0.57971014492753625</v>
      </c>
      <c r="BD213" s="10">
        <f t="shared" si="545"/>
        <v>16</v>
      </c>
      <c r="BE213" s="21"/>
      <c r="BF213" s="19">
        <f t="shared" si="546"/>
        <v>16</v>
      </c>
      <c r="BG213" s="24">
        <f t="shared" si="366"/>
        <v>15.420289855072463</v>
      </c>
      <c r="BH213" s="81">
        <f>$H$213*月別販売比率!AV5</f>
        <v>0.35301087246096607</v>
      </c>
      <c r="BI213" s="10">
        <f t="shared" si="547"/>
        <v>16</v>
      </c>
      <c r="BJ213" s="21"/>
      <c r="BK213" s="19">
        <f t="shared" si="548"/>
        <v>16</v>
      </c>
      <c r="BL213" s="24">
        <f t="shared" si="367"/>
        <v>15.646989127539033</v>
      </c>
      <c r="BM213" s="81">
        <f>$H$213*月別販売比率!BA5</f>
        <v>0.32245287365244801</v>
      </c>
      <c r="BN213" s="10">
        <f t="shared" si="549"/>
        <v>16</v>
      </c>
      <c r="BO213" s="21"/>
      <c r="BP213" s="19">
        <f t="shared" si="553"/>
        <v>16</v>
      </c>
      <c r="BQ213" s="24">
        <f t="shared" si="368"/>
        <v>15.677547126347552</v>
      </c>
      <c r="BR213" s="81">
        <f>$H$213*月別販売比率!BF5</f>
        <v>0.46376811594202899</v>
      </c>
      <c r="BS213" s="10">
        <f t="shared" si="550"/>
        <v>16</v>
      </c>
      <c r="BT213" s="21"/>
      <c r="BU213" s="19">
        <f t="shared" si="551"/>
        <v>16</v>
      </c>
      <c r="BV213" s="24">
        <f t="shared" si="369"/>
        <v>15.536231884057971</v>
      </c>
      <c r="BW213" s="158">
        <f t="shared" si="532"/>
        <v>16</v>
      </c>
      <c r="BX213" s="29">
        <f t="shared" si="533"/>
        <v>10.202898550724637</v>
      </c>
    </row>
    <row r="214" spans="2:76" ht="30.75" customHeight="1">
      <c r="C214" s="507"/>
      <c r="D214" s="443">
        <v>2</v>
      </c>
      <c r="E214" s="94" t="s">
        <v>46</v>
      </c>
      <c r="F214" s="57">
        <v>46</v>
      </c>
      <c r="G214" s="5">
        <f t="shared" si="534"/>
        <v>202400</v>
      </c>
      <c r="H214" s="7">
        <f t="shared" si="535"/>
        <v>53.333333333333336</v>
      </c>
      <c r="I214" s="5">
        <f t="shared" si="552"/>
        <v>234666.66666666669</v>
      </c>
      <c r="J214" s="9">
        <v>0</v>
      </c>
      <c r="K214" s="21">
        <f t="shared" si="372"/>
        <v>14</v>
      </c>
      <c r="L214" s="21">
        <v>11</v>
      </c>
      <c r="M214" s="21">
        <v>3</v>
      </c>
      <c r="N214" s="42"/>
      <c r="O214" s="81">
        <f>$H$214*月別販売比率!C5</f>
        <v>3.7794267261781442</v>
      </c>
      <c r="P214" s="10">
        <f t="shared" si="525"/>
        <v>14</v>
      </c>
      <c r="Q214" s="21"/>
      <c r="R214" s="19">
        <f t="shared" si="536"/>
        <v>14</v>
      </c>
      <c r="S214" s="24">
        <f t="shared" si="358"/>
        <v>10.220573273821856</v>
      </c>
      <c r="T214" s="81">
        <f>$H$214*月別販売比率!H5</f>
        <v>3.7333333333333338</v>
      </c>
      <c r="U214" s="10">
        <f t="shared" si="537"/>
        <v>14</v>
      </c>
      <c r="V214" s="21"/>
      <c r="W214" s="10">
        <f t="shared" si="526"/>
        <v>14</v>
      </c>
      <c r="X214" s="24">
        <f t="shared" si="359"/>
        <v>10.266666666666666</v>
      </c>
      <c r="Y214" s="81">
        <f>$H$214*月別販売比率!M5</f>
        <v>5.3900634199282136</v>
      </c>
      <c r="Z214" s="10">
        <f t="shared" si="538"/>
        <v>14</v>
      </c>
      <c r="AA214" s="21"/>
      <c r="AB214" s="97">
        <f t="shared" si="527"/>
        <v>14</v>
      </c>
      <c r="AC214" s="24">
        <f t="shared" si="360"/>
        <v>8.6099365800717855</v>
      </c>
      <c r="AD214" s="81">
        <f>$H$214*月別販売比率!R5</f>
        <v>4.2666666666666666</v>
      </c>
      <c r="AE214" s="10">
        <f t="shared" si="539"/>
        <v>14</v>
      </c>
      <c r="AF214" s="21"/>
      <c r="AG214" s="10">
        <f t="shared" si="528"/>
        <v>14</v>
      </c>
      <c r="AH214" s="24">
        <f t="shared" si="361"/>
        <v>9.7333333333333343</v>
      </c>
      <c r="AI214" s="81">
        <f>$H$214*月別販売比率!W5</f>
        <v>4.0622250841835221</v>
      </c>
      <c r="AJ214" s="10">
        <f t="shared" si="540"/>
        <v>14</v>
      </c>
      <c r="AK214" s="21"/>
      <c r="AL214" s="10">
        <f t="shared" si="529"/>
        <v>14</v>
      </c>
      <c r="AM214" s="24">
        <f t="shared" si="362"/>
        <v>9.9377749158164779</v>
      </c>
      <c r="AN214" s="81">
        <f>$H$214*月別販売比率!AB5</f>
        <v>6.4</v>
      </c>
      <c r="AO214" s="10">
        <f t="shared" si="541"/>
        <v>14</v>
      </c>
      <c r="AP214" s="21"/>
      <c r="AQ214" s="19">
        <f t="shared" si="530"/>
        <v>14</v>
      </c>
      <c r="AR214" s="24">
        <f t="shared" si="363"/>
        <v>7.6</v>
      </c>
      <c r="AS214" s="81">
        <f>$H$214*月別販売比率!AG5</f>
        <v>5.3333333333333339</v>
      </c>
      <c r="AT214" s="10">
        <f t="shared" si="542"/>
        <v>14</v>
      </c>
      <c r="AU214" s="21"/>
      <c r="AV214" s="19">
        <f t="shared" si="531"/>
        <v>14</v>
      </c>
      <c r="AW214" s="24">
        <f t="shared" si="364"/>
        <v>8.6666666666666661</v>
      </c>
      <c r="AX214" s="81">
        <f>$H$214*月別販売比率!AL5</f>
        <v>4.8</v>
      </c>
      <c r="AY214" s="10">
        <f t="shared" si="543"/>
        <v>14</v>
      </c>
      <c r="AZ214" s="21"/>
      <c r="BA214" s="19">
        <f t="shared" si="544"/>
        <v>14</v>
      </c>
      <c r="BB214" s="24">
        <f t="shared" si="365"/>
        <v>9.1999999999999993</v>
      </c>
      <c r="BC214" s="81">
        <f>$H$214*月別販売比率!AQ5</f>
        <v>5.3333333333333339</v>
      </c>
      <c r="BD214" s="10">
        <f t="shared" si="545"/>
        <v>14</v>
      </c>
      <c r="BE214" s="21"/>
      <c r="BF214" s="19">
        <f t="shared" si="546"/>
        <v>14</v>
      </c>
      <c r="BG214" s="24">
        <f t="shared" si="366"/>
        <v>8.6666666666666661</v>
      </c>
      <c r="BH214" s="81">
        <f>$H$214*月別販売比率!AV5</f>
        <v>3.2477000266408877</v>
      </c>
      <c r="BI214" s="10">
        <f t="shared" si="547"/>
        <v>14</v>
      </c>
      <c r="BJ214" s="21"/>
      <c r="BK214" s="19">
        <f t="shared" si="548"/>
        <v>14</v>
      </c>
      <c r="BL214" s="24">
        <f t="shared" si="367"/>
        <v>10.752299973359111</v>
      </c>
      <c r="BM214" s="81">
        <f>$H$214*月別販売比率!BA5</f>
        <v>2.966566437602522</v>
      </c>
      <c r="BN214" s="10">
        <f t="shared" si="549"/>
        <v>14</v>
      </c>
      <c r="BO214" s="21"/>
      <c r="BP214" s="19">
        <f t="shared" si="553"/>
        <v>14</v>
      </c>
      <c r="BQ214" s="24">
        <f t="shared" si="368"/>
        <v>11.033433562397478</v>
      </c>
      <c r="BR214" s="81">
        <f>$H$214*月別販売比率!BF5</f>
        <v>4.2666666666666666</v>
      </c>
      <c r="BS214" s="10">
        <f t="shared" si="550"/>
        <v>14</v>
      </c>
      <c r="BT214" s="21"/>
      <c r="BU214" s="19">
        <f t="shared" si="551"/>
        <v>14</v>
      </c>
      <c r="BV214" s="24">
        <f t="shared" si="369"/>
        <v>9.7333333333333343</v>
      </c>
      <c r="BW214" s="158">
        <f t="shared" si="532"/>
        <v>14</v>
      </c>
      <c r="BX214" s="29">
        <f t="shared" si="533"/>
        <v>-39.333333333333336</v>
      </c>
    </row>
    <row r="215" spans="2:76" ht="30.75" customHeight="1">
      <c r="C215" s="507"/>
      <c r="D215" s="441"/>
      <c r="E215" s="94" t="s">
        <v>47</v>
      </c>
      <c r="F215" s="57">
        <v>45</v>
      </c>
      <c r="G215" s="5">
        <f t="shared" si="534"/>
        <v>198000</v>
      </c>
      <c r="H215" s="7">
        <f t="shared" si="535"/>
        <v>52.173913043478265</v>
      </c>
      <c r="I215" s="5">
        <f t="shared" si="552"/>
        <v>229565.21739130438</v>
      </c>
      <c r="J215" s="9">
        <v>0</v>
      </c>
      <c r="K215" s="21">
        <f t="shared" si="372"/>
        <v>3</v>
      </c>
      <c r="L215" s="21"/>
      <c r="M215" s="21">
        <v>3</v>
      </c>
      <c r="N215" s="42"/>
      <c r="O215" s="81">
        <f>$H$215*月別販売比率!C5</f>
        <v>3.6972652756090545</v>
      </c>
      <c r="P215" s="10">
        <f t="shared" si="525"/>
        <v>3</v>
      </c>
      <c r="Q215" s="21"/>
      <c r="R215" s="19">
        <f t="shared" si="536"/>
        <v>3</v>
      </c>
      <c r="S215" s="24">
        <f t="shared" ref="S215:S267" si="554">R215-O215</f>
        <v>-0.69726527560905449</v>
      </c>
      <c r="T215" s="81">
        <f>$H$215*月別販売比率!H5</f>
        <v>3.6521739130434789</v>
      </c>
      <c r="U215" s="10">
        <f t="shared" si="537"/>
        <v>3</v>
      </c>
      <c r="V215" s="21">
        <v>50</v>
      </c>
      <c r="W215" s="10">
        <f t="shared" si="526"/>
        <v>53</v>
      </c>
      <c r="X215" s="24">
        <f t="shared" ref="X215:X268" si="555">W215-T215</f>
        <v>49.347826086956523</v>
      </c>
      <c r="Y215" s="81">
        <f>$H$215*月別販売比率!M5</f>
        <v>5.2728881281906439</v>
      </c>
      <c r="Z215" s="10">
        <f t="shared" si="538"/>
        <v>3</v>
      </c>
      <c r="AA215" s="21"/>
      <c r="AB215" s="97">
        <f t="shared" si="527"/>
        <v>3</v>
      </c>
      <c r="AC215" s="24">
        <f t="shared" ref="AC215:AC268" si="556">AB215-Y215</f>
        <v>-2.2728881281906439</v>
      </c>
      <c r="AD215" s="81">
        <f>$H$215*月別販売比率!R5</f>
        <v>4.1739130434782616</v>
      </c>
      <c r="AE215" s="10">
        <f t="shared" si="539"/>
        <v>3</v>
      </c>
      <c r="AF215" s="21"/>
      <c r="AG215" s="10">
        <f t="shared" si="528"/>
        <v>3</v>
      </c>
      <c r="AH215" s="24">
        <f t="shared" ref="AH215:AH268" si="557">AG215-AD215</f>
        <v>-1.1739130434782616</v>
      </c>
      <c r="AI215" s="81">
        <f>$H$215*月別販売比率!W5</f>
        <v>3.9739158432230108</v>
      </c>
      <c r="AJ215" s="10">
        <f t="shared" si="540"/>
        <v>3</v>
      </c>
      <c r="AK215" s="21"/>
      <c r="AL215" s="10">
        <f t="shared" si="529"/>
        <v>3</v>
      </c>
      <c r="AM215" s="24">
        <f t="shared" ref="AM215:AM268" si="558">AL215-AI215</f>
        <v>-0.97391584322301084</v>
      </c>
      <c r="AN215" s="81">
        <f>$H$215*月別販売比率!AB5</f>
        <v>6.2608695652173916</v>
      </c>
      <c r="AO215" s="10">
        <f t="shared" si="541"/>
        <v>3</v>
      </c>
      <c r="AP215" s="21"/>
      <c r="AQ215" s="19">
        <f t="shared" si="530"/>
        <v>3</v>
      </c>
      <c r="AR215" s="24">
        <f t="shared" ref="AR215:AR268" si="559">AQ215-AN215</f>
        <v>-3.2608695652173916</v>
      </c>
      <c r="AS215" s="81">
        <f>$H$215*月別販売比率!AG5</f>
        <v>5.2173913043478271</v>
      </c>
      <c r="AT215" s="10">
        <f t="shared" si="542"/>
        <v>3</v>
      </c>
      <c r="AU215" s="21"/>
      <c r="AV215" s="19">
        <f t="shared" si="531"/>
        <v>3</v>
      </c>
      <c r="AW215" s="24">
        <f t="shared" ref="AW215:AW268" si="560">AV215-AS215</f>
        <v>-2.2173913043478271</v>
      </c>
      <c r="AX215" s="81">
        <f>$H$215*月別販売比率!AL5</f>
        <v>4.6956521739130439</v>
      </c>
      <c r="AY215" s="10">
        <f t="shared" si="543"/>
        <v>3</v>
      </c>
      <c r="AZ215" s="21"/>
      <c r="BA215" s="19">
        <f t="shared" si="544"/>
        <v>3</v>
      </c>
      <c r="BB215" s="24">
        <f t="shared" ref="BB215:BB268" si="561">BA215-AX215</f>
        <v>-1.6956521739130439</v>
      </c>
      <c r="BC215" s="81">
        <f>$H$215*月別販売比率!AQ5</f>
        <v>5.2173913043478271</v>
      </c>
      <c r="BD215" s="10">
        <f t="shared" si="545"/>
        <v>3</v>
      </c>
      <c r="BE215" s="21"/>
      <c r="BF215" s="19">
        <f t="shared" si="546"/>
        <v>3</v>
      </c>
      <c r="BG215" s="24">
        <f t="shared" ref="BG215:BG268" si="562">BF215-BC215</f>
        <v>-2.2173913043478271</v>
      </c>
      <c r="BH215" s="81">
        <f>$H$215*月別販売比率!AV5</f>
        <v>3.1770978521486946</v>
      </c>
      <c r="BI215" s="10">
        <f t="shared" si="547"/>
        <v>3</v>
      </c>
      <c r="BJ215" s="21"/>
      <c r="BK215" s="19">
        <f t="shared" si="548"/>
        <v>3</v>
      </c>
      <c r="BL215" s="24">
        <f t="shared" ref="BL215:BL268" si="563">BK215-BH215</f>
        <v>-0.17709785214869456</v>
      </c>
      <c r="BM215" s="81">
        <f>$H$215*月別販売比率!BA5</f>
        <v>2.9020758628720325</v>
      </c>
      <c r="BN215" s="10">
        <f t="shared" si="549"/>
        <v>3</v>
      </c>
      <c r="BO215" s="21"/>
      <c r="BP215" s="19">
        <f t="shared" si="553"/>
        <v>3</v>
      </c>
      <c r="BQ215" s="24">
        <f t="shared" ref="BQ215:BQ268" si="564">BP215-BM215</f>
        <v>9.7924137127967548E-2</v>
      </c>
      <c r="BR215" s="81">
        <f>$H$215*月別販売比率!BF5</f>
        <v>4.1739130434782616</v>
      </c>
      <c r="BS215" s="10">
        <f t="shared" si="550"/>
        <v>3</v>
      </c>
      <c r="BT215" s="21"/>
      <c r="BU215" s="19">
        <f t="shared" si="551"/>
        <v>3</v>
      </c>
      <c r="BV215" s="24">
        <f t="shared" ref="BV215:BV268" si="565">BU215-BR215</f>
        <v>-1.1739130434782616</v>
      </c>
      <c r="BW215" s="158">
        <f t="shared" si="532"/>
        <v>53</v>
      </c>
      <c r="BX215" s="29">
        <f t="shared" si="533"/>
        <v>0.82608695652173481</v>
      </c>
    </row>
    <row r="216" spans="2:76" ht="30.75" customHeight="1">
      <c r="C216" s="507"/>
      <c r="D216" s="441"/>
      <c r="E216" s="94" t="s">
        <v>51</v>
      </c>
      <c r="F216" s="57">
        <v>36</v>
      </c>
      <c r="G216" s="5">
        <f t="shared" si="534"/>
        <v>158400</v>
      </c>
      <c r="H216" s="7">
        <f t="shared" si="535"/>
        <v>41.739130434782609</v>
      </c>
      <c r="I216" s="5">
        <f t="shared" si="552"/>
        <v>183652.17391304349</v>
      </c>
      <c r="J216" s="9">
        <v>0</v>
      </c>
      <c r="K216" s="21">
        <f t="shared" ref="K216:K269" si="566">SUM(L216:N216)</f>
        <v>0</v>
      </c>
      <c r="L216" s="21"/>
      <c r="M216" s="21"/>
      <c r="N216" s="42"/>
      <c r="O216" s="81">
        <f>$H$216*月別販売比率!C5</f>
        <v>2.9578122204872432</v>
      </c>
      <c r="P216" s="10">
        <f t="shared" si="525"/>
        <v>0</v>
      </c>
      <c r="Q216" s="21"/>
      <c r="R216" s="19">
        <f t="shared" si="536"/>
        <v>0</v>
      </c>
      <c r="S216" s="24">
        <f t="shared" si="554"/>
        <v>-2.9578122204872432</v>
      </c>
      <c r="T216" s="81">
        <f>$H$216*月別販売比率!H5</f>
        <v>2.9217391304347831</v>
      </c>
      <c r="U216" s="10">
        <f t="shared" si="537"/>
        <v>0</v>
      </c>
      <c r="V216" s="21">
        <v>50</v>
      </c>
      <c r="W216" s="10">
        <f t="shared" si="526"/>
        <v>50</v>
      </c>
      <c r="X216" s="24">
        <f t="shared" si="555"/>
        <v>47.07826086956522</v>
      </c>
      <c r="Y216" s="81">
        <f>$H$216*月別販売比率!M5</f>
        <v>4.2183105025525149</v>
      </c>
      <c r="Z216" s="10">
        <f t="shared" si="538"/>
        <v>0</v>
      </c>
      <c r="AA216" s="21"/>
      <c r="AB216" s="97">
        <f t="shared" si="527"/>
        <v>0</v>
      </c>
      <c r="AC216" s="24">
        <f t="shared" si="556"/>
        <v>-4.2183105025525149</v>
      </c>
      <c r="AD216" s="81">
        <f>$H$216*月別販売比率!R5</f>
        <v>3.339130434782609</v>
      </c>
      <c r="AE216" s="10">
        <f t="shared" si="539"/>
        <v>0</v>
      </c>
      <c r="AF216" s="21"/>
      <c r="AG216" s="10">
        <f t="shared" si="528"/>
        <v>0</v>
      </c>
      <c r="AH216" s="24">
        <f t="shared" si="557"/>
        <v>-3.339130434782609</v>
      </c>
      <c r="AI216" s="81">
        <f>$H$216*月別販売比率!W5</f>
        <v>3.1791326745784083</v>
      </c>
      <c r="AJ216" s="10">
        <f t="shared" si="540"/>
        <v>0</v>
      </c>
      <c r="AK216" s="21"/>
      <c r="AL216" s="10">
        <f t="shared" si="529"/>
        <v>0</v>
      </c>
      <c r="AM216" s="24">
        <f t="shared" si="558"/>
        <v>-3.1791326745784083</v>
      </c>
      <c r="AN216" s="81">
        <f>$H$216*月別販売比率!AB5</f>
        <v>5.0086956521739125</v>
      </c>
      <c r="AO216" s="10">
        <f t="shared" si="541"/>
        <v>0</v>
      </c>
      <c r="AP216" s="21"/>
      <c r="AQ216" s="19">
        <f t="shared" si="530"/>
        <v>0</v>
      </c>
      <c r="AR216" s="24">
        <f t="shared" si="559"/>
        <v>-5.0086956521739125</v>
      </c>
      <c r="AS216" s="81">
        <f>$H$216*月別販売比率!AG5</f>
        <v>4.1739130434782608</v>
      </c>
      <c r="AT216" s="10">
        <f t="shared" si="542"/>
        <v>0</v>
      </c>
      <c r="AU216" s="21"/>
      <c r="AV216" s="19">
        <f t="shared" si="531"/>
        <v>0</v>
      </c>
      <c r="AW216" s="24">
        <f t="shared" si="560"/>
        <v>-4.1739130434782608</v>
      </c>
      <c r="AX216" s="81">
        <f>$H$216*月別販売比率!AL5</f>
        <v>3.7565217391304349</v>
      </c>
      <c r="AY216" s="10">
        <f t="shared" si="543"/>
        <v>0</v>
      </c>
      <c r="AZ216" s="21"/>
      <c r="BA216" s="19">
        <f t="shared" si="544"/>
        <v>0</v>
      </c>
      <c r="BB216" s="24">
        <f t="shared" si="561"/>
        <v>-3.7565217391304349</v>
      </c>
      <c r="BC216" s="81">
        <f>$H$216*月別販売比率!AQ5</f>
        <v>4.1739130434782608</v>
      </c>
      <c r="BD216" s="10">
        <f t="shared" si="545"/>
        <v>0</v>
      </c>
      <c r="BE216" s="21"/>
      <c r="BF216" s="19">
        <f t="shared" si="546"/>
        <v>0</v>
      </c>
      <c r="BG216" s="24">
        <f t="shared" si="562"/>
        <v>-4.1739130434782608</v>
      </c>
      <c r="BH216" s="81">
        <f>$H$216*月別販売比率!AV5</f>
        <v>2.5416782817189558</v>
      </c>
      <c r="BI216" s="10">
        <f t="shared" si="547"/>
        <v>0</v>
      </c>
      <c r="BJ216" s="21"/>
      <c r="BK216" s="19">
        <f t="shared" si="548"/>
        <v>0</v>
      </c>
      <c r="BL216" s="24">
        <f t="shared" si="563"/>
        <v>-2.5416782817189558</v>
      </c>
      <c r="BM216" s="81">
        <f>$H$216*月別販売比率!BA5</f>
        <v>2.3216606902976258</v>
      </c>
      <c r="BN216" s="10">
        <f t="shared" si="549"/>
        <v>0</v>
      </c>
      <c r="BO216" s="21"/>
      <c r="BP216" s="19">
        <f t="shared" si="553"/>
        <v>0</v>
      </c>
      <c r="BQ216" s="24">
        <f t="shared" si="564"/>
        <v>-2.3216606902976258</v>
      </c>
      <c r="BR216" s="81">
        <f>$H$216*月別販売比率!BF5</f>
        <v>3.339130434782609</v>
      </c>
      <c r="BS216" s="10">
        <f t="shared" si="550"/>
        <v>0</v>
      </c>
      <c r="BT216" s="21"/>
      <c r="BU216" s="19">
        <f t="shared" si="551"/>
        <v>0</v>
      </c>
      <c r="BV216" s="24">
        <f t="shared" si="565"/>
        <v>-3.339130434782609</v>
      </c>
      <c r="BW216" s="158">
        <f t="shared" si="532"/>
        <v>50</v>
      </c>
      <c r="BX216" s="29">
        <f t="shared" si="533"/>
        <v>8.2608695652173907</v>
      </c>
    </row>
    <row r="217" spans="2:76" ht="30.75" customHeight="1">
      <c r="C217" s="507"/>
      <c r="D217" s="441"/>
      <c r="E217" s="94" t="s">
        <v>49</v>
      </c>
      <c r="F217" s="57">
        <v>18</v>
      </c>
      <c r="G217" s="5">
        <f t="shared" si="534"/>
        <v>79200</v>
      </c>
      <c r="H217" s="7">
        <f t="shared" si="535"/>
        <v>20.869565217391305</v>
      </c>
      <c r="I217" s="5">
        <f t="shared" si="552"/>
        <v>91826.086956521744</v>
      </c>
      <c r="J217" s="9">
        <v>10</v>
      </c>
      <c r="K217" s="21">
        <f t="shared" si="566"/>
        <v>13</v>
      </c>
      <c r="L217" s="21">
        <v>10</v>
      </c>
      <c r="M217" s="21">
        <v>3</v>
      </c>
      <c r="N217" s="42"/>
      <c r="O217" s="81">
        <f>$H$217*月別販売比率!C5</f>
        <v>1.4789061102436216</v>
      </c>
      <c r="P217" s="10">
        <f t="shared" si="525"/>
        <v>13</v>
      </c>
      <c r="Q217" s="21"/>
      <c r="R217" s="19">
        <f t="shared" si="536"/>
        <v>13</v>
      </c>
      <c r="S217" s="24">
        <f t="shared" si="554"/>
        <v>11.521093889756379</v>
      </c>
      <c r="T217" s="81">
        <f>$H$217*月別販売比率!H5</f>
        <v>1.4608695652173915</v>
      </c>
      <c r="U217" s="10">
        <f t="shared" si="537"/>
        <v>13</v>
      </c>
      <c r="V217" s="21">
        <v>40</v>
      </c>
      <c r="W217" s="10">
        <f t="shared" si="526"/>
        <v>53</v>
      </c>
      <c r="X217" s="24">
        <f t="shared" si="555"/>
        <v>51.539130434782606</v>
      </c>
      <c r="Y217" s="81">
        <f>$H$217*月別販売比率!M5</f>
        <v>2.1091552512762575</v>
      </c>
      <c r="Z217" s="10">
        <f t="shared" si="538"/>
        <v>13</v>
      </c>
      <c r="AA217" s="21"/>
      <c r="AB217" s="97">
        <f t="shared" si="527"/>
        <v>13</v>
      </c>
      <c r="AC217" s="24">
        <f t="shared" si="556"/>
        <v>10.890844748723742</v>
      </c>
      <c r="AD217" s="81">
        <f>$H$217*月別販売比率!R5</f>
        <v>1.6695652173913045</v>
      </c>
      <c r="AE217" s="10">
        <f t="shared" si="539"/>
        <v>13</v>
      </c>
      <c r="AF217" s="21"/>
      <c r="AG217" s="10">
        <f t="shared" si="528"/>
        <v>13</v>
      </c>
      <c r="AH217" s="24">
        <f t="shared" si="557"/>
        <v>11.330434782608695</v>
      </c>
      <c r="AI217" s="81">
        <f>$H$217*月別販売比率!W5</f>
        <v>1.5895663372892042</v>
      </c>
      <c r="AJ217" s="10">
        <f t="shared" si="540"/>
        <v>13</v>
      </c>
      <c r="AK217" s="21"/>
      <c r="AL217" s="10">
        <f t="shared" si="529"/>
        <v>13</v>
      </c>
      <c r="AM217" s="24">
        <f t="shared" si="558"/>
        <v>11.410433662710796</v>
      </c>
      <c r="AN217" s="81">
        <f>$H$217*月別販売比率!AB5</f>
        <v>2.5043478260869563</v>
      </c>
      <c r="AO217" s="10">
        <f t="shared" si="541"/>
        <v>13</v>
      </c>
      <c r="AP217" s="21"/>
      <c r="AQ217" s="19">
        <f t="shared" si="530"/>
        <v>13</v>
      </c>
      <c r="AR217" s="24">
        <f t="shared" si="559"/>
        <v>10.495652173913044</v>
      </c>
      <c r="AS217" s="81">
        <f>$H$217*月別販売比率!AG5</f>
        <v>2.0869565217391304</v>
      </c>
      <c r="AT217" s="10">
        <f t="shared" si="542"/>
        <v>13</v>
      </c>
      <c r="AU217" s="21"/>
      <c r="AV217" s="19">
        <f t="shared" si="531"/>
        <v>13</v>
      </c>
      <c r="AW217" s="24">
        <f t="shared" si="560"/>
        <v>10.913043478260869</v>
      </c>
      <c r="AX217" s="81">
        <f>$H$217*月別販売比率!AL5</f>
        <v>1.8782608695652174</v>
      </c>
      <c r="AY217" s="10">
        <f t="shared" si="543"/>
        <v>13</v>
      </c>
      <c r="AZ217" s="21"/>
      <c r="BA217" s="19">
        <f t="shared" si="544"/>
        <v>13</v>
      </c>
      <c r="BB217" s="24">
        <f t="shared" si="561"/>
        <v>11.121739130434783</v>
      </c>
      <c r="BC217" s="81">
        <f>$H$217*月別販売比率!AQ5</f>
        <v>2.0869565217391304</v>
      </c>
      <c r="BD217" s="10">
        <f t="shared" si="545"/>
        <v>13</v>
      </c>
      <c r="BE217" s="21"/>
      <c r="BF217" s="19">
        <f t="shared" si="546"/>
        <v>13</v>
      </c>
      <c r="BG217" s="24">
        <f t="shared" si="562"/>
        <v>10.913043478260869</v>
      </c>
      <c r="BH217" s="81">
        <f>$H$217*月別販売比率!AV5</f>
        <v>1.2708391408594779</v>
      </c>
      <c r="BI217" s="10">
        <f t="shared" si="547"/>
        <v>13</v>
      </c>
      <c r="BJ217" s="21"/>
      <c r="BK217" s="19">
        <f t="shared" si="548"/>
        <v>13</v>
      </c>
      <c r="BL217" s="24">
        <f t="shared" si="563"/>
        <v>11.729160859140523</v>
      </c>
      <c r="BM217" s="81">
        <f>$H$217*月別販売比率!BA5</f>
        <v>1.1608303451488129</v>
      </c>
      <c r="BN217" s="10">
        <f t="shared" si="549"/>
        <v>13</v>
      </c>
      <c r="BO217" s="21"/>
      <c r="BP217" s="19">
        <f t="shared" si="553"/>
        <v>13</v>
      </c>
      <c r="BQ217" s="24">
        <f t="shared" si="564"/>
        <v>11.839169654851187</v>
      </c>
      <c r="BR217" s="81">
        <f>$H$217*月別販売比率!BF5</f>
        <v>1.6695652173913045</v>
      </c>
      <c r="BS217" s="10">
        <f t="shared" si="550"/>
        <v>13</v>
      </c>
      <c r="BT217" s="21"/>
      <c r="BU217" s="19">
        <f t="shared" si="551"/>
        <v>13</v>
      </c>
      <c r="BV217" s="24">
        <f t="shared" si="565"/>
        <v>11.330434782608695</v>
      </c>
      <c r="BW217" s="158">
        <f t="shared" si="532"/>
        <v>53</v>
      </c>
      <c r="BX217" s="29">
        <f t="shared" si="533"/>
        <v>32.130434782608695</v>
      </c>
    </row>
    <row r="218" spans="2:76" ht="30.75" customHeight="1">
      <c r="C218" s="507"/>
      <c r="D218" s="441"/>
      <c r="E218" s="99" t="s">
        <v>50</v>
      </c>
      <c r="F218" s="56">
        <v>6</v>
      </c>
      <c r="G218" s="46">
        <f t="shared" si="534"/>
        <v>26400</v>
      </c>
      <c r="H218" s="45">
        <f t="shared" si="535"/>
        <v>6.9565217391304355</v>
      </c>
      <c r="I218" s="46">
        <f t="shared" si="552"/>
        <v>30608.695652173916</v>
      </c>
      <c r="J218" s="49">
        <v>0</v>
      </c>
      <c r="K218" s="21">
        <f t="shared" si="566"/>
        <v>18</v>
      </c>
      <c r="L218" s="39">
        <v>13</v>
      </c>
      <c r="M218" s="39">
        <v>5</v>
      </c>
      <c r="N218" s="42"/>
      <c r="O218" s="81">
        <f>$H$218*月別販売比率!C5</f>
        <v>0.49296870341454058</v>
      </c>
      <c r="P218" s="40">
        <f t="shared" si="525"/>
        <v>18</v>
      </c>
      <c r="Q218" s="39"/>
      <c r="R218" s="43">
        <f t="shared" si="536"/>
        <v>18</v>
      </c>
      <c r="S218" s="24">
        <f t="shared" si="554"/>
        <v>17.50703129658546</v>
      </c>
      <c r="T218" s="81">
        <f>$H$218*月別販売比率!H5</f>
        <v>0.48695652173913051</v>
      </c>
      <c r="U218" s="40">
        <f t="shared" si="537"/>
        <v>18</v>
      </c>
      <c r="V218" s="39">
        <v>40</v>
      </c>
      <c r="W218" s="10">
        <f t="shared" si="526"/>
        <v>58</v>
      </c>
      <c r="X218" s="24">
        <f t="shared" si="555"/>
        <v>57.513043478260869</v>
      </c>
      <c r="Y218" s="81">
        <f>$H$218*月別販売比率!M5</f>
        <v>0.70305175042541923</v>
      </c>
      <c r="Z218" s="40">
        <f t="shared" si="538"/>
        <v>18</v>
      </c>
      <c r="AA218" s="39"/>
      <c r="AB218" s="97">
        <f t="shared" si="527"/>
        <v>18</v>
      </c>
      <c r="AC218" s="24">
        <f t="shared" si="556"/>
        <v>17.29694824957458</v>
      </c>
      <c r="AD218" s="81">
        <f>$H$218*月別販売比率!R5</f>
        <v>0.5565217391304349</v>
      </c>
      <c r="AE218" s="40">
        <f t="shared" si="539"/>
        <v>18</v>
      </c>
      <c r="AF218" s="39"/>
      <c r="AG218" s="10">
        <f t="shared" si="528"/>
        <v>18</v>
      </c>
      <c r="AH218" s="24">
        <f t="shared" si="557"/>
        <v>17.443478260869565</v>
      </c>
      <c r="AI218" s="81">
        <f>$H$218*月別販売比率!W5</f>
        <v>0.52985544576306809</v>
      </c>
      <c r="AJ218" s="40">
        <f t="shared" si="540"/>
        <v>18</v>
      </c>
      <c r="AK218" s="39"/>
      <c r="AL218" s="10">
        <f t="shared" si="529"/>
        <v>18</v>
      </c>
      <c r="AM218" s="24">
        <f t="shared" si="558"/>
        <v>17.470144554236931</v>
      </c>
      <c r="AN218" s="81">
        <f>$H$218*月別販売比率!AB5</f>
        <v>0.83478260869565224</v>
      </c>
      <c r="AO218" s="40">
        <f t="shared" si="541"/>
        <v>18</v>
      </c>
      <c r="AP218" s="39"/>
      <c r="AQ218" s="19">
        <f t="shared" si="530"/>
        <v>18</v>
      </c>
      <c r="AR218" s="24">
        <f t="shared" si="559"/>
        <v>17.165217391304349</v>
      </c>
      <c r="AS218" s="81">
        <f>$H$218*月別販売比率!AG5</f>
        <v>0.69565217391304357</v>
      </c>
      <c r="AT218" s="40">
        <f t="shared" si="542"/>
        <v>18</v>
      </c>
      <c r="AU218" s="39"/>
      <c r="AV218" s="19">
        <f t="shared" si="531"/>
        <v>18</v>
      </c>
      <c r="AW218" s="24">
        <f t="shared" si="560"/>
        <v>17.304347826086957</v>
      </c>
      <c r="AX218" s="81">
        <f>$H$218*月別販売比率!AL5</f>
        <v>0.62608695652173918</v>
      </c>
      <c r="AY218" s="40">
        <f t="shared" si="543"/>
        <v>18</v>
      </c>
      <c r="AZ218" s="39"/>
      <c r="BA218" s="43">
        <f t="shared" si="544"/>
        <v>18</v>
      </c>
      <c r="BB218" s="24">
        <f t="shared" si="561"/>
        <v>17.373913043478261</v>
      </c>
      <c r="BC218" s="81">
        <f>$H$218*月別販売比率!AQ5</f>
        <v>0.69565217391304357</v>
      </c>
      <c r="BD218" s="40">
        <f t="shared" si="545"/>
        <v>18</v>
      </c>
      <c r="BE218" s="39"/>
      <c r="BF218" s="43">
        <f t="shared" si="546"/>
        <v>18</v>
      </c>
      <c r="BG218" s="24">
        <f t="shared" si="562"/>
        <v>17.304347826086957</v>
      </c>
      <c r="BH218" s="81">
        <f>$H$218*月別販売比率!AV5</f>
        <v>0.42361304695315932</v>
      </c>
      <c r="BI218" s="40">
        <f t="shared" si="547"/>
        <v>18</v>
      </c>
      <c r="BJ218" s="39"/>
      <c r="BK218" s="43">
        <f t="shared" si="548"/>
        <v>18</v>
      </c>
      <c r="BL218" s="24">
        <f t="shared" si="563"/>
        <v>17.576386953046839</v>
      </c>
      <c r="BM218" s="81">
        <f>$H$218*月別販売比率!BA5</f>
        <v>0.38694344838293765</v>
      </c>
      <c r="BN218" s="40">
        <f t="shared" si="549"/>
        <v>18</v>
      </c>
      <c r="BO218" s="39"/>
      <c r="BP218" s="43">
        <f t="shared" si="553"/>
        <v>18</v>
      </c>
      <c r="BQ218" s="24">
        <f t="shared" si="564"/>
        <v>17.613056551617063</v>
      </c>
      <c r="BR218" s="81">
        <f>$H$218*月別販売比率!BF5</f>
        <v>0.5565217391304349</v>
      </c>
      <c r="BS218" s="40">
        <f t="shared" si="550"/>
        <v>18</v>
      </c>
      <c r="BT218" s="39"/>
      <c r="BU218" s="43">
        <f t="shared" si="551"/>
        <v>18</v>
      </c>
      <c r="BV218" s="24">
        <f t="shared" si="565"/>
        <v>17.443478260869565</v>
      </c>
      <c r="BW218" s="158">
        <f t="shared" si="532"/>
        <v>58</v>
      </c>
      <c r="BX218" s="29">
        <f t="shared" si="533"/>
        <v>51.043478260869563</v>
      </c>
    </row>
    <row r="219" spans="2:76" ht="30.75" customHeight="1">
      <c r="C219" s="507"/>
      <c r="D219" s="443">
        <v>3</v>
      </c>
      <c r="E219" s="94" t="s">
        <v>46</v>
      </c>
      <c r="F219" s="57">
        <v>38</v>
      </c>
      <c r="G219" s="5">
        <f t="shared" si="534"/>
        <v>167200</v>
      </c>
      <c r="H219" s="7">
        <f t="shared" si="535"/>
        <v>44.057971014492757</v>
      </c>
      <c r="I219" s="5">
        <f t="shared" si="552"/>
        <v>193855.07246376813</v>
      </c>
      <c r="J219" s="9">
        <v>98</v>
      </c>
      <c r="K219" s="21">
        <f t="shared" si="566"/>
        <v>17</v>
      </c>
      <c r="L219" s="21">
        <v>13</v>
      </c>
      <c r="M219" s="21">
        <v>4</v>
      </c>
      <c r="N219" s="42"/>
      <c r="O219" s="81">
        <f>$H$219*月別販売比率!C5</f>
        <v>3.1221351216254236</v>
      </c>
      <c r="P219" s="10">
        <f t="shared" ref="P219:P223" si="567">K219</f>
        <v>17</v>
      </c>
      <c r="Q219" s="21"/>
      <c r="R219" s="19">
        <f t="shared" ref="R219:R223" si="568">Q219+K219</f>
        <v>17</v>
      </c>
      <c r="S219" s="24">
        <f t="shared" si="554"/>
        <v>13.877864878374577</v>
      </c>
      <c r="T219" s="81">
        <f>$H$219*月別販売比率!H5</f>
        <v>3.0840579710144933</v>
      </c>
      <c r="U219" s="10">
        <f t="shared" ref="U219:U223" si="569">K219</f>
        <v>17</v>
      </c>
      <c r="V219" s="21"/>
      <c r="W219" s="10">
        <f t="shared" si="526"/>
        <v>17</v>
      </c>
      <c r="X219" s="24">
        <f t="shared" si="555"/>
        <v>13.915942028985507</v>
      </c>
      <c r="Y219" s="81">
        <f>$H$219*月別販売比率!M5</f>
        <v>4.4526610860276552</v>
      </c>
      <c r="Z219" s="10">
        <f t="shared" ref="Z219:Z223" si="570">K219</f>
        <v>17</v>
      </c>
      <c r="AA219" s="21"/>
      <c r="AB219" s="97">
        <f t="shared" si="527"/>
        <v>17</v>
      </c>
      <c r="AC219" s="24">
        <f t="shared" si="556"/>
        <v>12.547338913972345</v>
      </c>
      <c r="AD219" s="81">
        <f>$H$219*月別販売比率!R5</f>
        <v>3.5246376811594207</v>
      </c>
      <c r="AE219" s="10">
        <f t="shared" ref="AE219:AE223" si="571">K219</f>
        <v>17</v>
      </c>
      <c r="AF219" s="21"/>
      <c r="AG219" s="10">
        <f t="shared" si="528"/>
        <v>17</v>
      </c>
      <c r="AH219" s="24">
        <f t="shared" si="557"/>
        <v>13.475362318840579</v>
      </c>
      <c r="AI219" s="81">
        <f>$H$219*月別販売比率!W5</f>
        <v>3.3557511564994313</v>
      </c>
      <c r="AJ219" s="10">
        <f t="shared" ref="AJ219:AJ223" si="572">K219</f>
        <v>17</v>
      </c>
      <c r="AK219" s="21"/>
      <c r="AL219" s="10">
        <f t="shared" si="529"/>
        <v>17</v>
      </c>
      <c r="AM219" s="24">
        <f t="shared" si="558"/>
        <v>13.644248843500568</v>
      </c>
      <c r="AN219" s="81">
        <f>$H$219*月別販売比率!AB5</f>
        <v>5.286956521739131</v>
      </c>
      <c r="AO219" s="10">
        <f t="shared" ref="AO219:AO223" si="573">K219</f>
        <v>17</v>
      </c>
      <c r="AP219" s="21"/>
      <c r="AQ219" s="19">
        <f t="shared" si="530"/>
        <v>17</v>
      </c>
      <c r="AR219" s="24">
        <f t="shared" si="559"/>
        <v>11.713043478260868</v>
      </c>
      <c r="AS219" s="81">
        <f>$H$219*月別販売比率!AG5</f>
        <v>4.4057971014492763</v>
      </c>
      <c r="AT219" s="10">
        <f t="shared" ref="AT219:AT223" si="574">K219</f>
        <v>17</v>
      </c>
      <c r="AU219" s="21"/>
      <c r="AV219" s="19">
        <f t="shared" si="531"/>
        <v>17</v>
      </c>
      <c r="AW219" s="24">
        <f t="shared" si="560"/>
        <v>12.594202898550723</v>
      </c>
      <c r="AX219" s="81">
        <f>$H$219*月別販売比率!AL5</f>
        <v>3.965217391304348</v>
      </c>
      <c r="AY219" s="10">
        <f t="shared" ref="AY219:AY223" si="575">K219</f>
        <v>17</v>
      </c>
      <c r="AZ219" s="21"/>
      <c r="BA219" s="19">
        <f t="shared" ref="BA219:BA223" si="576">K219+AZ219</f>
        <v>17</v>
      </c>
      <c r="BB219" s="24">
        <f t="shared" si="561"/>
        <v>13.034782608695652</v>
      </c>
      <c r="BC219" s="81">
        <f>$H$219*月別販売比率!AQ5</f>
        <v>4.4057971014492763</v>
      </c>
      <c r="BD219" s="10">
        <f t="shared" ref="BD219:BD223" si="577">K219</f>
        <v>17</v>
      </c>
      <c r="BE219" s="21"/>
      <c r="BF219" s="19">
        <f t="shared" ref="BF219:BF223" si="578">K219+BE219</f>
        <v>17</v>
      </c>
      <c r="BG219" s="24">
        <f t="shared" si="562"/>
        <v>12.594202898550723</v>
      </c>
      <c r="BH219" s="81">
        <f>$H$219*月別販売比率!AV5</f>
        <v>2.6828826307033422</v>
      </c>
      <c r="BI219" s="10">
        <f t="shared" ref="BI219:BI223" si="579">K219</f>
        <v>17</v>
      </c>
      <c r="BJ219" s="21"/>
      <c r="BK219" s="19">
        <f t="shared" ref="BK219:BK223" si="580">K219+BJ219</f>
        <v>17</v>
      </c>
      <c r="BL219" s="24">
        <f t="shared" si="563"/>
        <v>14.317117369296657</v>
      </c>
      <c r="BM219" s="81">
        <f>$H$219*月別販売比率!BA5</f>
        <v>2.4506418397586049</v>
      </c>
      <c r="BN219" s="10">
        <f t="shared" ref="BN219:BN223" si="581">K219</f>
        <v>17</v>
      </c>
      <c r="BO219" s="21"/>
      <c r="BP219" s="19">
        <f t="shared" ref="BP219:BP223" si="582">K219+BO219</f>
        <v>17</v>
      </c>
      <c r="BQ219" s="24">
        <f t="shared" si="564"/>
        <v>14.549358160241395</v>
      </c>
      <c r="BR219" s="81">
        <f>$H$219*月別販売比率!BF5</f>
        <v>3.5246376811594207</v>
      </c>
      <c r="BS219" s="10">
        <f t="shared" ref="BS219:BS223" si="583">K219</f>
        <v>17</v>
      </c>
      <c r="BT219" s="21"/>
      <c r="BU219" s="19">
        <f t="shared" ref="BU219:BU223" si="584">K219+BT219</f>
        <v>17</v>
      </c>
      <c r="BV219" s="24">
        <f t="shared" si="565"/>
        <v>13.475362318840579</v>
      </c>
      <c r="BW219" s="158">
        <f t="shared" si="532"/>
        <v>17</v>
      </c>
      <c r="BX219" s="29">
        <f t="shared" si="533"/>
        <v>-27.057971014492757</v>
      </c>
    </row>
    <row r="220" spans="2:76" ht="30.75" customHeight="1">
      <c r="C220" s="507"/>
      <c r="D220" s="441"/>
      <c r="E220" s="94" t="s">
        <v>47</v>
      </c>
      <c r="F220" s="57">
        <v>30</v>
      </c>
      <c r="G220" s="5">
        <f t="shared" si="534"/>
        <v>132000</v>
      </c>
      <c r="H220" s="7">
        <f t="shared" si="535"/>
        <v>34.782608695652172</v>
      </c>
      <c r="I220" s="5">
        <f t="shared" si="552"/>
        <v>153043.47826086957</v>
      </c>
      <c r="J220" s="9">
        <v>10</v>
      </c>
      <c r="K220" s="21">
        <f t="shared" si="566"/>
        <v>15</v>
      </c>
      <c r="L220" s="21">
        <v>11</v>
      </c>
      <c r="M220" s="21">
        <v>4</v>
      </c>
      <c r="N220" s="42"/>
      <c r="O220" s="81">
        <f>$H$220*月別販売比率!C5</f>
        <v>2.4648435170727026</v>
      </c>
      <c r="P220" s="10">
        <f t="shared" si="567"/>
        <v>15</v>
      </c>
      <c r="Q220" s="21"/>
      <c r="R220" s="19">
        <f t="shared" si="568"/>
        <v>15</v>
      </c>
      <c r="S220" s="24">
        <f t="shared" si="554"/>
        <v>12.535156482927297</v>
      </c>
      <c r="T220" s="81">
        <f>$H$220*月別販売比率!H5</f>
        <v>2.4347826086956523</v>
      </c>
      <c r="U220" s="10">
        <f t="shared" si="569"/>
        <v>15</v>
      </c>
      <c r="V220" s="21">
        <v>50</v>
      </c>
      <c r="W220" s="10">
        <f t="shared" si="526"/>
        <v>65</v>
      </c>
      <c r="X220" s="24">
        <f t="shared" si="555"/>
        <v>62.565217391304344</v>
      </c>
      <c r="Y220" s="81">
        <f>$H$220*月別販売比率!M5</f>
        <v>3.5152587521270955</v>
      </c>
      <c r="Z220" s="10">
        <f t="shared" si="570"/>
        <v>15</v>
      </c>
      <c r="AA220" s="21"/>
      <c r="AB220" s="97">
        <f t="shared" si="527"/>
        <v>15</v>
      </c>
      <c r="AC220" s="24">
        <f t="shared" si="556"/>
        <v>11.484741247872904</v>
      </c>
      <c r="AD220" s="81">
        <f>$H$220*月別販売比率!R5</f>
        <v>2.7826086956521738</v>
      </c>
      <c r="AE220" s="10">
        <f t="shared" si="571"/>
        <v>15</v>
      </c>
      <c r="AF220" s="21"/>
      <c r="AG220" s="10">
        <f t="shared" si="528"/>
        <v>15</v>
      </c>
      <c r="AH220" s="24">
        <f t="shared" si="557"/>
        <v>12.217391304347826</v>
      </c>
      <c r="AI220" s="81">
        <f>$H$220*月別販売比率!W5</f>
        <v>2.6492772288153401</v>
      </c>
      <c r="AJ220" s="10">
        <f t="shared" si="572"/>
        <v>15</v>
      </c>
      <c r="AK220" s="21"/>
      <c r="AL220" s="10">
        <f t="shared" si="529"/>
        <v>15</v>
      </c>
      <c r="AM220" s="24">
        <f t="shared" si="558"/>
        <v>12.35072277118466</v>
      </c>
      <c r="AN220" s="81">
        <f>$H$220*月別販売比率!AB5</f>
        <v>4.1739130434782608</v>
      </c>
      <c r="AO220" s="10">
        <f t="shared" si="573"/>
        <v>15</v>
      </c>
      <c r="AP220" s="21"/>
      <c r="AQ220" s="19">
        <f t="shared" si="530"/>
        <v>15</v>
      </c>
      <c r="AR220" s="24">
        <f t="shared" si="559"/>
        <v>10.826086956521738</v>
      </c>
      <c r="AS220" s="81">
        <f>$H$220*月別販売比率!AG5</f>
        <v>3.4782608695652173</v>
      </c>
      <c r="AT220" s="10">
        <f t="shared" si="574"/>
        <v>15</v>
      </c>
      <c r="AU220" s="21"/>
      <c r="AV220" s="19">
        <f t="shared" si="531"/>
        <v>15</v>
      </c>
      <c r="AW220" s="24">
        <f t="shared" si="560"/>
        <v>11.521739130434783</v>
      </c>
      <c r="AX220" s="81">
        <f>$H$220*月別販売比率!AL5</f>
        <v>3.1304347826086953</v>
      </c>
      <c r="AY220" s="10">
        <f t="shared" si="575"/>
        <v>15</v>
      </c>
      <c r="AZ220" s="21"/>
      <c r="BA220" s="19">
        <f t="shared" si="576"/>
        <v>15</v>
      </c>
      <c r="BB220" s="24">
        <f t="shared" si="561"/>
        <v>11.869565217391305</v>
      </c>
      <c r="BC220" s="81">
        <f>$H$220*月別販売比率!AQ5</f>
        <v>3.4782608695652173</v>
      </c>
      <c r="BD220" s="10">
        <f t="shared" si="577"/>
        <v>15</v>
      </c>
      <c r="BE220" s="21"/>
      <c r="BF220" s="19">
        <f t="shared" si="578"/>
        <v>15</v>
      </c>
      <c r="BG220" s="24">
        <f t="shared" si="562"/>
        <v>11.521739130434783</v>
      </c>
      <c r="BH220" s="81">
        <f>$H$220*月別販売比率!AV5</f>
        <v>2.1180652347657962</v>
      </c>
      <c r="BI220" s="10">
        <f t="shared" si="579"/>
        <v>15</v>
      </c>
      <c r="BJ220" s="21"/>
      <c r="BK220" s="19">
        <f t="shared" si="580"/>
        <v>15</v>
      </c>
      <c r="BL220" s="24">
        <f t="shared" si="563"/>
        <v>12.881934765234204</v>
      </c>
      <c r="BM220" s="81">
        <f>$H$220*月別販売比率!BA5</f>
        <v>1.9347172419146881</v>
      </c>
      <c r="BN220" s="10">
        <f t="shared" si="581"/>
        <v>15</v>
      </c>
      <c r="BO220" s="21"/>
      <c r="BP220" s="19">
        <f t="shared" si="582"/>
        <v>15</v>
      </c>
      <c r="BQ220" s="24">
        <f t="shared" si="564"/>
        <v>13.065282758085312</v>
      </c>
      <c r="BR220" s="81">
        <f>$H$220*月別販売比率!BF5</f>
        <v>2.7826086956521738</v>
      </c>
      <c r="BS220" s="10">
        <f t="shared" si="583"/>
        <v>15</v>
      </c>
      <c r="BT220" s="21"/>
      <c r="BU220" s="19">
        <f t="shared" si="584"/>
        <v>15</v>
      </c>
      <c r="BV220" s="24">
        <f t="shared" si="565"/>
        <v>12.217391304347826</v>
      </c>
      <c r="BW220" s="158">
        <f t="shared" si="532"/>
        <v>65</v>
      </c>
      <c r="BX220" s="29">
        <f t="shared" si="533"/>
        <v>30.217391304347828</v>
      </c>
    </row>
    <row r="221" spans="2:76" ht="30.75" customHeight="1">
      <c r="C221" s="507"/>
      <c r="D221" s="441"/>
      <c r="E221" s="94" t="s">
        <v>51</v>
      </c>
      <c r="F221" s="57">
        <v>31</v>
      </c>
      <c r="G221" s="5">
        <f t="shared" si="534"/>
        <v>136400</v>
      </c>
      <c r="H221" s="7">
        <f t="shared" si="535"/>
        <v>35.94202898550725</v>
      </c>
      <c r="I221" s="5">
        <f t="shared" si="552"/>
        <v>158144.9275362319</v>
      </c>
      <c r="J221" s="9">
        <v>3</v>
      </c>
      <c r="K221" s="21">
        <f t="shared" si="566"/>
        <v>11</v>
      </c>
      <c r="L221" s="21">
        <v>9</v>
      </c>
      <c r="M221" s="21">
        <v>2</v>
      </c>
      <c r="N221" s="42"/>
      <c r="O221" s="81">
        <f>$H$221*月別販売比率!C5</f>
        <v>2.5470049676417932</v>
      </c>
      <c r="P221" s="10">
        <f t="shared" si="567"/>
        <v>11</v>
      </c>
      <c r="Q221" s="21"/>
      <c r="R221" s="19">
        <f t="shared" si="568"/>
        <v>11</v>
      </c>
      <c r="S221" s="24">
        <f t="shared" si="554"/>
        <v>8.4529950323582064</v>
      </c>
      <c r="T221" s="81">
        <f>$H$221*月別販売比率!H5</f>
        <v>2.5159420289855077</v>
      </c>
      <c r="U221" s="10">
        <f t="shared" si="569"/>
        <v>11</v>
      </c>
      <c r="V221" s="21">
        <v>50</v>
      </c>
      <c r="W221" s="10">
        <f t="shared" si="526"/>
        <v>61</v>
      </c>
      <c r="X221" s="24">
        <f t="shared" si="555"/>
        <v>58.484057971014494</v>
      </c>
      <c r="Y221" s="81">
        <f>$H$221*月別販売比率!M5</f>
        <v>3.6324340438646661</v>
      </c>
      <c r="Z221" s="10">
        <f t="shared" si="570"/>
        <v>11</v>
      </c>
      <c r="AA221" s="21"/>
      <c r="AB221" s="97">
        <f t="shared" si="527"/>
        <v>11</v>
      </c>
      <c r="AC221" s="24">
        <f t="shared" si="556"/>
        <v>7.3675659561353335</v>
      </c>
      <c r="AD221" s="81">
        <f>$H$221*月別販売比率!R5</f>
        <v>2.8753623188405801</v>
      </c>
      <c r="AE221" s="10">
        <f t="shared" si="571"/>
        <v>11</v>
      </c>
      <c r="AF221" s="21"/>
      <c r="AG221" s="10">
        <f t="shared" si="528"/>
        <v>11</v>
      </c>
      <c r="AH221" s="24">
        <f t="shared" si="557"/>
        <v>8.1246376811594203</v>
      </c>
      <c r="AI221" s="81">
        <f>$H$221*月別販売比率!W5</f>
        <v>2.7375864697758518</v>
      </c>
      <c r="AJ221" s="10">
        <f t="shared" si="572"/>
        <v>11</v>
      </c>
      <c r="AK221" s="21"/>
      <c r="AL221" s="10">
        <f t="shared" si="529"/>
        <v>11</v>
      </c>
      <c r="AM221" s="24">
        <f t="shared" si="558"/>
        <v>8.2624135302241477</v>
      </c>
      <c r="AN221" s="81">
        <f>$H$221*月別販売比率!AB5</f>
        <v>4.3130434782608695</v>
      </c>
      <c r="AO221" s="10">
        <f t="shared" si="573"/>
        <v>11</v>
      </c>
      <c r="AP221" s="21"/>
      <c r="AQ221" s="19">
        <f t="shared" si="530"/>
        <v>11</v>
      </c>
      <c r="AR221" s="24">
        <f t="shared" si="559"/>
        <v>6.6869565217391305</v>
      </c>
      <c r="AS221" s="81">
        <f>$H$221*月別販売比率!AG5</f>
        <v>3.5942028985507251</v>
      </c>
      <c r="AT221" s="10">
        <f t="shared" si="574"/>
        <v>11</v>
      </c>
      <c r="AU221" s="21"/>
      <c r="AV221" s="19">
        <f t="shared" si="531"/>
        <v>11</v>
      </c>
      <c r="AW221" s="24">
        <f t="shared" si="560"/>
        <v>7.4057971014492754</v>
      </c>
      <c r="AX221" s="81">
        <f>$H$221*月別販売比率!AL5</f>
        <v>3.2347826086956522</v>
      </c>
      <c r="AY221" s="10">
        <f t="shared" si="575"/>
        <v>11</v>
      </c>
      <c r="AZ221" s="21"/>
      <c r="BA221" s="19">
        <f t="shared" si="576"/>
        <v>11</v>
      </c>
      <c r="BB221" s="24">
        <f t="shared" si="561"/>
        <v>7.7652173913043478</v>
      </c>
      <c r="BC221" s="81">
        <f>$H$221*月別販売比率!AQ5</f>
        <v>3.5942028985507251</v>
      </c>
      <c r="BD221" s="10">
        <f t="shared" si="577"/>
        <v>11</v>
      </c>
      <c r="BE221" s="21"/>
      <c r="BF221" s="19">
        <f t="shared" si="578"/>
        <v>11</v>
      </c>
      <c r="BG221" s="24">
        <f t="shared" si="562"/>
        <v>7.4057971014492754</v>
      </c>
      <c r="BH221" s="81">
        <f>$H$221*月別販売比率!AV5</f>
        <v>2.1886674092579899</v>
      </c>
      <c r="BI221" s="10">
        <f t="shared" si="579"/>
        <v>11</v>
      </c>
      <c r="BJ221" s="21"/>
      <c r="BK221" s="19">
        <f t="shared" si="580"/>
        <v>11</v>
      </c>
      <c r="BL221" s="24">
        <f t="shared" si="563"/>
        <v>8.8113325907420101</v>
      </c>
      <c r="BM221" s="81">
        <f>$H$221*月別販売比率!BA5</f>
        <v>1.9992078166451779</v>
      </c>
      <c r="BN221" s="10">
        <f t="shared" si="581"/>
        <v>11</v>
      </c>
      <c r="BO221" s="21"/>
      <c r="BP221" s="19">
        <f t="shared" si="582"/>
        <v>11</v>
      </c>
      <c r="BQ221" s="24">
        <f t="shared" si="564"/>
        <v>9.0007921833548217</v>
      </c>
      <c r="BR221" s="81">
        <f>$H$221*月別販売比率!BF5</f>
        <v>2.8753623188405801</v>
      </c>
      <c r="BS221" s="10">
        <f t="shared" si="583"/>
        <v>11</v>
      </c>
      <c r="BT221" s="21"/>
      <c r="BU221" s="19">
        <f t="shared" si="584"/>
        <v>11</v>
      </c>
      <c r="BV221" s="24">
        <f t="shared" si="565"/>
        <v>8.1246376811594203</v>
      </c>
      <c r="BW221" s="158">
        <f t="shared" si="532"/>
        <v>61</v>
      </c>
      <c r="BX221" s="29">
        <f t="shared" si="533"/>
        <v>25.05797101449275</v>
      </c>
    </row>
    <row r="222" spans="2:76" ht="30.75" customHeight="1">
      <c r="C222" s="507"/>
      <c r="D222" s="441"/>
      <c r="E222" s="94" t="s">
        <v>49</v>
      </c>
      <c r="F222" s="57">
        <v>10</v>
      </c>
      <c r="G222" s="5">
        <f t="shared" si="534"/>
        <v>44000</v>
      </c>
      <c r="H222" s="7">
        <f t="shared" si="535"/>
        <v>11.594202898550725</v>
      </c>
      <c r="I222" s="5">
        <f t="shared" si="552"/>
        <v>51014.492753623192</v>
      </c>
      <c r="J222" s="9">
        <v>27</v>
      </c>
      <c r="K222" s="21">
        <f t="shared" si="566"/>
        <v>17</v>
      </c>
      <c r="L222" s="21">
        <v>15</v>
      </c>
      <c r="M222" s="21">
        <v>2</v>
      </c>
      <c r="N222" s="42"/>
      <c r="O222" s="81">
        <f>$H$222*月別販売比率!C5</f>
        <v>0.82161450569090089</v>
      </c>
      <c r="P222" s="10">
        <f t="shared" si="567"/>
        <v>17</v>
      </c>
      <c r="Q222" s="21"/>
      <c r="R222" s="19">
        <f t="shared" si="568"/>
        <v>17</v>
      </c>
      <c r="S222" s="24">
        <f t="shared" si="554"/>
        <v>16.178385494309101</v>
      </c>
      <c r="T222" s="81">
        <f>$H$222*月別販売比率!H5</f>
        <v>0.81159420289855078</v>
      </c>
      <c r="U222" s="10">
        <f t="shared" si="569"/>
        <v>17</v>
      </c>
      <c r="V222" s="21">
        <v>30</v>
      </c>
      <c r="W222" s="10">
        <f t="shared" si="526"/>
        <v>47</v>
      </c>
      <c r="X222" s="24">
        <f t="shared" si="555"/>
        <v>46.188405797101453</v>
      </c>
      <c r="Y222" s="81">
        <f>$H$222*月別販売比率!M5</f>
        <v>1.1717529173756986</v>
      </c>
      <c r="Z222" s="10">
        <f t="shared" si="570"/>
        <v>17</v>
      </c>
      <c r="AA222" s="21"/>
      <c r="AB222" s="97">
        <f t="shared" si="527"/>
        <v>17</v>
      </c>
      <c r="AC222" s="24">
        <f t="shared" si="556"/>
        <v>15.828247082624301</v>
      </c>
      <c r="AD222" s="81">
        <f>$H$222*月別販売比率!R5</f>
        <v>0.92753623188405798</v>
      </c>
      <c r="AE222" s="10">
        <f t="shared" si="571"/>
        <v>17</v>
      </c>
      <c r="AF222" s="21"/>
      <c r="AG222" s="10">
        <f t="shared" si="528"/>
        <v>17</v>
      </c>
      <c r="AH222" s="24">
        <f t="shared" si="557"/>
        <v>16.072463768115941</v>
      </c>
      <c r="AI222" s="81">
        <f>$H$222*月別販売比率!W5</f>
        <v>0.88309240960511337</v>
      </c>
      <c r="AJ222" s="10">
        <f t="shared" si="572"/>
        <v>17</v>
      </c>
      <c r="AK222" s="21"/>
      <c r="AL222" s="10">
        <f t="shared" si="529"/>
        <v>17</v>
      </c>
      <c r="AM222" s="24">
        <f t="shared" si="558"/>
        <v>16.116907590394888</v>
      </c>
      <c r="AN222" s="81">
        <f>$H$222*月別販売比率!AB5</f>
        <v>1.3913043478260869</v>
      </c>
      <c r="AO222" s="10">
        <f t="shared" si="573"/>
        <v>17</v>
      </c>
      <c r="AP222" s="21"/>
      <c r="AQ222" s="19">
        <f t="shared" si="530"/>
        <v>17</v>
      </c>
      <c r="AR222" s="24">
        <f t="shared" si="559"/>
        <v>15.608695652173914</v>
      </c>
      <c r="AS222" s="81">
        <f>$H$222*月別販売比率!AG5</f>
        <v>1.1594202898550725</v>
      </c>
      <c r="AT222" s="10">
        <f t="shared" si="574"/>
        <v>17</v>
      </c>
      <c r="AU222" s="21"/>
      <c r="AV222" s="19">
        <f t="shared" si="531"/>
        <v>17</v>
      </c>
      <c r="AW222" s="24">
        <f t="shared" si="560"/>
        <v>15.840579710144928</v>
      </c>
      <c r="AX222" s="81">
        <f>$H$222*月別販売比率!AL5</f>
        <v>1.0434782608695652</v>
      </c>
      <c r="AY222" s="10">
        <f t="shared" si="575"/>
        <v>17</v>
      </c>
      <c r="AZ222" s="21"/>
      <c r="BA222" s="19">
        <f t="shared" si="576"/>
        <v>17</v>
      </c>
      <c r="BB222" s="24">
        <f t="shared" si="561"/>
        <v>15.956521739130435</v>
      </c>
      <c r="BC222" s="81">
        <f>$H$222*月別販売比率!AQ5</f>
        <v>1.1594202898550725</v>
      </c>
      <c r="BD222" s="10">
        <f t="shared" si="577"/>
        <v>17</v>
      </c>
      <c r="BE222" s="21"/>
      <c r="BF222" s="19">
        <f t="shared" si="578"/>
        <v>17</v>
      </c>
      <c r="BG222" s="24">
        <f t="shared" si="562"/>
        <v>15.840579710144928</v>
      </c>
      <c r="BH222" s="81">
        <f>$H$222*月別販売比率!AV5</f>
        <v>0.70602174492193215</v>
      </c>
      <c r="BI222" s="10">
        <f t="shared" si="579"/>
        <v>17</v>
      </c>
      <c r="BJ222" s="21"/>
      <c r="BK222" s="19">
        <f t="shared" si="580"/>
        <v>17</v>
      </c>
      <c r="BL222" s="24">
        <f t="shared" si="563"/>
        <v>16.293978255078066</v>
      </c>
      <c r="BM222" s="81">
        <f>$H$222*月別販売比率!BA5</f>
        <v>0.64490574730489603</v>
      </c>
      <c r="BN222" s="10">
        <f t="shared" si="581"/>
        <v>17</v>
      </c>
      <c r="BO222" s="21"/>
      <c r="BP222" s="19">
        <f t="shared" si="582"/>
        <v>17</v>
      </c>
      <c r="BQ222" s="24">
        <f t="shared" si="564"/>
        <v>16.355094252695103</v>
      </c>
      <c r="BR222" s="81">
        <f>$H$222*月別販売比率!BF5</f>
        <v>0.92753623188405798</v>
      </c>
      <c r="BS222" s="10">
        <f t="shared" si="583"/>
        <v>17</v>
      </c>
      <c r="BT222" s="21"/>
      <c r="BU222" s="19">
        <f t="shared" si="584"/>
        <v>17</v>
      </c>
      <c r="BV222" s="24">
        <f t="shared" si="565"/>
        <v>16.072463768115941</v>
      </c>
      <c r="BW222" s="158">
        <f t="shared" si="532"/>
        <v>47</v>
      </c>
      <c r="BX222" s="29">
        <f t="shared" si="533"/>
        <v>35.405797101449274</v>
      </c>
    </row>
    <row r="223" spans="2:76" ht="30.75" customHeight="1">
      <c r="C223" s="508"/>
      <c r="D223" s="444"/>
      <c r="E223" s="101" t="s">
        <v>50</v>
      </c>
      <c r="F223" s="58">
        <v>11</v>
      </c>
      <c r="G223" s="35">
        <f t="shared" si="534"/>
        <v>48400</v>
      </c>
      <c r="H223" s="181">
        <f t="shared" si="535"/>
        <v>12.753623188405797</v>
      </c>
      <c r="I223" s="35">
        <f>H223*4400</f>
        <v>56115.942028985504</v>
      </c>
      <c r="J223" s="113">
        <v>0</v>
      </c>
      <c r="K223" s="103">
        <f t="shared" si="566"/>
        <v>8</v>
      </c>
      <c r="L223" s="104">
        <v>6</v>
      </c>
      <c r="M223" s="104">
        <v>2</v>
      </c>
      <c r="N223" s="117"/>
      <c r="O223" s="81">
        <f>$H$223*月別販売比率!C5</f>
        <v>0.90377595625999096</v>
      </c>
      <c r="P223" s="106">
        <f t="shared" si="567"/>
        <v>8</v>
      </c>
      <c r="Q223" s="107"/>
      <c r="R223" s="2">
        <f t="shared" si="568"/>
        <v>8</v>
      </c>
      <c r="S223" s="195">
        <f t="shared" si="554"/>
        <v>7.0962240437400093</v>
      </c>
      <c r="T223" s="81">
        <f>$H$223*月別販売比率!H5</f>
        <v>0.8927536231884059</v>
      </c>
      <c r="U223" s="106">
        <f t="shared" si="569"/>
        <v>8</v>
      </c>
      <c r="V223" s="107">
        <v>30</v>
      </c>
      <c r="W223" s="106">
        <f t="shared" si="526"/>
        <v>38</v>
      </c>
      <c r="X223" s="195">
        <f t="shared" si="555"/>
        <v>37.107246376811595</v>
      </c>
      <c r="Y223" s="81">
        <f>$H$223*月別販売比率!M5</f>
        <v>1.2889282091132683</v>
      </c>
      <c r="Z223" s="106">
        <f t="shared" si="570"/>
        <v>8</v>
      </c>
      <c r="AA223" s="107"/>
      <c r="AB223" s="196">
        <f t="shared" si="527"/>
        <v>8</v>
      </c>
      <c r="AC223" s="195">
        <f t="shared" si="556"/>
        <v>6.7110717908867317</v>
      </c>
      <c r="AD223" s="81">
        <f>$H$223*月別販売比率!R5</f>
        <v>1.0202898550724637</v>
      </c>
      <c r="AE223" s="106">
        <f t="shared" si="571"/>
        <v>8</v>
      </c>
      <c r="AF223" s="107"/>
      <c r="AG223" s="106">
        <f t="shared" si="528"/>
        <v>8</v>
      </c>
      <c r="AH223" s="195">
        <f t="shared" si="557"/>
        <v>6.9797101449275365</v>
      </c>
      <c r="AI223" s="81">
        <f>$H$223*月別販売比率!W5</f>
        <v>0.97140165056562477</v>
      </c>
      <c r="AJ223" s="106">
        <f t="shared" si="572"/>
        <v>8</v>
      </c>
      <c r="AK223" s="107"/>
      <c r="AL223" s="106">
        <f t="shared" si="529"/>
        <v>8</v>
      </c>
      <c r="AM223" s="195">
        <f t="shared" si="558"/>
        <v>7.0285983494343753</v>
      </c>
      <c r="AN223" s="81">
        <f>$H$223*月別販売比率!AB5</f>
        <v>1.5304347826086955</v>
      </c>
      <c r="AO223" s="106">
        <f t="shared" si="573"/>
        <v>8</v>
      </c>
      <c r="AP223" s="107"/>
      <c r="AQ223" s="80">
        <f t="shared" si="530"/>
        <v>8</v>
      </c>
      <c r="AR223" s="195">
        <f t="shared" si="559"/>
        <v>6.4695652173913043</v>
      </c>
      <c r="AS223" s="81">
        <f>$H$223*月別販売比率!AG5</f>
        <v>1.2753623188405798</v>
      </c>
      <c r="AT223" s="80">
        <f t="shared" si="574"/>
        <v>8</v>
      </c>
      <c r="AU223" s="79"/>
      <c r="AV223" s="78">
        <f t="shared" si="531"/>
        <v>8</v>
      </c>
      <c r="AW223" s="195">
        <f t="shared" si="560"/>
        <v>6.72463768115942</v>
      </c>
      <c r="AX223" s="81">
        <f>$H$223*月別販売比率!AL5</f>
        <v>1.1478260869565218</v>
      </c>
      <c r="AY223" s="106">
        <f t="shared" si="575"/>
        <v>8</v>
      </c>
      <c r="AZ223" s="107"/>
      <c r="BA223" s="2">
        <f t="shared" si="576"/>
        <v>8</v>
      </c>
      <c r="BB223" s="195">
        <f t="shared" si="561"/>
        <v>6.8521739130434778</v>
      </c>
      <c r="BC223" s="81">
        <f>$H$223*月別販売比率!AQ5</f>
        <v>1.2753623188405798</v>
      </c>
      <c r="BD223" s="106">
        <f t="shared" si="577"/>
        <v>8</v>
      </c>
      <c r="BE223" s="107"/>
      <c r="BF223" s="2">
        <f t="shared" si="578"/>
        <v>8</v>
      </c>
      <c r="BG223" s="195">
        <f t="shared" si="562"/>
        <v>6.72463768115942</v>
      </c>
      <c r="BH223" s="81">
        <f>$H$223*月別販売比率!AV5</f>
        <v>0.77662391941412534</v>
      </c>
      <c r="BI223" s="106">
        <f t="shared" si="579"/>
        <v>8</v>
      </c>
      <c r="BJ223" s="107"/>
      <c r="BK223" s="2">
        <f t="shared" si="580"/>
        <v>8</v>
      </c>
      <c r="BL223" s="195">
        <f t="shared" si="563"/>
        <v>7.2233760805858749</v>
      </c>
      <c r="BM223" s="81">
        <f>$H$223*月別販売比率!BA5</f>
        <v>0.70939632203538561</v>
      </c>
      <c r="BN223" s="106">
        <f t="shared" si="581"/>
        <v>8</v>
      </c>
      <c r="BO223" s="107"/>
      <c r="BP223" s="2">
        <f t="shared" si="582"/>
        <v>8</v>
      </c>
      <c r="BQ223" s="195">
        <f t="shared" si="564"/>
        <v>7.2906036779646142</v>
      </c>
      <c r="BR223" s="81">
        <f>$H$223*月別販売比率!BF5</f>
        <v>1.0202898550724637</v>
      </c>
      <c r="BS223" s="106">
        <f t="shared" si="583"/>
        <v>8</v>
      </c>
      <c r="BT223" s="107"/>
      <c r="BU223" s="115">
        <f t="shared" si="584"/>
        <v>8</v>
      </c>
      <c r="BV223" s="92">
        <f t="shared" si="565"/>
        <v>6.9797101449275365</v>
      </c>
      <c r="BW223" s="159">
        <f t="shared" si="532"/>
        <v>38</v>
      </c>
      <c r="BX223" s="116">
        <f t="shared" si="533"/>
        <v>25.246376811594203</v>
      </c>
    </row>
    <row r="224" spans="2:76" ht="30.75" customHeight="1">
      <c r="B224" s="2">
        <v>17</v>
      </c>
      <c r="C224" s="435" t="s">
        <v>79</v>
      </c>
      <c r="D224" s="436"/>
      <c r="E224" s="445"/>
      <c r="F224" s="130">
        <v>639</v>
      </c>
      <c r="G224" s="131">
        <v>1475964.3071250001</v>
      </c>
      <c r="H224" s="132">
        <v>720</v>
      </c>
      <c r="I224" s="131">
        <f t="shared" si="42"/>
        <v>1663058.374225352</v>
      </c>
      <c r="J224" s="133">
        <f>SUM(J226:J229)</f>
        <v>0</v>
      </c>
      <c r="K224" s="134">
        <f t="shared" ref="K224:N224" si="585">SUM(K226:K229)</f>
        <v>38</v>
      </c>
      <c r="L224" s="134">
        <f t="shared" si="585"/>
        <v>32</v>
      </c>
      <c r="M224" s="134">
        <f t="shared" si="585"/>
        <v>6</v>
      </c>
      <c r="N224" s="135">
        <f t="shared" si="585"/>
        <v>0</v>
      </c>
      <c r="O224" s="150">
        <f t="shared" si="344"/>
        <v>60</v>
      </c>
      <c r="P224" s="151">
        <f t="shared" si="107"/>
        <v>38</v>
      </c>
      <c r="Q224" s="148">
        <f>SUM(Q226:Q229)</f>
        <v>0</v>
      </c>
      <c r="R224" s="152">
        <f t="shared" si="108"/>
        <v>38</v>
      </c>
      <c r="S224" s="153">
        <f t="shared" si="554"/>
        <v>-22</v>
      </c>
      <c r="T224" s="150">
        <f t="shared" si="109"/>
        <v>60</v>
      </c>
      <c r="U224" s="151">
        <f t="shared" si="110"/>
        <v>38</v>
      </c>
      <c r="V224" s="148">
        <f>SUM(V226:V229)</f>
        <v>0</v>
      </c>
      <c r="W224" s="152">
        <f t="shared" si="111"/>
        <v>38</v>
      </c>
      <c r="X224" s="153">
        <f t="shared" si="555"/>
        <v>-22</v>
      </c>
      <c r="Y224" s="150">
        <f t="shared" si="112"/>
        <v>60</v>
      </c>
      <c r="Z224" s="151">
        <f t="shared" si="113"/>
        <v>38</v>
      </c>
      <c r="AA224" s="148">
        <f>SUM(AA226:AA229)</f>
        <v>0</v>
      </c>
      <c r="AB224" s="154">
        <f t="shared" si="114"/>
        <v>38</v>
      </c>
      <c r="AC224" s="153">
        <f>AB224-Y224</f>
        <v>-22</v>
      </c>
      <c r="AD224" s="150">
        <f t="shared" si="115"/>
        <v>60</v>
      </c>
      <c r="AE224" s="151">
        <f t="shared" si="116"/>
        <v>38</v>
      </c>
      <c r="AF224" s="148">
        <f>SUM(AF226:AF229)</f>
        <v>0</v>
      </c>
      <c r="AG224" s="152">
        <f t="shared" si="117"/>
        <v>38</v>
      </c>
      <c r="AH224" s="153">
        <f t="shared" si="557"/>
        <v>-22</v>
      </c>
      <c r="AI224" s="150">
        <f t="shared" si="118"/>
        <v>60</v>
      </c>
      <c r="AJ224" s="151">
        <f t="shared" si="119"/>
        <v>38</v>
      </c>
      <c r="AK224" s="148">
        <f>SUM(AK226:AK229)</f>
        <v>0</v>
      </c>
      <c r="AL224" s="152">
        <f t="shared" si="120"/>
        <v>38</v>
      </c>
      <c r="AM224" s="153">
        <f t="shared" si="558"/>
        <v>-22</v>
      </c>
      <c r="AN224" s="150">
        <f t="shared" si="121"/>
        <v>60</v>
      </c>
      <c r="AO224" s="151">
        <f t="shared" si="122"/>
        <v>38</v>
      </c>
      <c r="AP224" s="148">
        <f>SUM(AP226:AP229)</f>
        <v>0</v>
      </c>
      <c r="AQ224" s="152">
        <f t="shared" si="123"/>
        <v>38</v>
      </c>
      <c r="AR224" s="153">
        <f t="shared" si="559"/>
        <v>-22</v>
      </c>
      <c r="AS224" s="150">
        <f t="shared" si="124"/>
        <v>60</v>
      </c>
      <c r="AT224" s="151">
        <f t="shared" si="125"/>
        <v>38</v>
      </c>
      <c r="AU224" s="148">
        <f>SUM(AU226:AU229)</f>
        <v>0</v>
      </c>
      <c r="AV224" s="152">
        <f t="shared" si="126"/>
        <v>38</v>
      </c>
      <c r="AW224" s="153">
        <f t="shared" si="560"/>
        <v>-22</v>
      </c>
      <c r="AX224" s="150">
        <f t="shared" si="127"/>
        <v>60</v>
      </c>
      <c r="AY224" s="151">
        <f t="shared" si="128"/>
        <v>38</v>
      </c>
      <c r="AZ224" s="148">
        <f>SUM(AZ226:AZ229)</f>
        <v>0</v>
      </c>
      <c r="BA224" s="152">
        <f t="shared" si="129"/>
        <v>38</v>
      </c>
      <c r="BB224" s="153">
        <f t="shared" si="561"/>
        <v>-22</v>
      </c>
      <c r="BC224" s="150">
        <f t="shared" si="130"/>
        <v>60</v>
      </c>
      <c r="BD224" s="151">
        <f t="shared" si="131"/>
        <v>38</v>
      </c>
      <c r="BE224" s="148">
        <f>SUM(BE226:BE229)</f>
        <v>0</v>
      </c>
      <c r="BF224" s="152">
        <f t="shared" si="132"/>
        <v>38</v>
      </c>
      <c r="BG224" s="153">
        <f t="shared" si="562"/>
        <v>-22</v>
      </c>
      <c r="BH224" s="150">
        <f t="shared" si="133"/>
        <v>60</v>
      </c>
      <c r="BI224" s="151">
        <f t="shared" si="134"/>
        <v>38</v>
      </c>
      <c r="BJ224" s="148">
        <f>SUM(BJ226:BJ229)</f>
        <v>0</v>
      </c>
      <c r="BK224" s="152">
        <f t="shared" si="135"/>
        <v>38</v>
      </c>
      <c r="BL224" s="153">
        <f t="shared" si="563"/>
        <v>-22</v>
      </c>
      <c r="BM224" s="150">
        <f t="shared" si="136"/>
        <v>60</v>
      </c>
      <c r="BN224" s="151">
        <f t="shared" si="137"/>
        <v>38</v>
      </c>
      <c r="BO224" s="148">
        <f>SUM(BO226:BO229)</f>
        <v>0</v>
      </c>
      <c r="BP224" s="152">
        <f t="shared" si="138"/>
        <v>38</v>
      </c>
      <c r="BQ224" s="153">
        <f t="shared" si="564"/>
        <v>-22</v>
      </c>
      <c r="BR224" s="150">
        <f t="shared" si="139"/>
        <v>60</v>
      </c>
      <c r="BS224" s="151">
        <f t="shared" si="140"/>
        <v>38</v>
      </c>
      <c r="BT224" s="148">
        <f>SUM(BT226:BT229)</f>
        <v>0</v>
      </c>
      <c r="BU224" s="138">
        <f t="shared" si="141"/>
        <v>38</v>
      </c>
      <c r="BV224" s="139">
        <f t="shared" si="565"/>
        <v>-22</v>
      </c>
      <c r="BW224" s="143">
        <f>AF224+AA224+V224+Q224+AK224+AP224+AU224+AZ224+BE224+BJ224+BO224+BT224+K224</f>
        <v>38</v>
      </c>
      <c r="BX224" s="142">
        <f t="shared" si="49"/>
        <v>-682</v>
      </c>
    </row>
    <row r="225" spans="2:76" ht="30.6" customHeight="1">
      <c r="C225" s="167" t="s">
        <v>81</v>
      </c>
      <c r="D225" s="168"/>
      <c r="E225" s="169"/>
      <c r="F225" s="170">
        <f>SUM(F226:F229)</f>
        <v>550</v>
      </c>
      <c r="G225" s="171">
        <f>SUM(G226:G229)</f>
        <v>1270500</v>
      </c>
      <c r="H225" s="170">
        <f>SUM(H226:H229)</f>
        <v>619.71830985915494</v>
      </c>
      <c r="I225" s="171">
        <f>SUM(I226:I229)</f>
        <v>1431549.295774648</v>
      </c>
      <c r="J225" s="172"/>
      <c r="K225" s="173"/>
      <c r="L225" s="173"/>
      <c r="M225" s="173"/>
      <c r="N225" s="174"/>
      <c r="O225" s="175">
        <f>SUM(O226:O229)</f>
        <v>40.381480984089592</v>
      </c>
      <c r="P225" s="176"/>
      <c r="Q225" s="173"/>
      <c r="R225" s="177"/>
      <c r="S225" s="178"/>
      <c r="T225" s="175">
        <f>SUM(T226:T229)</f>
        <v>61.971830985915496</v>
      </c>
      <c r="U225" s="176"/>
      <c r="V225" s="173"/>
      <c r="W225" s="177"/>
      <c r="X225" s="178"/>
      <c r="Y225" s="175">
        <f>SUM(Y226:Y229)</f>
        <v>61.971830985915496</v>
      </c>
      <c r="Z225" s="176"/>
      <c r="AA225" s="173"/>
      <c r="AB225" s="177"/>
      <c r="AC225" s="178"/>
      <c r="AD225" s="175">
        <f>SUM(AD226:AD229)</f>
        <v>133.90477037984923</v>
      </c>
      <c r="AE225" s="176"/>
      <c r="AF225" s="173"/>
      <c r="AG225" s="177"/>
      <c r="AH225" s="178"/>
      <c r="AI225" s="175">
        <f>SUM(AI226:AI229)</f>
        <v>78.045130840195213</v>
      </c>
      <c r="AJ225" s="176"/>
      <c r="AK225" s="173"/>
      <c r="AL225" s="177"/>
      <c r="AM225" s="178"/>
      <c r="AN225" s="175">
        <f>SUM(AN226:AN229)</f>
        <v>77.055781492704597</v>
      </c>
      <c r="AO225" s="176"/>
      <c r="AP225" s="173"/>
      <c r="AQ225" s="177"/>
      <c r="AR225" s="178"/>
      <c r="AS225" s="175">
        <f>SUM(AS226:AS229)</f>
        <v>47.674777139977941</v>
      </c>
      <c r="AT225" s="176"/>
      <c r="AU225" s="173"/>
      <c r="AV225" s="177"/>
      <c r="AW225" s="178"/>
      <c r="AX225" s="175">
        <f>SUM(AX226:AX229)</f>
        <v>34.518415888878785</v>
      </c>
      <c r="AY225" s="176"/>
      <c r="AZ225" s="173"/>
      <c r="BA225" s="177"/>
      <c r="BB225" s="178"/>
      <c r="BC225" s="175">
        <f>SUM(BC226:BC229)</f>
        <v>24.467097053609777</v>
      </c>
      <c r="BD225" s="176"/>
      <c r="BE225" s="173"/>
      <c r="BF225" s="177"/>
      <c r="BG225" s="178"/>
      <c r="BH225" s="175">
        <f>SUM(BH226:BH229)</f>
        <v>22.077170168118407</v>
      </c>
      <c r="BI225" s="176"/>
      <c r="BJ225" s="173"/>
      <c r="BK225" s="177"/>
      <c r="BL225" s="178"/>
      <c r="BM225" s="175">
        <f>SUM(BM226:BM229)</f>
        <v>17.25786005704499</v>
      </c>
      <c r="BN225" s="176"/>
      <c r="BO225" s="173"/>
      <c r="BP225" s="177"/>
      <c r="BQ225" s="178"/>
      <c r="BR225" s="175">
        <f>SUM(BR226:BR229)</f>
        <v>20.789937706465057</v>
      </c>
      <c r="BS225" s="176"/>
      <c r="BT225" s="173"/>
      <c r="BU225" s="177"/>
      <c r="BV225" s="178"/>
      <c r="BW225" s="179"/>
      <c r="BX225" s="180"/>
    </row>
    <row r="226" spans="2:76" ht="30.75" customHeight="1">
      <c r="C226" s="503" t="s">
        <v>70</v>
      </c>
      <c r="D226" s="98">
        <v>1</v>
      </c>
      <c r="E226" s="111"/>
      <c r="F226" s="56">
        <v>246</v>
      </c>
      <c r="G226" s="46">
        <f>F226*2310</f>
        <v>568260</v>
      </c>
      <c r="H226" s="7">
        <f>F226*($H$224/$F$224)</f>
        <v>277.18309859154931</v>
      </c>
      <c r="I226" s="46">
        <f t="shared" ref="I226:I229" si="586">H226*2310</f>
        <v>640292.95774647896</v>
      </c>
      <c r="J226" s="49">
        <v>0</v>
      </c>
      <c r="K226" s="39">
        <f t="shared" si="566"/>
        <v>15</v>
      </c>
      <c r="L226" s="39">
        <v>14</v>
      </c>
      <c r="M226" s="39">
        <v>1</v>
      </c>
      <c r="N226" s="42"/>
      <c r="O226" s="81">
        <f>$H$226*月別販売比率!C7</f>
        <v>18.061535131065529</v>
      </c>
      <c r="P226" s="40">
        <f t="shared" ref="P226:P229" si="587">K226</f>
        <v>15</v>
      </c>
      <c r="Q226" s="39"/>
      <c r="R226" s="43">
        <f t="shared" si="108"/>
        <v>15</v>
      </c>
      <c r="S226" s="91">
        <f t="shared" si="554"/>
        <v>-3.0615351310655292</v>
      </c>
      <c r="T226" s="81">
        <f>$H$226*月別販売比率!H7</f>
        <v>27.718309859154932</v>
      </c>
      <c r="U226" s="40">
        <f t="shared" si="110"/>
        <v>15</v>
      </c>
      <c r="V226" s="39"/>
      <c r="W226" s="40">
        <f t="shared" ref="W226:W229" si="588">K226+V226</f>
        <v>15</v>
      </c>
      <c r="X226" s="91">
        <f t="shared" si="555"/>
        <v>-12.718309859154932</v>
      </c>
      <c r="Y226" s="81">
        <f>$H$226*月別販売比率!M7</f>
        <v>27.718309859154932</v>
      </c>
      <c r="Z226" s="40">
        <f t="shared" si="113"/>
        <v>15</v>
      </c>
      <c r="AA226" s="39"/>
      <c r="AB226" s="96">
        <f t="shared" ref="AB226:AB229" si="589">K226+AA226</f>
        <v>15</v>
      </c>
      <c r="AC226" s="91">
        <f t="shared" si="556"/>
        <v>-12.718309859154932</v>
      </c>
      <c r="AD226" s="81">
        <f>$H$226*月別販売比率!R7</f>
        <v>59.891951842623477</v>
      </c>
      <c r="AE226" s="40">
        <f t="shared" si="116"/>
        <v>15</v>
      </c>
      <c r="AF226" s="39"/>
      <c r="AG226" s="40">
        <f t="shared" ref="AG226:AG229" si="590">K226+AF226</f>
        <v>15</v>
      </c>
      <c r="AH226" s="91">
        <f t="shared" si="557"/>
        <v>-44.891951842623477</v>
      </c>
      <c r="AI226" s="81">
        <f>$H$226*月別販売比率!W7</f>
        <v>34.907458521250952</v>
      </c>
      <c r="AJ226" s="40">
        <f t="shared" si="119"/>
        <v>15</v>
      </c>
      <c r="AK226" s="39"/>
      <c r="AL226" s="40">
        <f t="shared" ref="AL226:AL229" si="591">K226+AK226</f>
        <v>15</v>
      </c>
      <c r="AM226" s="91">
        <f t="shared" si="558"/>
        <v>-19.907458521250952</v>
      </c>
      <c r="AN226" s="81">
        <f>$H$226*月別販売比率!AB7</f>
        <v>34.464949540373325</v>
      </c>
      <c r="AO226" s="40">
        <f t="shared" si="122"/>
        <v>15</v>
      </c>
      <c r="AP226" s="39"/>
      <c r="AQ226" s="40">
        <f t="shared" ref="AQ226:AQ229" si="592">K226+AP226</f>
        <v>15</v>
      </c>
      <c r="AR226" s="91">
        <f t="shared" si="559"/>
        <v>-19.464949540373325</v>
      </c>
      <c r="AS226" s="81">
        <f>$H$226*月別販売比率!AG7</f>
        <v>21.323627593517408</v>
      </c>
      <c r="AT226" s="40">
        <f t="shared" si="125"/>
        <v>15</v>
      </c>
      <c r="AU226" s="39"/>
      <c r="AV226" s="40">
        <f t="shared" ref="AV226:AV229" si="593">K226+AU226</f>
        <v>15</v>
      </c>
      <c r="AW226" s="91">
        <f t="shared" si="560"/>
        <v>-6.3236275935174078</v>
      </c>
      <c r="AX226" s="81">
        <f>$H$226*月別販売比率!AL7</f>
        <v>15.439146015753055</v>
      </c>
      <c r="AY226" s="40">
        <f t="shared" si="128"/>
        <v>15</v>
      </c>
      <c r="AZ226" s="39"/>
      <c r="BA226" s="43">
        <f t="shared" si="129"/>
        <v>15</v>
      </c>
      <c r="BB226" s="91">
        <f t="shared" si="561"/>
        <v>-0.4391460157530549</v>
      </c>
      <c r="BC226" s="81">
        <f>$H$226*月別販売比率!AQ7</f>
        <v>10.943465227614555</v>
      </c>
      <c r="BD226" s="40">
        <f t="shared" si="131"/>
        <v>15</v>
      </c>
      <c r="BE226" s="39"/>
      <c r="BF226" s="43">
        <f t="shared" si="132"/>
        <v>15</v>
      </c>
      <c r="BG226" s="91">
        <f t="shared" si="562"/>
        <v>4.0565347723854455</v>
      </c>
      <c r="BH226" s="81">
        <f>$H$226*月別販売比率!AV7</f>
        <v>9.8745161115584139</v>
      </c>
      <c r="BI226" s="40">
        <f t="shared" si="134"/>
        <v>15</v>
      </c>
      <c r="BJ226" s="39"/>
      <c r="BK226" s="43">
        <f t="shared" si="135"/>
        <v>15</v>
      </c>
      <c r="BL226" s="91">
        <f t="shared" si="563"/>
        <v>5.1254838884415861</v>
      </c>
      <c r="BM226" s="81">
        <f>$H$226*月別販売比率!BA7</f>
        <v>7.7189701346055779</v>
      </c>
      <c r="BN226" s="40">
        <f t="shared" si="137"/>
        <v>15</v>
      </c>
      <c r="BO226" s="39"/>
      <c r="BP226" s="43">
        <f>K226+BO226</f>
        <v>15</v>
      </c>
      <c r="BQ226" s="91">
        <f t="shared" si="564"/>
        <v>7.2810298653944221</v>
      </c>
      <c r="BR226" s="81">
        <f>$H$226*月別販売比率!BF7</f>
        <v>9.298772137800734</v>
      </c>
      <c r="BS226" s="40">
        <f t="shared" si="140"/>
        <v>15</v>
      </c>
      <c r="BT226" s="39"/>
      <c r="BU226" s="43">
        <f t="shared" si="141"/>
        <v>15</v>
      </c>
      <c r="BV226" s="91">
        <f t="shared" si="565"/>
        <v>5.701227862199266</v>
      </c>
      <c r="BW226" s="157">
        <f t="shared" ref="BW226:BW229" si="594">AF226+AA226+V226+Q226+AK226+AP226+AU226+AZ226+BE226+BJ226+BO226+BT226+K226</f>
        <v>15</v>
      </c>
      <c r="BX226" s="51">
        <f t="shared" ref="BX226:BX229" si="595">BW226-H226</f>
        <v>-262.18309859154931</v>
      </c>
    </row>
    <row r="227" spans="2:76" ht="30.75" customHeight="1">
      <c r="C227" s="504"/>
      <c r="D227" s="93">
        <v>2</v>
      </c>
      <c r="E227" s="111"/>
      <c r="F227" s="57">
        <v>99</v>
      </c>
      <c r="G227" s="5">
        <f t="shared" ref="G227:G229" si="596">F227*2310</f>
        <v>228690</v>
      </c>
      <c r="H227" s="7">
        <f t="shared" ref="H227:H229" si="597">F227*($H$224/$F$224)</f>
        <v>111.54929577464789</v>
      </c>
      <c r="I227" s="5">
        <f t="shared" si="586"/>
        <v>257678.87323943662</v>
      </c>
      <c r="J227" s="9">
        <v>0</v>
      </c>
      <c r="K227" s="21">
        <f t="shared" si="566"/>
        <v>11</v>
      </c>
      <c r="L227" s="21">
        <v>8</v>
      </c>
      <c r="M227" s="21">
        <v>3</v>
      </c>
      <c r="N227" s="42"/>
      <c r="O227" s="81">
        <f>$H$227*月別販売比率!C7</f>
        <v>7.268666577136127</v>
      </c>
      <c r="P227" s="10">
        <f t="shared" si="587"/>
        <v>11</v>
      </c>
      <c r="Q227" s="21"/>
      <c r="R227" s="19">
        <f t="shared" si="108"/>
        <v>11</v>
      </c>
      <c r="S227" s="24">
        <f t="shared" si="554"/>
        <v>3.731333422863873</v>
      </c>
      <c r="T227" s="81">
        <f>$H$227*月別販売比率!H7</f>
        <v>11.15492957746479</v>
      </c>
      <c r="U227" s="10">
        <f t="shared" si="110"/>
        <v>11</v>
      </c>
      <c r="V227" s="21"/>
      <c r="W227" s="10">
        <f t="shared" si="588"/>
        <v>11</v>
      </c>
      <c r="X227" s="24">
        <f t="shared" si="555"/>
        <v>-0.15492957746478986</v>
      </c>
      <c r="Y227" s="81">
        <f>$H$227*月別販売比率!M7</f>
        <v>11.15492957746479</v>
      </c>
      <c r="Z227" s="10">
        <f t="shared" si="113"/>
        <v>11</v>
      </c>
      <c r="AA227" s="21"/>
      <c r="AB227" s="97">
        <f t="shared" si="589"/>
        <v>11</v>
      </c>
      <c r="AC227" s="24">
        <f t="shared" si="556"/>
        <v>-0.15492957746478986</v>
      </c>
      <c r="AD227" s="81">
        <f>$H$227*月別販売比率!R7</f>
        <v>24.102858668372864</v>
      </c>
      <c r="AE227" s="10">
        <f t="shared" si="116"/>
        <v>11</v>
      </c>
      <c r="AF227" s="21"/>
      <c r="AG227" s="10">
        <f t="shared" si="590"/>
        <v>11</v>
      </c>
      <c r="AH227" s="24">
        <f t="shared" si="557"/>
        <v>-13.102858668372864</v>
      </c>
      <c r="AI227" s="81">
        <f>$H$227*月別販売比率!W7</f>
        <v>14.048123551235138</v>
      </c>
      <c r="AJ227" s="10">
        <f t="shared" si="119"/>
        <v>11</v>
      </c>
      <c r="AK227" s="21"/>
      <c r="AL227" s="10">
        <f t="shared" si="591"/>
        <v>11</v>
      </c>
      <c r="AM227" s="24">
        <f t="shared" si="558"/>
        <v>-3.0481235512351379</v>
      </c>
      <c r="AN227" s="81">
        <f>$H$227*月別販売比率!AB7</f>
        <v>13.870040668686826</v>
      </c>
      <c r="AO227" s="10">
        <f t="shared" si="122"/>
        <v>11</v>
      </c>
      <c r="AP227" s="21"/>
      <c r="AQ227" s="10">
        <f t="shared" si="592"/>
        <v>11</v>
      </c>
      <c r="AR227" s="24">
        <f t="shared" si="559"/>
        <v>-2.8700406686868263</v>
      </c>
      <c r="AS227" s="81">
        <f>$H$227*月別販売比率!AG7</f>
        <v>8.5814598851960291</v>
      </c>
      <c r="AT227" s="10">
        <f t="shared" si="125"/>
        <v>11</v>
      </c>
      <c r="AU227" s="21"/>
      <c r="AV227" s="10">
        <f t="shared" si="593"/>
        <v>11</v>
      </c>
      <c r="AW227" s="24">
        <f t="shared" si="560"/>
        <v>2.4185401148039709</v>
      </c>
      <c r="AX227" s="81">
        <f>$H$227*月別販売比率!AL7</f>
        <v>6.2133148599981807</v>
      </c>
      <c r="AY227" s="10">
        <f t="shared" si="128"/>
        <v>11</v>
      </c>
      <c r="AZ227" s="21"/>
      <c r="BA227" s="19">
        <f t="shared" si="129"/>
        <v>11</v>
      </c>
      <c r="BB227" s="24">
        <f t="shared" si="561"/>
        <v>4.7866851400018193</v>
      </c>
      <c r="BC227" s="81">
        <f>$H$227*月別販売比率!AQ7</f>
        <v>4.40407746964976</v>
      </c>
      <c r="BD227" s="10">
        <f t="shared" si="131"/>
        <v>11</v>
      </c>
      <c r="BE227" s="21"/>
      <c r="BF227" s="19">
        <f t="shared" si="132"/>
        <v>11</v>
      </c>
      <c r="BG227" s="24">
        <f t="shared" si="562"/>
        <v>6.59592253035024</v>
      </c>
      <c r="BH227" s="81">
        <f>$H$227*月別販売比率!AV7</f>
        <v>3.9738906302613128</v>
      </c>
      <c r="BI227" s="10">
        <f t="shared" si="134"/>
        <v>11</v>
      </c>
      <c r="BJ227" s="21"/>
      <c r="BK227" s="19">
        <f t="shared" si="135"/>
        <v>11</v>
      </c>
      <c r="BL227" s="24">
        <f t="shared" si="563"/>
        <v>7.0261093697386876</v>
      </c>
      <c r="BM227" s="81">
        <f>$H$227*月別販売比率!BA7</f>
        <v>3.1064148102680984</v>
      </c>
      <c r="BN227" s="10">
        <f t="shared" si="137"/>
        <v>11</v>
      </c>
      <c r="BO227" s="21"/>
      <c r="BP227" s="19">
        <f t="shared" ref="BP227:BP229" si="598">K227+BO227</f>
        <v>11</v>
      </c>
      <c r="BQ227" s="24">
        <f t="shared" si="564"/>
        <v>7.8935851897319012</v>
      </c>
      <c r="BR227" s="81">
        <f>$H$227*月別販売比率!BF7</f>
        <v>3.7421887871637098</v>
      </c>
      <c r="BS227" s="10">
        <f t="shared" si="140"/>
        <v>11</v>
      </c>
      <c r="BT227" s="21"/>
      <c r="BU227" s="19">
        <f t="shared" si="141"/>
        <v>11</v>
      </c>
      <c r="BV227" s="24">
        <f t="shared" si="565"/>
        <v>7.2578112128362902</v>
      </c>
      <c r="BW227" s="158">
        <f t="shared" si="594"/>
        <v>11</v>
      </c>
      <c r="BX227" s="29">
        <f t="shared" si="595"/>
        <v>-100.54929577464789</v>
      </c>
    </row>
    <row r="228" spans="2:76" ht="30.75" customHeight="1">
      <c r="C228" s="504"/>
      <c r="D228" s="93">
        <v>12</v>
      </c>
      <c r="E228" s="111"/>
      <c r="F228" s="57">
        <v>188</v>
      </c>
      <c r="G228" s="5">
        <f t="shared" si="596"/>
        <v>434280</v>
      </c>
      <c r="H228" s="7">
        <f t="shared" si="597"/>
        <v>211.83098591549296</v>
      </c>
      <c r="I228" s="5">
        <f t="shared" si="586"/>
        <v>489329.57746478874</v>
      </c>
      <c r="J228" s="9">
        <v>0</v>
      </c>
      <c r="K228" s="21">
        <f t="shared" si="566"/>
        <v>2</v>
      </c>
      <c r="L228" s="21"/>
      <c r="M228" s="21">
        <v>2</v>
      </c>
      <c r="N228" s="42"/>
      <c r="O228" s="81">
        <f>$H$228*月別販売比率!C7</f>
        <v>13.803124409106989</v>
      </c>
      <c r="P228" s="10">
        <f t="shared" si="587"/>
        <v>2</v>
      </c>
      <c r="Q228" s="21"/>
      <c r="R228" s="19">
        <f t="shared" si="108"/>
        <v>2</v>
      </c>
      <c r="S228" s="24">
        <f t="shared" si="554"/>
        <v>-11.803124409106989</v>
      </c>
      <c r="T228" s="81">
        <f>$H$228*月別販売比率!H7</f>
        <v>21.183098591549296</v>
      </c>
      <c r="U228" s="10">
        <f t="shared" si="110"/>
        <v>2</v>
      </c>
      <c r="V228" s="21"/>
      <c r="W228" s="10">
        <f t="shared" si="588"/>
        <v>2</v>
      </c>
      <c r="X228" s="24">
        <f t="shared" si="555"/>
        <v>-19.183098591549296</v>
      </c>
      <c r="Y228" s="81">
        <f>$H$228*月別販売比率!M7</f>
        <v>21.183098591549296</v>
      </c>
      <c r="Z228" s="10">
        <f t="shared" si="113"/>
        <v>2</v>
      </c>
      <c r="AA228" s="21"/>
      <c r="AB228" s="97">
        <f t="shared" si="589"/>
        <v>2</v>
      </c>
      <c r="AC228" s="24">
        <f t="shared" si="556"/>
        <v>-19.183098591549296</v>
      </c>
      <c r="AD228" s="81">
        <f>$H$228*月別販売比率!R7</f>
        <v>45.771085148021193</v>
      </c>
      <c r="AE228" s="10">
        <f t="shared" si="116"/>
        <v>2</v>
      </c>
      <c r="AF228" s="21"/>
      <c r="AG228" s="10">
        <f t="shared" si="590"/>
        <v>2</v>
      </c>
      <c r="AH228" s="24">
        <f t="shared" si="557"/>
        <v>-43.771085148021193</v>
      </c>
      <c r="AI228" s="81">
        <f>$H$228*月別販売比率!W7</f>
        <v>26.677244723557639</v>
      </c>
      <c r="AJ228" s="10">
        <f t="shared" si="119"/>
        <v>2</v>
      </c>
      <c r="AK228" s="21"/>
      <c r="AL228" s="10">
        <f t="shared" si="591"/>
        <v>2</v>
      </c>
      <c r="AM228" s="24">
        <f t="shared" si="558"/>
        <v>-24.677244723557639</v>
      </c>
      <c r="AN228" s="81">
        <f>$H$228*月別販売比率!AB7</f>
        <v>26.339067128415387</v>
      </c>
      <c r="AO228" s="10">
        <f t="shared" si="122"/>
        <v>2</v>
      </c>
      <c r="AP228" s="21"/>
      <c r="AQ228" s="10">
        <f t="shared" si="592"/>
        <v>2</v>
      </c>
      <c r="AR228" s="24">
        <f t="shared" si="559"/>
        <v>-24.339067128415387</v>
      </c>
      <c r="AS228" s="81">
        <f>$H$228*月別販売比率!AG7</f>
        <v>16.296105640574279</v>
      </c>
      <c r="AT228" s="10">
        <f t="shared" si="125"/>
        <v>2</v>
      </c>
      <c r="AU228" s="21"/>
      <c r="AV228" s="10">
        <f t="shared" si="593"/>
        <v>2</v>
      </c>
      <c r="AW228" s="24">
        <f t="shared" si="560"/>
        <v>-14.296105640574279</v>
      </c>
      <c r="AX228" s="81">
        <f>$H$228*月別販売比率!AL7</f>
        <v>11.799022158380383</v>
      </c>
      <c r="AY228" s="10">
        <f t="shared" si="128"/>
        <v>2</v>
      </c>
      <c r="AZ228" s="21"/>
      <c r="BA228" s="19">
        <f t="shared" si="129"/>
        <v>2</v>
      </c>
      <c r="BB228" s="24">
        <f t="shared" si="561"/>
        <v>-9.7990221583803834</v>
      </c>
      <c r="BC228" s="81">
        <f>$H$228*月別販売比率!AQ7</f>
        <v>8.3632986292338867</v>
      </c>
      <c r="BD228" s="10">
        <f t="shared" si="131"/>
        <v>2</v>
      </c>
      <c r="BE228" s="21"/>
      <c r="BF228" s="19">
        <f t="shared" si="132"/>
        <v>2</v>
      </c>
      <c r="BG228" s="24">
        <f t="shared" si="562"/>
        <v>-6.3632986292338867</v>
      </c>
      <c r="BH228" s="81">
        <f>$H$228*月別販売比率!AV7</f>
        <v>7.5463781665568366</v>
      </c>
      <c r="BI228" s="10">
        <f t="shared" si="134"/>
        <v>2</v>
      </c>
      <c r="BJ228" s="21"/>
      <c r="BK228" s="19">
        <f t="shared" si="135"/>
        <v>2</v>
      </c>
      <c r="BL228" s="24">
        <f t="shared" si="563"/>
        <v>-5.5463781665568366</v>
      </c>
      <c r="BM228" s="81">
        <f>$H$228*月別販売比率!BA7</f>
        <v>5.8990503467717419</v>
      </c>
      <c r="BN228" s="10">
        <f t="shared" si="137"/>
        <v>2</v>
      </c>
      <c r="BO228" s="21"/>
      <c r="BP228" s="19">
        <f t="shared" si="598"/>
        <v>2</v>
      </c>
      <c r="BQ228" s="24">
        <f t="shared" si="564"/>
        <v>-3.8990503467717419</v>
      </c>
      <c r="BR228" s="81">
        <f>$H$228*月別販売比率!BF7</f>
        <v>7.1063787069371465</v>
      </c>
      <c r="BS228" s="10">
        <f t="shared" si="140"/>
        <v>2</v>
      </c>
      <c r="BT228" s="21"/>
      <c r="BU228" s="19">
        <f t="shared" si="141"/>
        <v>2</v>
      </c>
      <c r="BV228" s="24">
        <f t="shared" si="565"/>
        <v>-5.1063787069371465</v>
      </c>
      <c r="BW228" s="158">
        <f t="shared" si="594"/>
        <v>2</v>
      </c>
      <c r="BX228" s="29">
        <f t="shared" si="595"/>
        <v>-209.83098591549296</v>
      </c>
    </row>
    <row r="229" spans="2:76" ht="30.75" customHeight="1">
      <c r="C229" s="505"/>
      <c r="D229" s="100">
        <v>19</v>
      </c>
      <c r="E229" s="112"/>
      <c r="F229" s="58">
        <v>17</v>
      </c>
      <c r="G229" s="35">
        <f t="shared" si="596"/>
        <v>39270</v>
      </c>
      <c r="H229" s="181">
        <f t="shared" si="597"/>
        <v>19.154929577464788</v>
      </c>
      <c r="I229" s="35">
        <f t="shared" si="586"/>
        <v>44247.887323943658</v>
      </c>
      <c r="J229" s="113">
        <v>0</v>
      </c>
      <c r="K229" s="103">
        <f t="shared" si="566"/>
        <v>10</v>
      </c>
      <c r="L229" s="104">
        <v>10</v>
      </c>
      <c r="M229" s="114"/>
      <c r="N229" s="117"/>
      <c r="O229" s="81">
        <f>$H$229*月別販売比率!C7</f>
        <v>1.248154866780951</v>
      </c>
      <c r="P229" s="106">
        <f t="shared" si="587"/>
        <v>10</v>
      </c>
      <c r="Q229" s="107"/>
      <c r="R229" s="2">
        <f t="shared" si="108"/>
        <v>10</v>
      </c>
      <c r="S229" s="195">
        <f t="shared" si="554"/>
        <v>8.7518451332190494</v>
      </c>
      <c r="T229" s="81">
        <f>$H$229*月別販売比率!H7</f>
        <v>1.915492957746479</v>
      </c>
      <c r="U229" s="106">
        <f t="shared" si="110"/>
        <v>10</v>
      </c>
      <c r="V229" s="107"/>
      <c r="W229" s="106">
        <f t="shared" si="588"/>
        <v>10</v>
      </c>
      <c r="X229" s="195">
        <f t="shared" si="555"/>
        <v>8.0845070422535201</v>
      </c>
      <c r="Y229" s="81">
        <f>$H$229*月別販売比率!M7</f>
        <v>1.915492957746479</v>
      </c>
      <c r="Z229" s="106">
        <f t="shared" si="113"/>
        <v>10</v>
      </c>
      <c r="AA229" s="107"/>
      <c r="AB229" s="196">
        <f t="shared" si="589"/>
        <v>10</v>
      </c>
      <c r="AC229" s="195">
        <f t="shared" si="556"/>
        <v>8.0845070422535201</v>
      </c>
      <c r="AD229" s="81">
        <f>$H$229*月別販売比率!R7</f>
        <v>4.1388747208317032</v>
      </c>
      <c r="AE229" s="106">
        <f t="shared" si="116"/>
        <v>10</v>
      </c>
      <c r="AF229" s="107"/>
      <c r="AG229" s="106">
        <f t="shared" si="590"/>
        <v>10</v>
      </c>
      <c r="AH229" s="195">
        <f t="shared" si="557"/>
        <v>5.8611252791682968</v>
      </c>
      <c r="AI229" s="81">
        <f>$H$229*月別販売比率!W7</f>
        <v>2.4123040441514885</v>
      </c>
      <c r="AJ229" s="106">
        <f t="shared" si="119"/>
        <v>10</v>
      </c>
      <c r="AK229" s="107"/>
      <c r="AL229" s="106">
        <f t="shared" si="591"/>
        <v>10</v>
      </c>
      <c r="AM229" s="195">
        <f t="shared" si="558"/>
        <v>7.5876959558485115</v>
      </c>
      <c r="AN229" s="81">
        <f>$H$229*月別販売比率!AB7</f>
        <v>2.3817241552290507</v>
      </c>
      <c r="AO229" s="106">
        <f t="shared" si="122"/>
        <v>10</v>
      </c>
      <c r="AP229" s="107"/>
      <c r="AQ229" s="106">
        <f t="shared" si="592"/>
        <v>10</v>
      </c>
      <c r="AR229" s="195">
        <f t="shared" si="559"/>
        <v>7.6182758447709489</v>
      </c>
      <c r="AS229" s="81">
        <f>$H$229*月別販売比率!AG7</f>
        <v>1.4735840206902271</v>
      </c>
      <c r="AT229" s="106">
        <f t="shared" si="125"/>
        <v>10</v>
      </c>
      <c r="AU229" s="107"/>
      <c r="AV229" s="106">
        <f t="shared" si="593"/>
        <v>10</v>
      </c>
      <c r="AW229" s="195">
        <f t="shared" si="560"/>
        <v>8.5264159793097729</v>
      </c>
      <c r="AX229" s="81">
        <f>$H$229*月別販売比率!AL7</f>
        <v>1.0669328547471622</v>
      </c>
      <c r="AY229" s="106">
        <f t="shared" si="128"/>
        <v>10</v>
      </c>
      <c r="AZ229" s="107"/>
      <c r="BA229" s="2">
        <f t="shared" si="129"/>
        <v>10</v>
      </c>
      <c r="BB229" s="195">
        <f t="shared" si="561"/>
        <v>8.9330671452528385</v>
      </c>
      <c r="BC229" s="81">
        <f>$H$229*月別販売比率!AQ7</f>
        <v>0.75625572711157485</v>
      </c>
      <c r="BD229" s="106">
        <f t="shared" si="131"/>
        <v>10</v>
      </c>
      <c r="BE229" s="107"/>
      <c r="BF229" s="2">
        <f t="shared" si="132"/>
        <v>10</v>
      </c>
      <c r="BG229" s="195">
        <f t="shared" si="562"/>
        <v>9.2437442728884243</v>
      </c>
      <c r="BH229" s="81">
        <f>$H$229*月別販売比率!AV7</f>
        <v>0.6823852597418415</v>
      </c>
      <c r="BI229" s="106">
        <f t="shared" si="134"/>
        <v>10</v>
      </c>
      <c r="BJ229" s="107"/>
      <c r="BK229" s="2">
        <f t="shared" si="135"/>
        <v>10</v>
      </c>
      <c r="BL229" s="195">
        <f t="shared" si="563"/>
        <v>9.3176147402581577</v>
      </c>
      <c r="BM229" s="81">
        <f>$H$229*月別販売比率!BA7</f>
        <v>0.5334247653995724</v>
      </c>
      <c r="BN229" s="106">
        <f t="shared" si="137"/>
        <v>10</v>
      </c>
      <c r="BO229" s="107"/>
      <c r="BP229" s="2">
        <f t="shared" si="598"/>
        <v>10</v>
      </c>
      <c r="BQ229" s="195">
        <f t="shared" si="564"/>
        <v>9.4665752346004268</v>
      </c>
      <c r="BR229" s="81">
        <f>$H$229*月別販売比率!BF7</f>
        <v>0.64259807456346529</v>
      </c>
      <c r="BS229" s="106">
        <f t="shared" si="140"/>
        <v>10</v>
      </c>
      <c r="BT229" s="107"/>
      <c r="BU229" s="115">
        <f t="shared" si="141"/>
        <v>10</v>
      </c>
      <c r="BV229" s="92">
        <f t="shared" si="565"/>
        <v>9.3574019254365339</v>
      </c>
      <c r="BW229" s="159">
        <f t="shared" si="594"/>
        <v>10</v>
      </c>
      <c r="BX229" s="116">
        <f t="shared" si="595"/>
        <v>-9.1549295774647881</v>
      </c>
    </row>
    <row r="230" spans="2:76" ht="30.75" customHeight="1">
      <c r="B230" s="2">
        <v>18</v>
      </c>
      <c r="C230" s="435" t="s">
        <v>9</v>
      </c>
      <c r="D230" s="436"/>
      <c r="E230" s="445"/>
      <c r="F230" s="130">
        <v>349</v>
      </c>
      <c r="G230" s="131">
        <v>1227920.3639999998</v>
      </c>
      <c r="H230" s="132">
        <v>400</v>
      </c>
      <c r="I230" s="131">
        <f t="shared" si="42"/>
        <v>1407358.5833810887</v>
      </c>
      <c r="J230" s="133">
        <f>SUM(J232:J239)</f>
        <v>105</v>
      </c>
      <c r="K230" s="134">
        <f t="shared" ref="K230:N230" si="599">SUM(K232:K239)</f>
        <v>45</v>
      </c>
      <c r="L230" s="134">
        <f t="shared" si="599"/>
        <v>45</v>
      </c>
      <c r="M230" s="134">
        <f t="shared" si="599"/>
        <v>0</v>
      </c>
      <c r="N230" s="135">
        <f t="shared" si="599"/>
        <v>0</v>
      </c>
      <c r="O230" s="150">
        <f t="shared" si="344"/>
        <v>33.333333333333336</v>
      </c>
      <c r="P230" s="151">
        <f t="shared" si="107"/>
        <v>45</v>
      </c>
      <c r="Q230" s="148">
        <f>SUM(Q232:Q239)</f>
        <v>0</v>
      </c>
      <c r="R230" s="152">
        <f t="shared" si="108"/>
        <v>45</v>
      </c>
      <c r="S230" s="153">
        <f t="shared" si="554"/>
        <v>11.666666666666664</v>
      </c>
      <c r="T230" s="150">
        <f t="shared" si="109"/>
        <v>33.333333333333336</v>
      </c>
      <c r="U230" s="151">
        <f t="shared" si="110"/>
        <v>45</v>
      </c>
      <c r="V230" s="148">
        <f>SUM(V232:V239)</f>
        <v>0</v>
      </c>
      <c r="W230" s="152">
        <f t="shared" si="111"/>
        <v>45</v>
      </c>
      <c r="X230" s="153">
        <f t="shared" si="555"/>
        <v>11.666666666666664</v>
      </c>
      <c r="Y230" s="150">
        <f t="shared" si="112"/>
        <v>33.333333333333336</v>
      </c>
      <c r="Z230" s="151">
        <f t="shared" si="113"/>
        <v>45</v>
      </c>
      <c r="AA230" s="148">
        <f>SUM(AA232:AA239)</f>
        <v>0</v>
      </c>
      <c r="AB230" s="154">
        <f t="shared" si="114"/>
        <v>45</v>
      </c>
      <c r="AC230" s="153">
        <f t="shared" si="556"/>
        <v>11.666666666666664</v>
      </c>
      <c r="AD230" s="150">
        <f t="shared" si="115"/>
        <v>33.333333333333336</v>
      </c>
      <c r="AE230" s="151">
        <f t="shared" si="116"/>
        <v>45</v>
      </c>
      <c r="AF230" s="148">
        <f>SUM(AF232:AF239)</f>
        <v>0</v>
      </c>
      <c r="AG230" s="152">
        <f t="shared" si="117"/>
        <v>45</v>
      </c>
      <c r="AH230" s="153">
        <f t="shared" si="557"/>
        <v>11.666666666666664</v>
      </c>
      <c r="AI230" s="150">
        <f t="shared" si="118"/>
        <v>33.333333333333336</v>
      </c>
      <c r="AJ230" s="151">
        <f t="shared" si="119"/>
        <v>45</v>
      </c>
      <c r="AK230" s="148">
        <f>SUM(AK232:AK239)</f>
        <v>0</v>
      </c>
      <c r="AL230" s="152">
        <f t="shared" si="120"/>
        <v>45</v>
      </c>
      <c r="AM230" s="153">
        <f t="shared" si="558"/>
        <v>11.666666666666664</v>
      </c>
      <c r="AN230" s="150">
        <f t="shared" si="121"/>
        <v>33.333333333333336</v>
      </c>
      <c r="AO230" s="151">
        <f t="shared" si="122"/>
        <v>45</v>
      </c>
      <c r="AP230" s="148">
        <f>SUM(AP232:AP239)</f>
        <v>0</v>
      </c>
      <c r="AQ230" s="152">
        <f t="shared" si="123"/>
        <v>45</v>
      </c>
      <c r="AR230" s="153">
        <f t="shared" si="559"/>
        <v>11.666666666666664</v>
      </c>
      <c r="AS230" s="150">
        <f t="shared" si="124"/>
        <v>33.333333333333336</v>
      </c>
      <c r="AT230" s="151">
        <f t="shared" si="125"/>
        <v>45</v>
      </c>
      <c r="AU230" s="148">
        <f>SUM(AU232:AU239)</f>
        <v>0</v>
      </c>
      <c r="AV230" s="152">
        <f t="shared" si="126"/>
        <v>45</v>
      </c>
      <c r="AW230" s="153">
        <f t="shared" si="560"/>
        <v>11.666666666666664</v>
      </c>
      <c r="AX230" s="150">
        <f t="shared" si="127"/>
        <v>33.333333333333336</v>
      </c>
      <c r="AY230" s="151">
        <f t="shared" si="128"/>
        <v>45</v>
      </c>
      <c r="AZ230" s="148">
        <f>SUM(AZ232:AZ239)</f>
        <v>0</v>
      </c>
      <c r="BA230" s="152">
        <f t="shared" si="129"/>
        <v>45</v>
      </c>
      <c r="BB230" s="153">
        <f t="shared" si="561"/>
        <v>11.666666666666664</v>
      </c>
      <c r="BC230" s="150">
        <f t="shared" si="130"/>
        <v>33.333333333333336</v>
      </c>
      <c r="BD230" s="151">
        <f t="shared" si="131"/>
        <v>45</v>
      </c>
      <c r="BE230" s="148">
        <f>SUM(BE232:BE239)</f>
        <v>0</v>
      </c>
      <c r="BF230" s="152">
        <f t="shared" si="132"/>
        <v>45</v>
      </c>
      <c r="BG230" s="153">
        <f t="shared" si="562"/>
        <v>11.666666666666664</v>
      </c>
      <c r="BH230" s="150">
        <f t="shared" si="133"/>
        <v>33.333333333333336</v>
      </c>
      <c r="BI230" s="151">
        <f t="shared" si="134"/>
        <v>45</v>
      </c>
      <c r="BJ230" s="148">
        <f>SUM(BJ232:BJ239)</f>
        <v>0</v>
      </c>
      <c r="BK230" s="152">
        <f t="shared" si="135"/>
        <v>45</v>
      </c>
      <c r="BL230" s="153">
        <f t="shared" si="563"/>
        <v>11.666666666666664</v>
      </c>
      <c r="BM230" s="150">
        <f t="shared" si="136"/>
        <v>33.333333333333336</v>
      </c>
      <c r="BN230" s="151">
        <f t="shared" si="137"/>
        <v>45</v>
      </c>
      <c r="BO230" s="148">
        <f>SUM(BO232:BO239)</f>
        <v>0</v>
      </c>
      <c r="BP230" s="152">
        <f t="shared" si="138"/>
        <v>45</v>
      </c>
      <c r="BQ230" s="153">
        <f t="shared" si="564"/>
        <v>11.666666666666664</v>
      </c>
      <c r="BR230" s="150">
        <f t="shared" si="139"/>
        <v>33.333333333333336</v>
      </c>
      <c r="BS230" s="151">
        <f t="shared" si="140"/>
        <v>45</v>
      </c>
      <c r="BT230" s="148">
        <f>SUM(BT232:BT239)</f>
        <v>0</v>
      </c>
      <c r="BU230" s="138">
        <f t="shared" si="141"/>
        <v>45</v>
      </c>
      <c r="BV230" s="139">
        <f t="shared" si="565"/>
        <v>11.666666666666664</v>
      </c>
      <c r="BW230" s="143">
        <f>AF230+AA230+V230+Q230+AK230+AP230+AU230+AZ230+BE230+BJ230+BO230+BT230+K230</f>
        <v>45</v>
      </c>
      <c r="BX230" s="142">
        <f t="shared" si="49"/>
        <v>-355</v>
      </c>
    </row>
    <row r="231" spans="2:76" ht="30.6" customHeight="1">
      <c r="C231" s="167" t="s">
        <v>81</v>
      </c>
      <c r="D231" s="168"/>
      <c r="E231" s="169"/>
      <c r="F231" s="170">
        <f>SUM(F232:F239)</f>
        <v>312</v>
      </c>
      <c r="G231" s="171">
        <f>SUM(G232:G239)</f>
        <v>1098240</v>
      </c>
      <c r="H231" s="170">
        <f>SUM(H232:H239)</f>
        <v>357.59312320916905</v>
      </c>
      <c r="I231" s="171">
        <f>SUM(I232:I239)</f>
        <v>1258727.793696275</v>
      </c>
      <c r="J231" s="172"/>
      <c r="K231" s="173"/>
      <c r="L231" s="173"/>
      <c r="M231" s="173"/>
      <c r="N231" s="174"/>
      <c r="O231" s="175">
        <f>SUM(O232:O239)</f>
        <v>35.759312320916905</v>
      </c>
      <c r="P231" s="176"/>
      <c r="Q231" s="173"/>
      <c r="R231" s="177"/>
      <c r="S231" s="178"/>
      <c r="T231" s="175">
        <f>SUM(T232:T239)</f>
        <v>25.58492854378138</v>
      </c>
      <c r="U231" s="176"/>
      <c r="V231" s="173"/>
      <c r="W231" s="177"/>
      <c r="X231" s="178"/>
      <c r="Y231" s="175">
        <f>SUM(Y232:Y239)</f>
        <v>28.361332178309166</v>
      </c>
      <c r="Z231" s="176"/>
      <c r="AA231" s="173"/>
      <c r="AB231" s="177"/>
      <c r="AC231" s="178"/>
      <c r="AD231" s="175">
        <f>SUM(AD232:AD239)</f>
        <v>21.234472487415321</v>
      </c>
      <c r="AE231" s="176"/>
      <c r="AF231" s="173"/>
      <c r="AG231" s="177"/>
      <c r="AH231" s="178"/>
      <c r="AI231" s="175">
        <f>SUM(AI232:AI239)</f>
        <v>24.125187491762784</v>
      </c>
      <c r="AJ231" s="176"/>
      <c r="AK231" s="173"/>
      <c r="AL231" s="177"/>
      <c r="AM231" s="178"/>
      <c r="AN231" s="175">
        <f>SUM(AN232:AN239)</f>
        <v>35.928451511658373</v>
      </c>
      <c r="AO231" s="176"/>
      <c r="AP231" s="173"/>
      <c r="AQ231" s="177"/>
      <c r="AR231" s="178"/>
      <c r="AS231" s="175">
        <f>SUM(AS232:AS239)</f>
        <v>23.26444558788873</v>
      </c>
      <c r="AT231" s="176"/>
      <c r="AU231" s="173"/>
      <c r="AV231" s="177"/>
      <c r="AW231" s="178"/>
      <c r="AX231" s="175">
        <f>SUM(AX232:AX239)</f>
        <v>28.357641662230545</v>
      </c>
      <c r="AY231" s="176"/>
      <c r="AZ231" s="173"/>
      <c r="BA231" s="177"/>
      <c r="BB231" s="178"/>
      <c r="BC231" s="175">
        <f>SUM(BC232:BC239)</f>
        <v>38.854699561839702</v>
      </c>
      <c r="BD231" s="176"/>
      <c r="BE231" s="173"/>
      <c r="BF231" s="177"/>
      <c r="BG231" s="178"/>
      <c r="BH231" s="175">
        <f>SUM(BH232:BH239)</f>
        <v>37.29786954836829</v>
      </c>
      <c r="BI231" s="176"/>
      <c r="BJ231" s="173"/>
      <c r="BK231" s="177"/>
      <c r="BL231" s="178"/>
      <c r="BM231" s="175">
        <f>SUM(BM232:BM239)</f>
        <v>23.679155503645987</v>
      </c>
      <c r="BN231" s="176"/>
      <c r="BO231" s="173"/>
      <c r="BP231" s="177"/>
      <c r="BQ231" s="178"/>
      <c r="BR231" s="175">
        <f>SUM(BR232:BR239)</f>
        <v>35.759312320916905</v>
      </c>
      <c r="BS231" s="176"/>
      <c r="BT231" s="173"/>
      <c r="BU231" s="177"/>
      <c r="BV231" s="178"/>
      <c r="BW231" s="179"/>
      <c r="BX231" s="180"/>
    </row>
    <row r="232" spans="2:76" ht="30.75" customHeight="1">
      <c r="C232" s="503" t="s">
        <v>70</v>
      </c>
      <c r="D232" s="443">
        <v>2</v>
      </c>
      <c r="E232" s="99" t="s">
        <v>60</v>
      </c>
      <c r="F232" s="56">
        <v>25</v>
      </c>
      <c r="G232" s="5">
        <f>F232*3520</f>
        <v>88000</v>
      </c>
      <c r="H232" s="7">
        <f>F232*($H$230/$F$230)</f>
        <v>28.653295128939828</v>
      </c>
      <c r="I232" s="46">
        <f t="shared" ref="I232:I239" si="600">H232*3520</f>
        <v>100859.5988538682</v>
      </c>
      <c r="J232" s="49">
        <v>0</v>
      </c>
      <c r="K232" s="39">
        <f t="shared" si="566"/>
        <v>1</v>
      </c>
      <c r="L232" s="39">
        <v>1</v>
      </c>
      <c r="M232" s="118"/>
      <c r="N232" s="42"/>
      <c r="O232" s="81">
        <f>$H$232*月別販売比率!C11</f>
        <v>2.8653295128939829</v>
      </c>
      <c r="P232" s="40">
        <f t="shared" ref="P232:P239" si="601">K232</f>
        <v>1</v>
      </c>
      <c r="Q232" s="39"/>
      <c r="R232" s="43">
        <f t="shared" si="108"/>
        <v>1</v>
      </c>
      <c r="S232" s="91">
        <f t="shared" si="554"/>
        <v>-1.8653295128939829</v>
      </c>
      <c r="T232" s="81">
        <f>$H$232*月別販売比率!H11</f>
        <v>2.0500744025465849</v>
      </c>
      <c r="U232" s="40">
        <f t="shared" si="110"/>
        <v>1</v>
      </c>
      <c r="V232" s="39"/>
      <c r="W232" s="40">
        <f t="shared" ref="W232:W239" si="602">K232+V232</f>
        <v>1</v>
      </c>
      <c r="X232" s="91">
        <f t="shared" si="555"/>
        <v>-1.0500744025465849</v>
      </c>
      <c r="Y232" s="81">
        <f>$H$232*月別販売比率!M11</f>
        <v>2.2725426424927218</v>
      </c>
      <c r="Z232" s="40">
        <f t="shared" si="113"/>
        <v>1</v>
      </c>
      <c r="AA232" s="39"/>
      <c r="AB232" s="96">
        <f t="shared" ref="AB232:AB239" si="603">K232+AA232</f>
        <v>1</v>
      </c>
      <c r="AC232" s="91">
        <f t="shared" si="556"/>
        <v>-1.2725426424927218</v>
      </c>
      <c r="AD232" s="81">
        <f>$H$232*月別販売比率!R11</f>
        <v>1.7014801672608428</v>
      </c>
      <c r="AE232" s="40">
        <f t="shared" si="116"/>
        <v>1</v>
      </c>
      <c r="AF232" s="39"/>
      <c r="AG232" s="40">
        <f t="shared" ref="AG232:AG239" si="604">K232+AF232</f>
        <v>1</v>
      </c>
      <c r="AH232" s="91">
        <f t="shared" si="557"/>
        <v>-0.70148016726084284</v>
      </c>
      <c r="AI232" s="81">
        <f>$H$232*月別販売比率!W11</f>
        <v>1.9331079720963771</v>
      </c>
      <c r="AJ232" s="40">
        <f t="shared" si="119"/>
        <v>1</v>
      </c>
      <c r="AK232" s="39"/>
      <c r="AL232" s="40">
        <f t="shared" ref="AL232:AL239" si="605">K232+AK232</f>
        <v>1</v>
      </c>
      <c r="AM232" s="91">
        <f t="shared" si="558"/>
        <v>-0.93310797209637708</v>
      </c>
      <c r="AN232" s="81">
        <f>$H$232*月別販売比率!AB11</f>
        <v>2.8788823326649338</v>
      </c>
      <c r="AO232" s="40">
        <f t="shared" si="122"/>
        <v>1</v>
      </c>
      <c r="AP232" s="39"/>
      <c r="AQ232" s="40">
        <f t="shared" ref="AQ232:AQ239" si="606">K232+AP232</f>
        <v>1</v>
      </c>
      <c r="AR232" s="91">
        <f t="shared" si="559"/>
        <v>-1.8788823326649338</v>
      </c>
      <c r="AS232" s="81">
        <f>$H$232*月別販売比率!AG11</f>
        <v>1.8641382682603151</v>
      </c>
      <c r="AT232" s="40">
        <f t="shared" si="125"/>
        <v>1</v>
      </c>
      <c r="AU232" s="39"/>
      <c r="AV232" s="40">
        <f t="shared" ref="AV232:AV239" si="607">K232+AU232</f>
        <v>1</v>
      </c>
      <c r="AW232" s="91">
        <f t="shared" si="560"/>
        <v>-0.86413826826031515</v>
      </c>
      <c r="AX232" s="81">
        <f>$H$232*月別販売比率!AL11</f>
        <v>2.2722469280633453</v>
      </c>
      <c r="AY232" s="40">
        <f t="shared" si="128"/>
        <v>1</v>
      </c>
      <c r="AZ232" s="39"/>
      <c r="BA232" s="43">
        <f t="shared" si="129"/>
        <v>1</v>
      </c>
      <c r="BB232" s="91">
        <f t="shared" si="561"/>
        <v>-1.2722469280633453</v>
      </c>
      <c r="BC232" s="81">
        <f>$H$232*月別販売比率!AQ11</f>
        <v>3.1133573366858736</v>
      </c>
      <c r="BD232" s="40">
        <f t="shared" si="131"/>
        <v>1</v>
      </c>
      <c r="BE232" s="39"/>
      <c r="BF232" s="43">
        <f t="shared" si="132"/>
        <v>1</v>
      </c>
      <c r="BG232" s="91">
        <f t="shared" si="562"/>
        <v>-2.1133573366858736</v>
      </c>
      <c r="BH232" s="81">
        <f>$H$232*月別販売比率!AV11</f>
        <v>2.9886113420166898</v>
      </c>
      <c r="BI232" s="40">
        <f t="shared" si="134"/>
        <v>1</v>
      </c>
      <c r="BJ232" s="39"/>
      <c r="BK232" s="43">
        <f t="shared" si="135"/>
        <v>1</v>
      </c>
      <c r="BL232" s="91">
        <f t="shared" si="563"/>
        <v>-1.9886113420166898</v>
      </c>
      <c r="BM232" s="81">
        <f>$H$232*月別販売比率!BA11</f>
        <v>1.8973682294588132</v>
      </c>
      <c r="BN232" s="40">
        <f t="shared" si="137"/>
        <v>1</v>
      </c>
      <c r="BO232" s="39"/>
      <c r="BP232" s="43">
        <f>K232+BO232</f>
        <v>1</v>
      </c>
      <c r="BQ232" s="91">
        <f t="shared" si="564"/>
        <v>-0.89736822945881323</v>
      </c>
      <c r="BR232" s="81">
        <f>$H$232*月別販売比率!BF11</f>
        <v>2.8653295128939829</v>
      </c>
      <c r="BS232" s="40">
        <f t="shared" si="140"/>
        <v>1</v>
      </c>
      <c r="BT232" s="39"/>
      <c r="BU232" s="43">
        <f t="shared" si="141"/>
        <v>1</v>
      </c>
      <c r="BV232" s="91">
        <f t="shared" si="565"/>
        <v>-1.8653295128939829</v>
      </c>
      <c r="BW232" s="158">
        <f t="shared" ref="BW232:BW239" si="608">AF232+AA232+V232+Q232+AK232+AP232+AU232+AZ232+BE232+BJ232+BO232+BT232+K232</f>
        <v>1</v>
      </c>
      <c r="BX232" s="29">
        <f t="shared" ref="BX232:BX239" si="609">BW232-H232</f>
        <v>-27.653295128939828</v>
      </c>
    </row>
    <row r="233" spans="2:76" ht="30.75" customHeight="1">
      <c r="C233" s="504"/>
      <c r="D233" s="441"/>
      <c r="E233" s="94" t="s">
        <v>62</v>
      </c>
      <c r="F233" s="57">
        <v>24</v>
      </c>
      <c r="G233" s="5">
        <f t="shared" ref="G233" si="610">F233*3520</f>
        <v>84480</v>
      </c>
      <c r="H233" s="7">
        <f t="shared" ref="H233:H239" si="611">F233*($H$230/$F$230)</f>
        <v>27.507163323782233</v>
      </c>
      <c r="I233" s="5">
        <f t="shared" si="600"/>
        <v>96825.214899713465</v>
      </c>
      <c r="J233" s="9">
        <v>14</v>
      </c>
      <c r="K233" s="21">
        <f t="shared" si="566"/>
        <v>7</v>
      </c>
      <c r="L233" s="21">
        <v>7</v>
      </c>
      <c r="M233" s="118"/>
      <c r="N233" s="42"/>
      <c r="O233" s="81">
        <f>$H$233*月別販売比率!C11</f>
        <v>2.7507163323782233</v>
      </c>
      <c r="P233" s="10">
        <f t="shared" si="601"/>
        <v>7</v>
      </c>
      <c r="Q233" s="21"/>
      <c r="R233" s="19">
        <f t="shared" si="108"/>
        <v>7</v>
      </c>
      <c r="S233" s="24">
        <f t="shared" si="554"/>
        <v>4.2492836676217767</v>
      </c>
      <c r="T233" s="81">
        <f>$H$233*月別販売比率!H11</f>
        <v>1.9680714264447217</v>
      </c>
      <c r="U233" s="10">
        <f t="shared" si="110"/>
        <v>7</v>
      </c>
      <c r="V233" s="21"/>
      <c r="W233" s="10">
        <f t="shared" si="602"/>
        <v>7</v>
      </c>
      <c r="X233" s="24">
        <f t="shared" si="555"/>
        <v>5.0319285735552786</v>
      </c>
      <c r="Y233" s="81">
        <f>$H$233*月別販売比率!M11</f>
        <v>2.1816409367930127</v>
      </c>
      <c r="Z233" s="10">
        <f t="shared" si="113"/>
        <v>7</v>
      </c>
      <c r="AA233" s="21"/>
      <c r="AB233" s="97">
        <f t="shared" si="603"/>
        <v>7</v>
      </c>
      <c r="AC233" s="24">
        <f t="shared" si="556"/>
        <v>4.8183590632069873</v>
      </c>
      <c r="AD233" s="81">
        <f>$H$233*月別販売比率!R11</f>
        <v>1.6334209605704091</v>
      </c>
      <c r="AE233" s="10">
        <f t="shared" si="116"/>
        <v>7</v>
      </c>
      <c r="AF233" s="21"/>
      <c r="AG233" s="10">
        <f t="shared" si="604"/>
        <v>7</v>
      </c>
      <c r="AH233" s="24">
        <f t="shared" si="557"/>
        <v>5.3665790394295909</v>
      </c>
      <c r="AI233" s="81">
        <f>$H$233*月別販売比率!W11</f>
        <v>1.8557836532125218</v>
      </c>
      <c r="AJ233" s="10">
        <f t="shared" si="119"/>
        <v>7</v>
      </c>
      <c r="AK233" s="21"/>
      <c r="AL233" s="10">
        <f t="shared" si="605"/>
        <v>7</v>
      </c>
      <c r="AM233" s="24">
        <f t="shared" si="558"/>
        <v>5.144216346787478</v>
      </c>
      <c r="AN233" s="81">
        <f>$H$233*月別販売比率!AB11</f>
        <v>2.7637270393583364</v>
      </c>
      <c r="AO233" s="10">
        <f t="shared" si="122"/>
        <v>7</v>
      </c>
      <c r="AP233" s="21"/>
      <c r="AQ233" s="10">
        <f t="shared" si="606"/>
        <v>7</v>
      </c>
      <c r="AR233" s="24">
        <f t="shared" si="559"/>
        <v>4.2362729606416636</v>
      </c>
      <c r="AS233" s="81">
        <f>$H$233*月別販売比率!AG11</f>
        <v>1.7895727375299024</v>
      </c>
      <c r="AT233" s="10">
        <f t="shared" si="125"/>
        <v>7</v>
      </c>
      <c r="AU233" s="21"/>
      <c r="AV233" s="10">
        <f t="shared" si="607"/>
        <v>7</v>
      </c>
      <c r="AW233" s="24">
        <f t="shared" si="560"/>
        <v>5.2104272624700974</v>
      </c>
      <c r="AX233" s="81">
        <f>$H$233*月別販売比率!AL11</f>
        <v>2.1813570509408113</v>
      </c>
      <c r="AY233" s="10">
        <f t="shared" si="128"/>
        <v>7</v>
      </c>
      <c r="AZ233" s="21"/>
      <c r="BA233" s="19">
        <f t="shared" si="129"/>
        <v>7</v>
      </c>
      <c r="BB233" s="24">
        <f t="shared" si="561"/>
        <v>4.8186429490591891</v>
      </c>
      <c r="BC233" s="81">
        <f>$H$233*月別販売比率!AQ11</f>
        <v>2.9888230432184386</v>
      </c>
      <c r="BD233" s="10">
        <f t="shared" si="131"/>
        <v>7</v>
      </c>
      <c r="BE233" s="21"/>
      <c r="BF233" s="19">
        <f t="shared" si="132"/>
        <v>7</v>
      </c>
      <c r="BG233" s="24">
        <f t="shared" si="562"/>
        <v>4.0111769567815614</v>
      </c>
      <c r="BH233" s="81">
        <f>$H$233*月別販売比率!AV11</f>
        <v>2.8690668883360222</v>
      </c>
      <c r="BI233" s="10">
        <f t="shared" si="134"/>
        <v>7</v>
      </c>
      <c r="BJ233" s="21"/>
      <c r="BK233" s="19">
        <f t="shared" si="135"/>
        <v>7</v>
      </c>
      <c r="BL233" s="24">
        <f t="shared" si="563"/>
        <v>4.1309331116639783</v>
      </c>
      <c r="BM233" s="81">
        <f>$H$233*月別販売比率!BA11</f>
        <v>1.8214735002804607</v>
      </c>
      <c r="BN233" s="10">
        <f t="shared" si="137"/>
        <v>7</v>
      </c>
      <c r="BO233" s="21"/>
      <c r="BP233" s="19">
        <f t="shared" ref="BP233:BP239" si="612">K233+BO233</f>
        <v>7</v>
      </c>
      <c r="BQ233" s="24">
        <f t="shared" si="564"/>
        <v>5.1785264997195393</v>
      </c>
      <c r="BR233" s="81">
        <f>$H$233*月別販売比率!BF11</f>
        <v>2.7507163323782233</v>
      </c>
      <c r="BS233" s="10">
        <f t="shared" si="140"/>
        <v>7</v>
      </c>
      <c r="BT233" s="21"/>
      <c r="BU233" s="19">
        <f t="shared" si="141"/>
        <v>7</v>
      </c>
      <c r="BV233" s="24">
        <f t="shared" si="565"/>
        <v>4.2492836676217767</v>
      </c>
      <c r="BW233" s="158">
        <f t="shared" si="608"/>
        <v>7</v>
      </c>
      <c r="BX233" s="29">
        <f t="shared" si="609"/>
        <v>-20.507163323782233</v>
      </c>
    </row>
    <row r="234" spans="2:76" ht="30.75" customHeight="1">
      <c r="C234" s="504"/>
      <c r="D234" s="441"/>
      <c r="E234" s="94" t="s">
        <v>61</v>
      </c>
      <c r="F234" s="57">
        <v>34</v>
      </c>
      <c r="G234" s="5">
        <f t="shared" ref="G234" si="613">F234*3520</f>
        <v>119680</v>
      </c>
      <c r="H234" s="7">
        <f t="shared" si="611"/>
        <v>38.968481375358166</v>
      </c>
      <c r="I234" s="5">
        <f t="shared" si="600"/>
        <v>137169.05444126076</v>
      </c>
      <c r="J234" s="9">
        <v>0</v>
      </c>
      <c r="K234" s="21">
        <f t="shared" si="566"/>
        <v>0</v>
      </c>
      <c r="L234" s="21"/>
      <c r="M234" s="118"/>
      <c r="N234" s="42"/>
      <c r="O234" s="81">
        <f>$H$234*月別販売比率!C11</f>
        <v>3.8968481375358168</v>
      </c>
      <c r="P234" s="10">
        <f t="shared" si="601"/>
        <v>0</v>
      </c>
      <c r="Q234" s="21"/>
      <c r="R234" s="19">
        <f t="shared" si="108"/>
        <v>0</v>
      </c>
      <c r="S234" s="24">
        <f t="shared" si="554"/>
        <v>-3.8968481375358168</v>
      </c>
      <c r="T234" s="81">
        <f>$H$234*月別販売比率!H11</f>
        <v>2.7881011874633557</v>
      </c>
      <c r="U234" s="10">
        <f t="shared" si="110"/>
        <v>0</v>
      </c>
      <c r="V234" s="21"/>
      <c r="W234" s="10">
        <f t="shared" si="602"/>
        <v>0</v>
      </c>
      <c r="X234" s="24">
        <f t="shared" si="555"/>
        <v>-2.7881011874633557</v>
      </c>
      <c r="Y234" s="81">
        <f>$H$234*月別販売比率!M11</f>
        <v>3.0906579937901015</v>
      </c>
      <c r="Z234" s="10">
        <f t="shared" si="113"/>
        <v>0</v>
      </c>
      <c r="AA234" s="21"/>
      <c r="AB234" s="97">
        <f t="shared" si="603"/>
        <v>0</v>
      </c>
      <c r="AC234" s="24">
        <f t="shared" si="556"/>
        <v>-3.0906579937901015</v>
      </c>
      <c r="AD234" s="81">
        <f>$H$234*月別販売比率!R11</f>
        <v>2.3140130274747461</v>
      </c>
      <c r="AE234" s="10">
        <f t="shared" si="116"/>
        <v>0</v>
      </c>
      <c r="AF234" s="21"/>
      <c r="AG234" s="10">
        <f t="shared" si="604"/>
        <v>0</v>
      </c>
      <c r="AH234" s="24">
        <f t="shared" si="557"/>
        <v>-2.3140130274747461</v>
      </c>
      <c r="AI234" s="81">
        <f>$H$234*月別販売比率!W11</f>
        <v>2.629026842051073</v>
      </c>
      <c r="AJ234" s="10">
        <f t="shared" si="119"/>
        <v>0</v>
      </c>
      <c r="AK234" s="21"/>
      <c r="AL234" s="10">
        <f t="shared" si="605"/>
        <v>0</v>
      </c>
      <c r="AM234" s="24">
        <f t="shared" si="558"/>
        <v>-2.629026842051073</v>
      </c>
      <c r="AN234" s="81">
        <f>$H$234*月別販売比率!AB11</f>
        <v>3.9152799724243099</v>
      </c>
      <c r="AO234" s="10">
        <f t="shared" si="122"/>
        <v>0</v>
      </c>
      <c r="AP234" s="21"/>
      <c r="AQ234" s="10">
        <f t="shared" si="606"/>
        <v>0</v>
      </c>
      <c r="AR234" s="24">
        <f t="shared" si="559"/>
        <v>-3.9152799724243099</v>
      </c>
      <c r="AS234" s="81">
        <f>$H$234*月別販売比率!AG11</f>
        <v>2.5352280448340285</v>
      </c>
      <c r="AT234" s="10">
        <f t="shared" si="125"/>
        <v>0</v>
      </c>
      <c r="AU234" s="21"/>
      <c r="AV234" s="10">
        <f t="shared" si="607"/>
        <v>0</v>
      </c>
      <c r="AW234" s="24">
        <f t="shared" si="560"/>
        <v>-2.5352280448340285</v>
      </c>
      <c r="AX234" s="81">
        <f>$H$234*月別販売比率!AL11</f>
        <v>3.0902558221661494</v>
      </c>
      <c r="AY234" s="10">
        <f t="shared" si="128"/>
        <v>0</v>
      </c>
      <c r="AZ234" s="21"/>
      <c r="BA234" s="19">
        <f t="shared" si="129"/>
        <v>0</v>
      </c>
      <c r="BB234" s="24">
        <f t="shared" si="561"/>
        <v>-3.0902558221661494</v>
      </c>
      <c r="BC234" s="81">
        <f>$H$234*月別販売比率!AQ11</f>
        <v>4.234165977892788</v>
      </c>
      <c r="BD234" s="10">
        <f t="shared" si="131"/>
        <v>0</v>
      </c>
      <c r="BE234" s="21"/>
      <c r="BF234" s="19">
        <f t="shared" si="132"/>
        <v>0</v>
      </c>
      <c r="BG234" s="24">
        <f t="shared" si="562"/>
        <v>-4.234165977892788</v>
      </c>
      <c r="BH234" s="81">
        <f>$H$234*月別販売比率!AV11</f>
        <v>4.0645114251426984</v>
      </c>
      <c r="BI234" s="10">
        <f t="shared" si="134"/>
        <v>0</v>
      </c>
      <c r="BJ234" s="21"/>
      <c r="BK234" s="19">
        <f t="shared" si="135"/>
        <v>0</v>
      </c>
      <c r="BL234" s="24">
        <f t="shared" si="563"/>
        <v>-4.0645114251426984</v>
      </c>
      <c r="BM234" s="81">
        <f>$H$234*月別販売比率!BA11</f>
        <v>2.5804207920639861</v>
      </c>
      <c r="BN234" s="10">
        <f t="shared" si="137"/>
        <v>0</v>
      </c>
      <c r="BO234" s="21"/>
      <c r="BP234" s="19">
        <f t="shared" si="612"/>
        <v>0</v>
      </c>
      <c r="BQ234" s="24">
        <f t="shared" si="564"/>
        <v>-2.5804207920639861</v>
      </c>
      <c r="BR234" s="81">
        <f>$H$234*月別販売比率!BF11</f>
        <v>3.8968481375358168</v>
      </c>
      <c r="BS234" s="10">
        <f t="shared" si="140"/>
        <v>0</v>
      </c>
      <c r="BT234" s="21"/>
      <c r="BU234" s="19">
        <f t="shared" si="141"/>
        <v>0</v>
      </c>
      <c r="BV234" s="24">
        <f t="shared" si="565"/>
        <v>-3.8968481375358168</v>
      </c>
      <c r="BW234" s="158">
        <f t="shared" si="608"/>
        <v>0</v>
      </c>
      <c r="BX234" s="29">
        <f t="shared" si="609"/>
        <v>-38.968481375358166</v>
      </c>
    </row>
    <row r="235" spans="2:76" ht="30.75" customHeight="1">
      <c r="C235" s="504"/>
      <c r="D235" s="442"/>
      <c r="E235" s="94" t="s">
        <v>63</v>
      </c>
      <c r="F235" s="57">
        <v>43</v>
      </c>
      <c r="G235" s="5">
        <f t="shared" ref="G235" si="614">F235*3520</f>
        <v>151360</v>
      </c>
      <c r="H235" s="7">
        <f t="shared" si="611"/>
        <v>49.283667621776502</v>
      </c>
      <c r="I235" s="5">
        <f t="shared" si="600"/>
        <v>173478.51002865328</v>
      </c>
      <c r="J235" s="9">
        <v>0</v>
      </c>
      <c r="K235" s="21">
        <f t="shared" si="566"/>
        <v>0</v>
      </c>
      <c r="L235" s="21"/>
      <c r="M235" s="118"/>
      <c r="N235" s="42"/>
      <c r="O235" s="81">
        <f>$H$235*月別販売比率!C11</f>
        <v>4.9283667621776504</v>
      </c>
      <c r="P235" s="10">
        <f t="shared" si="601"/>
        <v>0</v>
      </c>
      <c r="Q235" s="21"/>
      <c r="R235" s="19">
        <f t="shared" si="108"/>
        <v>0</v>
      </c>
      <c r="S235" s="24">
        <f t="shared" si="554"/>
        <v>-4.9283667621776504</v>
      </c>
      <c r="T235" s="81">
        <f>$H$235*月別販売比率!H11</f>
        <v>3.526127972380126</v>
      </c>
      <c r="U235" s="10">
        <f t="shared" si="110"/>
        <v>0</v>
      </c>
      <c r="V235" s="21"/>
      <c r="W235" s="10">
        <f t="shared" si="602"/>
        <v>0</v>
      </c>
      <c r="X235" s="24">
        <f t="shared" si="555"/>
        <v>-3.526127972380126</v>
      </c>
      <c r="Y235" s="81">
        <f>$H$235*月別販売比率!M11</f>
        <v>3.9087733450874813</v>
      </c>
      <c r="Z235" s="10">
        <f t="shared" si="113"/>
        <v>0</v>
      </c>
      <c r="AA235" s="21"/>
      <c r="AB235" s="97">
        <f t="shared" si="603"/>
        <v>0</v>
      </c>
      <c r="AC235" s="24">
        <f t="shared" si="556"/>
        <v>-3.9087733450874813</v>
      </c>
      <c r="AD235" s="81">
        <f>$H$235*月別販売比率!R11</f>
        <v>2.9265458876886496</v>
      </c>
      <c r="AE235" s="10">
        <f t="shared" si="116"/>
        <v>0</v>
      </c>
      <c r="AF235" s="21"/>
      <c r="AG235" s="10">
        <f t="shared" si="604"/>
        <v>0</v>
      </c>
      <c r="AH235" s="24">
        <f t="shared" si="557"/>
        <v>-2.9265458876886496</v>
      </c>
      <c r="AI235" s="81">
        <f>$H$235*月別販売比率!W11</f>
        <v>3.3249457120057686</v>
      </c>
      <c r="AJ235" s="10">
        <f t="shared" si="119"/>
        <v>0</v>
      </c>
      <c r="AK235" s="21"/>
      <c r="AL235" s="10">
        <f t="shared" si="605"/>
        <v>0</v>
      </c>
      <c r="AM235" s="24">
        <f t="shared" si="558"/>
        <v>-3.3249457120057686</v>
      </c>
      <c r="AN235" s="81">
        <f>$H$235*月別販売比率!AB11</f>
        <v>4.9516776121836861</v>
      </c>
      <c r="AO235" s="10">
        <f t="shared" si="122"/>
        <v>0</v>
      </c>
      <c r="AP235" s="21"/>
      <c r="AQ235" s="10">
        <f t="shared" si="606"/>
        <v>0</v>
      </c>
      <c r="AR235" s="24">
        <f t="shared" si="559"/>
        <v>-4.9516776121836861</v>
      </c>
      <c r="AS235" s="81">
        <f>$H$235*月別販売比率!AG11</f>
        <v>3.2063178214077421</v>
      </c>
      <c r="AT235" s="10">
        <f t="shared" si="125"/>
        <v>0</v>
      </c>
      <c r="AU235" s="21"/>
      <c r="AV235" s="10">
        <f t="shared" si="607"/>
        <v>0</v>
      </c>
      <c r="AW235" s="24">
        <f t="shared" si="560"/>
        <v>-3.2063178214077421</v>
      </c>
      <c r="AX235" s="81">
        <f>$H$235*月別販売比率!AL11</f>
        <v>3.9082647162689534</v>
      </c>
      <c r="AY235" s="10">
        <f t="shared" si="128"/>
        <v>0</v>
      </c>
      <c r="AZ235" s="21"/>
      <c r="BA235" s="19">
        <f t="shared" si="129"/>
        <v>0</v>
      </c>
      <c r="BB235" s="24">
        <f t="shared" si="561"/>
        <v>-3.9082647162689534</v>
      </c>
      <c r="BC235" s="81">
        <f>$H$235*月別販売比率!AQ11</f>
        <v>5.3549746190997025</v>
      </c>
      <c r="BD235" s="10">
        <f t="shared" si="131"/>
        <v>0</v>
      </c>
      <c r="BE235" s="21"/>
      <c r="BF235" s="19">
        <f t="shared" si="132"/>
        <v>0</v>
      </c>
      <c r="BG235" s="24">
        <f t="shared" si="562"/>
        <v>-5.3549746190997025</v>
      </c>
      <c r="BH235" s="81">
        <f>$H$235*月別販売比率!AV11</f>
        <v>5.1404115082687065</v>
      </c>
      <c r="BI235" s="10">
        <f t="shared" si="134"/>
        <v>0</v>
      </c>
      <c r="BJ235" s="21"/>
      <c r="BK235" s="19">
        <f t="shared" si="135"/>
        <v>0</v>
      </c>
      <c r="BL235" s="24">
        <f t="shared" si="563"/>
        <v>-5.1404115082687065</v>
      </c>
      <c r="BM235" s="81">
        <f>$H$235*月別販売比率!BA11</f>
        <v>3.2634733546691588</v>
      </c>
      <c r="BN235" s="10">
        <f t="shared" si="137"/>
        <v>0</v>
      </c>
      <c r="BO235" s="21"/>
      <c r="BP235" s="19">
        <f t="shared" si="612"/>
        <v>0</v>
      </c>
      <c r="BQ235" s="24">
        <f t="shared" si="564"/>
        <v>-3.2634733546691588</v>
      </c>
      <c r="BR235" s="81">
        <f>$H$235*月別販売比率!BF11</f>
        <v>4.9283667621776504</v>
      </c>
      <c r="BS235" s="10">
        <f t="shared" si="140"/>
        <v>0</v>
      </c>
      <c r="BT235" s="21"/>
      <c r="BU235" s="19">
        <f t="shared" si="141"/>
        <v>0</v>
      </c>
      <c r="BV235" s="24">
        <f t="shared" si="565"/>
        <v>-4.9283667621776504</v>
      </c>
      <c r="BW235" s="158">
        <f t="shared" si="608"/>
        <v>0</v>
      </c>
      <c r="BX235" s="29">
        <f t="shared" si="609"/>
        <v>-49.283667621776502</v>
      </c>
    </row>
    <row r="236" spans="2:76" ht="30.75" customHeight="1">
      <c r="C236" s="504"/>
      <c r="D236" s="441">
        <v>11</v>
      </c>
      <c r="E236" s="99" t="s">
        <v>60</v>
      </c>
      <c r="F236" s="57">
        <v>53</v>
      </c>
      <c r="G236" s="5">
        <f t="shared" ref="G236" si="615">F236*3520</f>
        <v>186560</v>
      </c>
      <c r="H236" s="7">
        <f t="shared" si="611"/>
        <v>60.744985673352431</v>
      </c>
      <c r="I236" s="5">
        <f t="shared" si="600"/>
        <v>213822.34957020055</v>
      </c>
      <c r="J236" s="9">
        <v>36</v>
      </c>
      <c r="K236" s="21">
        <f t="shared" si="566"/>
        <v>8</v>
      </c>
      <c r="L236" s="21">
        <v>8</v>
      </c>
      <c r="M236" s="118"/>
      <c r="N236" s="42"/>
      <c r="O236" s="81">
        <f>$H$236*月別販売比率!C11</f>
        <v>6.0744985673352438</v>
      </c>
      <c r="P236" s="10">
        <f t="shared" si="601"/>
        <v>8</v>
      </c>
      <c r="Q236" s="21"/>
      <c r="R236" s="19">
        <f t="shared" si="108"/>
        <v>8</v>
      </c>
      <c r="S236" s="24">
        <f t="shared" si="554"/>
        <v>1.9255014326647562</v>
      </c>
      <c r="T236" s="81">
        <f>$H$236*月別販売比率!H11</f>
        <v>4.3461577333987602</v>
      </c>
      <c r="U236" s="10">
        <f t="shared" si="110"/>
        <v>8</v>
      </c>
      <c r="V236" s="21"/>
      <c r="W236" s="10">
        <f t="shared" si="602"/>
        <v>8</v>
      </c>
      <c r="X236" s="24">
        <f t="shared" si="555"/>
        <v>3.6538422666012398</v>
      </c>
      <c r="Y236" s="81">
        <f>$H$236*月別販売比率!M11</f>
        <v>4.8177904020845697</v>
      </c>
      <c r="Z236" s="10">
        <f t="shared" si="113"/>
        <v>8</v>
      </c>
      <c r="AA236" s="21"/>
      <c r="AB236" s="97">
        <f t="shared" si="603"/>
        <v>8</v>
      </c>
      <c r="AC236" s="24">
        <f t="shared" si="556"/>
        <v>3.1822095979154303</v>
      </c>
      <c r="AD236" s="81">
        <f>$H$236*月別販売比率!R11</f>
        <v>3.6071379545929867</v>
      </c>
      <c r="AE236" s="10">
        <f t="shared" si="116"/>
        <v>8</v>
      </c>
      <c r="AF236" s="21"/>
      <c r="AG236" s="10">
        <f t="shared" si="604"/>
        <v>8</v>
      </c>
      <c r="AH236" s="24">
        <f t="shared" si="557"/>
        <v>4.3928620454070133</v>
      </c>
      <c r="AI236" s="81">
        <f>$H$236*月別販売比率!W11</f>
        <v>4.0981889008443195</v>
      </c>
      <c r="AJ236" s="10">
        <f t="shared" si="119"/>
        <v>8</v>
      </c>
      <c r="AK236" s="21"/>
      <c r="AL236" s="10">
        <f t="shared" si="605"/>
        <v>8</v>
      </c>
      <c r="AM236" s="24">
        <f t="shared" si="558"/>
        <v>3.9018110991556805</v>
      </c>
      <c r="AN236" s="81">
        <f>$H$236*月別販売比率!AB11</f>
        <v>6.1032305452496596</v>
      </c>
      <c r="AO236" s="10">
        <f t="shared" si="122"/>
        <v>8</v>
      </c>
      <c r="AP236" s="21"/>
      <c r="AQ236" s="10">
        <f t="shared" si="606"/>
        <v>8</v>
      </c>
      <c r="AR236" s="24">
        <f t="shared" si="559"/>
        <v>1.8967694547503404</v>
      </c>
      <c r="AS236" s="81">
        <f>$H$236*月別販売比率!AG11</f>
        <v>3.951973128711868</v>
      </c>
      <c r="AT236" s="10">
        <f t="shared" si="125"/>
        <v>8</v>
      </c>
      <c r="AU236" s="21"/>
      <c r="AV236" s="10">
        <f t="shared" si="607"/>
        <v>8</v>
      </c>
      <c r="AW236" s="24">
        <f t="shared" si="560"/>
        <v>4.0480268712881315</v>
      </c>
      <c r="AX236" s="81">
        <f>$H$236*月別販売比率!AL11</f>
        <v>4.817163487494291</v>
      </c>
      <c r="AY236" s="10">
        <f t="shared" si="128"/>
        <v>8</v>
      </c>
      <c r="AZ236" s="21"/>
      <c r="BA236" s="19">
        <f t="shared" si="129"/>
        <v>8</v>
      </c>
      <c r="BB236" s="24">
        <f t="shared" si="561"/>
        <v>3.182836512505709</v>
      </c>
      <c r="BC236" s="81">
        <f>$H$236*月別販売比率!AQ11</f>
        <v>6.6003175537740519</v>
      </c>
      <c r="BD236" s="10">
        <f t="shared" si="131"/>
        <v>8</v>
      </c>
      <c r="BE236" s="21"/>
      <c r="BF236" s="19">
        <f t="shared" si="132"/>
        <v>8</v>
      </c>
      <c r="BG236" s="24">
        <f t="shared" si="562"/>
        <v>1.3996824462259481</v>
      </c>
      <c r="BH236" s="81">
        <f>$H$236*月別販売比率!AV11</f>
        <v>6.3358560450753822</v>
      </c>
      <c r="BI236" s="10">
        <f t="shared" si="134"/>
        <v>8</v>
      </c>
      <c r="BJ236" s="21"/>
      <c r="BK236" s="19">
        <f t="shared" si="135"/>
        <v>8</v>
      </c>
      <c r="BL236" s="24">
        <f t="shared" si="563"/>
        <v>1.6641439549246178</v>
      </c>
      <c r="BM236" s="81">
        <f>$H$236*月別販売比率!BA11</f>
        <v>4.0224206464526837</v>
      </c>
      <c r="BN236" s="10">
        <f t="shared" si="137"/>
        <v>8</v>
      </c>
      <c r="BO236" s="21"/>
      <c r="BP236" s="19">
        <f t="shared" si="612"/>
        <v>8</v>
      </c>
      <c r="BQ236" s="24">
        <f t="shared" si="564"/>
        <v>3.9775793535473163</v>
      </c>
      <c r="BR236" s="81">
        <f>$H$236*月別販売比率!BF11</f>
        <v>6.0744985673352438</v>
      </c>
      <c r="BS236" s="10">
        <f t="shared" si="140"/>
        <v>8</v>
      </c>
      <c r="BT236" s="21"/>
      <c r="BU236" s="19">
        <f t="shared" si="141"/>
        <v>8</v>
      </c>
      <c r="BV236" s="24">
        <f t="shared" si="565"/>
        <v>1.9255014326647562</v>
      </c>
      <c r="BW236" s="158">
        <f t="shared" si="608"/>
        <v>8</v>
      </c>
      <c r="BX236" s="29">
        <f t="shared" si="609"/>
        <v>-52.744985673352431</v>
      </c>
    </row>
    <row r="237" spans="2:76" ht="30.75" customHeight="1">
      <c r="C237" s="504"/>
      <c r="D237" s="441"/>
      <c r="E237" s="94" t="s">
        <v>62</v>
      </c>
      <c r="F237" s="57">
        <v>48</v>
      </c>
      <c r="G237" s="5">
        <f t="shared" ref="G237" si="616">F237*3520</f>
        <v>168960</v>
      </c>
      <c r="H237" s="7">
        <f t="shared" si="611"/>
        <v>55.014326647564467</v>
      </c>
      <c r="I237" s="5">
        <f t="shared" si="600"/>
        <v>193650.42979942693</v>
      </c>
      <c r="J237" s="9">
        <v>30</v>
      </c>
      <c r="K237" s="21">
        <f t="shared" si="566"/>
        <v>9</v>
      </c>
      <c r="L237" s="21">
        <v>9</v>
      </c>
      <c r="M237" s="118"/>
      <c r="N237" s="42"/>
      <c r="O237" s="81">
        <f>$H$237*月別販売比率!C11</f>
        <v>5.5014326647564467</v>
      </c>
      <c r="P237" s="10">
        <f t="shared" si="601"/>
        <v>9</v>
      </c>
      <c r="Q237" s="21"/>
      <c r="R237" s="19">
        <f t="shared" si="108"/>
        <v>9</v>
      </c>
      <c r="S237" s="24">
        <f t="shared" si="554"/>
        <v>3.4985673352435533</v>
      </c>
      <c r="T237" s="81">
        <f>$H$237*月別販売比率!H11</f>
        <v>3.9361428528894433</v>
      </c>
      <c r="U237" s="10">
        <f t="shared" si="110"/>
        <v>9</v>
      </c>
      <c r="V237" s="21"/>
      <c r="W237" s="10">
        <f t="shared" si="602"/>
        <v>9</v>
      </c>
      <c r="X237" s="24">
        <f t="shared" si="555"/>
        <v>5.0638571471105571</v>
      </c>
      <c r="Y237" s="81">
        <f>$H$237*月別販売比率!M11</f>
        <v>4.3632818735860255</v>
      </c>
      <c r="Z237" s="10">
        <f t="shared" si="113"/>
        <v>9</v>
      </c>
      <c r="AA237" s="21"/>
      <c r="AB237" s="97">
        <f t="shared" si="603"/>
        <v>9</v>
      </c>
      <c r="AC237" s="24">
        <f t="shared" si="556"/>
        <v>4.6367181264139745</v>
      </c>
      <c r="AD237" s="81">
        <f>$H$237*月別販売比率!R11</f>
        <v>3.2668419211408182</v>
      </c>
      <c r="AE237" s="10">
        <f t="shared" si="116"/>
        <v>9</v>
      </c>
      <c r="AF237" s="21"/>
      <c r="AG237" s="10">
        <f t="shared" si="604"/>
        <v>9</v>
      </c>
      <c r="AH237" s="24">
        <f t="shared" si="557"/>
        <v>5.7331580788591818</v>
      </c>
      <c r="AI237" s="81">
        <f>$H$237*月別販売比率!W11</f>
        <v>3.7115673064250436</v>
      </c>
      <c r="AJ237" s="10">
        <f t="shared" si="119"/>
        <v>9</v>
      </c>
      <c r="AK237" s="21"/>
      <c r="AL237" s="10">
        <f t="shared" si="605"/>
        <v>9</v>
      </c>
      <c r="AM237" s="24">
        <f t="shared" si="558"/>
        <v>5.2884326935749559</v>
      </c>
      <c r="AN237" s="81">
        <f>$H$237*月別販売比率!AB11</f>
        <v>5.5274540787166728</v>
      </c>
      <c r="AO237" s="10">
        <f t="shared" si="122"/>
        <v>9</v>
      </c>
      <c r="AP237" s="21"/>
      <c r="AQ237" s="10">
        <f t="shared" si="606"/>
        <v>9</v>
      </c>
      <c r="AR237" s="24">
        <f t="shared" si="559"/>
        <v>3.4725459212833272</v>
      </c>
      <c r="AS237" s="81">
        <f>$H$237*月別販売比率!AG11</f>
        <v>3.5791454750598048</v>
      </c>
      <c r="AT237" s="10">
        <f t="shared" si="125"/>
        <v>9</v>
      </c>
      <c r="AU237" s="21"/>
      <c r="AV237" s="10">
        <f t="shared" si="607"/>
        <v>9</v>
      </c>
      <c r="AW237" s="24">
        <f t="shared" si="560"/>
        <v>5.4208545249401947</v>
      </c>
      <c r="AX237" s="81">
        <f>$H$237*月別販売比率!AL11</f>
        <v>4.3627141018816227</v>
      </c>
      <c r="AY237" s="10">
        <f t="shared" si="128"/>
        <v>9</v>
      </c>
      <c r="AZ237" s="21"/>
      <c r="BA237" s="19">
        <f t="shared" si="129"/>
        <v>9</v>
      </c>
      <c r="BB237" s="24">
        <f t="shared" si="561"/>
        <v>4.6372858981183773</v>
      </c>
      <c r="BC237" s="81">
        <f>$H$237*月別販売比率!AQ11</f>
        <v>5.9776460864368772</v>
      </c>
      <c r="BD237" s="10">
        <f t="shared" si="131"/>
        <v>9</v>
      </c>
      <c r="BE237" s="21"/>
      <c r="BF237" s="19">
        <f t="shared" si="132"/>
        <v>9</v>
      </c>
      <c r="BG237" s="24">
        <f t="shared" si="562"/>
        <v>3.0223539135631228</v>
      </c>
      <c r="BH237" s="81">
        <f>$H$237*月別販売比率!AV11</f>
        <v>5.7381337766720444</v>
      </c>
      <c r="BI237" s="10">
        <f t="shared" si="134"/>
        <v>9</v>
      </c>
      <c r="BJ237" s="21"/>
      <c r="BK237" s="19">
        <f t="shared" si="135"/>
        <v>9</v>
      </c>
      <c r="BL237" s="24">
        <f t="shared" si="563"/>
        <v>3.2618662233279556</v>
      </c>
      <c r="BM237" s="81">
        <f>$H$237*月別販売比率!BA11</f>
        <v>3.6429470005609215</v>
      </c>
      <c r="BN237" s="10">
        <f t="shared" si="137"/>
        <v>9</v>
      </c>
      <c r="BO237" s="21"/>
      <c r="BP237" s="19">
        <f t="shared" si="612"/>
        <v>9</v>
      </c>
      <c r="BQ237" s="24">
        <f t="shared" si="564"/>
        <v>5.3570529994390785</v>
      </c>
      <c r="BR237" s="81">
        <f>$H$237*月別販売比率!BF11</f>
        <v>5.5014326647564467</v>
      </c>
      <c r="BS237" s="10">
        <f t="shared" si="140"/>
        <v>9</v>
      </c>
      <c r="BT237" s="21"/>
      <c r="BU237" s="19">
        <f t="shared" si="141"/>
        <v>9</v>
      </c>
      <c r="BV237" s="24">
        <f t="shared" si="565"/>
        <v>3.4985673352435533</v>
      </c>
      <c r="BW237" s="158">
        <f t="shared" si="608"/>
        <v>9</v>
      </c>
      <c r="BX237" s="29">
        <f t="shared" si="609"/>
        <v>-46.014326647564467</v>
      </c>
    </row>
    <row r="238" spans="2:76" ht="30.75" customHeight="1">
      <c r="C238" s="504"/>
      <c r="D238" s="441"/>
      <c r="E238" s="94" t="s">
        <v>61</v>
      </c>
      <c r="F238" s="57">
        <v>44</v>
      </c>
      <c r="G238" s="5">
        <f t="shared" ref="G238:G239" si="617">F238*3520</f>
        <v>154880</v>
      </c>
      <c r="H238" s="7">
        <f t="shared" si="611"/>
        <v>50.429799426934096</v>
      </c>
      <c r="I238" s="5">
        <f t="shared" si="600"/>
        <v>177512.89398280802</v>
      </c>
      <c r="J238" s="9">
        <v>17</v>
      </c>
      <c r="K238" s="21">
        <f t="shared" si="566"/>
        <v>8</v>
      </c>
      <c r="L238" s="21">
        <v>8</v>
      </c>
      <c r="M238" s="118"/>
      <c r="N238" s="42"/>
      <c r="O238" s="81">
        <f>$H$238*月別販売比率!C11</f>
        <v>5.0429799426934103</v>
      </c>
      <c r="P238" s="10">
        <f t="shared" si="601"/>
        <v>8</v>
      </c>
      <c r="Q238" s="21"/>
      <c r="R238" s="19">
        <f t="shared" si="108"/>
        <v>8</v>
      </c>
      <c r="S238" s="24">
        <f t="shared" si="554"/>
        <v>2.9570200573065897</v>
      </c>
      <c r="T238" s="81">
        <f>$H$238*月別販売比率!H11</f>
        <v>3.6081309484819895</v>
      </c>
      <c r="U238" s="10">
        <f t="shared" si="110"/>
        <v>8</v>
      </c>
      <c r="V238" s="21"/>
      <c r="W238" s="10">
        <f t="shared" si="602"/>
        <v>8</v>
      </c>
      <c r="X238" s="24">
        <f t="shared" si="555"/>
        <v>4.391869051518011</v>
      </c>
      <c r="Y238" s="81">
        <f>$H$238*月別販売比率!M11</f>
        <v>3.9996750507871903</v>
      </c>
      <c r="Z238" s="10">
        <f t="shared" si="113"/>
        <v>8</v>
      </c>
      <c r="AA238" s="21"/>
      <c r="AB238" s="97">
        <f t="shared" si="603"/>
        <v>8</v>
      </c>
      <c r="AC238" s="24">
        <f t="shared" si="556"/>
        <v>4.0003249492128097</v>
      </c>
      <c r="AD238" s="81">
        <f>$H$238*月別販売比率!R11</f>
        <v>2.9946050943790832</v>
      </c>
      <c r="AE238" s="10">
        <f t="shared" si="116"/>
        <v>8</v>
      </c>
      <c r="AF238" s="21"/>
      <c r="AG238" s="10">
        <f t="shared" si="604"/>
        <v>8</v>
      </c>
      <c r="AH238" s="24">
        <f t="shared" si="557"/>
        <v>5.0053949056209168</v>
      </c>
      <c r="AI238" s="81">
        <f>$H$238*月別販売比率!W11</f>
        <v>3.4022700308896234</v>
      </c>
      <c r="AJ238" s="10">
        <f t="shared" si="119"/>
        <v>8</v>
      </c>
      <c r="AK238" s="21"/>
      <c r="AL238" s="10">
        <f t="shared" si="605"/>
        <v>8</v>
      </c>
      <c r="AM238" s="24">
        <f t="shared" si="558"/>
        <v>4.597729969110377</v>
      </c>
      <c r="AN238" s="81">
        <f>$H$238*月別販売比率!AB11</f>
        <v>5.0668329054902834</v>
      </c>
      <c r="AO238" s="10">
        <f t="shared" si="122"/>
        <v>8</v>
      </c>
      <c r="AP238" s="21"/>
      <c r="AQ238" s="10">
        <f t="shared" si="606"/>
        <v>8</v>
      </c>
      <c r="AR238" s="24">
        <f t="shared" si="559"/>
        <v>2.9331670945097166</v>
      </c>
      <c r="AS238" s="81">
        <f>$H$238*月別販売比率!AG11</f>
        <v>3.2808833521381544</v>
      </c>
      <c r="AT238" s="10">
        <f t="shared" si="125"/>
        <v>8</v>
      </c>
      <c r="AU238" s="21"/>
      <c r="AV238" s="10">
        <f t="shared" si="607"/>
        <v>8</v>
      </c>
      <c r="AW238" s="24">
        <f t="shared" si="560"/>
        <v>4.7191166478618456</v>
      </c>
      <c r="AX238" s="81">
        <f>$H$238*月別販売比率!AL11</f>
        <v>3.9991545933914874</v>
      </c>
      <c r="AY238" s="10">
        <f t="shared" si="128"/>
        <v>8</v>
      </c>
      <c r="AZ238" s="21"/>
      <c r="BA238" s="19">
        <f t="shared" si="129"/>
        <v>8</v>
      </c>
      <c r="BB238" s="24">
        <f t="shared" si="561"/>
        <v>4.0008454066085122</v>
      </c>
      <c r="BC238" s="81">
        <f>$H$238*月別販売比率!AQ11</f>
        <v>5.4795089125671375</v>
      </c>
      <c r="BD238" s="10">
        <f t="shared" si="131"/>
        <v>8</v>
      </c>
      <c r="BE238" s="21"/>
      <c r="BF238" s="19">
        <f t="shared" si="132"/>
        <v>8</v>
      </c>
      <c r="BG238" s="24">
        <f t="shared" si="562"/>
        <v>2.5204910874328625</v>
      </c>
      <c r="BH238" s="81">
        <f>$H$238*月別販売比率!AV11</f>
        <v>5.2599559619493741</v>
      </c>
      <c r="BI238" s="10">
        <f t="shared" si="134"/>
        <v>8</v>
      </c>
      <c r="BJ238" s="21"/>
      <c r="BK238" s="19">
        <f t="shared" si="135"/>
        <v>8</v>
      </c>
      <c r="BL238" s="24">
        <f t="shared" si="563"/>
        <v>2.7400440380506259</v>
      </c>
      <c r="BM238" s="81">
        <f>$H$238*月別販売比率!BA11</f>
        <v>3.3393680838475115</v>
      </c>
      <c r="BN238" s="10">
        <f t="shared" si="137"/>
        <v>8</v>
      </c>
      <c r="BO238" s="21"/>
      <c r="BP238" s="19">
        <f t="shared" si="612"/>
        <v>8</v>
      </c>
      <c r="BQ238" s="24">
        <f t="shared" si="564"/>
        <v>4.6606319161524885</v>
      </c>
      <c r="BR238" s="81">
        <f>$H$238*月別販売比率!BF11</f>
        <v>5.0429799426934103</v>
      </c>
      <c r="BS238" s="10">
        <f t="shared" si="140"/>
        <v>8</v>
      </c>
      <c r="BT238" s="21"/>
      <c r="BU238" s="19">
        <f t="shared" si="141"/>
        <v>8</v>
      </c>
      <c r="BV238" s="24">
        <f t="shared" si="565"/>
        <v>2.9570200573065897</v>
      </c>
      <c r="BW238" s="158">
        <f t="shared" si="608"/>
        <v>8</v>
      </c>
      <c r="BX238" s="29">
        <f t="shared" si="609"/>
        <v>-42.429799426934096</v>
      </c>
    </row>
    <row r="239" spans="2:76" ht="30.75" customHeight="1">
      <c r="C239" s="505"/>
      <c r="D239" s="444"/>
      <c r="E239" s="122" t="s">
        <v>63</v>
      </c>
      <c r="F239" s="58">
        <v>41</v>
      </c>
      <c r="G239" s="35">
        <f t="shared" si="617"/>
        <v>144320</v>
      </c>
      <c r="H239" s="181">
        <f t="shared" si="611"/>
        <v>46.991404011461313</v>
      </c>
      <c r="I239" s="35">
        <f t="shared" si="600"/>
        <v>165409.74212034381</v>
      </c>
      <c r="J239" s="113">
        <v>8</v>
      </c>
      <c r="K239" s="103">
        <f t="shared" si="566"/>
        <v>12</v>
      </c>
      <c r="L239" s="104">
        <v>12</v>
      </c>
      <c r="M239" s="114"/>
      <c r="N239" s="117"/>
      <c r="O239" s="81">
        <f>$H$239*月別販売比率!C11</f>
        <v>4.6991404011461313</v>
      </c>
      <c r="P239" s="106">
        <f t="shared" si="601"/>
        <v>12</v>
      </c>
      <c r="Q239" s="107"/>
      <c r="R239" s="2">
        <f t="shared" si="108"/>
        <v>12</v>
      </c>
      <c r="S239" s="195">
        <f t="shared" si="554"/>
        <v>7.3008595988538687</v>
      </c>
      <c r="T239" s="81">
        <f>$H$239*月別販売比率!H11</f>
        <v>3.3621220201763991</v>
      </c>
      <c r="U239" s="106">
        <f t="shared" si="110"/>
        <v>12</v>
      </c>
      <c r="V239" s="107"/>
      <c r="W239" s="106">
        <f t="shared" si="602"/>
        <v>12</v>
      </c>
      <c r="X239" s="195">
        <f t="shared" si="555"/>
        <v>8.6378779798236014</v>
      </c>
      <c r="Y239" s="81">
        <f>$H$239*月別販売比率!M11</f>
        <v>3.7269699336880633</v>
      </c>
      <c r="Z239" s="106">
        <f t="shared" si="113"/>
        <v>12</v>
      </c>
      <c r="AA239" s="107"/>
      <c r="AB239" s="196">
        <f t="shared" si="603"/>
        <v>12</v>
      </c>
      <c r="AC239" s="195">
        <f t="shared" si="556"/>
        <v>8.2730300663119358</v>
      </c>
      <c r="AD239" s="81">
        <f>$H$239*月別販売比率!R11</f>
        <v>2.7904274743077822</v>
      </c>
      <c r="AE239" s="106">
        <f t="shared" si="116"/>
        <v>12</v>
      </c>
      <c r="AF239" s="107"/>
      <c r="AG239" s="106">
        <f t="shared" si="604"/>
        <v>12</v>
      </c>
      <c r="AH239" s="195">
        <f t="shared" si="557"/>
        <v>9.2095725256922183</v>
      </c>
      <c r="AI239" s="81">
        <f>$H$239*月別販売比率!W11</f>
        <v>3.1702970742380581</v>
      </c>
      <c r="AJ239" s="106">
        <f t="shared" si="119"/>
        <v>12</v>
      </c>
      <c r="AK239" s="107"/>
      <c r="AL239" s="106">
        <f t="shared" si="605"/>
        <v>12</v>
      </c>
      <c r="AM239" s="195">
        <f t="shared" si="558"/>
        <v>8.8297029257619428</v>
      </c>
      <c r="AN239" s="81">
        <f>$H$239*月別販売比率!AB11</f>
        <v>4.7213670255704914</v>
      </c>
      <c r="AO239" s="106">
        <f t="shared" si="122"/>
        <v>12</v>
      </c>
      <c r="AP239" s="107"/>
      <c r="AQ239" s="106">
        <f t="shared" si="606"/>
        <v>12</v>
      </c>
      <c r="AR239" s="195">
        <f t="shared" si="559"/>
        <v>7.2786329744295086</v>
      </c>
      <c r="AS239" s="81">
        <f>$H$239*月別販売比率!AG11</f>
        <v>3.0571867599469167</v>
      </c>
      <c r="AT239" s="106">
        <f t="shared" si="125"/>
        <v>12</v>
      </c>
      <c r="AU239" s="107"/>
      <c r="AV239" s="106">
        <f t="shared" si="607"/>
        <v>12</v>
      </c>
      <c r="AW239" s="195">
        <f t="shared" si="560"/>
        <v>8.9428132400530842</v>
      </c>
      <c r="AX239" s="81">
        <f>$H$239*月別販売比率!AL11</f>
        <v>3.7264849620238856</v>
      </c>
      <c r="AY239" s="106">
        <f t="shared" si="128"/>
        <v>12</v>
      </c>
      <c r="AZ239" s="107"/>
      <c r="BA239" s="2">
        <f t="shared" si="129"/>
        <v>12</v>
      </c>
      <c r="BB239" s="195">
        <f t="shared" si="561"/>
        <v>8.2735150379761144</v>
      </c>
      <c r="BC239" s="81">
        <f>$H$239*月別販売比率!AQ11</f>
        <v>5.1059060321648326</v>
      </c>
      <c r="BD239" s="106">
        <f t="shared" si="131"/>
        <v>12</v>
      </c>
      <c r="BE239" s="107"/>
      <c r="BF239" s="2">
        <f t="shared" si="132"/>
        <v>12</v>
      </c>
      <c r="BG239" s="195">
        <f t="shared" si="562"/>
        <v>6.8940939678351674</v>
      </c>
      <c r="BH239" s="81">
        <f>$H$239*月別販売比率!AV11</f>
        <v>4.9013226009073714</v>
      </c>
      <c r="BI239" s="106">
        <f t="shared" si="134"/>
        <v>12</v>
      </c>
      <c r="BJ239" s="107"/>
      <c r="BK239" s="2">
        <f t="shared" si="135"/>
        <v>12</v>
      </c>
      <c r="BL239" s="195">
        <f t="shared" si="563"/>
        <v>7.0986773990926286</v>
      </c>
      <c r="BM239" s="81">
        <f>$H$239*月別販売比率!BA11</f>
        <v>3.1116838963124533</v>
      </c>
      <c r="BN239" s="106">
        <f t="shared" si="137"/>
        <v>12</v>
      </c>
      <c r="BO239" s="107"/>
      <c r="BP239" s="2">
        <f t="shared" si="612"/>
        <v>12</v>
      </c>
      <c r="BQ239" s="195">
        <f t="shared" si="564"/>
        <v>8.8883161036875471</v>
      </c>
      <c r="BR239" s="81">
        <f>$H$239*月別販売比率!BF11</f>
        <v>4.6991404011461313</v>
      </c>
      <c r="BS239" s="110">
        <f t="shared" si="140"/>
        <v>12</v>
      </c>
      <c r="BT239" s="104"/>
      <c r="BU239" s="115">
        <f t="shared" si="141"/>
        <v>12</v>
      </c>
      <c r="BV239" s="92">
        <f t="shared" si="565"/>
        <v>7.3008595988538687</v>
      </c>
      <c r="BW239" s="161">
        <f t="shared" si="608"/>
        <v>12</v>
      </c>
      <c r="BX239" s="128">
        <f t="shared" si="609"/>
        <v>-34.991404011461313</v>
      </c>
    </row>
    <row r="240" spans="2:76" ht="30.75" customHeight="1">
      <c r="B240" s="2">
        <v>19</v>
      </c>
      <c r="C240" s="435" t="s">
        <v>19</v>
      </c>
      <c r="D240" s="436"/>
      <c r="E240" s="445"/>
      <c r="F240" s="130">
        <v>102</v>
      </c>
      <c r="G240" s="131">
        <v>291736.4431760204</v>
      </c>
      <c r="H240" s="132">
        <v>450</v>
      </c>
      <c r="I240" s="131">
        <f t="shared" si="42"/>
        <v>1287072.5434236194</v>
      </c>
      <c r="J240" s="133">
        <f>SUM(J242:J253)</f>
        <v>55</v>
      </c>
      <c r="K240" s="134">
        <f t="shared" ref="K240:N240" si="618">SUM(K242:K253)</f>
        <v>126</v>
      </c>
      <c r="L240" s="134">
        <f t="shared" si="618"/>
        <v>126</v>
      </c>
      <c r="M240" s="134">
        <f t="shared" si="618"/>
        <v>0</v>
      </c>
      <c r="N240" s="135">
        <f t="shared" si="618"/>
        <v>0</v>
      </c>
      <c r="O240" s="150">
        <f t="shared" si="344"/>
        <v>37.5</v>
      </c>
      <c r="P240" s="151">
        <f t="shared" si="107"/>
        <v>126</v>
      </c>
      <c r="Q240" s="148">
        <f>SUM(Q242:Q253)</f>
        <v>0</v>
      </c>
      <c r="R240" s="152">
        <f t="shared" si="108"/>
        <v>126</v>
      </c>
      <c r="S240" s="153">
        <f t="shared" si="554"/>
        <v>88.5</v>
      </c>
      <c r="T240" s="150">
        <f t="shared" si="109"/>
        <v>37.5</v>
      </c>
      <c r="U240" s="151">
        <f t="shared" si="110"/>
        <v>126</v>
      </c>
      <c r="V240" s="148">
        <f>SUM(V242:V253)</f>
        <v>0</v>
      </c>
      <c r="W240" s="152">
        <f t="shared" si="111"/>
        <v>126</v>
      </c>
      <c r="X240" s="153">
        <f t="shared" si="555"/>
        <v>88.5</v>
      </c>
      <c r="Y240" s="150">
        <f t="shared" si="112"/>
        <v>37.5</v>
      </c>
      <c r="Z240" s="151">
        <f t="shared" si="113"/>
        <v>126</v>
      </c>
      <c r="AA240" s="148">
        <f>SUM(AA242:AA253)</f>
        <v>0</v>
      </c>
      <c r="AB240" s="154">
        <f t="shared" si="114"/>
        <v>126</v>
      </c>
      <c r="AC240" s="153">
        <f t="shared" si="556"/>
        <v>88.5</v>
      </c>
      <c r="AD240" s="150">
        <f t="shared" si="115"/>
        <v>37.5</v>
      </c>
      <c r="AE240" s="151">
        <f t="shared" si="116"/>
        <v>126</v>
      </c>
      <c r="AF240" s="148">
        <f>SUM(AF242:AF253)</f>
        <v>0</v>
      </c>
      <c r="AG240" s="152">
        <f t="shared" si="117"/>
        <v>126</v>
      </c>
      <c r="AH240" s="153">
        <f t="shared" si="557"/>
        <v>88.5</v>
      </c>
      <c r="AI240" s="150">
        <f t="shared" si="118"/>
        <v>37.5</v>
      </c>
      <c r="AJ240" s="151">
        <f t="shared" si="119"/>
        <v>126</v>
      </c>
      <c r="AK240" s="148">
        <f>SUM(AK242:AK253)</f>
        <v>0</v>
      </c>
      <c r="AL240" s="152">
        <f t="shared" si="120"/>
        <v>126</v>
      </c>
      <c r="AM240" s="153">
        <f t="shared" si="558"/>
        <v>88.5</v>
      </c>
      <c r="AN240" s="150">
        <f t="shared" si="121"/>
        <v>37.5</v>
      </c>
      <c r="AO240" s="151">
        <f t="shared" si="122"/>
        <v>126</v>
      </c>
      <c r="AP240" s="148">
        <f>SUM(AP242:AP253)</f>
        <v>0</v>
      </c>
      <c r="AQ240" s="152">
        <f t="shared" si="123"/>
        <v>126</v>
      </c>
      <c r="AR240" s="153">
        <f t="shared" si="559"/>
        <v>88.5</v>
      </c>
      <c r="AS240" s="150">
        <f t="shared" si="124"/>
        <v>37.5</v>
      </c>
      <c r="AT240" s="151">
        <f t="shared" si="125"/>
        <v>126</v>
      </c>
      <c r="AU240" s="148">
        <f>SUM(AU242:AU253)</f>
        <v>0</v>
      </c>
      <c r="AV240" s="152">
        <f t="shared" si="126"/>
        <v>126</v>
      </c>
      <c r="AW240" s="153">
        <f t="shared" si="560"/>
        <v>88.5</v>
      </c>
      <c r="AX240" s="150">
        <f t="shared" si="127"/>
        <v>37.5</v>
      </c>
      <c r="AY240" s="151">
        <f t="shared" si="128"/>
        <v>126</v>
      </c>
      <c r="AZ240" s="148">
        <f>SUM(AZ242:AZ253)</f>
        <v>0</v>
      </c>
      <c r="BA240" s="152">
        <f t="shared" si="129"/>
        <v>126</v>
      </c>
      <c r="BB240" s="153">
        <f t="shared" si="561"/>
        <v>88.5</v>
      </c>
      <c r="BC240" s="150">
        <f t="shared" si="130"/>
        <v>37.5</v>
      </c>
      <c r="BD240" s="151">
        <f t="shared" si="131"/>
        <v>126</v>
      </c>
      <c r="BE240" s="148">
        <f>SUM(BE242:BE253)</f>
        <v>0</v>
      </c>
      <c r="BF240" s="152">
        <f t="shared" si="132"/>
        <v>126</v>
      </c>
      <c r="BG240" s="153">
        <f t="shared" si="562"/>
        <v>88.5</v>
      </c>
      <c r="BH240" s="150">
        <f t="shared" si="133"/>
        <v>37.5</v>
      </c>
      <c r="BI240" s="151">
        <f t="shared" si="134"/>
        <v>126</v>
      </c>
      <c r="BJ240" s="148">
        <f>SUM(BJ242:BJ253)</f>
        <v>0</v>
      </c>
      <c r="BK240" s="152">
        <f t="shared" si="135"/>
        <v>126</v>
      </c>
      <c r="BL240" s="153">
        <f t="shared" si="563"/>
        <v>88.5</v>
      </c>
      <c r="BM240" s="150">
        <f t="shared" si="136"/>
        <v>37.5</v>
      </c>
      <c r="BN240" s="151">
        <f t="shared" si="137"/>
        <v>126</v>
      </c>
      <c r="BO240" s="148">
        <f>SUM(BO242:BO253)</f>
        <v>0</v>
      </c>
      <c r="BP240" s="152">
        <f t="shared" si="138"/>
        <v>126</v>
      </c>
      <c r="BQ240" s="153">
        <f t="shared" si="564"/>
        <v>88.5</v>
      </c>
      <c r="BR240" s="150">
        <f t="shared" si="139"/>
        <v>37.5</v>
      </c>
      <c r="BS240" s="137">
        <f t="shared" si="140"/>
        <v>126</v>
      </c>
      <c r="BT240" s="134">
        <f>SUM(BT242:BT253)</f>
        <v>0</v>
      </c>
      <c r="BU240" s="138">
        <f t="shared" si="141"/>
        <v>126</v>
      </c>
      <c r="BV240" s="139">
        <f t="shared" si="565"/>
        <v>88.5</v>
      </c>
      <c r="BW240" s="143">
        <f>AF240+AA240+V240+Q240+AK240+AP240+AU240+AZ240+BE240+BJ240+BO240+BT240+K240</f>
        <v>126</v>
      </c>
      <c r="BX240" s="142">
        <f t="shared" si="49"/>
        <v>-324</v>
      </c>
    </row>
    <row r="241" spans="2:76" ht="30.6" customHeight="1">
      <c r="C241" s="167" t="s">
        <v>83</v>
      </c>
      <c r="D241" s="168"/>
      <c r="E241" s="169"/>
      <c r="F241" s="170">
        <f>SUM(F242:F253)</f>
        <v>255</v>
      </c>
      <c r="G241" s="171">
        <f>SUM(G242:G253)</f>
        <v>729300</v>
      </c>
      <c r="H241" s="170">
        <f>SUM(H242:H253)</f>
        <v>453</v>
      </c>
      <c r="I241" s="171">
        <f>SUM(I242:I253)</f>
        <v>1295580</v>
      </c>
      <c r="J241" s="172"/>
      <c r="K241" s="173"/>
      <c r="L241" s="173"/>
      <c r="M241" s="173"/>
      <c r="N241" s="174"/>
      <c r="O241" s="175">
        <f>SUM(O242:O253)</f>
        <v>32.101505755475614</v>
      </c>
      <c r="P241" s="176"/>
      <c r="Q241" s="173"/>
      <c r="R241" s="177"/>
      <c r="S241" s="178"/>
      <c r="T241" s="175">
        <f>SUM(T242:T253)</f>
        <v>31.710000000000008</v>
      </c>
      <c r="U241" s="176"/>
      <c r="V241" s="173"/>
      <c r="W241" s="177"/>
      <c r="X241" s="178"/>
      <c r="Y241" s="175">
        <f>SUM(Y242:Y253)</f>
        <v>45.781851173015269</v>
      </c>
      <c r="Z241" s="176"/>
      <c r="AA241" s="173"/>
      <c r="AB241" s="177"/>
      <c r="AC241" s="178"/>
      <c r="AD241" s="175">
        <f>SUM(AD242:AD253)</f>
        <v>36.239999999999995</v>
      </c>
      <c r="AE241" s="176"/>
      <c r="AF241" s="173"/>
      <c r="AG241" s="177"/>
      <c r="AH241" s="178"/>
      <c r="AI241" s="175">
        <f>SUM(AI242:AI253)</f>
        <v>34.503524308783788</v>
      </c>
      <c r="AJ241" s="176"/>
      <c r="AK241" s="173"/>
      <c r="AL241" s="177"/>
      <c r="AM241" s="178"/>
      <c r="AN241" s="175">
        <f>SUM(AN242:AN253)</f>
        <v>54.36</v>
      </c>
      <c r="AO241" s="176"/>
      <c r="AP241" s="173"/>
      <c r="AQ241" s="177"/>
      <c r="AR241" s="178"/>
      <c r="AS241" s="175">
        <f>SUM(AS242:AS253)</f>
        <v>45.3</v>
      </c>
      <c r="AT241" s="176"/>
      <c r="AU241" s="173"/>
      <c r="AV241" s="177"/>
      <c r="AW241" s="178"/>
      <c r="AX241" s="175">
        <f>SUM(AX242:AX253)</f>
        <v>40.769999999999996</v>
      </c>
      <c r="AY241" s="176"/>
      <c r="AZ241" s="173"/>
      <c r="BA241" s="177"/>
      <c r="BB241" s="178"/>
      <c r="BC241" s="175">
        <f>SUM(BC242:BC253)</f>
        <v>45.3</v>
      </c>
      <c r="BD241" s="176"/>
      <c r="BE241" s="173"/>
      <c r="BF241" s="177"/>
      <c r="BG241" s="178"/>
      <c r="BH241" s="175">
        <f>SUM(BH242:BH253)</f>
        <v>27.585152101281039</v>
      </c>
      <c r="BI241" s="176"/>
      <c r="BJ241" s="173"/>
      <c r="BK241" s="177"/>
      <c r="BL241" s="178"/>
      <c r="BM241" s="175">
        <f>SUM(BM242:BM253)</f>
        <v>25.197273679386416</v>
      </c>
      <c r="BN241" s="176"/>
      <c r="BO241" s="173"/>
      <c r="BP241" s="177"/>
      <c r="BQ241" s="178"/>
      <c r="BR241" s="175">
        <f>SUM(BR242:BR253)</f>
        <v>36.239999999999995</v>
      </c>
      <c r="BS241" s="176"/>
      <c r="BT241" s="173"/>
      <c r="BU241" s="177"/>
      <c r="BV241" s="178"/>
      <c r="BW241" s="179"/>
      <c r="BX241" s="180"/>
    </row>
    <row r="242" spans="2:76" ht="30.75" customHeight="1">
      <c r="C242" s="510" t="s">
        <v>74</v>
      </c>
      <c r="D242" s="443">
        <v>1</v>
      </c>
      <c r="E242" s="99" t="s">
        <v>46</v>
      </c>
      <c r="F242" s="56">
        <v>23</v>
      </c>
      <c r="G242" s="46">
        <f>F242*2860</f>
        <v>65780</v>
      </c>
      <c r="H242" s="7">
        <v>41</v>
      </c>
      <c r="I242" s="46">
        <f>H242*2860</f>
        <v>117260</v>
      </c>
      <c r="J242" s="49">
        <v>10</v>
      </c>
      <c r="K242" s="39">
        <f t="shared" si="566"/>
        <v>14</v>
      </c>
      <c r="L242" s="39">
        <v>14</v>
      </c>
      <c r="M242" s="118"/>
      <c r="N242" s="42"/>
      <c r="O242" s="81">
        <f>$H$242*月別販売比率!C5</f>
        <v>2.9054342957494481</v>
      </c>
      <c r="P242" s="40">
        <f t="shared" ref="P242:P249" si="619">K242</f>
        <v>14</v>
      </c>
      <c r="Q242" s="39"/>
      <c r="R242" s="43">
        <f>Q242+K242</f>
        <v>14</v>
      </c>
      <c r="S242" s="91">
        <f t="shared" si="554"/>
        <v>11.094565704250552</v>
      </c>
      <c r="T242" s="81">
        <f>$H$242*月別販売比率!H5</f>
        <v>2.87</v>
      </c>
      <c r="U242" s="40">
        <f>K242</f>
        <v>14</v>
      </c>
      <c r="V242" s="39"/>
      <c r="W242" s="40">
        <f t="shared" ref="W242:W253" si="620">K242+V242</f>
        <v>14</v>
      </c>
      <c r="X242" s="91">
        <f t="shared" si="555"/>
        <v>11.129999999999999</v>
      </c>
      <c r="Y242" s="81">
        <f>$H$242*月別販売比率!M5</f>
        <v>4.143611254069814</v>
      </c>
      <c r="Z242" s="40">
        <f>K242</f>
        <v>14</v>
      </c>
      <c r="AA242" s="39"/>
      <c r="AB242" s="96">
        <f t="shared" ref="AB242:AB253" si="621">K242+AA242</f>
        <v>14</v>
      </c>
      <c r="AC242" s="91">
        <f t="shared" si="556"/>
        <v>9.856388745930186</v>
      </c>
      <c r="AD242" s="81">
        <f>$H$242*月別販売比率!R5</f>
        <v>3.2800000000000002</v>
      </c>
      <c r="AE242" s="40">
        <f>K242</f>
        <v>14</v>
      </c>
      <c r="AF242" s="39"/>
      <c r="AG242" s="40">
        <f t="shared" ref="AG242:AG253" si="622">K242+AF242</f>
        <v>14</v>
      </c>
      <c r="AH242" s="91">
        <f t="shared" si="557"/>
        <v>10.719999999999999</v>
      </c>
      <c r="AI242" s="81">
        <f>$H$242*月別販売比率!W5</f>
        <v>3.1228355334660822</v>
      </c>
      <c r="AJ242" s="40">
        <f>K242</f>
        <v>14</v>
      </c>
      <c r="AK242" s="39"/>
      <c r="AL242" s="40">
        <f t="shared" ref="AL242:AL253" si="623">K242+AK242</f>
        <v>14</v>
      </c>
      <c r="AM242" s="91">
        <f t="shared" si="558"/>
        <v>10.877164466533918</v>
      </c>
      <c r="AN242" s="81">
        <f>$H$242*月別販売比率!AB5</f>
        <v>4.92</v>
      </c>
      <c r="AO242" s="40">
        <f>K242</f>
        <v>14</v>
      </c>
      <c r="AP242" s="39"/>
      <c r="AQ242" s="40">
        <f t="shared" ref="AQ242:AQ253" si="624">K242+AP242</f>
        <v>14</v>
      </c>
      <c r="AR242" s="91">
        <f t="shared" si="559"/>
        <v>9.08</v>
      </c>
      <c r="AS242" s="81">
        <f>$H$242*月別販売比率!AG5</f>
        <v>4.1000000000000005</v>
      </c>
      <c r="AT242" s="40">
        <f>K242</f>
        <v>14</v>
      </c>
      <c r="AU242" s="39"/>
      <c r="AV242" s="40">
        <f t="shared" ref="AV242:AV253" si="625">K242+AU242</f>
        <v>14</v>
      </c>
      <c r="AW242" s="91">
        <f t="shared" si="560"/>
        <v>9.8999999999999986</v>
      </c>
      <c r="AX242" s="81">
        <f>$H$242*月別販売比率!AL5</f>
        <v>3.69</v>
      </c>
      <c r="AY242" s="40">
        <f>K242</f>
        <v>14</v>
      </c>
      <c r="AZ242" s="39"/>
      <c r="BA242" s="43">
        <f>K242+AZ242</f>
        <v>14</v>
      </c>
      <c r="BB242" s="91">
        <f t="shared" si="561"/>
        <v>10.31</v>
      </c>
      <c r="BC242" s="81">
        <f>$H$242*月別販売比率!AQ5</f>
        <v>4.1000000000000005</v>
      </c>
      <c r="BD242" s="40">
        <f>K242</f>
        <v>14</v>
      </c>
      <c r="BE242" s="39"/>
      <c r="BF242" s="43">
        <f>K242+BE242</f>
        <v>14</v>
      </c>
      <c r="BG242" s="91">
        <f t="shared" si="562"/>
        <v>9.8999999999999986</v>
      </c>
      <c r="BH242" s="81">
        <f>$H$242*月別販売比率!AV5</f>
        <v>2.4966693954801822</v>
      </c>
      <c r="BI242" s="40">
        <f>K242</f>
        <v>14</v>
      </c>
      <c r="BJ242" s="39"/>
      <c r="BK242" s="43">
        <f>K242+BJ242</f>
        <v>14</v>
      </c>
      <c r="BL242" s="91">
        <f t="shared" si="563"/>
        <v>11.503330604519817</v>
      </c>
      <c r="BM242" s="81">
        <f>$H$242*月別販売比率!BA5</f>
        <v>2.2805479489069387</v>
      </c>
      <c r="BN242" s="40">
        <f>K242</f>
        <v>14</v>
      </c>
      <c r="BO242" s="39"/>
      <c r="BP242" s="43">
        <f>K242+BO242</f>
        <v>14</v>
      </c>
      <c r="BQ242" s="91">
        <f t="shared" si="564"/>
        <v>11.719452051093061</v>
      </c>
      <c r="BR242" s="81">
        <f>$H$242*月別販売比率!BF5</f>
        <v>3.2800000000000002</v>
      </c>
      <c r="BS242" s="40">
        <f>K242</f>
        <v>14</v>
      </c>
      <c r="BT242" s="39"/>
      <c r="BU242" s="43">
        <f>K242+BT242</f>
        <v>14</v>
      </c>
      <c r="BV242" s="91">
        <f t="shared" si="565"/>
        <v>10.719999999999999</v>
      </c>
      <c r="BW242" s="157">
        <f t="shared" ref="BW242:BW253" si="626">AF242+AA242+V242+Q242+AK242+AP242+AU242+AZ242+BE242+BJ242+BO242+BT242+K242</f>
        <v>14</v>
      </c>
      <c r="BX242" s="51">
        <f t="shared" ref="BX242:BX253" si="627">BW242-H242</f>
        <v>-27</v>
      </c>
    </row>
    <row r="243" spans="2:76" ht="30.75" customHeight="1">
      <c r="C243" s="504"/>
      <c r="D243" s="441"/>
      <c r="E243" s="94" t="s">
        <v>47</v>
      </c>
      <c r="F243" s="57">
        <v>28</v>
      </c>
      <c r="G243" s="5">
        <f t="shared" ref="G243:G253" si="628">F243*2860</f>
        <v>80080</v>
      </c>
      <c r="H243" s="7">
        <v>50</v>
      </c>
      <c r="I243" s="5">
        <f t="shared" ref="I243:I253" si="629">H243*2860</f>
        <v>143000</v>
      </c>
      <c r="J243" s="9">
        <v>18</v>
      </c>
      <c r="K243" s="21">
        <f t="shared" si="566"/>
        <v>15</v>
      </c>
      <c r="L243" s="21">
        <v>15</v>
      </c>
      <c r="M243" s="118"/>
      <c r="N243" s="42"/>
      <c r="O243" s="81">
        <f>$H$243*月別販売比率!C5</f>
        <v>3.5432125557920102</v>
      </c>
      <c r="P243" s="10">
        <f t="shared" si="619"/>
        <v>15</v>
      </c>
      <c r="Q243" s="21"/>
      <c r="R243" s="19">
        <f t="shared" ref="R243:R249" si="630">Q243+K243</f>
        <v>15</v>
      </c>
      <c r="S243" s="24">
        <f t="shared" si="554"/>
        <v>11.45678744420799</v>
      </c>
      <c r="T243" s="81">
        <f>$H$243*月別販売比率!H5</f>
        <v>3.5000000000000004</v>
      </c>
      <c r="U243" s="10">
        <f t="shared" ref="U243:U249" si="631">K243</f>
        <v>15</v>
      </c>
      <c r="V243" s="21"/>
      <c r="W243" s="10">
        <f t="shared" si="620"/>
        <v>15</v>
      </c>
      <c r="X243" s="24">
        <f t="shared" si="555"/>
        <v>11.5</v>
      </c>
      <c r="Y243" s="81">
        <f>$H$243*月別販売比率!M5</f>
        <v>5.0531844561827004</v>
      </c>
      <c r="Z243" s="10">
        <f t="shared" ref="Z243:Z249" si="632">K243</f>
        <v>15</v>
      </c>
      <c r="AA243" s="21"/>
      <c r="AB243" s="97">
        <f t="shared" si="621"/>
        <v>15</v>
      </c>
      <c r="AC243" s="24">
        <f t="shared" si="556"/>
        <v>9.9468155438172996</v>
      </c>
      <c r="AD243" s="81">
        <f>$H$243*月別販売比率!R5</f>
        <v>4</v>
      </c>
      <c r="AE243" s="10">
        <f t="shared" ref="AE243:AE249" si="633">K243</f>
        <v>15</v>
      </c>
      <c r="AF243" s="21"/>
      <c r="AG243" s="10">
        <f t="shared" si="622"/>
        <v>15</v>
      </c>
      <c r="AH243" s="24">
        <f t="shared" si="557"/>
        <v>11</v>
      </c>
      <c r="AI243" s="81">
        <f>$H$243*月別販売比率!W5</f>
        <v>3.8083360164220514</v>
      </c>
      <c r="AJ243" s="10">
        <f t="shared" ref="AJ243:AJ249" si="634">K243</f>
        <v>15</v>
      </c>
      <c r="AK243" s="21"/>
      <c r="AL243" s="10">
        <f t="shared" si="623"/>
        <v>15</v>
      </c>
      <c r="AM243" s="24">
        <f t="shared" si="558"/>
        <v>11.191663983577948</v>
      </c>
      <c r="AN243" s="81">
        <f>$H$243*月別販売比率!AB5</f>
        <v>6</v>
      </c>
      <c r="AO243" s="10">
        <f t="shared" ref="AO243:AO249" si="635">K243</f>
        <v>15</v>
      </c>
      <c r="AP243" s="21"/>
      <c r="AQ243" s="10">
        <f t="shared" si="624"/>
        <v>15</v>
      </c>
      <c r="AR243" s="24">
        <f t="shared" si="559"/>
        <v>9</v>
      </c>
      <c r="AS243" s="81">
        <f>$H$243*月別販売比率!AG5</f>
        <v>5</v>
      </c>
      <c r="AT243" s="10">
        <f t="shared" ref="AT243:AT249" si="636">K243</f>
        <v>15</v>
      </c>
      <c r="AU243" s="21"/>
      <c r="AV243" s="10">
        <f t="shared" si="625"/>
        <v>15</v>
      </c>
      <c r="AW243" s="24">
        <f t="shared" si="560"/>
        <v>10</v>
      </c>
      <c r="AX243" s="81">
        <f>$H$243*月別販売比率!AL5</f>
        <v>4.5</v>
      </c>
      <c r="AY243" s="10">
        <f t="shared" ref="AY243:AY249" si="637">K243</f>
        <v>15</v>
      </c>
      <c r="AZ243" s="21"/>
      <c r="BA243" s="19">
        <f t="shared" ref="BA243:BA249" si="638">K243+AZ243</f>
        <v>15</v>
      </c>
      <c r="BB243" s="24">
        <f t="shared" si="561"/>
        <v>10.5</v>
      </c>
      <c r="BC243" s="81">
        <f>$H$243*月別販売比率!AQ5</f>
        <v>5</v>
      </c>
      <c r="BD243" s="10">
        <f t="shared" ref="BD243:BD249" si="639">K243</f>
        <v>15</v>
      </c>
      <c r="BE243" s="21"/>
      <c r="BF243" s="19">
        <f t="shared" ref="BF243:BF249" si="640">K243+BE243</f>
        <v>15</v>
      </c>
      <c r="BG243" s="24">
        <f t="shared" si="562"/>
        <v>10</v>
      </c>
      <c r="BH243" s="81">
        <f>$H$243*月別販売比率!AV5</f>
        <v>3.044718774975832</v>
      </c>
      <c r="BI243" s="10">
        <f t="shared" ref="BI243:BI249" si="641">K243</f>
        <v>15</v>
      </c>
      <c r="BJ243" s="21"/>
      <c r="BK243" s="19">
        <f t="shared" ref="BK243:BK249" si="642">K243+BJ243</f>
        <v>15</v>
      </c>
      <c r="BL243" s="24">
        <f t="shared" si="563"/>
        <v>11.955281225024168</v>
      </c>
      <c r="BM243" s="81">
        <f>$H$243*月別販売比率!BA5</f>
        <v>2.7811560352523643</v>
      </c>
      <c r="BN243" s="10">
        <f t="shared" ref="BN243:BN249" si="643">K243</f>
        <v>15</v>
      </c>
      <c r="BO243" s="21"/>
      <c r="BP243" s="19">
        <f>K243+BO243</f>
        <v>15</v>
      </c>
      <c r="BQ243" s="24">
        <f t="shared" si="564"/>
        <v>12.218843964747636</v>
      </c>
      <c r="BR243" s="81">
        <f>$H$243*月別販売比率!BF5</f>
        <v>4</v>
      </c>
      <c r="BS243" s="10">
        <f t="shared" ref="BS243:BS249" si="644">K243</f>
        <v>15</v>
      </c>
      <c r="BT243" s="21"/>
      <c r="BU243" s="19">
        <f t="shared" ref="BU243:BU249" si="645">K243+BT243</f>
        <v>15</v>
      </c>
      <c r="BV243" s="24">
        <f t="shared" si="565"/>
        <v>11</v>
      </c>
      <c r="BW243" s="158">
        <f t="shared" si="626"/>
        <v>15</v>
      </c>
      <c r="BX243" s="29">
        <f t="shared" si="627"/>
        <v>-35</v>
      </c>
    </row>
    <row r="244" spans="2:76" ht="30.75" customHeight="1">
      <c r="C244" s="504"/>
      <c r="D244" s="441"/>
      <c r="E244" s="94" t="s">
        <v>48</v>
      </c>
      <c r="F244" s="57">
        <v>17</v>
      </c>
      <c r="G244" s="5">
        <f t="shared" si="628"/>
        <v>48620</v>
      </c>
      <c r="H244" s="7">
        <v>30</v>
      </c>
      <c r="I244" s="5">
        <f t="shared" si="629"/>
        <v>85800</v>
      </c>
      <c r="J244" s="9">
        <v>0</v>
      </c>
      <c r="K244" s="21">
        <f t="shared" si="566"/>
        <v>19</v>
      </c>
      <c r="L244" s="21">
        <v>19</v>
      </c>
      <c r="M244" s="118"/>
      <c r="N244" s="42"/>
      <c r="O244" s="81">
        <f>$H$244*月別販売比率!C5</f>
        <v>2.1259275334752061</v>
      </c>
      <c r="P244" s="10">
        <f t="shared" si="619"/>
        <v>19</v>
      </c>
      <c r="Q244" s="21"/>
      <c r="R244" s="19">
        <f t="shared" si="630"/>
        <v>19</v>
      </c>
      <c r="S244" s="24">
        <f t="shared" si="554"/>
        <v>16.874072466524794</v>
      </c>
      <c r="T244" s="81">
        <f>$H$244*月別販売比率!H5</f>
        <v>2.1</v>
      </c>
      <c r="U244" s="10">
        <f t="shared" si="631"/>
        <v>19</v>
      </c>
      <c r="V244" s="21"/>
      <c r="W244" s="10">
        <f t="shared" si="620"/>
        <v>19</v>
      </c>
      <c r="X244" s="24">
        <f t="shared" si="555"/>
        <v>16.899999999999999</v>
      </c>
      <c r="Y244" s="81">
        <f>$H$244*月別販売比率!M5</f>
        <v>3.03191067370962</v>
      </c>
      <c r="Z244" s="10">
        <f t="shared" si="632"/>
        <v>19</v>
      </c>
      <c r="AA244" s="21"/>
      <c r="AB244" s="97">
        <f t="shared" si="621"/>
        <v>19</v>
      </c>
      <c r="AC244" s="24">
        <f t="shared" si="556"/>
        <v>15.96808932629038</v>
      </c>
      <c r="AD244" s="81">
        <f>$H$244*月別販売比率!R5</f>
        <v>2.4</v>
      </c>
      <c r="AE244" s="10">
        <f t="shared" si="633"/>
        <v>19</v>
      </c>
      <c r="AF244" s="21"/>
      <c r="AG244" s="10">
        <f t="shared" si="622"/>
        <v>19</v>
      </c>
      <c r="AH244" s="24">
        <f t="shared" si="557"/>
        <v>16.600000000000001</v>
      </c>
      <c r="AI244" s="81">
        <f>$H$244*月別販売比率!W5</f>
        <v>2.2850016098532309</v>
      </c>
      <c r="AJ244" s="10">
        <f t="shared" si="634"/>
        <v>19</v>
      </c>
      <c r="AK244" s="21"/>
      <c r="AL244" s="10">
        <f t="shared" si="623"/>
        <v>19</v>
      </c>
      <c r="AM244" s="24">
        <f t="shared" si="558"/>
        <v>16.714998390146768</v>
      </c>
      <c r="AN244" s="81">
        <f>$H$244*月別販売比率!AB5</f>
        <v>3.5999999999999996</v>
      </c>
      <c r="AO244" s="10">
        <f t="shared" si="635"/>
        <v>19</v>
      </c>
      <c r="AP244" s="21"/>
      <c r="AQ244" s="10">
        <f t="shared" si="624"/>
        <v>19</v>
      </c>
      <c r="AR244" s="24">
        <f t="shared" si="559"/>
        <v>15.4</v>
      </c>
      <c r="AS244" s="81">
        <f>$H$244*月別販売比率!AG5</f>
        <v>3</v>
      </c>
      <c r="AT244" s="10">
        <f t="shared" si="636"/>
        <v>19</v>
      </c>
      <c r="AU244" s="21"/>
      <c r="AV244" s="10">
        <f t="shared" si="625"/>
        <v>19</v>
      </c>
      <c r="AW244" s="24">
        <f t="shared" si="560"/>
        <v>16</v>
      </c>
      <c r="AX244" s="81">
        <f>$H$244*月別販売比率!AL5</f>
        <v>2.6999999999999997</v>
      </c>
      <c r="AY244" s="10">
        <f t="shared" si="637"/>
        <v>19</v>
      </c>
      <c r="AZ244" s="21"/>
      <c r="BA244" s="19">
        <f t="shared" si="638"/>
        <v>19</v>
      </c>
      <c r="BB244" s="24">
        <f t="shared" si="561"/>
        <v>16.3</v>
      </c>
      <c r="BC244" s="81">
        <f>$H$244*月別販売比率!AQ5</f>
        <v>3</v>
      </c>
      <c r="BD244" s="10">
        <f t="shared" si="639"/>
        <v>19</v>
      </c>
      <c r="BE244" s="21"/>
      <c r="BF244" s="19">
        <f t="shared" si="640"/>
        <v>19</v>
      </c>
      <c r="BG244" s="24">
        <f t="shared" si="562"/>
        <v>16</v>
      </c>
      <c r="BH244" s="81">
        <f>$H$244*月別販売比率!AV5</f>
        <v>1.8268312649854994</v>
      </c>
      <c r="BI244" s="10">
        <f t="shared" si="641"/>
        <v>19</v>
      </c>
      <c r="BJ244" s="21"/>
      <c r="BK244" s="19">
        <f t="shared" si="642"/>
        <v>19</v>
      </c>
      <c r="BL244" s="24">
        <f t="shared" si="563"/>
        <v>17.173168735014499</v>
      </c>
      <c r="BM244" s="81">
        <f>$H$244*月別販売比率!BA5</f>
        <v>1.6686936211514185</v>
      </c>
      <c r="BN244" s="10">
        <f t="shared" si="643"/>
        <v>19</v>
      </c>
      <c r="BO244" s="21"/>
      <c r="BP244" s="19">
        <f t="shared" ref="BP244:BP249" si="646">K244+BO244</f>
        <v>19</v>
      </c>
      <c r="BQ244" s="24">
        <f t="shared" si="564"/>
        <v>17.331306378848581</v>
      </c>
      <c r="BR244" s="81">
        <f>$H$244*月別販売比率!BF5</f>
        <v>2.4</v>
      </c>
      <c r="BS244" s="10">
        <f t="shared" si="644"/>
        <v>19</v>
      </c>
      <c r="BT244" s="21"/>
      <c r="BU244" s="19">
        <f t="shared" si="645"/>
        <v>19</v>
      </c>
      <c r="BV244" s="24">
        <f t="shared" si="565"/>
        <v>16.600000000000001</v>
      </c>
      <c r="BW244" s="158">
        <f t="shared" si="626"/>
        <v>19</v>
      </c>
      <c r="BX244" s="29">
        <f t="shared" si="627"/>
        <v>-11</v>
      </c>
    </row>
    <row r="245" spans="2:76" ht="30.75" customHeight="1">
      <c r="C245" s="504"/>
      <c r="D245" s="441"/>
      <c r="E245" s="94" t="s">
        <v>49</v>
      </c>
      <c r="F245" s="57">
        <v>11</v>
      </c>
      <c r="G245" s="5">
        <f t="shared" si="628"/>
        <v>31460</v>
      </c>
      <c r="H245" s="7">
        <v>20</v>
      </c>
      <c r="I245" s="5">
        <f t="shared" si="629"/>
        <v>57200</v>
      </c>
      <c r="J245" s="9">
        <v>0</v>
      </c>
      <c r="K245" s="21">
        <f t="shared" si="566"/>
        <v>13</v>
      </c>
      <c r="L245" s="21">
        <v>13</v>
      </c>
      <c r="M245" s="118"/>
      <c r="N245" s="42"/>
      <c r="O245" s="81">
        <f>$H$245*月別販売比率!C5</f>
        <v>1.4172850223168041</v>
      </c>
      <c r="P245" s="10">
        <f t="shared" si="619"/>
        <v>13</v>
      </c>
      <c r="Q245" s="21"/>
      <c r="R245" s="19">
        <f t="shared" si="630"/>
        <v>13</v>
      </c>
      <c r="S245" s="24">
        <f t="shared" si="554"/>
        <v>11.582714977683196</v>
      </c>
      <c r="T245" s="81">
        <f>$H$245*月別販売比率!H5</f>
        <v>1.4000000000000001</v>
      </c>
      <c r="U245" s="10">
        <f t="shared" si="631"/>
        <v>13</v>
      </c>
      <c r="V245" s="21"/>
      <c r="W245" s="10">
        <f t="shared" si="620"/>
        <v>13</v>
      </c>
      <c r="X245" s="24">
        <f t="shared" si="555"/>
        <v>11.6</v>
      </c>
      <c r="Y245" s="81">
        <f>$H$245*月別販売比率!M5</f>
        <v>2.02127378247308</v>
      </c>
      <c r="Z245" s="10">
        <f t="shared" si="632"/>
        <v>13</v>
      </c>
      <c r="AA245" s="21"/>
      <c r="AB245" s="97">
        <f t="shared" si="621"/>
        <v>13</v>
      </c>
      <c r="AC245" s="24">
        <f t="shared" si="556"/>
        <v>10.978726217526919</v>
      </c>
      <c r="AD245" s="81">
        <f>$H$245*月別販売比率!R5</f>
        <v>1.6</v>
      </c>
      <c r="AE245" s="10">
        <f t="shared" si="633"/>
        <v>13</v>
      </c>
      <c r="AF245" s="21"/>
      <c r="AG245" s="10">
        <f t="shared" si="622"/>
        <v>13</v>
      </c>
      <c r="AH245" s="24">
        <f t="shared" si="557"/>
        <v>11.4</v>
      </c>
      <c r="AI245" s="81">
        <f>$H$245*月別販売比率!W5</f>
        <v>1.5233344065688206</v>
      </c>
      <c r="AJ245" s="10">
        <f t="shared" si="634"/>
        <v>13</v>
      </c>
      <c r="AK245" s="21"/>
      <c r="AL245" s="10">
        <f t="shared" si="623"/>
        <v>13</v>
      </c>
      <c r="AM245" s="24">
        <f t="shared" si="558"/>
        <v>11.476665593431179</v>
      </c>
      <c r="AN245" s="81">
        <f>$H$245*月別販売比率!AB5</f>
        <v>2.4</v>
      </c>
      <c r="AO245" s="10">
        <f t="shared" si="635"/>
        <v>13</v>
      </c>
      <c r="AP245" s="21"/>
      <c r="AQ245" s="10">
        <f t="shared" si="624"/>
        <v>13</v>
      </c>
      <c r="AR245" s="24">
        <f t="shared" si="559"/>
        <v>10.6</v>
      </c>
      <c r="AS245" s="81">
        <f>$H$245*月別販売比率!AG5</f>
        <v>2</v>
      </c>
      <c r="AT245" s="10">
        <f t="shared" si="636"/>
        <v>13</v>
      </c>
      <c r="AU245" s="21"/>
      <c r="AV245" s="10">
        <f t="shared" si="625"/>
        <v>13</v>
      </c>
      <c r="AW245" s="24">
        <f t="shared" si="560"/>
        <v>11</v>
      </c>
      <c r="AX245" s="81">
        <f>$H$245*月別販売比率!AL5</f>
        <v>1.7999999999999998</v>
      </c>
      <c r="AY245" s="10">
        <f t="shared" si="637"/>
        <v>13</v>
      </c>
      <c r="AZ245" s="21"/>
      <c r="BA245" s="19">
        <f t="shared" si="638"/>
        <v>13</v>
      </c>
      <c r="BB245" s="24">
        <f t="shared" si="561"/>
        <v>11.2</v>
      </c>
      <c r="BC245" s="81">
        <f>$H$245*月別販売比率!AQ5</f>
        <v>2</v>
      </c>
      <c r="BD245" s="10">
        <f t="shared" si="639"/>
        <v>13</v>
      </c>
      <c r="BE245" s="21"/>
      <c r="BF245" s="19">
        <f t="shared" si="640"/>
        <v>13</v>
      </c>
      <c r="BG245" s="24">
        <f t="shared" si="562"/>
        <v>11</v>
      </c>
      <c r="BH245" s="81">
        <f>$H$245*月別販売比率!AV5</f>
        <v>1.2178875099903328</v>
      </c>
      <c r="BI245" s="10">
        <f t="shared" si="641"/>
        <v>13</v>
      </c>
      <c r="BJ245" s="21"/>
      <c r="BK245" s="19">
        <f t="shared" si="642"/>
        <v>13</v>
      </c>
      <c r="BL245" s="24">
        <f t="shared" si="563"/>
        <v>11.782112490009666</v>
      </c>
      <c r="BM245" s="81">
        <f>$H$245*月別販売比率!BA5</f>
        <v>1.1124624141009456</v>
      </c>
      <c r="BN245" s="10">
        <f t="shared" si="643"/>
        <v>13</v>
      </c>
      <c r="BO245" s="21"/>
      <c r="BP245" s="19">
        <f t="shared" si="646"/>
        <v>13</v>
      </c>
      <c r="BQ245" s="24">
        <f t="shared" si="564"/>
        <v>11.887537585899054</v>
      </c>
      <c r="BR245" s="81">
        <f>$H$245*月別販売比率!BF5</f>
        <v>1.6</v>
      </c>
      <c r="BS245" s="10">
        <f t="shared" si="644"/>
        <v>13</v>
      </c>
      <c r="BT245" s="21"/>
      <c r="BU245" s="19">
        <f t="shared" si="645"/>
        <v>13</v>
      </c>
      <c r="BV245" s="24">
        <f t="shared" si="565"/>
        <v>11.4</v>
      </c>
      <c r="BW245" s="158">
        <f t="shared" si="626"/>
        <v>13</v>
      </c>
      <c r="BX245" s="29">
        <f t="shared" si="627"/>
        <v>-7</v>
      </c>
    </row>
    <row r="246" spans="2:76" ht="30.75" customHeight="1">
      <c r="C246" s="504"/>
      <c r="D246" s="443">
        <v>2</v>
      </c>
      <c r="E246" s="94" t="s">
        <v>46</v>
      </c>
      <c r="F246" s="57">
        <v>31</v>
      </c>
      <c r="G246" s="5">
        <f t="shared" si="628"/>
        <v>88660</v>
      </c>
      <c r="H246" s="7">
        <v>55</v>
      </c>
      <c r="I246" s="5">
        <f t="shared" si="629"/>
        <v>157300</v>
      </c>
      <c r="J246" s="9">
        <v>10</v>
      </c>
      <c r="K246" s="21">
        <f t="shared" si="566"/>
        <v>16</v>
      </c>
      <c r="L246" s="21">
        <v>16</v>
      </c>
      <c r="M246" s="118"/>
      <c r="N246" s="42"/>
      <c r="O246" s="81">
        <f>$H$246*月別販売比率!C5</f>
        <v>3.8975338113712112</v>
      </c>
      <c r="P246" s="10">
        <f t="shared" si="619"/>
        <v>16</v>
      </c>
      <c r="Q246" s="21"/>
      <c r="R246" s="19">
        <f t="shared" si="630"/>
        <v>16</v>
      </c>
      <c r="S246" s="24">
        <f t="shared" si="554"/>
        <v>12.102466188628789</v>
      </c>
      <c r="T246" s="81">
        <f>$H$246*月別販売比率!H5</f>
        <v>3.8500000000000005</v>
      </c>
      <c r="U246" s="10">
        <f t="shared" si="631"/>
        <v>16</v>
      </c>
      <c r="V246" s="21"/>
      <c r="W246" s="10">
        <f t="shared" si="620"/>
        <v>16</v>
      </c>
      <c r="X246" s="24">
        <f t="shared" si="555"/>
        <v>12.149999999999999</v>
      </c>
      <c r="Y246" s="81">
        <f>$H$246*月別販売比率!M5</f>
        <v>5.5585029018009697</v>
      </c>
      <c r="Z246" s="10">
        <f t="shared" si="632"/>
        <v>16</v>
      </c>
      <c r="AA246" s="21"/>
      <c r="AB246" s="97">
        <f t="shared" si="621"/>
        <v>16</v>
      </c>
      <c r="AC246" s="24">
        <f t="shared" si="556"/>
        <v>10.441497098199029</v>
      </c>
      <c r="AD246" s="81">
        <f>$H$246*月別販売比率!R5</f>
        <v>4.4000000000000004</v>
      </c>
      <c r="AE246" s="10">
        <f t="shared" si="633"/>
        <v>16</v>
      </c>
      <c r="AF246" s="21"/>
      <c r="AG246" s="10">
        <f t="shared" si="622"/>
        <v>16</v>
      </c>
      <c r="AH246" s="24">
        <f t="shared" si="557"/>
        <v>11.6</v>
      </c>
      <c r="AI246" s="81">
        <f>$H$246*月別販売比率!W5</f>
        <v>4.1891696180642564</v>
      </c>
      <c r="AJ246" s="10">
        <f t="shared" si="634"/>
        <v>16</v>
      </c>
      <c r="AK246" s="21"/>
      <c r="AL246" s="10">
        <f t="shared" si="623"/>
        <v>16</v>
      </c>
      <c r="AM246" s="24">
        <f t="shared" si="558"/>
        <v>11.810830381935745</v>
      </c>
      <c r="AN246" s="81">
        <f>$H$246*月別販売比率!AB5</f>
        <v>6.6</v>
      </c>
      <c r="AO246" s="10">
        <f t="shared" si="635"/>
        <v>16</v>
      </c>
      <c r="AP246" s="21"/>
      <c r="AQ246" s="10">
        <f t="shared" si="624"/>
        <v>16</v>
      </c>
      <c r="AR246" s="24">
        <f t="shared" si="559"/>
        <v>9.4</v>
      </c>
      <c r="AS246" s="81">
        <f>$H$246*月別販売比率!AG5</f>
        <v>5.5</v>
      </c>
      <c r="AT246" s="10">
        <f t="shared" si="636"/>
        <v>16</v>
      </c>
      <c r="AU246" s="21"/>
      <c r="AV246" s="10">
        <f t="shared" si="625"/>
        <v>16</v>
      </c>
      <c r="AW246" s="24">
        <f t="shared" si="560"/>
        <v>10.5</v>
      </c>
      <c r="AX246" s="81">
        <f>$H$246*月別販売比率!AL5</f>
        <v>4.95</v>
      </c>
      <c r="AY246" s="10">
        <f t="shared" si="637"/>
        <v>16</v>
      </c>
      <c r="AZ246" s="21"/>
      <c r="BA246" s="19">
        <f t="shared" si="638"/>
        <v>16</v>
      </c>
      <c r="BB246" s="24">
        <f t="shared" si="561"/>
        <v>11.05</v>
      </c>
      <c r="BC246" s="81">
        <f>$H$246*月別販売比率!AQ5</f>
        <v>5.5</v>
      </c>
      <c r="BD246" s="10">
        <f t="shared" si="639"/>
        <v>16</v>
      </c>
      <c r="BE246" s="21"/>
      <c r="BF246" s="19">
        <f t="shared" si="640"/>
        <v>16</v>
      </c>
      <c r="BG246" s="24">
        <f t="shared" si="562"/>
        <v>10.5</v>
      </c>
      <c r="BH246" s="81">
        <f>$H$246*月別販売比率!AV5</f>
        <v>3.3491906524734154</v>
      </c>
      <c r="BI246" s="10">
        <f t="shared" si="641"/>
        <v>16</v>
      </c>
      <c r="BJ246" s="21"/>
      <c r="BK246" s="19">
        <f t="shared" si="642"/>
        <v>16</v>
      </c>
      <c r="BL246" s="24">
        <f t="shared" si="563"/>
        <v>12.650809347526584</v>
      </c>
      <c r="BM246" s="81">
        <f>$H$246*月別販売比率!BA5</f>
        <v>3.0592716387776004</v>
      </c>
      <c r="BN246" s="10">
        <f t="shared" si="643"/>
        <v>16</v>
      </c>
      <c r="BO246" s="21"/>
      <c r="BP246" s="19">
        <f t="shared" si="646"/>
        <v>16</v>
      </c>
      <c r="BQ246" s="24">
        <f t="shared" si="564"/>
        <v>12.9407283612224</v>
      </c>
      <c r="BR246" s="81">
        <f>$H$246*月別販売比率!BF5</f>
        <v>4.4000000000000004</v>
      </c>
      <c r="BS246" s="10">
        <f t="shared" si="644"/>
        <v>16</v>
      </c>
      <c r="BT246" s="21"/>
      <c r="BU246" s="19">
        <f t="shared" si="645"/>
        <v>16</v>
      </c>
      <c r="BV246" s="24">
        <f t="shared" si="565"/>
        <v>11.6</v>
      </c>
      <c r="BW246" s="158">
        <f t="shared" si="626"/>
        <v>16</v>
      </c>
      <c r="BX246" s="29">
        <f t="shared" si="627"/>
        <v>-39</v>
      </c>
    </row>
    <row r="247" spans="2:76" ht="30.75" customHeight="1">
      <c r="C247" s="504"/>
      <c r="D247" s="441"/>
      <c r="E247" s="94" t="s">
        <v>47</v>
      </c>
      <c r="F247" s="57">
        <v>29</v>
      </c>
      <c r="G247" s="5">
        <f t="shared" si="628"/>
        <v>82940</v>
      </c>
      <c r="H247" s="7">
        <v>51</v>
      </c>
      <c r="I247" s="5">
        <f t="shared" si="629"/>
        <v>145860</v>
      </c>
      <c r="J247" s="9">
        <v>16</v>
      </c>
      <c r="K247" s="21">
        <f t="shared" si="566"/>
        <v>20</v>
      </c>
      <c r="L247" s="21">
        <v>20</v>
      </c>
      <c r="M247" s="118"/>
      <c r="N247" s="42"/>
      <c r="O247" s="81">
        <f>$H$247*月別販売比率!C5</f>
        <v>3.6140768069078502</v>
      </c>
      <c r="P247" s="10">
        <f t="shared" si="619"/>
        <v>20</v>
      </c>
      <c r="Q247" s="21"/>
      <c r="R247" s="19">
        <f t="shared" si="630"/>
        <v>20</v>
      </c>
      <c r="S247" s="24">
        <f t="shared" si="554"/>
        <v>16.38592319309215</v>
      </c>
      <c r="T247" s="81">
        <f>$H$247*月別販売比率!H5</f>
        <v>3.5700000000000003</v>
      </c>
      <c r="U247" s="10">
        <f t="shared" si="631"/>
        <v>20</v>
      </c>
      <c r="V247" s="21"/>
      <c r="W247" s="10">
        <f t="shared" si="620"/>
        <v>20</v>
      </c>
      <c r="X247" s="24">
        <f t="shared" si="555"/>
        <v>16.43</v>
      </c>
      <c r="Y247" s="81">
        <f>$H$247*月別販売比率!M5</f>
        <v>5.1542481453063544</v>
      </c>
      <c r="Z247" s="10">
        <f t="shared" si="632"/>
        <v>20</v>
      </c>
      <c r="AA247" s="21"/>
      <c r="AB247" s="97">
        <f t="shared" si="621"/>
        <v>20</v>
      </c>
      <c r="AC247" s="24">
        <f t="shared" si="556"/>
        <v>14.845751854693646</v>
      </c>
      <c r="AD247" s="81">
        <f>$H$247*月別販売比率!R5</f>
        <v>4.08</v>
      </c>
      <c r="AE247" s="10">
        <f t="shared" si="633"/>
        <v>20</v>
      </c>
      <c r="AF247" s="21"/>
      <c r="AG247" s="10">
        <f t="shared" si="622"/>
        <v>20</v>
      </c>
      <c r="AH247" s="24">
        <f t="shared" si="557"/>
        <v>15.92</v>
      </c>
      <c r="AI247" s="81">
        <f>$H$247*月別販売比率!W5</f>
        <v>3.8845027367504925</v>
      </c>
      <c r="AJ247" s="10">
        <f t="shared" si="634"/>
        <v>20</v>
      </c>
      <c r="AK247" s="21"/>
      <c r="AL247" s="10">
        <f t="shared" si="623"/>
        <v>20</v>
      </c>
      <c r="AM247" s="24">
        <f t="shared" si="558"/>
        <v>16.115497263249509</v>
      </c>
      <c r="AN247" s="81">
        <f>$H$247*月別販売比率!AB5</f>
        <v>6.12</v>
      </c>
      <c r="AO247" s="10">
        <f t="shared" si="635"/>
        <v>20</v>
      </c>
      <c r="AP247" s="21"/>
      <c r="AQ247" s="10">
        <f t="shared" si="624"/>
        <v>20</v>
      </c>
      <c r="AR247" s="24">
        <f t="shared" si="559"/>
        <v>13.879999999999999</v>
      </c>
      <c r="AS247" s="81">
        <f>$H$247*月別販売比率!AG5</f>
        <v>5.1000000000000005</v>
      </c>
      <c r="AT247" s="10">
        <f t="shared" si="636"/>
        <v>20</v>
      </c>
      <c r="AU247" s="21"/>
      <c r="AV247" s="10">
        <f t="shared" si="625"/>
        <v>20</v>
      </c>
      <c r="AW247" s="24">
        <f t="shared" si="560"/>
        <v>14.899999999999999</v>
      </c>
      <c r="AX247" s="81">
        <f>$H$247*月別販売比率!AL5</f>
        <v>4.59</v>
      </c>
      <c r="AY247" s="10">
        <f t="shared" si="637"/>
        <v>20</v>
      </c>
      <c r="AZ247" s="21"/>
      <c r="BA247" s="19">
        <f t="shared" si="638"/>
        <v>20</v>
      </c>
      <c r="BB247" s="24">
        <f t="shared" si="561"/>
        <v>15.41</v>
      </c>
      <c r="BC247" s="81">
        <f>$H$247*月別販売比率!AQ5</f>
        <v>5.1000000000000005</v>
      </c>
      <c r="BD247" s="10">
        <f t="shared" si="639"/>
        <v>20</v>
      </c>
      <c r="BE247" s="21"/>
      <c r="BF247" s="19">
        <f t="shared" si="640"/>
        <v>20</v>
      </c>
      <c r="BG247" s="24">
        <f t="shared" si="562"/>
        <v>14.899999999999999</v>
      </c>
      <c r="BH247" s="81">
        <f>$H$247*月別販売比率!AV5</f>
        <v>3.105613150475349</v>
      </c>
      <c r="BI247" s="10">
        <f t="shared" si="641"/>
        <v>20</v>
      </c>
      <c r="BJ247" s="21"/>
      <c r="BK247" s="19">
        <f t="shared" si="642"/>
        <v>20</v>
      </c>
      <c r="BL247" s="24">
        <f t="shared" si="563"/>
        <v>16.894386849524651</v>
      </c>
      <c r="BM247" s="81">
        <f>$H$247*月別販売比率!BA5</f>
        <v>2.8367791559574114</v>
      </c>
      <c r="BN247" s="10">
        <f t="shared" si="643"/>
        <v>20</v>
      </c>
      <c r="BO247" s="21"/>
      <c r="BP247" s="19">
        <f t="shared" si="646"/>
        <v>20</v>
      </c>
      <c r="BQ247" s="24">
        <f t="shared" si="564"/>
        <v>17.163220844042588</v>
      </c>
      <c r="BR247" s="81">
        <f>$H$247*月別販売比率!BF5</f>
        <v>4.08</v>
      </c>
      <c r="BS247" s="10">
        <f t="shared" si="644"/>
        <v>20</v>
      </c>
      <c r="BT247" s="21"/>
      <c r="BU247" s="19">
        <f t="shared" si="645"/>
        <v>20</v>
      </c>
      <c r="BV247" s="24">
        <f t="shared" si="565"/>
        <v>15.92</v>
      </c>
      <c r="BW247" s="158">
        <f t="shared" si="626"/>
        <v>20</v>
      </c>
      <c r="BX247" s="29">
        <f t="shared" si="627"/>
        <v>-31</v>
      </c>
    </row>
    <row r="248" spans="2:76" ht="30.75" customHeight="1">
      <c r="C248" s="504"/>
      <c r="D248" s="441"/>
      <c r="E248" s="94" t="s">
        <v>48</v>
      </c>
      <c r="F248" s="57">
        <v>22</v>
      </c>
      <c r="G248" s="5">
        <f t="shared" si="628"/>
        <v>62920</v>
      </c>
      <c r="H248" s="7">
        <v>39</v>
      </c>
      <c r="I248" s="5">
        <f t="shared" si="629"/>
        <v>111540</v>
      </c>
      <c r="J248" s="9">
        <v>1</v>
      </c>
      <c r="K248" s="21">
        <f t="shared" si="566"/>
        <v>17</v>
      </c>
      <c r="L248" s="21">
        <v>17</v>
      </c>
      <c r="M248" s="118"/>
      <c r="N248" s="42"/>
      <c r="O248" s="81">
        <f>$H$248*月別販売比率!C5</f>
        <v>2.7637057935177678</v>
      </c>
      <c r="P248" s="10">
        <f t="shared" si="619"/>
        <v>17</v>
      </c>
      <c r="Q248" s="21"/>
      <c r="R248" s="19">
        <f t="shared" si="630"/>
        <v>17</v>
      </c>
      <c r="S248" s="24">
        <f t="shared" si="554"/>
        <v>14.236294206482231</v>
      </c>
      <c r="T248" s="81">
        <f>$H$248*月別販売比率!H5</f>
        <v>2.7300000000000004</v>
      </c>
      <c r="U248" s="10">
        <f t="shared" si="631"/>
        <v>17</v>
      </c>
      <c r="V248" s="21"/>
      <c r="W248" s="10">
        <f t="shared" si="620"/>
        <v>17</v>
      </c>
      <c r="X248" s="24">
        <f t="shared" si="555"/>
        <v>14.27</v>
      </c>
      <c r="Y248" s="81">
        <f>$H$248*月別販売比率!M5</f>
        <v>3.9414838758225059</v>
      </c>
      <c r="Z248" s="10">
        <f t="shared" si="632"/>
        <v>17</v>
      </c>
      <c r="AA248" s="21"/>
      <c r="AB248" s="97">
        <f t="shared" si="621"/>
        <v>17</v>
      </c>
      <c r="AC248" s="24">
        <f t="shared" si="556"/>
        <v>13.058516124177494</v>
      </c>
      <c r="AD248" s="81">
        <f>$H$248*月別販売比率!R5</f>
        <v>3.12</v>
      </c>
      <c r="AE248" s="10">
        <f t="shared" si="633"/>
        <v>17</v>
      </c>
      <c r="AF248" s="21"/>
      <c r="AG248" s="10">
        <f t="shared" si="622"/>
        <v>17</v>
      </c>
      <c r="AH248" s="24">
        <f t="shared" si="557"/>
        <v>13.879999999999999</v>
      </c>
      <c r="AI248" s="81">
        <f>$H$248*月別販売比率!W5</f>
        <v>2.9705020928092001</v>
      </c>
      <c r="AJ248" s="10">
        <f t="shared" si="634"/>
        <v>17</v>
      </c>
      <c r="AK248" s="21"/>
      <c r="AL248" s="10">
        <f t="shared" si="623"/>
        <v>17</v>
      </c>
      <c r="AM248" s="24">
        <f t="shared" si="558"/>
        <v>14.0294979071908</v>
      </c>
      <c r="AN248" s="81">
        <f>$H$248*月別販売比率!AB5</f>
        <v>4.68</v>
      </c>
      <c r="AO248" s="10">
        <f t="shared" si="635"/>
        <v>17</v>
      </c>
      <c r="AP248" s="21"/>
      <c r="AQ248" s="10">
        <f t="shared" si="624"/>
        <v>17</v>
      </c>
      <c r="AR248" s="24">
        <f t="shared" si="559"/>
        <v>12.32</v>
      </c>
      <c r="AS248" s="81">
        <f>$H$248*月別販売比率!AG5</f>
        <v>3.9000000000000004</v>
      </c>
      <c r="AT248" s="10">
        <f t="shared" si="636"/>
        <v>17</v>
      </c>
      <c r="AU248" s="21"/>
      <c r="AV248" s="10">
        <f t="shared" si="625"/>
        <v>17</v>
      </c>
      <c r="AW248" s="24">
        <f t="shared" si="560"/>
        <v>13.1</v>
      </c>
      <c r="AX248" s="81">
        <f>$H$248*月別販売比率!AL5</f>
        <v>3.51</v>
      </c>
      <c r="AY248" s="10">
        <f t="shared" si="637"/>
        <v>17</v>
      </c>
      <c r="AZ248" s="21"/>
      <c r="BA248" s="19">
        <f t="shared" si="638"/>
        <v>17</v>
      </c>
      <c r="BB248" s="24">
        <f t="shared" si="561"/>
        <v>13.49</v>
      </c>
      <c r="BC248" s="81">
        <f>$H$248*月別販売比率!AQ5</f>
        <v>3.9000000000000004</v>
      </c>
      <c r="BD248" s="10">
        <f t="shared" si="639"/>
        <v>17</v>
      </c>
      <c r="BE248" s="21"/>
      <c r="BF248" s="19">
        <f t="shared" si="640"/>
        <v>17</v>
      </c>
      <c r="BG248" s="24">
        <f t="shared" si="562"/>
        <v>13.1</v>
      </c>
      <c r="BH248" s="81">
        <f>$H$248*月別販売比率!AV5</f>
        <v>2.374880644481149</v>
      </c>
      <c r="BI248" s="10">
        <f t="shared" si="641"/>
        <v>17</v>
      </c>
      <c r="BJ248" s="21"/>
      <c r="BK248" s="19">
        <f t="shared" si="642"/>
        <v>17</v>
      </c>
      <c r="BL248" s="24">
        <f t="shared" si="563"/>
        <v>14.625119355518851</v>
      </c>
      <c r="BM248" s="81">
        <f>$H$248*月別販売比率!BA5</f>
        <v>2.1693017074968441</v>
      </c>
      <c r="BN248" s="10">
        <f t="shared" si="643"/>
        <v>17</v>
      </c>
      <c r="BO248" s="21"/>
      <c r="BP248" s="19">
        <f t="shared" si="646"/>
        <v>17</v>
      </c>
      <c r="BQ248" s="24">
        <f t="shared" si="564"/>
        <v>14.830698292503156</v>
      </c>
      <c r="BR248" s="81">
        <f>$H$248*月別販売比率!BF5</f>
        <v>3.12</v>
      </c>
      <c r="BS248" s="10">
        <f t="shared" si="644"/>
        <v>17</v>
      </c>
      <c r="BT248" s="21"/>
      <c r="BU248" s="19">
        <f t="shared" si="645"/>
        <v>17</v>
      </c>
      <c r="BV248" s="24">
        <f t="shared" si="565"/>
        <v>13.879999999999999</v>
      </c>
      <c r="BW248" s="158">
        <f t="shared" si="626"/>
        <v>17</v>
      </c>
      <c r="BX248" s="29">
        <f t="shared" si="627"/>
        <v>-22</v>
      </c>
    </row>
    <row r="249" spans="2:76" ht="30.75" customHeight="1">
      <c r="C249" s="504"/>
      <c r="D249" s="441"/>
      <c r="E249" s="119" t="s">
        <v>49</v>
      </c>
      <c r="F249" s="120">
        <v>15</v>
      </c>
      <c r="G249" s="36">
        <f t="shared" si="628"/>
        <v>42900</v>
      </c>
      <c r="H249" s="182">
        <v>27</v>
      </c>
      <c r="I249" s="36">
        <f t="shared" si="629"/>
        <v>77220</v>
      </c>
      <c r="J249" s="102">
        <v>0</v>
      </c>
      <c r="K249" s="21">
        <f t="shared" si="566"/>
        <v>12</v>
      </c>
      <c r="L249" s="107">
        <v>12</v>
      </c>
      <c r="M249" s="121"/>
      <c r="N249" s="42"/>
      <c r="O249" s="81">
        <f>$H$249*月別販売比率!C5</f>
        <v>1.9133347801276854</v>
      </c>
      <c r="P249" s="106">
        <f t="shared" si="619"/>
        <v>12</v>
      </c>
      <c r="Q249" s="107"/>
      <c r="R249" s="2">
        <f t="shared" si="630"/>
        <v>12</v>
      </c>
      <c r="S249" s="24">
        <f t="shared" si="554"/>
        <v>10.086665219872314</v>
      </c>
      <c r="T249" s="81">
        <f>$H$249*月別販売比率!H5</f>
        <v>1.8900000000000001</v>
      </c>
      <c r="U249" s="106">
        <f t="shared" si="631"/>
        <v>12</v>
      </c>
      <c r="V249" s="107"/>
      <c r="W249" s="10">
        <f t="shared" si="620"/>
        <v>12</v>
      </c>
      <c r="X249" s="24">
        <f t="shared" si="555"/>
        <v>10.11</v>
      </c>
      <c r="Y249" s="81">
        <f>$H$249*月別販売比率!M5</f>
        <v>2.7287196063386578</v>
      </c>
      <c r="Z249" s="106">
        <f t="shared" si="632"/>
        <v>12</v>
      </c>
      <c r="AA249" s="107"/>
      <c r="AB249" s="97">
        <f t="shared" si="621"/>
        <v>12</v>
      </c>
      <c r="AC249" s="24">
        <f t="shared" si="556"/>
        <v>9.2712803936613426</v>
      </c>
      <c r="AD249" s="81">
        <f>$H$249*月別販売比率!R5</f>
        <v>2.16</v>
      </c>
      <c r="AE249" s="106">
        <f t="shared" si="633"/>
        <v>12</v>
      </c>
      <c r="AF249" s="107"/>
      <c r="AG249" s="10">
        <f t="shared" si="622"/>
        <v>12</v>
      </c>
      <c r="AH249" s="24">
        <f t="shared" si="557"/>
        <v>9.84</v>
      </c>
      <c r="AI249" s="81">
        <f>$H$249*月別販売比率!W5</f>
        <v>2.0565014488679076</v>
      </c>
      <c r="AJ249" s="106">
        <f t="shared" si="634"/>
        <v>12</v>
      </c>
      <c r="AK249" s="107"/>
      <c r="AL249" s="10">
        <f t="shared" si="623"/>
        <v>12</v>
      </c>
      <c r="AM249" s="24">
        <f t="shared" si="558"/>
        <v>9.9434985511320928</v>
      </c>
      <c r="AN249" s="81">
        <f>$H$249*月別販売比率!AB5</f>
        <v>3.2399999999999998</v>
      </c>
      <c r="AO249" s="106">
        <f t="shared" si="635"/>
        <v>12</v>
      </c>
      <c r="AP249" s="107"/>
      <c r="AQ249" s="10">
        <f t="shared" si="624"/>
        <v>12</v>
      </c>
      <c r="AR249" s="24">
        <f t="shared" si="559"/>
        <v>8.76</v>
      </c>
      <c r="AS249" s="81">
        <f>$H$249*月別販売比率!AG5</f>
        <v>2.7</v>
      </c>
      <c r="AT249" s="106">
        <f t="shared" si="636"/>
        <v>12</v>
      </c>
      <c r="AU249" s="107"/>
      <c r="AV249" s="10">
        <f t="shared" si="625"/>
        <v>12</v>
      </c>
      <c r="AW249" s="24">
        <f t="shared" si="560"/>
        <v>9.3000000000000007</v>
      </c>
      <c r="AX249" s="81">
        <f>$H$249*月別販売比率!AL5</f>
        <v>2.4299999999999997</v>
      </c>
      <c r="AY249" s="106">
        <f t="shared" si="637"/>
        <v>12</v>
      </c>
      <c r="AZ249" s="107"/>
      <c r="BA249" s="2">
        <f t="shared" si="638"/>
        <v>12</v>
      </c>
      <c r="BB249" s="24">
        <f t="shared" si="561"/>
        <v>9.57</v>
      </c>
      <c r="BC249" s="81">
        <f>$H$249*月別販売比率!AQ5</f>
        <v>2.7</v>
      </c>
      <c r="BD249" s="106">
        <f t="shared" si="639"/>
        <v>12</v>
      </c>
      <c r="BE249" s="107"/>
      <c r="BF249" s="2">
        <f t="shared" si="640"/>
        <v>12</v>
      </c>
      <c r="BG249" s="24">
        <f t="shared" si="562"/>
        <v>9.3000000000000007</v>
      </c>
      <c r="BH249" s="81">
        <f>$H$249*月別販売比率!AV5</f>
        <v>1.6441481384869494</v>
      </c>
      <c r="BI249" s="106">
        <f t="shared" si="641"/>
        <v>12</v>
      </c>
      <c r="BJ249" s="107"/>
      <c r="BK249" s="2">
        <f t="shared" si="642"/>
        <v>12</v>
      </c>
      <c r="BL249" s="24">
        <f t="shared" si="563"/>
        <v>10.355851861513051</v>
      </c>
      <c r="BM249" s="81">
        <f>$H$249*月別販売比率!BA5</f>
        <v>1.5018242590362767</v>
      </c>
      <c r="BN249" s="106">
        <f t="shared" si="643"/>
        <v>12</v>
      </c>
      <c r="BO249" s="107"/>
      <c r="BP249" s="2">
        <f t="shared" si="646"/>
        <v>12</v>
      </c>
      <c r="BQ249" s="24">
        <f t="shared" si="564"/>
        <v>10.498175740963724</v>
      </c>
      <c r="BR249" s="81">
        <f>$H$249*月別販売比率!BF5</f>
        <v>2.16</v>
      </c>
      <c r="BS249" s="106">
        <f t="shared" si="644"/>
        <v>12</v>
      </c>
      <c r="BT249" s="107"/>
      <c r="BU249" s="2">
        <f t="shared" si="645"/>
        <v>12</v>
      </c>
      <c r="BV249" s="24">
        <f t="shared" si="565"/>
        <v>9.84</v>
      </c>
      <c r="BW249" s="158">
        <f t="shared" si="626"/>
        <v>12</v>
      </c>
      <c r="BX249" s="29">
        <f t="shared" si="627"/>
        <v>-15</v>
      </c>
    </row>
    <row r="250" spans="2:76" ht="30.75" customHeight="1">
      <c r="C250" s="504"/>
      <c r="D250" s="443">
        <v>3</v>
      </c>
      <c r="E250" s="99" t="s">
        <v>46</v>
      </c>
      <c r="F250" s="56">
        <v>23</v>
      </c>
      <c r="G250" s="46">
        <f t="shared" si="628"/>
        <v>65780</v>
      </c>
      <c r="H250" s="45">
        <v>41</v>
      </c>
      <c r="I250" s="46">
        <f t="shared" si="629"/>
        <v>117260</v>
      </c>
      <c r="J250" s="49">
        <v>0</v>
      </c>
      <c r="K250" s="21">
        <f t="shared" si="566"/>
        <v>0</v>
      </c>
      <c r="L250" s="39"/>
      <c r="M250" s="118"/>
      <c r="N250" s="42"/>
      <c r="O250" s="81">
        <f>$H$250*月別販売比率!C5</f>
        <v>2.9054342957494481</v>
      </c>
      <c r="P250" s="40">
        <f t="shared" ref="P250:P253" si="647">K250</f>
        <v>0</v>
      </c>
      <c r="Q250" s="39"/>
      <c r="R250" s="43">
        <f t="shared" ref="R250:R253" si="648">Q250+K250</f>
        <v>0</v>
      </c>
      <c r="S250" s="24">
        <f t="shared" si="554"/>
        <v>-2.9054342957494481</v>
      </c>
      <c r="T250" s="81">
        <f>$H$250*月別販売比率!H5</f>
        <v>2.87</v>
      </c>
      <c r="U250" s="40">
        <f t="shared" ref="U250:U253" si="649">K250</f>
        <v>0</v>
      </c>
      <c r="V250" s="39"/>
      <c r="W250" s="10">
        <f t="shared" si="620"/>
        <v>0</v>
      </c>
      <c r="X250" s="24">
        <f t="shared" si="555"/>
        <v>-2.87</v>
      </c>
      <c r="Y250" s="81">
        <f>$H$250*月別販売比率!M5</f>
        <v>4.143611254069814</v>
      </c>
      <c r="Z250" s="40">
        <f t="shared" ref="Z250:Z253" si="650">K250</f>
        <v>0</v>
      </c>
      <c r="AA250" s="39"/>
      <c r="AB250" s="97">
        <f t="shared" si="621"/>
        <v>0</v>
      </c>
      <c r="AC250" s="24">
        <f t="shared" si="556"/>
        <v>-4.143611254069814</v>
      </c>
      <c r="AD250" s="81">
        <f>$H$250*月別販売比率!R5</f>
        <v>3.2800000000000002</v>
      </c>
      <c r="AE250" s="40">
        <f t="shared" ref="AE250:AE253" si="651">K250</f>
        <v>0</v>
      </c>
      <c r="AF250" s="39"/>
      <c r="AG250" s="10">
        <f t="shared" si="622"/>
        <v>0</v>
      </c>
      <c r="AH250" s="24">
        <f t="shared" si="557"/>
        <v>-3.2800000000000002</v>
      </c>
      <c r="AI250" s="81">
        <f>$H$250*月別販売比率!W5</f>
        <v>3.1228355334660822</v>
      </c>
      <c r="AJ250" s="40">
        <f t="shared" ref="AJ250:AJ253" si="652">K250</f>
        <v>0</v>
      </c>
      <c r="AK250" s="39"/>
      <c r="AL250" s="10">
        <f t="shared" si="623"/>
        <v>0</v>
      </c>
      <c r="AM250" s="24">
        <f t="shared" si="558"/>
        <v>-3.1228355334660822</v>
      </c>
      <c r="AN250" s="81">
        <f>$H$250*月別販売比率!AB5</f>
        <v>4.92</v>
      </c>
      <c r="AO250" s="40">
        <f t="shared" ref="AO250:AO253" si="653">K250</f>
        <v>0</v>
      </c>
      <c r="AP250" s="39"/>
      <c r="AQ250" s="10">
        <f t="shared" si="624"/>
        <v>0</v>
      </c>
      <c r="AR250" s="24">
        <f t="shared" si="559"/>
        <v>-4.92</v>
      </c>
      <c r="AS250" s="81">
        <f>$H$250*月別販売比率!AG5</f>
        <v>4.1000000000000005</v>
      </c>
      <c r="AT250" s="40">
        <f t="shared" ref="AT250:AT253" si="654">K250</f>
        <v>0</v>
      </c>
      <c r="AU250" s="39"/>
      <c r="AV250" s="10">
        <f t="shared" si="625"/>
        <v>0</v>
      </c>
      <c r="AW250" s="24">
        <f t="shared" si="560"/>
        <v>-4.1000000000000005</v>
      </c>
      <c r="AX250" s="81">
        <f>$H$250*月別販売比率!AL5</f>
        <v>3.69</v>
      </c>
      <c r="AY250" s="40">
        <f t="shared" ref="AY250:AY253" si="655">K250</f>
        <v>0</v>
      </c>
      <c r="AZ250" s="39"/>
      <c r="BA250" s="43">
        <f t="shared" ref="BA250:BA253" si="656">K250+AZ250</f>
        <v>0</v>
      </c>
      <c r="BB250" s="24">
        <f t="shared" si="561"/>
        <v>-3.69</v>
      </c>
      <c r="BC250" s="81">
        <f>$H$250*月別販売比率!AQ5</f>
        <v>4.1000000000000005</v>
      </c>
      <c r="BD250" s="40">
        <f t="shared" ref="BD250:BD253" si="657">K250</f>
        <v>0</v>
      </c>
      <c r="BE250" s="39"/>
      <c r="BF250" s="43">
        <f t="shared" ref="BF250:BF253" si="658">K250+BE250</f>
        <v>0</v>
      </c>
      <c r="BG250" s="24">
        <f t="shared" si="562"/>
        <v>-4.1000000000000005</v>
      </c>
      <c r="BH250" s="81">
        <f>$H$250*月別販売比率!AV5</f>
        <v>2.4966693954801822</v>
      </c>
      <c r="BI250" s="40">
        <f t="shared" ref="BI250:BI253" si="659">K250</f>
        <v>0</v>
      </c>
      <c r="BJ250" s="39"/>
      <c r="BK250" s="43">
        <f t="shared" ref="BK250:BK253" si="660">K250+BJ250</f>
        <v>0</v>
      </c>
      <c r="BL250" s="24">
        <f t="shared" si="563"/>
        <v>-2.4966693954801822</v>
      </c>
      <c r="BM250" s="81">
        <f>$H$250*月別販売比率!BA5</f>
        <v>2.2805479489069387</v>
      </c>
      <c r="BN250" s="40">
        <f t="shared" ref="BN250:BN253" si="661">K250</f>
        <v>0</v>
      </c>
      <c r="BO250" s="39"/>
      <c r="BP250" s="43">
        <f t="shared" ref="BP250:BP253" si="662">K250+BO250</f>
        <v>0</v>
      </c>
      <c r="BQ250" s="24">
        <f t="shared" si="564"/>
        <v>-2.2805479489069387</v>
      </c>
      <c r="BR250" s="81">
        <f>$H$250*月別販売比率!BF5</f>
        <v>3.2800000000000002</v>
      </c>
      <c r="BS250" s="40">
        <f t="shared" ref="BS250:BS253" si="663">K250</f>
        <v>0</v>
      </c>
      <c r="BT250" s="39"/>
      <c r="BU250" s="43">
        <f t="shared" ref="BU250:BU253" si="664">K250+BT250</f>
        <v>0</v>
      </c>
      <c r="BV250" s="24">
        <f t="shared" si="565"/>
        <v>-3.2800000000000002</v>
      </c>
      <c r="BW250" s="158">
        <f t="shared" si="626"/>
        <v>0</v>
      </c>
      <c r="BX250" s="29">
        <f t="shared" si="627"/>
        <v>-41</v>
      </c>
    </row>
    <row r="251" spans="2:76" ht="30.75" customHeight="1">
      <c r="C251" s="504"/>
      <c r="D251" s="441"/>
      <c r="E251" s="94" t="s">
        <v>47</v>
      </c>
      <c r="F251" s="57">
        <v>25</v>
      </c>
      <c r="G251" s="5">
        <f t="shared" si="628"/>
        <v>71500</v>
      </c>
      <c r="H251" s="7">
        <v>44</v>
      </c>
      <c r="I251" s="5">
        <f t="shared" si="629"/>
        <v>125840</v>
      </c>
      <c r="J251" s="9">
        <v>0</v>
      </c>
      <c r="K251" s="21">
        <f t="shared" si="566"/>
        <v>0</v>
      </c>
      <c r="L251" s="21"/>
      <c r="M251" s="118"/>
      <c r="N251" s="42"/>
      <c r="O251" s="81">
        <f>$H$251*月別販売比率!C5</f>
        <v>3.1180270490969688</v>
      </c>
      <c r="P251" s="10">
        <f t="shared" si="647"/>
        <v>0</v>
      </c>
      <c r="Q251" s="21"/>
      <c r="R251" s="19">
        <f t="shared" si="648"/>
        <v>0</v>
      </c>
      <c r="S251" s="24">
        <f t="shared" si="554"/>
        <v>-3.1180270490969688</v>
      </c>
      <c r="T251" s="81">
        <f>$H$251*月別販売比率!H5</f>
        <v>3.08</v>
      </c>
      <c r="U251" s="10">
        <f t="shared" si="649"/>
        <v>0</v>
      </c>
      <c r="V251" s="21"/>
      <c r="W251" s="10">
        <f t="shared" si="620"/>
        <v>0</v>
      </c>
      <c r="X251" s="24">
        <f t="shared" si="555"/>
        <v>-3.08</v>
      </c>
      <c r="Y251" s="81">
        <f>$H$251*月別販売比率!M5</f>
        <v>4.4468023214407761</v>
      </c>
      <c r="Z251" s="10">
        <f t="shared" si="650"/>
        <v>0</v>
      </c>
      <c r="AA251" s="21"/>
      <c r="AB251" s="97">
        <f t="shared" si="621"/>
        <v>0</v>
      </c>
      <c r="AC251" s="24">
        <f t="shared" si="556"/>
        <v>-4.4468023214407761</v>
      </c>
      <c r="AD251" s="81">
        <f>$H$251*月別販売比率!R5</f>
        <v>3.52</v>
      </c>
      <c r="AE251" s="10">
        <f t="shared" si="651"/>
        <v>0</v>
      </c>
      <c r="AF251" s="21"/>
      <c r="AG251" s="10">
        <f t="shared" si="622"/>
        <v>0</v>
      </c>
      <c r="AH251" s="24">
        <f t="shared" si="557"/>
        <v>-3.52</v>
      </c>
      <c r="AI251" s="81">
        <f>$H$251*月別販売比率!W5</f>
        <v>3.3513356944514054</v>
      </c>
      <c r="AJ251" s="10">
        <f t="shared" si="652"/>
        <v>0</v>
      </c>
      <c r="AK251" s="21"/>
      <c r="AL251" s="10">
        <f t="shared" si="623"/>
        <v>0</v>
      </c>
      <c r="AM251" s="24">
        <f t="shared" si="558"/>
        <v>-3.3513356944514054</v>
      </c>
      <c r="AN251" s="81">
        <f>$H$251*月別販売比率!AB5</f>
        <v>5.2799999999999994</v>
      </c>
      <c r="AO251" s="10">
        <f t="shared" si="653"/>
        <v>0</v>
      </c>
      <c r="AP251" s="21"/>
      <c r="AQ251" s="10">
        <f t="shared" si="624"/>
        <v>0</v>
      </c>
      <c r="AR251" s="24">
        <f t="shared" si="559"/>
        <v>-5.2799999999999994</v>
      </c>
      <c r="AS251" s="81">
        <f>$H$251*月別販売比率!AG5</f>
        <v>4.4000000000000004</v>
      </c>
      <c r="AT251" s="10">
        <f t="shared" si="654"/>
        <v>0</v>
      </c>
      <c r="AU251" s="21"/>
      <c r="AV251" s="10">
        <f t="shared" si="625"/>
        <v>0</v>
      </c>
      <c r="AW251" s="24">
        <f t="shared" si="560"/>
        <v>-4.4000000000000004</v>
      </c>
      <c r="AX251" s="81">
        <f>$H$251*月別販売比率!AL5</f>
        <v>3.96</v>
      </c>
      <c r="AY251" s="10">
        <f t="shared" si="655"/>
        <v>0</v>
      </c>
      <c r="AZ251" s="21"/>
      <c r="BA251" s="19">
        <f t="shared" si="656"/>
        <v>0</v>
      </c>
      <c r="BB251" s="24">
        <f t="shared" si="561"/>
        <v>-3.96</v>
      </c>
      <c r="BC251" s="81">
        <f>$H$251*月別販売比率!AQ5</f>
        <v>4.4000000000000004</v>
      </c>
      <c r="BD251" s="10">
        <f t="shared" si="657"/>
        <v>0</v>
      </c>
      <c r="BE251" s="21"/>
      <c r="BF251" s="19">
        <f t="shared" si="658"/>
        <v>0</v>
      </c>
      <c r="BG251" s="24">
        <f t="shared" si="562"/>
        <v>-4.4000000000000004</v>
      </c>
      <c r="BH251" s="81">
        <f>$H$251*月別販売比率!AV5</f>
        <v>2.6793525219787324</v>
      </c>
      <c r="BI251" s="10">
        <f t="shared" si="659"/>
        <v>0</v>
      </c>
      <c r="BJ251" s="21"/>
      <c r="BK251" s="19">
        <f t="shared" si="660"/>
        <v>0</v>
      </c>
      <c r="BL251" s="24">
        <f t="shared" si="563"/>
        <v>-2.6793525219787324</v>
      </c>
      <c r="BM251" s="81">
        <f>$H$251*月別販売比率!BA5</f>
        <v>2.4474173110220803</v>
      </c>
      <c r="BN251" s="10">
        <f t="shared" si="661"/>
        <v>0</v>
      </c>
      <c r="BO251" s="21"/>
      <c r="BP251" s="19">
        <f t="shared" si="662"/>
        <v>0</v>
      </c>
      <c r="BQ251" s="24">
        <f t="shared" si="564"/>
        <v>-2.4474173110220803</v>
      </c>
      <c r="BR251" s="81">
        <f>$H$251*月別販売比率!BF5</f>
        <v>3.52</v>
      </c>
      <c r="BS251" s="10">
        <f t="shared" si="663"/>
        <v>0</v>
      </c>
      <c r="BT251" s="21"/>
      <c r="BU251" s="19">
        <f t="shared" si="664"/>
        <v>0</v>
      </c>
      <c r="BV251" s="24">
        <f t="shared" si="565"/>
        <v>-3.52</v>
      </c>
      <c r="BW251" s="158">
        <f t="shared" si="626"/>
        <v>0</v>
      </c>
      <c r="BX251" s="29">
        <f t="shared" si="627"/>
        <v>-44</v>
      </c>
    </row>
    <row r="252" spans="2:76" ht="30.75" customHeight="1">
      <c r="C252" s="504"/>
      <c r="D252" s="441"/>
      <c r="E252" s="94" t="s">
        <v>48</v>
      </c>
      <c r="F252" s="57">
        <v>16</v>
      </c>
      <c r="G252" s="5">
        <f t="shared" si="628"/>
        <v>45760</v>
      </c>
      <c r="H252" s="7">
        <v>28</v>
      </c>
      <c r="I252" s="5">
        <f t="shared" si="629"/>
        <v>80080</v>
      </c>
      <c r="J252" s="9">
        <v>0</v>
      </c>
      <c r="K252" s="21">
        <f t="shared" si="566"/>
        <v>0</v>
      </c>
      <c r="L252" s="21"/>
      <c r="M252" s="118"/>
      <c r="N252" s="42"/>
      <c r="O252" s="81">
        <f>$H$252*月別販売比率!C5</f>
        <v>1.9841990312435256</v>
      </c>
      <c r="P252" s="10">
        <f t="shared" si="647"/>
        <v>0</v>
      </c>
      <c r="Q252" s="21"/>
      <c r="R252" s="19">
        <f t="shared" si="648"/>
        <v>0</v>
      </c>
      <c r="S252" s="24">
        <f t="shared" si="554"/>
        <v>-1.9841990312435256</v>
      </c>
      <c r="T252" s="81">
        <f>$H$252*月別販売比率!H5</f>
        <v>1.9600000000000002</v>
      </c>
      <c r="U252" s="10">
        <f t="shared" si="649"/>
        <v>0</v>
      </c>
      <c r="V252" s="21"/>
      <c r="W252" s="10">
        <f t="shared" si="620"/>
        <v>0</v>
      </c>
      <c r="X252" s="24">
        <f t="shared" si="555"/>
        <v>-1.9600000000000002</v>
      </c>
      <c r="Y252" s="81">
        <f>$H$252*月別販売比率!M5</f>
        <v>2.8297832954623119</v>
      </c>
      <c r="Z252" s="10">
        <f t="shared" si="650"/>
        <v>0</v>
      </c>
      <c r="AA252" s="21"/>
      <c r="AB252" s="97">
        <f t="shared" si="621"/>
        <v>0</v>
      </c>
      <c r="AC252" s="24">
        <f t="shared" si="556"/>
        <v>-2.8297832954623119</v>
      </c>
      <c r="AD252" s="81">
        <f>$H$252*月別販売比率!R5</f>
        <v>2.2400000000000002</v>
      </c>
      <c r="AE252" s="10">
        <f t="shared" si="651"/>
        <v>0</v>
      </c>
      <c r="AF252" s="21"/>
      <c r="AG252" s="10">
        <f t="shared" si="622"/>
        <v>0</v>
      </c>
      <c r="AH252" s="24">
        <f t="shared" si="557"/>
        <v>-2.2400000000000002</v>
      </c>
      <c r="AI252" s="81">
        <f>$H$252*月別販売比率!W5</f>
        <v>2.1326681691963487</v>
      </c>
      <c r="AJ252" s="10">
        <f t="shared" si="652"/>
        <v>0</v>
      </c>
      <c r="AK252" s="21"/>
      <c r="AL252" s="10">
        <f t="shared" si="623"/>
        <v>0</v>
      </c>
      <c r="AM252" s="24">
        <f t="shared" si="558"/>
        <v>-2.1326681691963487</v>
      </c>
      <c r="AN252" s="81">
        <f>$H$252*月別販売比率!AB5</f>
        <v>3.36</v>
      </c>
      <c r="AO252" s="10">
        <f t="shared" si="653"/>
        <v>0</v>
      </c>
      <c r="AP252" s="21"/>
      <c r="AQ252" s="10">
        <f t="shared" si="624"/>
        <v>0</v>
      </c>
      <c r="AR252" s="24">
        <f t="shared" si="559"/>
        <v>-3.36</v>
      </c>
      <c r="AS252" s="81">
        <f>$H$252*月別販売比率!AG5</f>
        <v>2.8000000000000003</v>
      </c>
      <c r="AT252" s="10">
        <f t="shared" si="654"/>
        <v>0</v>
      </c>
      <c r="AU252" s="21"/>
      <c r="AV252" s="10">
        <f t="shared" si="625"/>
        <v>0</v>
      </c>
      <c r="AW252" s="24">
        <f t="shared" si="560"/>
        <v>-2.8000000000000003</v>
      </c>
      <c r="AX252" s="81">
        <f>$H$252*月別販売比率!AL5</f>
        <v>2.52</v>
      </c>
      <c r="AY252" s="10">
        <f t="shared" si="655"/>
        <v>0</v>
      </c>
      <c r="AZ252" s="21"/>
      <c r="BA252" s="19">
        <f t="shared" si="656"/>
        <v>0</v>
      </c>
      <c r="BB252" s="24">
        <f t="shared" si="561"/>
        <v>-2.52</v>
      </c>
      <c r="BC252" s="81">
        <f>$H$252*月別販売比率!AQ5</f>
        <v>2.8000000000000003</v>
      </c>
      <c r="BD252" s="10">
        <f t="shared" si="657"/>
        <v>0</v>
      </c>
      <c r="BE252" s="21"/>
      <c r="BF252" s="19">
        <f t="shared" si="658"/>
        <v>0</v>
      </c>
      <c r="BG252" s="24">
        <f t="shared" si="562"/>
        <v>-2.8000000000000003</v>
      </c>
      <c r="BH252" s="81">
        <f>$H$252*月別販売比率!AV5</f>
        <v>1.705042513986466</v>
      </c>
      <c r="BI252" s="10">
        <f t="shared" si="659"/>
        <v>0</v>
      </c>
      <c r="BJ252" s="21"/>
      <c r="BK252" s="19">
        <f t="shared" si="660"/>
        <v>0</v>
      </c>
      <c r="BL252" s="24">
        <f t="shared" si="563"/>
        <v>-1.705042513986466</v>
      </c>
      <c r="BM252" s="81">
        <f>$H$252*月別販売比率!BA5</f>
        <v>1.557447379741324</v>
      </c>
      <c r="BN252" s="10">
        <f t="shared" si="661"/>
        <v>0</v>
      </c>
      <c r="BO252" s="21"/>
      <c r="BP252" s="19">
        <f t="shared" si="662"/>
        <v>0</v>
      </c>
      <c r="BQ252" s="24">
        <f t="shared" si="564"/>
        <v>-1.557447379741324</v>
      </c>
      <c r="BR252" s="81">
        <f>$H$252*月別販売比率!BF5</f>
        <v>2.2400000000000002</v>
      </c>
      <c r="BS252" s="10">
        <f t="shared" si="663"/>
        <v>0</v>
      </c>
      <c r="BT252" s="21"/>
      <c r="BU252" s="19">
        <f t="shared" si="664"/>
        <v>0</v>
      </c>
      <c r="BV252" s="24">
        <f t="shared" si="565"/>
        <v>-2.2400000000000002</v>
      </c>
      <c r="BW252" s="158">
        <f t="shared" si="626"/>
        <v>0</v>
      </c>
      <c r="BX252" s="29">
        <f t="shared" si="627"/>
        <v>-28</v>
      </c>
    </row>
    <row r="253" spans="2:76" ht="30.75" customHeight="1">
      <c r="C253" s="505"/>
      <c r="D253" s="444"/>
      <c r="E253" s="101" t="s">
        <v>49</v>
      </c>
      <c r="F253" s="58">
        <v>15</v>
      </c>
      <c r="G253" s="35">
        <f t="shared" si="628"/>
        <v>42900</v>
      </c>
      <c r="H253" s="181">
        <v>27</v>
      </c>
      <c r="I253" s="35">
        <f t="shared" si="629"/>
        <v>77220</v>
      </c>
      <c r="J253" s="113">
        <v>0</v>
      </c>
      <c r="K253" s="103">
        <f t="shared" si="566"/>
        <v>0</v>
      </c>
      <c r="L253" s="104"/>
      <c r="M253" s="114"/>
      <c r="N253" s="117"/>
      <c r="O253" s="81">
        <f>$H$253*月別販売比率!C5</f>
        <v>1.9133347801276854</v>
      </c>
      <c r="P253" s="106">
        <f t="shared" si="647"/>
        <v>0</v>
      </c>
      <c r="Q253" s="107"/>
      <c r="R253" s="2">
        <f t="shared" si="648"/>
        <v>0</v>
      </c>
      <c r="S253" s="194">
        <f t="shared" si="554"/>
        <v>-1.9133347801276854</v>
      </c>
      <c r="T253" s="81">
        <f>$H$253*月別販売比率!H5</f>
        <v>1.8900000000000001</v>
      </c>
      <c r="U253" s="106">
        <f t="shared" si="649"/>
        <v>0</v>
      </c>
      <c r="V253" s="107"/>
      <c r="W253" s="106">
        <f t="shared" si="620"/>
        <v>0</v>
      </c>
      <c r="X253" s="195">
        <f t="shared" si="555"/>
        <v>-1.8900000000000001</v>
      </c>
      <c r="Y253" s="81">
        <f>$H$253*月別販売比率!M5</f>
        <v>2.7287196063386578</v>
      </c>
      <c r="Z253" s="106">
        <f t="shared" si="650"/>
        <v>0</v>
      </c>
      <c r="AA253" s="107"/>
      <c r="AB253" s="196">
        <f t="shared" si="621"/>
        <v>0</v>
      </c>
      <c r="AC253" s="195">
        <f t="shared" si="556"/>
        <v>-2.7287196063386578</v>
      </c>
      <c r="AD253" s="81">
        <f>$H$253*月別販売比率!R5</f>
        <v>2.16</v>
      </c>
      <c r="AE253" s="106">
        <f t="shared" si="651"/>
        <v>0</v>
      </c>
      <c r="AF253" s="107"/>
      <c r="AG253" s="106">
        <f t="shared" si="622"/>
        <v>0</v>
      </c>
      <c r="AH253" s="195">
        <f t="shared" si="557"/>
        <v>-2.16</v>
      </c>
      <c r="AI253" s="81">
        <f>$H$253*月別販売比率!W5</f>
        <v>2.0565014488679076</v>
      </c>
      <c r="AJ253" s="106">
        <f t="shared" si="652"/>
        <v>0</v>
      </c>
      <c r="AK253" s="107"/>
      <c r="AL253" s="106">
        <f t="shared" si="623"/>
        <v>0</v>
      </c>
      <c r="AM253" s="195">
        <f t="shared" si="558"/>
        <v>-2.0565014488679076</v>
      </c>
      <c r="AN253" s="81">
        <f>$H$253*月別販売比率!AB5</f>
        <v>3.2399999999999998</v>
      </c>
      <c r="AO253" s="106">
        <f t="shared" si="653"/>
        <v>0</v>
      </c>
      <c r="AP253" s="107"/>
      <c r="AQ253" s="106">
        <f t="shared" si="624"/>
        <v>0</v>
      </c>
      <c r="AR253" s="195">
        <f t="shared" si="559"/>
        <v>-3.2399999999999998</v>
      </c>
      <c r="AS253" s="81">
        <f>$H$253*月別販売比率!AG5</f>
        <v>2.7</v>
      </c>
      <c r="AT253" s="106">
        <f t="shared" si="654"/>
        <v>0</v>
      </c>
      <c r="AU253" s="107"/>
      <c r="AV253" s="106">
        <f t="shared" si="625"/>
        <v>0</v>
      </c>
      <c r="AW253" s="195">
        <f t="shared" si="560"/>
        <v>-2.7</v>
      </c>
      <c r="AX253" s="81">
        <f>$H$253*月別販売比率!AL5</f>
        <v>2.4299999999999997</v>
      </c>
      <c r="AY253" s="106">
        <f t="shared" si="655"/>
        <v>0</v>
      </c>
      <c r="AZ253" s="107"/>
      <c r="BA253" s="2">
        <f t="shared" si="656"/>
        <v>0</v>
      </c>
      <c r="BB253" s="195">
        <f t="shared" si="561"/>
        <v>-2.4299999999999997</v>
      </c>
      <c r="BC253" s="81">
        <f>$H$253*月別販売比率!AQ5</f>
        <v>2.7</v>
      </c>
      <c r="BD253" s="106">
        <f t="shared" si="657"/>
        <v>0</v>
      </c>
      <c r="BE253" s="107"/>
      <c r="BF253" s="2">
        <f t="shared" si="658"/>
        <v>0</v>
      </c>
      <c r="BG253" s="195">
        <f t="shared" si="562"/>
        <v>-2.7</v>
      </c>
      <c r="BH253" s="81">
        <f>$H$253*月別販売比率!AV5</f>
        <v>1.6441481384869494</v>
      </c>
      <c r="BI253" s="106">
        <f t="shared" si="659"/>
        <v>0</v>
      </c>
      <c r="BJ253" s="107"/>
      <c r="BK253" s="2">
        <f t="shared" si="660"/>
        <v>0</v>
      </c>
      <c r="BL253" s="195">
        <f t="shared" si="563"/>
        <v>-1.6441481384869494</v>
      </c>
      <c r="BM253" s="81">
        <f>$H$253*月別販売比率!BA5</f>
        <v>1.5018242590362767</v>
      </c>
      <c r="BN253" s="106">
        <f t="shared" si="661"/>
        <v>0</v>
      </c>
      <c r="BO253" s="107"/>
      <c r="BP253" s="2">
        <f t="shared" si="662"/>
        <v>0</v>
      </c>
      <c r="BQ253" s="195">
        <f t="shared" si="564"/>
        <v>-1.5018242590362767</v>
      </c>
      <c r="BR253" s="81">
        <f>$H$253*月別販売比率!BF5</f>
        <v>2.16</v>
      </c>
      <c r="BS253" s="106">
        <f t="shared" si="663"/>
        <v>0</v>
      </c>
      <c r="BT253" s="107"/>
      <c r="BU253" s="115">
        <f t="shared" si="664"/>
        <v>0</v>
      </c>
      <c r="BV253" s="92">
        <f t="shared" si="565"/>
        <v>-2.16</v>
      </c>
      <c r="BW253" s="159">
        <f t="shared" si="626"/>
        <v>0</v>
      </c>
      <c r="BX253" s="116">
        <f t="shared" si="627"/>
        <v>-27</v>
      </c>
    </row>
    <row r="254" spans="2:76" ht="30.75" customHeight="1">
      <c r="B254" s="2">
        <v>20</v>
      </c>
      <c r="C254" s="435" t="s">
        <v>17</v>
      </c>
      <c r="D254" s="436"/>
      <c r="E254" s="445"/>
      <c r="F254" s="130">
        <v>115</v>
      </c>
      <c r="G254" s="131">
        <v>683356.90500000003</v>
      </c>
      <c r="H254" s="132">
        <v>160</v>
      </c>
      <c r="I254" s="131">
        <f t="shared" si="42"/>
        <v>950757.43304347829</v>
      </c>
      <c r="J254" s="133">
        <f>SUM(J256:J258)</f>
        <v>59</v>
      </c>
      <c r="K254" s="134">
        <f t="shared" ref="K254:N254" si="665">SUM(K256:K258)</f>
        <v>22</v>
      </c>
      <c r="L254" s="134">
        <f t="shared" si="665"/>
        <v>18</v>
      </c>
      <c r="M254" s="134">
        <f t="shared" si="665"/>
        <v>4</v>
      </c>
      <c r="N254" s="135">
        <f t="shared" si="665"/>
        <v>0</v>
      </c>
      <c r="O254" s="150">
        <f t="shared" si="344"/>
        <v>13.333333333333334</v>
      </c>
      <c r="P254" s="151">
        <f t="shared" si="107"/>
        <v>22</v>
      </c>
      <c r="Q254" s="148">
        <f>SUM(Q256:Q258)</f>
        <v>0</v>
      </c>
      <c r="R254" s="152">
        <f t="shared" si="108"/>
        <v>22</v>
      </c>
      <c r="S254" s="153">
        <f t="shared" si="554"/>
        <v>8.6666666666666661</v>
      </c>
      <c r="T254" s="150">
        <f t="shared" si="109"/>
        <v>13.333333333333334</v>
      </c>
      <c r="U254" s="151">
        <f t="shared" si="110"/>
        <v>22</v>
      </c>
      <c r="V254" s="148">
        <f>SUM(V256:V258)</f>
        <v>0</v>
      </c>
      <c r="W254" s="152">
        <f t="shared" si="111"/>
        <v>22</v>
      </c>
      <c r="X254" s="153">
        <f t="shared" si="555"/>
        <v>8.6666666666666661</v>
      </c>
      <c r="Y254" s="150">
        <f t="shared" si="112"/>
        <v>13.333333333333334</v>
      </c>
      <c r="Z254" s="151">
        <f t="shared" si="113"/>
        <v>22</v>
      </c>
      <c r="AA254" s="148">
        <f>SUM(AA256:AA258)</f>
        <v>0</v>
      </c>
      <c r="AB254" s="154">
        <f t="shared" si="114"/>
        <v>22</v>
      </c>
      <c r="AC254" s="153">
        <f t="shared" si="556"/>
        <v>8.6666666666666661</v>
      </c>
      <c r="AD254" s="150">
        <f t="shared" si="115"/>
        <v>13.333333333333334</v>
      </c>
      <c r="AE254" s="151">
        <f t="shared" si="116"/>
        <v>22</v>
      </c>
      <c r="AF254" s="148">
        <f>SUM(AF256:AF258)</f>
        <v>0</v>
      </c>
      <c r="AG254" s="152">
        <f t="shared" si="117"/>
        <v>22</v>
      </c>
      <c r="AH254" s="153">
        <f t="shared" si="557"/>
        <v>8.6666666666666661</v>
      </c>
      <c r="AI254" s="150">
        <f t="shared" si="118"/>
        <v>13.333333333333334</v>
      </c>
      <c r="AJ254" s="151">
        <f t="shared" si="119"/>
        <v>22</v>
      </c>
      <c r="AK254" s="148">
        <f>SUM(AK256:AK258)</f>
        <v>0</v>
      </c>
      <c r="AL254" s="152">
        <f t="shared" si="120"/>
        <v>22</v>
      </c>
      <c r="AM254" s="153">
        <f t="shared" si="558"/>
        <v>8.6666666666666661</v>
      </c>
      <c r="AN254" s="150">
        <f t="shared" si="121"/>
        <v>13.333333333333334</v>
      </c>
      <c r="AO254" s="151">
        <f t="shared" si="122"/>
        <v>22</v>
      </c>
      <c r="AP254" s="148">
        <f>SUM(AP256:AP258)</f>
        <v>0</v>
      </c>
      <c r="AQ254" s="152">
        <f t="shared" si="123"/>
        <v>22</v>
      </c>
      <c r="AR254" s="153">
        <f t="shared" si="559"/>
        <v>8.6666666666666661</v>
      </c>
      <c r="AS254" s="150">
        <f t="shared" si="124"/>
        <v>13.333333333333334</v>
      </c>
      <c r="AT254" s="151">
        <f t="shared" si="125"/>
        <v>22</v>
      </c>
      <c r="AU254" s="148">
        <f>SUM(AU256:AU258)</f>
        <v>0</v>
      </c>
      <c r="AV254" s="152">
        <f t="shared" si="126"/>
        <v>22</v>
      </c>
      <c r="AW254" s="153">
        <f t="shared" si="560"/>
        <v>8.6666666666666661</v>
      </c>
      <c r="AX254" s="150">
        <f t="shared" si="127"/>
        <v>13.333333333333334</v>
      </c>
      <c r="AY254" s="151">
        <f t="shared" si="128"/>
        <v>22</v>
      </c>
      <c r="AZ254" s="148">
        <f>SUM(AZ256:AZ258)</f>
        <v>0</v>
      </c>
      <c r="BA254" s="152">
        <f t="shared" si="129"/>
        <v>22</v>
      </c>
      <c r="BB254" s="153">
        <f t="shared" si="561"/>
        <v>8.6666666666666661</v>
      </c>
      <c r="BC254" s="150">
        <f t="shared" si="130"/>
        <v>13.333333333333334</v>
      </c>
      <c r="BD254" s="151">
        <f t="shared" si="131"/>
        <v>22</v>
      </c>
      <c r="BE254" s="148">
        <f>SUM(BE256:BE258)</f>
        <v>0</v>
      </c>
      <c r="BF254" s="152">
        <f t="shared" si="132"/>
        <v>22</v>
      </c>
      <c r="BG254" s="153">
        <f t="shared" si="562"/>
        <v>8.6666666666666661</v>
      </c>
      <c r="BH254" s="150">
        <f t="shared" si="133"/>
        <v>13.333333333333334</v>
      </c>
      <c r="BI254" s="151">
        <f t="shared" si="134"/>
        <v>22</v>
      </c>
      <c r="BJ254" s="148">
        <f>SUM(BJ256:BJ258)</f>
        <v>0</v>
      </c>
      <c r="BK254" s="152">
        <f t="shared" si="135"/>
        <v>22</v>
      </c>
      <c r="BL254" s="153">
        <f t="shared" si="563"/>
        <v>8.6666666666666661</v>
      </c>
      <c r="BM254" s="150">
        <f t="shared" si="136"/>
        <v>13.333333333333334</v>
      </c>
      <c r="BN254" s="151">
        <f t="shared" si="137"/>
        <v>22</v>
      </c>
      <c r="BO254" s="148">
        <f>SUM(BO256:BO258)</f>
        <v>0</v>
      </c>
      <c r="BP254" s="152">
        <f t="shared" si="138"/>
        <v>22</v>
      </c>
      <c r="BQ254" s="153">
        <f t="shared" si="564"/>
        <v>8.6666666666666661</v>
      </c>
      <c r="BR254" s="150">
        <f t="shared" si="139"/>
        <v>13.333333333333334</v>
      </c>
      <c r="BS254" s="151">
        <f t="shared" si="140"/>
        <v>22</v>
      </c>
      <c r="BT254" s="148">
        <f>SUM(BT256:BT258)</f>
        <v>0</v>
      </c>
      <c r="BU254" s="138">
        <f t="shared" si="141"/>
        <v>22</v>
      </c>
      <c r="BV254" s="139">
        <f t="shared" si="565"/>
        <v>8.6666666666666661</v>
      </c>
      <c r="BW254" s="143">
        <f>AF254+AA254+V254+Q254+AK254+AP254+AU254+AZ254+BE254+BJ254+BO254+BT254+K254</f>
        <v>22</v>
      </c>
      <c r="BX254" s="142">
        <f t="shared" si="49"/>
        <v>-138</v>
      </c>
    </row>
    <row r="255" spans="2:76" ht="30.6" customHeight="1">
      <c r="C255" s="167" t="s">
        <v>81</v>
      </c>
      <c r="D255" s="168"/>
      <c r="E255" s="169"/>
      <c r="F255" s="170">
        <f>SUM(F256:F258)</f>
        <v>138</v>
      </c>
      <c r="G255" s="171">
        <f>SUM(G256:G258)</f>
        <v>819720</v>
      </c>
      <c r="H255" s="170">
        <f>SUM(H256:H258)</f>
        <v>191.99999999999997</v>
      </c>
      <c r="I255" s="171">
        <f>SUM(I256:I258)</f>
        <v>1140479.9999999998</v>
      </c>
      <c r="J255" s="172"/>
      <c r="K255" s="173"/>
      <c r="L255" s="173"/>
      <c r="M255" s="173"/>
      <c r="N255" s="174"/>
      <c r="O255" s="175">
        <f>SUM(O256:O258)</f>
        <v>13.605936214241318</v>
      </c>
      <c r="P255" s="176"/>
      <c r="Q255" s="173"/>
      <c r="R255" s="177"/>
      <c r="S255" s="178"/>
      <c r="T255" s="175">
        <f>SUM(T256:T258)</f>
        <v>13.44</v>
      </c>
      <c r="U255" s="176"/>
      <c r="V255" s="173"/>
      <c r="W255" s="177"/>
      <c r="X255" s="178"/>
      <c r="Y255" s="175">
        <f>SUM(Y256:Y258)</f>
        <v>19.404228311741566</v>
      </c>
      <c r="Z255" s="176"/>
      <c r="AA255" s="173"/>
      <c r="AB255" s="177"/>
      <c r="AC255" s="178"/>
      <c r="AD255" s="175">
        <f>SUM(AD256:AD258)</f>
        <v>15.36</v>
      </c>
      <c r="AE255" s="176"/>
      <c r="AF255" s="173"/>
      <c r="AG255" s="177"/>
      <c r="AH255" s="178"/>
      <c r="AI255" s="175">
        <f>SUM(AI256:AI258)</f>
        <v>14.624010303060675</v>
      </c>
      <c r="AJ255" s="176"/>
      <c r="AK255" s="173"/>
      <c r="AL255" s="177"/>
      <c r="AM255" s="178"/>
      <c r="AN255" s="175">
        <f>SUM(AN256:AN258)</f>
        <v>23.04</v>
      </c>
      <c r="AO255" s="176"/>
      <c r="AP255" s="173"/>
      <c r="AQ255" s="177"/>
      <c r="AR255" s="178"/>
      <c r="AS255" s="175">
        <f>SUM(AS256:AS258)</f>
        <v>19.2</v>
      </c>
      <c r="AT255" s="176"/>
      <c r="AU255" s="173"/>
      <c r="AV255" s="177"/>
      <c r="AW255" s="178"/>
      <c r="AX255" s="175">
        <f>SUM(AX256:AX258)</f>
        <v>17.279999999999998</v>
      </c>
      <c r="AY255" s="176"/>
      <c r="AZ255" s="173"/>
      <c r="BA255" s="177"/>
      <c r="BB255" s="178"/>
      <c r="BC255" s="175">
        <f>SUM(BC256:BC258)</f>
        <v>19.2</v>
      </c>
      <c r="BD255" s="176"/>
      <c r="BE255" s="173"/>
      <c r="BF255" s="177"/>
      <c r="BG255" s="178"/>
      <c r="BH255" s="175">
        <f>SUM(BH256:BH258)</f>
        <v>11.691720095907195</v>
      </c>
      <c r="BI255" s="176"/>
      <c r="BJ255" s="173"/>
      <c r="BK255" s="177"/>
      <c r="BL255" s="178"/>
      <c r="BM255" s="175">
        <f>SUM(BM256:BM258)</f>
        <v>10.679639175369076</v>
      </c>
      <c r="BN255" s="176"/>
      <c r="BO255" s="173"/>
      <c r="BP255" s="177"/>
      <c r="BQ255" s="178"/>
      <c r="BR255" s="175">
        <f>SUM(BR256:BR258)</f>
        <v>15.36</v>
      </c>
      <c r="BS255" s="176"/>
      <c r="BT255" s="173"/>
      <c r="BU255" s="177"/>
      <c r="BV255" s="178"/>
      <c r="BW255" s="179"/>
      <c r="BX255" s="180"/>
    </row>
    <row r="256" spans="2:76" ht="30.75" customHeight="1">
      <c r="C256" s="510" t="s">
        <v>74</v>
      </c>
      <c r="D256" s="98">
        <v>1</v>
      </c>
      <c r="E256" s="111"/>
      <c r="F256" s="164">
        <v>61</v>
      </c>
      <c r="G256" s="46">
        <f>F256*5940</f>
        <v>362340</v>
      </c>
      <c r="H256" s="7">
        <f>F256*($H$254/$F$254)</f>
        <v>84.869565217391298</v>
      </c>
      <c r="I256" s="46">
        <f t="shared" ref="I256:I258" si="666">H256*5940</f>
        <v>504125.21739130432</v>
      </c>
      <c r="J256" s="49">
        <v>16</v>
      </c>
      <c r="K256" s="39">
        <f t="shared" si="566"/>
        <v>9</v>
      </c>
      <c r="L256" s="39">
        <v>9</v>
      </c>
      <c r="M256" s="39"/>
      <c r="N256" s="42"/>
      <c r="O256" s="81">
        <f>$H$256*月別販売比率!C5</f>
        <v>6.0142181816573936</v>
      </c>
      <c r="P256" s="40">
        <f t="shared" ref="P256:P258" si="667">K256</f>
        <v>9</v>
      </c>
      <c r="Q256" s="39"/>
      <c r="R256" s="43">
        <f t="shared" ref="R256:R258" si="668">Q256+K256</f>
        <v>9</v>
      </c>
      <c r="S256" s="91">
        <f t="shared" si="554"/>
        <v>2.9857818183426064</v>
      </c>
      <c r="T256" s="81">
        <f>$H$256*月別販売比率!H5</f>
        <v>5.9408695652173913</v>
      </c>
      <c r="U256" s="40">
        <f t="shared" ref="U256:U258" si="669">K256</f>
        <v>9</v>
      </c>
      <c r="V256" s="39"/>
      <c r="W256" s="40">
        <f t="shared" ref="W256:W258" si="670">K256+V256</f>
        <v>9</v>
      </c>
      <c r="X256" s="91">
        <f t="shared" si="555"/>
        <v>3.0591304347826087</v>
      </c>
      <c r="Y256" s="81">
        <f>$H$256*月別販売比率!M5</f>
        <v>8.5772313551901131</v>
      </c>
      <c r="Z256" s="40">
        <f t="shared" ref="Z256:Z258" si="671">K256</f>
        <v>9</v>
      </c>
      <c r="AA256" s="39"/>
      <c r="AB256" s="96">
        <f t="shared" ref="AB256:AB258" si="672">K256+AA256</f>
        <v>9</v>
      </c>
      <c r="AC256" s="91">
        <f t="shared" si="556"/>
        <v>0.42276864480988685</v>
      </c>
      <c r="AD256" s="81">
        <f>$H$256*月別販売比率!R5</f>
        <v>6.7895652173913037</v>
      </c>
      <c r="AE256" s="40">
        <f t="shared" ref="AE256:AE258" si="673">K256</f>
        <v>9</v>
      </c>
      <c r="AF256" s="39"/>
      <c r="AG256" s="40">
        <f t="shared" ref="AG256:AG258" si="674">K256+AF256</f>
        <v>9</v>
      </c>
      <c r="AH256" s="91">
        <f t="shared" si="557"/>
        <v>2.2104347826086963</v>
      </c>
      <c r="AI256" s="81">
        <f>$H$256*月別販売比率!W5</f>
        <v>6.4642364383094293</v>
      </c>
      <c r="AJ256" s="40">
        <f t="shared" ref="AJ256:AJ258" si="675">K256</f>
        <v>9</v>
      </c>
      <c r="AK256" s="39"/>
      <c r="AL256" s="40">
        <f t="shared" ref="AL256:AL258" si="676">K256+AK256</f>
        <v>9</v>
      </c>
      <c r="AM256" s="91">
        <f t="shared" si="558"/>
        <v>2.5357635616905707</v>
      </c>
      <c r="AN256" s="81">
        <f>$H$256*月別販売比率!AB5</f>
        <v>10.184347826086956</v>
      </c>
      <c r="AO256" s="40">
        <f t="shared" ref="AO256:AO258" si="677">K256</f>
        <v>9</v>
      </c>
      <c r="AP256" s="39"/>
      <c r="AQ256" s="40">
        <f t="shared" ref="AQ256:AQ258" si="678">K256+AP256</f>
        <v>9</v>
      </c>
      <c r="AR256" s="91">
        <f t="shared" si="559"/>
        <v>-1.184347826086956</v>
      </c>
      <c r="AS256" s="81">
        <f>$H$256*月別販売比率!AG5</f>
        <v>8.4869565217391294</v>
      </c>
      <c r="AT256" s="40">
        <f t="shared" ref="AT256:AT258" si="679">K256</f>
        <v>9</v>
      </c>
      <c r="AU256" s="39"/>
      <c r="AV256" s="40">
        <f t="shared" ref="AV256:AV258" si="680">K256+AU256</f>
        <v>9</v>
      </c>
      <c r="AW256" s="91">
        <f t="shared" si="560"/>
        <v>0.5130434782608706</v>
      </c>
      <c r="AX256" s="81">
        <f>$H$256*月別販売比率!AL5</f>
        <v>7.6382608695652161</v>
      </c>
      <c r="AY256" s="40">
        <f t="shared" ref="AY256:AY258" si="681">K256</f>
        <v>9</v>
      </c>
      <c r="AZ256" s="39"/>
      <c r="BA256" s="43">
        <f t="shared" ref="BA256:BA258" si="682">K256+AZ256</f>
        <v>9</v>
      </c>
      <c r="BB256" s="91">
        <f t="shared" si="561"/>
        <v>1.3617391304347839</v>
      </c>
      <c r="BC256" s="81">
        <f>$H$256*月別販売比率!AQ5</f>
        <v>8.4869565217391294</v>
      </c>
      <c r="BD256" s="40">
        <f t="shared" ref="BD256:BD258" si="683">K256</f>
        <v>9</v>
      </c>
      <c r="BE256" s="39"/>
      <c r="BF256" s="43">
        <f t="shared" ref="BF256:BF258" si="684">K256+BE256</f>
        <v>9</v>
      </c>
      <c r="BG256" s="91">
        <f t="shared" si="562"/>
        <v>0.5130434782608706</v>
      </c>
      <c r="BH256" s="81">
        <f>$H$256*月別販売比率!AV5</f>
        <v>5.1680791728285422</v>
      </c>
      <c r="BI256" s="40">
        <f t="shared" ref="BI256:BI258" si="685">K256</f>
        <v>9</v>
      </c>
      <c r="BJ256" s="39"/>
      <c r="BK256" s="43">
        <f t="shared" ref="BK256:BK258" si="686">K256+BJ256</f>
        <v>9</v>
      </c>
      <c r="BL256" s="91">
        <f t="shared" si="563"/>
        <v>3.8319208271714578</v>
      </c>
      <c r="BM256" s="81">
        <f>$H$256*月別販売比率!BA5</f>
        <v>4.7207100702718385</v>
      </c>
      <c r="BN256" s="40">
        <f t="shared" ref="BN256:BN258" si="687">K256</f>
        <v>9</v>
      </c>
      <c r="BO256" s="39"/>
      <c r="BP256" s="43">
        <f>K256+BO256</f>
        <v>9</v>
      </c>
      <c r="BQ256" s="91">
        <f t="shared" si="564"/>
        <v>4.2792899297281615</v>
      </c>
      <c r="BR256" s="81">
        <f>$H$256*月別販売比率!BF5</f>
        <v>6.7895652173913037</v>
      </c>
      <c r="BS256" s="40">
        <f t="shared" ref="BS256:BS258" si="688">K256</f>
        <v>9</v>
      </c>
      <c r="BT256" s="39"/>
      <c r="BU256" s="43">
        <f t="shared" ref="BU256:BU258" si="689">K256+BT256</f>
        <v>9</v>
      </c>
      <c r="BV256" s="91">
        <f t="shared" si="565"/>
        <v>2.2104347826086963</v>
      </c>
      <c r="BW256" s="157">
        <f t="shared" ref="BW256:BW258" si="690">AF256+AA256+V256+Q256+AK256+AP256+AU256+AZ256+BE256+BJ256+BO256+BT256+K256</f>
        <v>9</v>
      </c>
      <c r="BX256" s="51">
        <f t="shared" ref="BX256:BX258" si="691">BW256-H256</f>
        <v>-75.869565217391298</v>
      </c>
    </row>
    <row r="257" spans="2:77" ht="30.75" customHeight="1">
      <c r="C257" s="504"/>
      <c r="D257" s="93">
        <v>2</v>
      </c>
      <c r="E257" s="111"/>
      <c r="F257" s="165">
        <v>63</v>
      </c>
      <c r="G257" s="5">
        <f t="shared" ref="G257:G258" si="692">F257*5940</f>
        <v>374220</v>
      </c>
      <c r="H257" s="7">
        <f t="shared" ref="H257:H258" si="693">F257*($H$254/$F$254)</f>
        <v>87.65217391304347</v>
      </c>
      <c r="I257" s="5">
        <f t="shared" si="666"/>
        <v>520653.91304347821</v>
      </c>
      <c r="J257" s="9">
        <v>43</v>
      </c>
      <c r="K257" s="21">
        <f t="shared" si="566"/>
        <v>13</v>
      </c>
      <c r="L257" s="21">
        <v>9</v>
      </c>
      <c r="M257" s="21">
        <v>4</v>
      </c>
      <c r="N257" s="42"/>
      <c r="O257" s="81">
        <f>$H$257*月別販売比率!C5</f>
        <v>6.2114056630232097</v>
      </c>
      <c r="P257" s="10">
        <f t="shared" si="667"/>
        <v>13</v>
      </c>
      <c r="Q257" s="21"/>
      <c r="R257" s="19">
        <f t="shared" si="668"/>
        <v>13</v>
      </c>
      <c r="S257" s="24">
        <f t="shared" si="554"/>
        <v>6.7885943369767903</v>
      </c>
      <c r="T257" s="81">
        <f>$H$257*月別販売比率!H5</f>
        <v>6.1356521739130434</v>
      </c>
      <c r="U257" s="10">
        <f t="shared" si="669"/>
        <v>13</v>
      </c>
      <c r="V257" s="21"/>
      <c r="W257" s="10">
        <f t="shared" si="670"/>
        <v>13</v>
      </c>
      <c r="X257" s="24">
        <f t="shared" si="555"/>
        <v>6.8643478260869566</v>
      </c>
      <c r="Y257" s="81">
        <f>$H$257*月別販売比率!M5</f>
        <v>8.8584520553602797</v>
      </c>
      <c r="Z257" s="10">
        <f t="shared" si="671"/>
        <v>13</v>
      </c>
      <c r="AA257" s="21"/>
      <c r="AB257" s="97">
        <f t="shared" si="672"/>
        <v>13</v>
      </c>
      <c r="AC257" s="24">
        <f t="shared" si="556"/>
        <v>4.1415479446397203</v>
      </c>
      <c r="AD257" s="81">
        <f>$H$257*月別販売比率!R5</f>
        <v>7.0121739130434779</v>
      </c>
      <c r="AE257" s="10">
        <f t="shared" si="673"/>
        <v>13</v>
      </c>
      <c r="AF257" s="21"/>
      <c r="AG257" s="10">
        <f t="shared" si="674"/>
        <v>13</v>
      </c>
      <c r="AH257" s="24">
        <f t="shared" si="557"/>
        <v>5.9878260869565221</v>
      </c>
      <c r="AI257" s="81">
        <f>$H$257*月別販売比率!W5</f>
        <v>6.6761786166146564</v>
      </c>
      <c r="AJ257" s="10">
        <f t="shared" si="675"/>
        <v>13</v>
      </c>
      <c r="AK257" s="21"/>
      <c r="AL257" s="10">
        <f t="shared" si="676"/>
        <v>13</v>
      </c>
      <c r="AM257" s="24">
        <f t="shared" si="558"/>
        <v>6.3238213833853436</v>
      </c>
      <c r="AN257" s="81">
        <f>$H$257*月別販売比率!AB5</f>
        <v>10.518260869565216</v>
      </c>
      <c r="AO257" s="10">
        <f t="shared" si="677"/>
        <v>13</v>
      </c>
      <c r="AP257" s="21"/>
      <c r="AQ257" s="10">
        <f t="shared" si="678"/>
        <v>13</v>
      </c>
      <c r="AR257" s="24">
        <f t="shared" si="559"/>
        <v>2.481739130434784</v>
      </c>
      <c r="AS257" s="81">
        <f>$H$257*月別販売比率!AG5</f>
        <v>8.765217391304347</v>
      </c>
      <c r="AT257" s="10">
        <f t="shared" si="679"/>
        <v>13</v>
      </c>
      <c r="AU257" s="21"/>
      <c r="AV257" s="10">
        <f t="shared" si="680"/>
        <v>13</v>
      </c>
      <c r="AW257" s="24">
        <f t="shared" si="560"/>
        <v>4.234782608695653</v>
      </c>
      <c r="AX257" s="81">
        <f>$H$257*月別販売比率!AL5</f>
        <v>7.8886956521739116</v>
      </c>
      <c r="AY257" s="10">
        <f t="shared" si="681"/>
        <v>13</v>
      </c>
      <c r="AZ257" s="21"/>
      <c r="BA257" s="19">
        <f t="shared" si="682"/>
        <v>13</v>
      </c>
      <c r="BB257" s="24">
        <f t="shared" si="561"/>
        <v>5.1113043478260884</v>
      </c>
      <c r="BC257" s="81">
        <f>$H$257*月別販売比率!AQ5</f>
        <v>8.765217391304347</v>
      </c>
      <c r="BD257" s="10">
        <f t="shared" si="683"/>
        <v>13</v>
      </c>
      <c r="BE257" s="21"/>
      <c r="BF257" s="19">
        <f t="shared" si="684"/>
        <v>13</v>
      </c>
      <c r="BG257" s="24">
        <f t="shared" si="562"/>
        <v>4.234782608695653</v>
      </c>
      <c r="BH257" s="81">
        <f>$H$257*月別販売比率!AV5</f>
        <v>5.3375243916098061</v>
      </c>
      <c r="BI257" s="10">
        <f t="shared" si="685"/>
        <v>13</v>
      </c>
      <c r="BJ257" s="21"/>
      <c r="BK257" s="19">
        <f t="shared" si="686"/>
        <v>13</v>
      </c>
      <c r="BL257" s="24">
        <f t="shared" si="563"/>
        <v>7.6624756083901939</v>
      </c>
      <c r="BM257" s="81">
        <f>$H$257*月別販売比率!BA5</f>
        <v>4.8754874496250133</v>
      </c>
      <c r="BN257" s="10">
        <f t="shared" si="687"/>
        <v>13</v>
      </c>
      <c r="BO257" s="21"/>
      <c r="BP257" s="19">
        <f t="shared" ref="BP257:BP258" si="694">K257+BO257</f>
        <v>13</v>
      </c>
      <c r="BQ257" s="24">
        <f t="shared" si="564"/>
        <v>8.1245125503749875</v>
      </c>
      <c r="BR257" s="81">
        <f>$H$257*月別販売比率!BF5</f>
        <v>7.0121739130434779</v>
      </c>
      <c r="BS257" s="10">
        <f t="shared" si="688"/>
        <v>13</v>
      </c>
      <c r="BT257" s="21"/>
      <c r="BU257" s="19">
        <f t="shared" si="689"/>
        <v>13</v>
      </c>
      <c r="BV257" s="24">
        <f t="shared" si="565"/>
        <v>5.9878260869565221</v>
      </c>
      <c r="BW257" s="158">
        <f t="shared" si="690"/>
        <v>13</v>
      </c>
      <c r="BX257" s="29">
        <f t="shared" si="691"/>
        <v>-74.65217391304347</v>
      </c>
    </row>
    <row r="258" spans="2:77" ht="30.75" customHeight="1">
      <c r="C258" s="505"/>
      <c r="D258" s="100">
        <v>3</v>
      </c>
      <c r="E258" s="112"/>
      <c r="F258" s="166">
        <v>14</v>
      </c>
      <c r="G258" s="35">
        <f t="shared" si="692"/>
        <v>83160</v>
      </c>
      <c r="H258" s="181">
        <f t="shared" si="693"/>
        <v>19.478260869565219</v>
      </c>
      <c r="I258" s="35">
        <f t="shared" si="666"/>
        <v>115700.86956521739</v>
      </c>
      <c r="J258" s="113">
        <v>0</v>
      </c>
      <c r="K258" s="103">
        <f t="shared" si="566"/>
        <v>0</v>
      </c>
      <c r="L258" s="114"/>
      <c r="M258" s="104"/>
      <c r="N258" s="117"/>
      <c r="O258" s="81">
        <f>$H$258*月別販売比率!C5</f>
        <v>1.3803123695607136</v>
      </c>
      <c r="P258" s="106">
        <f t="shared" si="667"/>
        <v>0</v>
      </c>
      <c r="Q258" s="107"/>
      <c r="R258" s="2">
        <f t="shared" si="668"/>
        <v>0</v>
      </c>
      <c r="S258" s="194">
        <f t="shared" si="554"/>
        <v>-1.3803123695607136</v>
      </c>
      <c r="T258" s="81">
        <f>$H$258*月別販売比率!H5</f>
        <v>1.3634782608695655</v>
      </c>
      <c r="U258" s="106">
        <f t="shared" si="669"/>
        <v>0</v>
      </c>
      <c r="V258" s="107"/>
      <c r="W258" s="106">
        <f t="shared" si="670"/>
        <v>0</v>
      </c>
      <c r="X258" s="195">
        <f t="shared" si="555"/>
        <v>-1.3634782608695655</v>
      </c>
      <c r="Y258" s="81">
        <f>$H$258*月別販売比率!M5</f>
        <v>1.9685449011911738</v>
      </c>
      <c r="Z258" s="106">
        <f t="shared" si="671"/>
        <v>0</v>
      </c>
      <c r="AA258" s="107"/>
      <c r="AB258" s="196">
        <f t="shared" si="672"/>
        <v>0</v>
      </c>
      <c r="AC258" s="195">
        <f t="shared" si="556"/>
        <v>-1.9685449011911738</v>
      </c>
      <c r="AD258" s="81">
        <f>$H$258*月別販売比率!R5</f>
        <v>1.5582608695652176</v>
      </c>
      <c r="AE258" s="106">
        <f t="shared" si="673"/>
        <v>0</v>
      </c>
      <c r="AF258" s="107"/>
      <c r="AG258" s="106">
        <f t="shared" si="674"/>
        <v>0</v>
      </c>
      <c r="AH258" s="195">
        <f t="shared" si="557"/>
        <v>-1.5582608695652176</v>
      </c>
      <c r="AI258" s="81">
        <f>$H$258*月別販売比率!W5</f>
        <v>1.4835952481365906</v>
      </c>
      <c r="AJ258" s="106">
        <f t="shared" si="675"/>
        <v>0</v>
      </c>
      <c r="AK258" s="107"/>
      <c r="AL258" s="106">
        <f t="shared" si="676"/>
        <v>0</v>
      </c>
      <c r="AM258" s="195">
        <f t="shared" si="558"/>
        <v>-1.4835952481365906</v>
      </c>
      <c r="AN258" s="81">
        <f>$H$258*月別販売比率!AB5</f>
        <v>2.3373913043478263</v>
      </c>
      <c r="AO258" s="106">
        <f t="shared" si="677"/>
        <v>0</v>
      </c>
      <c r="AP258" s="107"/>
      <c r="AQ258" s="106">
        <f t="shared" si="678"/>
        <v>0</v>
      </c>
      <c r="AR258" s="195">
        <f t="shared" si="559"/>
        <v>-2.3373913043478263</v>
      </c>
      <c r="AS258" s="81">
        <f>$H$258*月別販売比率!AG5</f>
        <v>1.947826086956522</v>
      </c>
      <c r="AT258" s="106">
        <f t="shared" si="679"/>
        <v>0</v>
      </c>
      <c r="AU258" s="107"/>
      <c r="AV258" s="106">
        <f t="shared" si="680"/>
        <v>0</v>
      </c>
      <c r="AW258" s="195">
        <f t="shared" si="560"/>
        <v>-1.947826086956522</v>
      </c>
      <c r="AX258" s="81">
        <f>$H$258*月別販売比率!AL5</f>
        <v>1.7530434782608697</v>
      </c>
      <c r="AY258" s="106">
        <f t="shared" si="681"/>
        <v>0</v>
      </c>
      <c r="AZ258" s="107"/>
      <c r="BA258" s="2">
        <f t="shared" si="682"/>
        <v>0</v>
      </c>
      <c r="BB258" s="195">
        <f t="shared" si="561"/>
        <v>-1.7530434782608697</v>
      </c>
      <c r="BC258" s="81">
        <f>$H$258*月別販売比率!AQ5</f>
        <v>1.947826086956522</v>
      </c>
      <c r="BD258" s="106">
        <f t="shared" si="683"/>
        <v>0</v>
      </c>
      <c r="BE258" s="107"/>
      <c r="BF258" s="2">
        <f t="shared" si="684"/>
        <v>0</v>
      </c>
      <c r="BG258" s="195">
        <f t="shared" si="562"/>
        <v>-1.947826086956522</v>
      </c>
      <c r="BH258" s="81">
        <f>$H$258*月別販売比率!AV5</f>
        <v>1.186116531468846</v>
      </c>
      <c r="BI258" s="106">
        <f t="shared" si="685"/>
        <v>0</v>
      </c>
      <c r="BJ258" s="107"/>
      <c r="BK258" s="2">
        <f t="shared" si="686"/>
        <v>0</v>
      </c>
      <c r="BL258" s="195">
        <f t="shared" si="563"/>
        <v>-1.186116531468846</v>
      </c>
      <c r="BM258" s="81">
        <f>$H$258*月別販売比率!BA5</f>
        <v>1.0834416554722255</v>
      </c>
      <c r="BN258" s="106">
        <f t="shared" si="687"/>
        <v>0</v>
      </c>
      <c r="BO258" s="107"/>
      <c r="BP258" s="2">
        <f t="shared" si="694"/>
        <v>0</v>
      </c>
      <c r="BQ258" s="195">
        <f t="shared" si="564"/>
        <v>-1.0834416554722255</v>
      </c>
      <c r="BR258" s="81">
        <f>$H$258*月別販売比率!BF5</f>
        <v>1.5582608695652176</v>
      </c>
      <c r="BS258" s="106">
        <f t="shared" si="688"/>
        <v>0</v>
      </c>
      <c r="BT258" s="107"/>
      <c r="BU258" s="115">
        <f t="shared" si="689"/>
        <v>0</v>
      </c>
      <c r="BV258" s="92">
        <f t="shared" si="565"/>
        <v>-1.5582608695652176</v>
      </c>
      <c r="BW258" s="159">
        <f t="shared" si="690"/>
        <v>0</v>
      </c>
      <c r="BX258" s="116">
        <f t="shared" si="691"/>
        <v>-19.478260869565219</v>
      </c>
    </row>
    <row r="259" spans="2:77" ht="30.75" customHeight="1">
      <c r="B259" s="2">
        <v>21</v>
      </c>
      <c r="C259" s="435" t="s">
        <v>16</v>
      </c>
      <c r="D259" s="436"/>
      <c r="E259" s="445"/>
      <c r="F259" s="130">
        <v>208</v>
      </c>
      <c r="G259" s="131">
        <v>684835.47</v>
      </c>
      <c r="H259" s="132">
        <v>220</v>
      </c>
      <c r="I259" s="131">
        <f t="shared" si="42"/>
        <v>724345.20865384606</v>
      </c>
      <c r="J259" s="133">
        <f>SUM(J261:J268)</f>
        <v>202</v>
      </c>
      <c r="K259" s="134">
        <f t="shared" ref="K259:N259" si="695">SUM(K261:K268)</f>
        <v>89</v>
      </c>
      <c r="L259" s="134">
        <f t="shared" si="695"/>
        <v>58</v>
      </c>
      <c r="M259" s="134">
        <f t="shared" si="695"/>
        <v>31</v>
      </c>
      <c r="N259" s="135">
        <f t="shared" si="695"/>
        <v>0</v>
      </c>
      <c r="O259" s="150">
        <f t="shared" si="344"/>
        <v>18.333333333333332</v>
      </c>
      <c r="P259" s="151">
        <f>K259</f>
        <v>89</v>
      </c>
      <c r="Q259" s="148">
        <f>SUM(Q261:Q268)</f>
        <v>0</v>
      </c>
      <c r="R259" s="152">
        <f t="shared" si="108"/>
        <v>89</v>
      </c>
      <c r="S259" s="153">
        <f t="shared" si="554"/>
        <v>70.666666666666671</v>
      </c>
      <c r="T259" s="150">
        <f t="shared" si="109"/>
        <v>18.333333333333332</v>
      </c>
      <c r="U259" s="151">
        <f t="shared" si="110"/>
        <v>89</v>
      </c>
      <c r="V259" s="148">
        <f>SUM(V261:V268)</f>
        <v>0</v>
      </c>
      <c r="W259" s="197">
        <f t="shared" si="111"/>
        <v>89</v>
      </c>
      <c r="X259" s="153">
        <f t="shared" si="555"/>
        <v>70.666666666666671</v>
      </c>
      <c r="Y259" s="150">
        <f t="shared" si="112"/>
        <v>18.333333333333332</v>
      </c>
      <c r="Z259" s="151">
        <f t="shared" si="113"/>
        <v>89</v>
      </c>
      <c r="AA259" s="148">
        <f>SUM(AA261:AA268)</f>
        <v>0</v>
      </c>
      <c r="AB259" s="154">
        <f t="shared" si="114"/>
        <v>89</v>
      </c>
      <c r="AC259" s="153">
        <f t="shared" si="556"/>
        <v>70.666666666666671</v>
      </c>
      <c r="AD259" s="150">
        <f t="shared" si="115"/>
        <v>18.333333333333332</v>
      </c>
      <c r="AE259" s="151">
        <f t="shared" si="116"/>
        <v>89</v>
      </c>
      <c r="AF259" s="148">
        <f>SUM(AF261:AF268)</f>
        <v>0</v>
      </c>
      <c r="AG259" s="152">
        <f t="shared" si="117"/>
        <v>89</v>
      </c>
      <c r="AH259" s="153">
        <f t="shared" si="557"/>
        <v>70.666666666666671</v>
      </c>
      <c r="AI259" s="150">
        <f t="shared" si="118"/>
        <v>18.333333333333332</v>
      </c>
      <c r="AJ259" s="151">
        <f t="shared" si="119"/>
        <v>89</v>
      </c>
      <c r="AK259" s="148">
        <f>SUM(AK261:AK268)</f>
        <v>0</v>
      </c>
      <c r="AL259" s="152">
        <f t="shared" si="120"/>
        <v>89</v>
      </c>
      <c r="AM259" s="153">
        <f t="shared" si="558"/>
        <v>70.666666666666671</v>
      </c>
      <c r="AN259" s="150">
        <f t="shared" si="121"/>
        <v>18.333333333333332</v>
      </c>
      <c r="AO259" s="151">
        <f t="shared" si="122"/>
        <v>89</v>
      </c>
      <c r="AP259" s="148">
        <f>SUM(AP261:AP268)</f>
        <v>0</v>
      </c>
      <c r="AQ259" s="152">
        <f t="shared" si="123"/>
        <v>89</v>
      </c>
      <c r="AR259" s="153">
        <f t="shared" si="559"/>
        <v>70.666666666666671</v>
      </c>
      <c r="AS259" s="150">
        <f t="shared" si="124"/>
        <v>18.333333333333332</v>
      </c>
      <c r="AT259" s="151">
        <f t="shared" si="125"/>
        <v>89</v>
      </c>
      <c r="AU259" s="148">
        <f>SUM(AU261:AU268)</f>
        <v>0</v>
      </c>
      <c r="AV259" s="197">
        <f t="shared" si="126"/>
        <v>89</v>
      </c>
      <c r="AW259" s="153">
        <f t="shared" si="560"/>
        <v>70.666666666666671</v>
      </c>
      <c r="AX259" s="150">
        <f t="shared" si="127"/>
        <v>18.333333333333332</v>
      </c>
      <c r="AY259" s="151">
        <f t="shared" si="128"/>
        <v>89</v>
      </c>
      <c r="AZ259" s="148">
        <f>SUM(AZ261:AZ268)</f>
        <v>0</v>
      </c>
      <c r="BA259" s="152">
        <f t="shared" si="129"/>
        <v>89</v>
      </c>
      <c r="BB259" s="153">
        <f t="shared" si="561"/>
        <v>70.666666666666671</v>
      </c>
      <c r="BC259" s="150">
        <f t="shared" si="130"/>
        <v>18.333333333333332</v>
      </c>
      <c r="BD259" s="151">
        <f t="shared" si="131"/>
        <v>89</v>
      </c>
      <c r="BE259" s="148">
        <f>SUM(BE261:BE268)</f>
        <v>0</v>
      </c>
      <c r="BF259" s="152">
        <f t="shared" si="132"/>
        <v>89</v>
      </c>
      <c r="BG259" s="153">
        <f t="shared" si="562"/>
        <v>70.666666666666671</v>
      </c>
      <c r="BH259" s="150">
        <f t="shared" si="133"/>
        <v>18.333333333333332</v>
      </c>
      <c r="BI259" s="151">
        <f t="shared" si="134"/>
        <v>89</v>
      </c>
      <c r="BJ259" s="148">
        <f>SUM(BJ261:BJ268)</f>
        <v>0</v>
      </c>
      <c r="BK259" s="152">
        <f t="shared" si="135"/>
        <v>89</v>
      </c>
      <c r="BL259" s="153">
        <f t="shared" si="563"/>
        <v>70.666666666666671</v>
      </c>
      <c r="BM259" s="150">
        <f t="shared" si="136"/>
        <v>18.333333333333332</v>
      </c>
      <c r="BN259" s="151">
        <f t="shared" si="137"/>
        <v>89</v>
      </c>
      <c r="BO259" s="148">
        <f>SUM(BO261:BO268)</f>
        <v>0</v>
      </c>
      <c r="BP259" s="152">
        <f t="shared" si="138"/>
        <v>89</v>
      </c>
      <c r="BQ259" s="153">
        <f t="shared" si="564"/>
        <v>70.666666666666671</v>
      </c>
      <c r="BR259" s="150">
        <f t="shared" si="139"/>
        <v>18.333333333333332</v>
      </c>
      <c r="BS259" s="151">
        <f t="shared" si="140"/>
        <v>89</v>
      </c>
      <c r="BT259" s="148">
        <f>SUM(BT261:BT268)</f>
        <v>0</v>
      </c>
      <c r="BU259" s="138">
        <f t="shared" si="141"/>
        <v>89</v>
      </c>
      <c r="BV259" s="139">
        <f t="shared" si="565"/>
        <v>70.666666666666671</v>
      </c>
      <c r="BW259" s="143">
        <f>AF259+AA259+V259+Q259+AK259+AP259+AU259+AZ259+BE259+BJ259+BO259+BT259+K259</f>
        <v>89</v>
      </c>
      <c r="BX259" s="142">
        <f t="shared" si="49"/>
        <v>-131</v>
      </c>
    </row>
    <row r="260" spans="2:77" ht="30.6" customHeight="1">
      <c r="C260" s="167" t="s">
        <v>81</v>
      </c>
      <c r="D260" s="168"/>
      <c r="E260" s="169"/>
      <c r="F260" s="170">
        <f>SUM(F261:F268)</f>
        <v>217</v>
      </c>
      <c r="G260" s="171">
        <f>SUM(G261:G268)</f>
        <v>716100</v>
      </c>
      <c r="H260" s="170">
        <f>SUM(H261:H268)</f>
        <v>229.51923076923075</v>
      </c>
      <c r="I260" s="171">
        <f>SUM(I261:I268)</f>
        <v>757413.4615384615</v>
      </c>
      <c r="J260" s="172"/>
      <c r="K260" s="173"/>
      <c r="L260" s="173"/>
      <c r="M260" s="173"/>
      <c r="N260" s="174"/>
      <c r="O260" s="175">
        <f>SUM(O261:O268)</f>
        <v>16.264708405145246</v>
      </c>
      <c r="P260" s="176"/>
      <c r="Q260" s="173"/>
      <c r="R260" s="177"/>
      <c r="S260" s="178"/>
      <c r="T260" s="175">
        <f>SUM(T261:T268)</f>
        <v>16.066346153846155</v>
      </c>
      <c r="U260" s="176"/>
      <c r="V260" s="173"/>
      <c r="W260" s="177"/>
      <c r="X260" s="178"/>
      <c r="Y260" s="175">
        <f>SUM(Y261:Y268)</f>
        <v>23.196060186361741</v>
      </c>
      <c r="Z260" s="176"/>
      <c r="AA260" s="173"/>
      <c r="AB260" s="177"/>
      <c r="AC260" s="178"/>
      <c r="AD260" s="175">
        <f>SUM(AD261:AD268)</f>
        <v>18.361538461538462</v>
      </c>
      <c r="AE260" s="176"/>
      <c r="AF260" s="173"/>
      <c r="AG260" s="177"/>
      <c r="AH260" s="178"/>
      <c r="AI260" s="175">
        <f>SUM(AI261:AI268)</f>
        <v>17.481727059998917</v>
      </c>
      <c r="AJ260" s="176"/>
      <c r="AK260" s="173"/>
      <c r="AL260" s="177"/>
      <c r="AM260" s="178"/>
      <c r="AN260" s="175">
        <f>SUM(AN261:AN268)</f>
        <v>27.542307692307695</v>
      </c>
      <c r="AO260" s="176"/>
      <c r="AP260" s="173"/>
      <c r="AQ260" s="177"/>
      <c r="AR260" s="178"/>
      <c r="AS260" s="175">
        <f>SUM(AS261:AS268)</f>
        <v>22.95192307692308</v>
      </c>
      <c r="AT260" s="176"/>
      <c r="AU260" s="173"/>
      <c r="AV260" s="177"/>
      <c r="AW260" s="178"/>
      <c r="AX260" s="175">
        <f>SUM(AX261:AX268)</f>
        <v>20.656730769230769</v>
      </c>
      <c r="AY260" s="176"/>
      <c r="AZ260" s="173"/>
      <c r="BA260" s="177"/>
      <c r="BB260" s="178"/>
      <c r="BC260" s="175">
        <f>SUM(BC261:BC268)</f>
        <v>22.95192307692308</v>
      </c>
      <c r="BD260" s="176"/>
      <c r="BE260" s="173"/>
      <c r="BF260" s="177"/>
      <c r="BG260" s="178"/>
      <c r="BH260" s="175">
        <f>SUM(BH261:BH268)</f>
        <v>13.976430222821753</v>
      </c>
      <c r="BI260" s="176"/>
      <c r="BJ260" s="173"/>
      <c r="BK260" s="177"/>
      <c r="BL260" s="178"/>
      <c r="BM260" s="175">
        <f>SUM(BM261:BM268)</f>
        <v>12.766575877206524</v>
      </c>
      <c r="BN260" s="176"/>
      <c r="BO260" s="173"/>
      <c r="BP260" s="177"/>
      <c r="BQ260" s="178"/>
      <c r="BR260" s="175">
        <f>SUM(BR261:BR268)</f>
        <v>18.361538461538462</v>
      </c>
      <c r="BS260" s="176"/>
      <c r="BT260" s="173"/>
      <c r="BU260" s="177"/>
      <c r="BV260" s="178"/>
      <c r="BW260" s="179"/>
      <c r="BX260" s="180"/>
    </row>
    <row r="261" spans="2:77" ht="30.75" customHeight="1">
      <c r="C261" s="511" t="s">
        <v>80</v>
      </c>
      <c r="D261" s="443">
        <v>1</v>
      </c>
      <c r="E261" s="99" t="s">
        <v>46</v>
      </c>
      <c r="F261" s="56">
        <v>17</v>
      </c>
      <c r="G261" s="46">
        <f>F261*3300</f>
        <v>56100</v>
      </c>
      <c r="H261" s="7">
        <f>F261*($H$259/$F$259)</f>
        <v>17.98076923076923</v>
      </c>
      <c r="I261" s="46">
        <f t="shared" ref="I261:I268" si="696">H261*3300</f>
        <v>59336.538461538461</v>
      </c>
      <c r="J261" s="49">
        <v>0</v>
      </c>
      <c r="K261" s="39">
        <f t="shared" si="566"/>
        <v>13</v>
      </c>
      <c r="L261" s="39">
        <v>13</v>
      </c>
      <c r="M261" s="39"/>
      <c r="N261" s="42"/>
      <c r="O261" s="81">
        <f>$H$261*月別販売比率!C5</f>
        <v>1.2741937460252035</v>
      </c>
      <c r="P261" s="40">
        <f t="shared" ref="P261:P268" si="697">K261</f>
        <v>13</v>
      </c>
      <c r="Q261" s="39"/>
      <c r="R261" s="43">
        <f>Q261+K261</f>
        <v>13</v>
      </c>
      <c r="S261" s="91">
        <f t="shared" si="554"/>
        <v>11.725806253974797</v>
      </c>
      <c r="T261" s="81">
        <f>$H$261*月別販売比率!H5</f>
        <v>1.2586538461538461</v>
      </c>
      <c r="U261" s="40">
        <f>K261</f>
        <v>13</v>
      </c>
      <c r="V261" s="39"/>
      <c r="W261" s="40">
        <f t="shared" ref="W261:W268" si="698">K261+V261</f>
        <v>13</v>
      </c>
      <c r="X261" s="91">
        <f t="shared" si="555"/>
        <v>11.741346153846154</v>
      </c>
      <c r="Y261" s="81">
        <f>$H$261*月別販売比率!M5</f>
        <v>1.8172028717426247</v>
      </c>
      <c r="Z261" s="40">
        <f>K261</f>
        <v>13</v>
      </c>
      <c r="AA261" s="39"/>
      <c r="AB261" s="96">
        <f t="shared" ref="AB261:AB268" si="699">K261+AA261</f>
        <v>13</v>
      </c>
      <c r="AC261" s="91">
        <f t="shared" si="556"/>
        <v>11.182797128257375</v>
      </c>
      <c r="AD261" s="81">
        <f>$H$261*月別販売比率!R5</f>
        <v>1.4384615384615385</v>
      </c>
      <c r="AE261" s="40">
        <f>K261</f>
        <v>13</v>
      </c>
      <c r="AF261" s="39"/>
      <c r="AG261" s="40">
        <f t="shared" ref="AG261:AG268" si="700">K261+AF261</f>
        <v>13</v>
      </c>
      <c r="AH261" s="91">
        <f t="shared" si="557"/>
        <v>11.561538461538461</v>
      </c>
      <c r="AI261" s="81">
        <f>$H$261*月別販売比率!W5</f>
        <v>1.3695362212902378</v>
      </c>
      <c r="AJ261" s="40">
        <f>K261</f>
        <v>13</v>
      </c>
      <c r="AK261" s="39"/>
      <c r="AL261" s="40">
        <f t="shared" ref="AL261:AL268" si="701">K261+AK261</f>
        <v>13</v>
      </c>
      <c r="AM261" s="91">
        <f t="shared" si="558"/>
        <v>11.630463778709762</v>
      </c>
      <c r="AN261" s="81">
        <f>$H$261*月別販売比率!AB5</f>
        <v>2.1576923076923076</v>
      </c>
      <c r="AO261" s="40">
        <f>K261</f>
        <v>13</v>
      </c>
      <c r="AP261" s="39"/>
      <c r="AQ261" s="40">
        <f t="shared" ref="AQ261:AQ268" si="702">K261+AP261</f>
        <v>13</v>
      </c>
      <c r="AR261" s="91">
        <f t="shared" si="559"/>
        <v>10.842307692307692</v>
      </c>
      <c r="AS261" s="81">
        <f>$H$261*月別販売比率!AG5</f>
        <v>1.7980769230769231</v>
      </c>
      <c r="AT261" s="40">
        <f>K261</f>
        <v>13</v>
      </c>
      <c r="AU261" s="39"/>
      <c r="AV261" s="40">
        <f t="shared" ref="AV261:AV268" si="703">K261+AU261</f>
        <v>13</v>
      </c>
      <c r="AW261" s="91">
        <f t="shared" si="560"/>
        <v>11.201923076923077</v>
      </c>
      <c r="AX261" s="81">
        <f>$H$261*月別販売比率!AL5</f>
        <v>1.6182692307692306</v>
      </c>
      <c r="AY261" s="40">
        <f>K261</f>
        <v>13</v>
      </c>
      <c r="AZ261" s="39"/>
      <c r="BA261" s="43">
        <f>K261+AZ261</f>
        <v>13</v>
      </c>
      <c r="BB261" s="91">
        <f t="shared" si="561"/>
        <v>11.381730769230769</v>
      </c>
      <c r="BC261" s="81">
        <f>$H$261*月別販売比率!AQ5</f>
        <v>1.7980769230769231</v>
      </c>
      <c r="BD261" s="40">
        <f>K261</f>
        <v>13</v>
      </c>
      <c r="BE261" s="39"/>
      <c r="BF261" s="43">
        <f>K261+BE261</f>
        <v>13</v>
      </c>
      <c r="BG261" s="91">
        <f t="shared" si="562"/>
        <v>11.201923076923077</v>
      </c>
      <c r="BH261" s="81">
        <f>$H$261*月別販売比率!AV5</f>
        <v>1.0949277133086166</v>
      </c>
      <c r="BI261" s="40">
        <f>K261</f>
        <v>13</v>
      </c>
      <c r="BJ261" s="39"/>
      <c r="BK261" s="43">
        <f>K261+BJ261</f>
        <v>13</v>
      </c>
      <c r="BL261" s="91">
        <f t="shared" si="563"/>
        <v>11.905072286691384</v>
      </c>
      <c r="BM261" s="81">
        <f>$H$261*月別販売比率!BA5</f>
        <v>1.000146497292677</v>
      </c>
      <c r="BN261" s="40">
        <f>K261</f>
        <v>13</v>
      </c>
      <c r="BO261" s="39"/>
      <c r="BP261" s="43">
        <f>K261+BO261</f>
        <v>13</v>
      </c>
      <c r="BQ261" s="91">
        <f t="shared" si="564"/>
        <v>11.999853502707323</v>
      </c>
      <c r="BR261" s="81">
        <f>$H$261*月別販売比率!BF5</f>
        <v>1.4384615384615385</v>
      </c>
      <c r="BS261" s="40">
        <f>K261</f>
        <v>13</v>
      </c>
      <c r="BT261" s="39"/>
      <c r="BU261" s="43">
        <f>K261+BT261</f>
        <v>13</v>
      </c>
      <c r="BV261" s="91">
        <f t="shared" si="565"/>
        <v>11.561538461538461</v>
      </c>
      <c r="BW261" s="157">
        <f t="shared" ref="BW261:BW268" si="704">AF261+AA261+V261+Q261+AK261+AP261+AU261+AZ261+BE261+BJ261+BO261+BT261+K261</f>
        <v>13</v>
      </c>
      <c r="BX261" s="51">
        <f t="shared" ref="BX261:BX268" si="705">BW261-H261</f>
        <v>-4.9807692307692299</v>
      </c>
    </row>
    <row r="262" spans="2:77" ht="30.75" customHeight="1">
      <c r="C262" s="504"/>
      <c r="D262" s="441"/>
      <c r="E262" s="94" t="s">
        <v>47</v>
      </c>
      <c r="F262" s="57">
        <v>29</v>
      </c>
      <c r="G262" s="5">
        <f t="shared" ref="G262:G268" si="706">F262*3300</f>
        <v>95700</v>
      </c>
      <c r="H262" s="7">
        <f t="shared" ref="H262:H268" si="707">F262*($H$259/$F$259)</f>
        <v>30.673076923076923</v>
      </c>
      <c r="I262" s="5">
        <f t="shared" si="696"/>
        <v>101221.15384615384</v>
      </c>
      <c r="J262" s="9">
        <v>0</v>
      </c>
      <c r="K262" s="21">
        <f t="shared" si="566"/>
        <v>8</v>
      </c>
      <c r="L262" s="21">
        <v>5</v>
      </c>
      <c r="M262" s="21">
        <v>3</v>
      </c>
      <c r="N262" s="95"/>
      <c r="O262" s="81">
        <f>$H$262*月別販売比率!C5</f>
        <v>2.1736246255724061</v>
      </c>
      <c r="P262" s="10">
        <f t="shared" si="697"/>
        <v>8</v>
      </c>
      <c r="Q262" s="21"/>
      <c r="R262" s="19">
        <f t="shared" ref="R262:R268" si="708">Q262+K262</f>
        <v>8</v>
      </c>
      <c r="S262" s="24">
        <f t="shared" si="554"/>
        <v>5.8263753744275935</v>
      </c>
      <c r="T262" s="81">
        <f>$H$262*月別販売比率!H5</f>
        <v>2.1471153846153848</v>
      </c>
      <c r="U262" s="10">
        <f t="shared" ref="U262:U268" si="709">K262</f>
        <v>8</v>
      </c>
      <c r="V262" s="21"/>
      <c r="W262" s="40">
        <f t="shared" si="698"/>
        <v>8</v>
      </c>
      <c r="X262" s="24">
        <f t="shared" si="555"/>
        <v>5.8528846153846157</v>
      </c>
      <c r="Y262" s="81">
        <f>$H$262*月別販売比率!M5</f>
        <v>3.0999343106197719</v>
      </c>
      <c r="Z262" s="10">
        <f t="shared" ref="Z262:Z268" si="710">K262</f>
        <v>8</v>
      </c>
      <c r="AA262" s="21"/>
      <c r="AB262" s="97">
        <f t="shared" si="699"/>
        <v>8</v>
      </c>
      <c r="AC262" s="24">
        <f t="shared" si="556"/>
        <v>4.9000656893802281</v>
      </c>
      <c r="AD262" s="81">
        <f>$H$262*月別販売比率!R5</f>
        <v>2.453846153846154</v>
      </c>
      <c r="AE262" s="10">
        <f t="shared" ref="AE262:AE268" si="711">K262</f>
        <v>8</v>
      </c>
      <c r="AF262" s="21"/>
      <c r="AG262" s="10">
        <f t="shared" si="700"/>
        <v>8</v>
      </c>
      <c r="AH262" s="24">
        <f t="shared" si="557"/>
        <v>5.546153846153846</v>
      </c>
      <c r="AI262" s="81">
        <f>$H$262*月別販売比率!W5</f>
        <v>2.3362676716127586</v>
      </c>
      <c r="AJ262" s="10">
        <f t="shared" ref="AJ262:AJ268" si="712">K262</f>
        <v>8</v>
      </c>
      <c r="AK262" s="21"/>
      <c r="AL262" s="10">
        <f t="shared" si="701"/>
        <v>8</v>
      </c>
      <c r="AM262" s="24">
        <f t="shared" si="558"/>
        <v>5.6637323283872414</v>
      </c>
      <c r="AN262" s="81">
        <f>$H$262*月別販売比率!AB5</f>
        <v>3.6807692307692306</v>
      </c>
      <c r="AO262" s="10">
        <f t="shared" ref="AO262:AO268" si="713">K262</f>
        <v>8</v>
      </c>
      <c r="AP262" s="21"/>
      <c r="AQ262" s="10">
        <f t="shared" si="702"/>
        <v>8</v>
      </c>
      <c r="AR262" s="24">
        <f t="shared" si="559"/>
        <v>4.319230769230769</v>
      </c>
      <c r="AS262" s="81">
        <f>$H$262*月別販売比率!AG5</f>
        <v>3.0673076923076925</v>
      </c>
      <c r="AT262" s="10">
        <f t="shared" ref="AT262:AT268" si="714">K262</f>
        <v>8</v>
      </c>
      <c r="AU262" s="21"/>
      <c r="AV262" s="40">
        <f t="shared" si="703"/>
        <v>8</v>
      </c>
      <c r="AW262" s="24">
        <f t="shared" si="560"/>
        <v>4.9326923076923075</v>
      </c>
      <c r="AX262" s="81">
        <f>$H$262*月別販売比率!AL5</f>
        <v>2.7605769230769228</v>
      </c>
      <c r="AY262" s="10">
        <f t="shared" ref="AY262:AY268" si="715">K262</f>
        <v>8</v>
      </c>
      <c r="AZ262" s="21"/>
      <c r="BA262" s="19">
        <f t="shared" ref="BA262:BA268" si="716">K262+AZ262</f>
        <v>8</v>
      </c>
      <c r="BB262" s="24">
        <f t="shared" si="561"/>
        <v>5.2394230769230772</v>
      </c>
      <c r="BC262" s="81">
        <f>$H$262*月別販売比率!AQ5</f>
        <v>3.0673076923076925</v>
      </c>
      <c r="BD262" s="10">
        <f t="shared" ref="BD262:BD268" si="717">K262</f>
        <v>8</v>
      </c>
      <c r="BE262" s="21"/>
      <c r="BF262" s="19">
        <f t="shared" ref="BF262:BF268" si="718">K262+BE262</f>
        <v>8</v>
      </c>
      <c r="BG262" s="24">
        <f t="shared" si="562"/>
        <v>4.9326923076923075</v>
      </c>
      <c r="BH262" s="81">
        <f>$H$262*月別販売比率!AV5</f>
        <v>1.8678178638794047</v>
      </c>
      <c r="BI262" s="10">
        <f t="shared" ref="BI262:BI268" si="719">K262</f>
        <v>8</v>
      </c>
      <c r="BJ262" s="21"/>
      <c r="BK262" s="19">
        <f t="shared" ref="BK262:BK268" si="720">K262+BJ262</f>
        <v>8</v>
      </c>
      <c r="BL262" s="24">
        <f t="shared" si="563"/>
        <v>6.132182136120595</v>
      </c>
      <c r="BM262" s="81">
        <f>$H$262*月別販売比率!BA5</f>
        <v>1.706132260087508</v>
      </c>
      <c r="BN262" s="10">
        <f t="shared" ref="BN262:BN268" si="721">K262</f>
        <v>8</v>
      </c>
      <c r="BO262" s="21"/>
      <c r="BP262" s="19">
        <f>K262+BO262</f>
        <v>8</v>
      </c>
      <c r="BQ262" s="24">
        <f t="shared" si="564"/>
        <v>6.2938677399124918</v>
      </c>
      <c r="BR262" s="81">
        <f>$H$262*月別販売比率!BF5</f>
        <v>2.453846153846154</v>
      </c>
      <c r="BS262" s="10">
        <f t="shared" ref="BS262:BS268" si="722">K262</f>
        <v>8</v>
      </c>
      <c r="BT262" s="21"/>
      <c r="BU262" s="19">
        <f t="shared" ref="BU262:BU268" si="723">K262+BT262</f>
        <v>8</v>
      </c>
      <c r="BV262" s="24">
        <f t="shared" si="565"/>
        <v>5.546153846153846</v>
      </c>
      <c r="BW262" s="158">
        <f t="shared" si="704"/>
        <v>8</v>
      </c>
      <c r="BX262" s="29">
        <f t="shared" si="705"/>
        <v>-22.673076923076923</v>
      </c>
    </row>
    <row r="263" spans="2:77" ht="30.75" customHeight="1">
      <c r="C263" s="504"/>
      <c r="D263" s="441"/>
      <c r="E263" s="94" t="s">
        <v>48</v>
      </c>
      <c r="F263" s="57">
        <v>27</v>
      </c>
      <c r="G263" s="5">
        <f t="shared" si="706"/>
        <v>89100</v>
      </c>
      <c r="H263" s="7">
        <f t="shared" si="707"/>
        <v>28.557692307692307</v>
      </c>
      <c r="I263" s="5">
        <f t="shared" si="696"/>
        <v>94240.38461538461</v>
      </c>
      <c r="J263" s="9">
        <v>0</v>
      </c>
      <c r="K263" s="21">
        <f t="shared" si="566"/>
        <v>8</v>
      </c>
      <c r="L263" s="21">
        <v>3</v>
      </c>
      <c r="M263" s="21">
        <v>5</v>
      </c>
      <c r="N263" s="95"/>
      <c r="O263" s="81">
        <f>$H$263*月別販売比率!C5</f>
        <v>2.0237194789812056</v>
      </c>
      <c r="P263" s="10">
        <f t="shared" si="697"/>
        <v>8</v>
      </c>
      <c r="Q263" s="21"/>
      <c r="R263" s="19">
        <f t="shared" si="708"/>
        <v>8</v>
      </c>
      <c r="S263" s="24">
        <f t="shared" si="554"/>
        <v>5.9762805210187944</v>
      </c>
      <c r="T263" s="81">
        <f>$H$263*月別販売比率!H5</f>
        <v>1.9990384615384615</v>
      </c>
      <c r="U263" s="10">
        <f t="shared" si="709"/>
        <v>8</v>
      </c>
      <c r="V263" s="21"/>
      <c r="W263" s="40">
        <f t="shared" si="698"/>
        <v>8</v>
      </c>
      <c r="X263" s="24">
        <f t="shared" si="555"/>
        <v>6.0009615384615387</v>
      </c>
      <c r="Y263" s="81">
        <f>$H$263*月別販売比率!M5</f>
        <v>2.8861457374735804</v>
      </c>
      <c r="Z263" s="10">
        <f t="shared" si="710"/>
        <v>8</v>
      </c>
      <c r="AA263" s="21"/>
      <c r="AB263" s="97">
        <f t="shared" si="699"/>
        <v>8</v>
      </c>
      <c r="AC263" s="24">
        <f t="shared" si="556"/>
        <v>5.1138542625264201</v>
      </c>
      <c r="AD263" s="81">
        <f>$H$263*月別販売比率!R5</f>
        <v>2.2846153846153845</v>
      </c>
      <c r="AE263" s="10">
        <f t="shared" si="711"/>
        <v>8</v>
      </c>
      <c r="AF263" s="21"/>
      <c r="AG263" s="10">
        <f t="shared" si="700"/>
        <v>8</v>
      </c>
      <c r="AH263" s="24">
        <f t="shared" si="557"/>
        <v>5.7153846153846155</v>
      </c>
      <c r="AI263" s="81">
        <f>$H$263*月別販売比率!W5</f>
        <v>2.1751457632256717</v>
      </c>
      <c r="AJ263" s="10">
        <f t="shared" si="712"/>
        <v>8</v>
      </c>
      <c r="AK263" s="21"/>
      <c r="AL263" s="10">
        <f t="shared" si="701"/>
        <v>8</v>
      </c>
      <c r="AM263" s="24">
        <f t="shared" si="558"/>
        <v>5.8248542367743283</v>
      </c>
      <c r="AN263" s="81">
        <f>$H$263*月別販売比率!AB5</f>
        <v>3.4269230769230767</v>
      </c>
      <c r="AO263" s="10">
        <f t="shared" si="713"/>
        <v>8</v>
      </c>
      <c r="AP263" s="21"/>
      <c r="AQ263" s="10">
        <f t="shared" si="702"/>
        <v>8</v>
      </c>
      <c r="AR263" s="24">
        <f t="shared" si="559"/>
        <v>4.5730769230769237</v>
      </c>
      <c r="AS263" s="81">
        <f>$H$263*月別販売比率!AG5</f>
        <v>2.8557692307692308</v>
      </c>
      <c r="AT263" s="10">
        <f t="shared" si="714"/>
        <v>8</v>
      </c>
      <c r="AU263" s="21"/>
      <c r="AV263" s="40">
        <f t="shared" si="703"/>
        <v>8</v>
      </c>
      <c r="AW263" s="24">
        <f t="shared" si="560"/>
        <v>5.1442307692307692</v>
      </c>
      <c r="AX263" s="81">
        <f>$H$263*月別販売比率!AL5</f>
        <v>2.5701923076923077</v>
      </c>
      <c r="AY263" s="10">
        <f t="shared" si="715"/>
        <v>8</v>
      </c>
      <c r="AZ263" s="21"/>
      <c r="BA263" s="19">
        <f t="shared" si="716"/>
        <v>8</v>
      </c>
      <c r="BB263" s="24">
        <f t="shared" si="561"/>
        <v>5.4298076923076923</v>
      </c>
      <c r="BC263" s="81">
        <f>$H$263*月別販売比率!AQ5</f>
        <v>2.8557692307692308</v>
      </c>
      <c r="BD263" s="10">
        <f t="shared" si="717"/>
        <v>8</v>
      </c>
      <c r="BE263" s="21"/>
      <c r="BF263" s="19">
        <f t="shared" si="718"/>
        <v>8</v>
      </c>
      <c r="BG263" s="24">
        <f t="shared" si="562"/>
        <v>5.1442307692307692</v>
      </c>
      <c r="BH263" s="81">
        <f>$H$263*月別販売比率!AV5</f>
        <v>1.7390028387842733</v>
      </c>
      <c r="BI263" s="10">
        <f t="shared" si="719"/>
        <v>8</v>
      </c>
      <c r="BJ263" s="21"/>
      <c r="BK263" s="19">
        <f t="shared" si="720"/>
        <v>8</v>
      </c>
      <c r="BL263" s="24">
        <f t="shared" si="563"/>
        <v>6.2609971612157267</v>
      </c>
      <c r="BM263" s="81">
        <f>$H$263*月別販売比率!BA5</f>
        <v>1.5884679662883694</v>
      </c>
      <c r="BN263" s="10">
        <f t="shared" si="721"/>
        <v>8</v>
      </c>
      <c r="BO263" s="21"/>
      <c r="BP263" s="19">
        <f t="shared" ref="BP263:BP268" si="724">K263+BO263</f>
        <v>8</v>
      </c>
      <c r="BQ263" s="24">
        <f t="shared" si="564"/>
        <v>6.4115320337116302</v>
      </c>
      <c r="BR263" s="81">
        <f>$H$263*月別販売比率!BF5</f>
        <v>2.2846153846153845</v>
      </c>
      <c r="BS263" s="10">
        <f t="shared" si="722"/>
        <v>8</v>
      </c>
      <c r="BT263" s="21"/>
      <c r="BU263" s="19">
        <f t="shared" si="723"/>
        <v>8</v>
      </c>
      <c r="BV263" s="24">
        <f t="shared" si="565"/>
        <v>5.7153846153846155</v>
      </c>
      <c r="BW263" s="158">
        <f t="shared" si="704"/>
        <v>8</v>
      </c>
      <c r="BX263" s="29">
        <f t="shared" si="705"/>
        <v>-20.557692307692307</v>
      </c>
    </row>
    <row r="264" spans="2:77" ht="30.75" customHeight="1">
      <c r="C264" s="504"/>
      <c r="D264" s="441"/>
      <c r="E264" s="94" t="s">
        <v>49</v>
      </c>
      <c r="F264" s="57">
        <v>11</v>
      </c>
      <c r="G264" s="5">
        <f t="shared" si="706"/>
        <v>36300</v>
      </c>
      <c r="H264" s="7">
        <f t="shared" si="707"/>
        <v>11.634615384615385</v>
      </c>
      <c r="I264" s="5">
        <f t="shared" si="696"/>
        <v>38394.230769230773</v>
      </c>
      <c r="J264" s="9">
        <v>126</v>
      </c>
      <c r="K264" s="21">
        <f t="shared" si="566"/>
        <v>16</v>
      </c>
      <c r="L264" s="21">
        <v>12</v>
      </c>
      <c r="M264" s="21">
        <v>4</v>
      </c>
      <c r="N264" s="95"/>
      <c r="O264" s="81">
        <f>$H$264*月別販売比率!C5</f>
        <v>0.82447830625160234</v>
      </c>
      <c r="P264" s="10">
        <f t="shared" si="697"/>
        <v>16</v>
      </c>
      <c r="Q264" s="21"/>
      <c r="R264" s="19">
        <f t="shared" si="708"/>
        <v>16</v>
      </c>
      <c r="S264" s="24">
        <f t="shared" si="554"/>
        <v>15.175521693748397</v>
      </c>
      <c r="T264" s="81">
        <f>$H$264*月別販売比率!H5</f>
        <v>0.81442307692307703</v>
      </c>
      <c r="U264" s="10">
        <f t="shared" si="709"/>
        <v>16</v>
      </c>
      <c r="V264" s="21"/>
      <c r="W264" s="40">
        <f t="shared" si="698"/>
        <v>16</v>
      </c>
      <c r="X264" s="24">
        <f t="shared" si="555"/>
        <v>15.185576923076923</v>
      </c>
      <c r="Y264" s="81">
        <f>$H$264*月別販売比率!M5</f>
        <v>1.1758371523040514</v>
      </c>
      <c r="Z264" s="10">
        <f t="shared" si="710"/>
        <v>16</v>
      </c>
      <c r="AA264" s="21"/>
      <c r="AB264" s="97">
        <f t="shared" si="699"/>
        <v>16</v>
      </c>
      <c r="AC264" s="24">
        <f t="shared" si="556"/>
        <v>14.824162847695948</v>
      </c>
      <c r="AD264" s="81">
        <f>$H$264*月別販売比率!R5</f>
        <v>0.93076923076923079</v>
      </c>
      <c r="AE264" s="10">
        <f t="shared" si="711"/>
        <v>16</v>
      </c>
      <c r="AF264" s="21"/>
      <c r="AG264" s="10">
        <f t="shared" si="700"/>
        <v>16</v>
      </c>
      <c r="AH264" s="24">
        <f t="shared" si="557"/>
        <v>15.069230769230769</v>
      </c>
      <c r="AI264" s="81">
        <f>$H$264*月別販売比率!W5</f>
        <v>0.88617049612897747</v>
      </c>
      <c r="AJ264" s="10">
        <f t="shared" si="712"/>
        <v>16</v>
      </c>
      <c r="AK264" s="21"/>
      <c r="AL264" s="10">
        <f t="shared" si="701"/>
        <v>16</v>
      </c>
      <c r="AM264" s="24">
        <f t="shared" si="558"/>
        <v>15.113829503871022</v>
      </c>
      <c r="AN264" s="81">
        <f>$H$264*月別販売比率!AB5</f>
        <v>1.3961538461538461</v>
      </c>
      <c r="AO264" s="10">
        <f t="shared" si="713"/>
        <v>16</v>
      </c>
      <c r="AP264" s="21"/>
      <c r="AQ264" s="10">
        <f t="shared" si="702"/>
        <v>16</v>
      </c>
      <c r="AR264" s="24">
        <f t="shared" si="559"/>
        <v>14.603846153846154</v>
      </c>
      <c r="AS264" s="81">
        <f>$H$264*月別販売比率!AG5</f>
        <v>1.1634615384615385</v>
      </c>
      <c r="AT264" s="10">
        <f t="shared" si="714"/>
        <v>16</v>
      </c>
      <c r="AU264" s="21"/>
      <c r="AV264" s="40">
        <f t="shared" si="703"/>
        <v>16</v>
      </c>
      <c r="AW264" s="24">
        <f t="shared" si="560"/>
        <v>14.836538461538462</v>
      </c>
      <c r="AX264" s="81">
        <f>$H$264*月別販売比率!AL5</f>
        <v>1.0471153846153847</v>
      </c>
      <c r="AY264" s="10">
        <f t="shared" si="715"/>
        <v>16</v>
      </c>
      <c r="AZ264" s="21"/>
      <c r="BA264" s="19">
        <f t="shared" si="716"/>
        <v>16</v>
      </c>
      <c r="BB264" s="24">
        <f t="shared" si="561"/>
        <v>14.952884615384615</v>
      </c>
      <c r="BC264" s="81">
        <f>$H$264*月別販売比率!AQ5</f>
        <v>1.1634615384615385</v>
      </c>
      <c r="BD264" s="10">
        <f t="shared" si="717"/>
        <v>16</v>
      </c>
      <c r="BE264" s="21"/>
      <c r="BF264" s="19">
        <f t="shared" si="718"/>
        <v>16</v>
      </c>
      <c r="BG264" s="24">
        <f t="shared" si="562"/>
        <v>14.836538461538462</v>
      </c>
      <c r="BH264" s="81">
        <f>$H$264*月別販売比率!AV5</f>
        <v>0.70848263802322253</v>
      </c>
      <c r="BI264" s="10">
        <f t="shared" si="719"/>
        <v>16</v>
      </c>
      <c r="BJ264" s="21"/>
      <c r="BK264" s="19">
        <f t="shared" si="720"/>
        <v>16</v>
      </c>
      <c r="BL264" s="24">
        <f t="shared" si="563"/>
        <v>15.291517361976778</v>
      </c>
      <c r="BM264" s="81">
        <f>$H$264*月別販売比率!BA5</f>
        <v>0.64715361589526166</v>
      </c>
      <c r="BN264" s="10">
        <f t="shared" si="721"/>
        <v>16</v>
      </c>
      <c r="BO264" s="21"/>
      <c r="BP264" s="19">
        <f t="shared" si="724"/>
        <v>16</v>
      </c>
      <c r="BQ264" s="24">
        <f t="shared" si="564"/>
        <v>15.352846384104739</v>
      </c>
      <c r="BR264" s="81">
        <f>$H$264*月別販売比率!BF5</f>
        <v>0.93076923076923079</v>
      </c>
      <c r="BS264" s="10">
        <f t="shared" si="722"/>
        <v>16</v>
      </c>
      <c r="BT264" s="21"/>
      <c r="BU264" s="19">
        <f t="shared" si="723"/>
        <v>16</v>
      </c>
      <c r="BV264" s="24">
        <f t="shared" si="565"/>
        <v>15.069230769230769</v>
      </c>
      <c r="BW264" s="158">
        <f t="shared" si="704"/>
        <v>16</v>
      </c>
      <c r="BX264" s="29">
        <f t="shared" si="705"/>
        <v>4.365384615384615</v>
      </c>
    </row>
    <row r="265" spans="2:77" ht="30.75" customHeight="1">
      <c r="C265" s="504"/>
      <c r="D265" s="443">
        <v>2</v>
      </c>
      <c r="E265" s="99" t="s">
        <v>46</v>
      </c>
      <c r="F265" s="56">
        <v>45</v>
      </c>
      <c r="G265" s="46">
        <f t="shared" si="706"/>
        <v>148500</v>
      </c>
      <c r="H265" s="45">
        <f t="shared" si="707"/>
        <v>47.596153846153847</v>
      </c>
      <c r="I265" s="46">
        <f t="shared" si="696"/>
        <v>157067.30769230769</v>
      </c>
      <c r="J265" s="9">
        <v>17</v>
      </c>
      <c r="K265" s="21">
        <f t="shared" si="566"/>
        <v>17</v>
      </c>
      <c r="L265" s="21">
        <v>12</v>
      </c>
      <c r="M265" s="21">
        <v>5</v>
      </c>
      <c r="N265" s="95"/>
      <c r="O265" s="81">
        <f>$H$265*月別販売比率!C5</f>
        <v>3.3728657983020098</v>
      </c>
      <c r="P265" s="10">
        <f t="shared" si="697"/>
        <v>17</v>
      </c>
      <c r="Q265" s="21"/>
      <c r="R265" s="19">
        <f t="shared" si="708"/>
        <v>17</v>
      </c>
      <c r="S265" s="24">
        <f t="shared" si="554"/>
        <v>13.62713420169799</v>
      </c>
      <c r="T265" s="81">
        <f>$H$265*月別販売比率!H5</f>
        <v>3.3317307692307696</v>
      </c>
      <c r="U265" s="10">
        <f t="shared" si="709"/>
        <v>17</v>
      </c>
      <c r="V265" s="21"/>
      <c r="W265" s="40">
        <f t="shared" si="698"/>
        <v>17</v>
      </c>
      <c r="X265" s="24">
        <f t="shared" si="555"/>
        <v>13.66826923076923</v>
      </c>
      <c r="Y265" s="81">
        <f>$H$265*月別販売比率!M5</f>
        <v>4.8102428957893011</v>
      </c>
      <c r="Z265" s="10">
        <f t="shared" si="710"/>
        <v>17</v>
      </c>
      <c r="AA265" s="21"/>
      <c r="AB265" s="97">
        <f t="shared" si="699"/>
        <v>17</v>
      </c>
      <c r="AC265" s="24">
        <f t="shared" si="556"/>
        <v>12.189757104210699</v>
      </c>
      <c r="AD265" s="81">
        <f>$H$265*月別販売比率!R5</f>
        <v>3.8076923076923079</v>
      </c>
      <c r="AE265" s="10">
        <f t="shared" si="711"/>
        <v>17</v>
      </c>
      <c r="AF265" s="21"/>
      <c r="AG265" s="10">
        <f t="shared" si="700"/>
        <v>17</v>
      </c>
      <c r="AH265" s="24">
        <f t="shared" si="557"/>
        <v>13.192307692307692</v>
      </c>
      <c r="AI265" s="81">
        <f>$H$265*月別販売比率!W5</f>
        <v>3.6252429387094529</v>
      </c>
      <c r="AJ265" s="10">
        <f t="shared" si="712"/>
        <v>17</v>
      </c>
      <c r="AK265" s="21"/>
      <c r="AL265" s="10">
        <f t="shared" si="701"/>
        <v>17</v>
      </c>
      <c r="AM265" s="24">
        <f t="shared" si="558"/>
        <v>13.374757061290547</v>
      </c>
      <c r="AN265" s="81">
        <f>$H$265*月別販売比率!AB5</f>
        <v>5.7115384615384617</v>
      </c>
      <c r="AO265" s="10">
        <f t="shared" si="713"/>
        <v>17</v>
      </c>
      <c r="AP265" s="21"/>
      <c r="AQ265" s="10">
        <f t="shared" si="702"/>
        <v>17</v>
      </c>
      <c r="AR265" s="24">
        <f t="shared" si="559"/>
        <v>11.288461538461538</v>
      </c>
      <c r="AS265" s="81">
        <f>$H$265*月別販売比率!AG5</f>
        <v>4.759615384615385</v>
      </c>
      <c r="AT265" s="10">
        <f t="shared" si="714"/>
        <v>17</v>
      </c>
      <c r="AU265" s="21"/>
      <c r="AV265" s="40">
        <f t="shared" si="703"/>
        <v>17</v>
      </c>
      <c r="AW265" s="24">
        <f t="shared" si="560"/>
        <v>12.240384615384615</v>
      </c>
      <c r="AX265" s="81">
        <f>$H$265*月別販売比率!AL5</f>
        <v>4.2836538461538458</v>
      </c>
      <c r="AY265" s="10">
        <f t="shared" si="715"/>
        <v>17</v>
      </c>
      <c r="AZ265" s="21"/>
      <c r="BA265" s="19">
        <f t="shared" si="716"/>
        <v>17</v>
      </c>
      <c r="BB265" s="24">
        <f t="shared" si="561"/>
        <v>12.716346153846153</v>
      </c>
      <c r="BC265" s="81">
        <f>$H$265*月別販売比率!AQ5</f>
        <v>4.759615384615385</v>
      </c>
      <c r="BD265" s="10">
        <f t="shared" si="717"/>
        <v>17</v>
      </c>
      <c r="BE265" s="21"/>
      <c r="BF265" s="19">
        <f t="shared" si="718"/>
        <v>17</v>
      </c>
      <c r="BG265" s="24">
        <f t="shared" si="562"/>
        <v>12.240384615384615</v>
      </c>
      <c r="BH265" s="81">
        <f>$H$265*月別販売比率!AV5</f>
        <v>2.8983380646404555</v>
      </c>
      <c r="BI265" s="10">
        <f t="shared" si="719"/>
        <v>17</v>
      </c>
      <c r="BJ265" s="21"/>
      <c r="BK265" s="19">
        <f t="shared" si="720"/>
        <v>17</v>
      </c>
      <c r="BL265" s="24">
        <f t="shared" si="563"/>
        <v>14.101661935359544</v>
      </c>
      <c r="BM265" s="81">
        <f>$H$265*月別販売比率!BA5</f>
        <v>2.6474466104806158</v>
      </c>
      <c r="BN265" s="10">
        <f t="shared" si="721"/>
        <v>17</v>
      </c>
      <c r="BO265" s="21"/>
      <c r="BP265" s="19">
        <f t="shared" si="724"/>
        <v>17</v>
      </c>
      <c r="BQ265" s="24">
        <f t="shared" si="564"/>
        <v>14.352553389519384</v>
      </c>
      <c r="BR265" s="81">
        <f>$H$265*月別販売比率!BF5</f>
        <v>3.8076923076923079</v>
      </c>
      <c r="BS265" s="10">
        <f t="shared" si="722"/>
        <v>17</v>
      </c>
      <c r="BT265" s="21"/>
      <c r="BU265" s="19">
        <f t="shared" si="723"/>
        <v>17</v>
      </c>
      <c r="BV265" s="24">
        <f t="shared" si="565"/>
        <v>13.192307692307692</v>
      </c>
      <c r="BW265" s="158">
        <f t="shared" si="704"/>
        <v>17</v>
      </c>
      <c r="BX265" s="29">
        <f t="shared" si="705"/>
        <v>-30.596153846153847</v>
      </c>
    </row>
    <row r="266" spans="2:77" ht="30.75" customHeight="1">
      <c r="C266" s="504"/>
      <c r="D266" s="441"/>
      <c r="E266" s="94" t="s">
        <v>47</v>
      </c>
      <c r="F266" s="57">
        <v>37</v>
      </c>
      <c r="G266" s="5">
        <f t="shared" si="706"/>
        <v>122100</v>
      </c>
      <c r="H266" s="7">
        <f t="shared" si="707"/>
        <v>39.134615384615387</v>
      </c>
      <c r="I266" s="5">
        <f t="shared" si="696"/>
        <v>129144.23076923078</v>
      </c>
      <c r="J266" s="9">
        <v>0</v>
      </c>
      <c r="K266" s="21">
        <f t="shared" si="566"/>
        <v>5</v>
      </c>
      <c r="L266" s="21"/>
      <c r="M266" s="21">
        <v>5</v>
      </c>
      <c r="N266" s="95"/>
      <c r="O266" s="81">
        <f>$H$266*月別販売比率!C5</f>
        <v>2.773245211937208</v>
      </c>
      <c r="P266" s="10">
        <f t="shared" si="697"/>
        <v>5</v>
      </c>
      <c r="Q266" s="21"/>
      <c r="R266" s="19">
        <f t="shared" si="708"/>
        <v>5</v>
      </c>
      <c r="S266" s="24">
        <f t="shared" si="554"/>
        <v>2.226754788062792</v>
      </c>
      <c r="T266" s="81">
        <f>$H$266*月別販売比率!H5</f>
        <v>2.7394230769230772</v>
      </c>
      <c r="U266" s="10">
        <f t="shared" si="709"/>
        <v>5</v>
      </c>
      <c r="V266" s="21"/>
      <c r="W266" s="40">
        <f t="shared" si="698"/>
        <v>5</v>
      </c>
      <c r="X266" s="24">
        <f t="shared" si="555"/>
        <v>2.2605769230769228</v>
      </c>
      <c r="Y266" s="81">
        <f>$H$266*月別販売比率!M5</f>
        <v>3.9550886032045365</v>
      </c>
      <c r="Z266" s="10">
        <f t="shared" si="710"/>
        <v>5</v>
      </c>
      <c r="AA266" s="21"/>
      <c r="AB266" s="97">
        <f t="shared" si="699"/>
        <v>5</v>
      </c>
      <c r="AC266" s="24">
        <f t="shared" si="556"/>
        <v>1.0449113967954635</v>
      </c>
      <c r="AD266" s="81">
        <f>$H$266*月別販売比率!R5</f>
        <v>3.1307692307692312</v>
      </c>
      <c r="AE266" s="10">
        <f t="shared" si="711"/>
        <v>5</v>
      </c>
      <c r="AF266" s="21"/>
      <c r="AG266" s="10">
        <f t="shared" si="700"/>
        <v>5</v>
      </c>
      <c r="AH266" s="24">
        <f t="shared" si="557"/>
        <v>1.8692307692307688</v>
      </c>
      <c r="AI266" s="81">
        <f>$H$266*月別販売比率!W5</f>
        <v>2.980755305161106</v>
      </c>
      <c r="AJ266" s="10">
        <f t="shared" si="712"/>
        <v>5</v>
      </c>
      <c r="AK266" s="21"/>
      <c r="AL266" s="10">
        <f t="shared" si="701"/>
        <v>5</v>
      </c>
      <c r="AM266" s="24">
        <f t="shared" si="558"/>
        <v>2.019244694838894</v>
      </c>
      <c r="AN266" s="81">
        <f>$H$266*月別販売比率!AB5</f>
        <v>4.6961538461538463</v>
      </c>
      <c r="AO266" s="10">
        <f t="shared" si="713"/>
        <v>5</v>
      </c>
      <c r="AP266" s="21"/>
      <c r="AQ266" s="10">
        <f t="shared" si="702"/>
        <v>5</v>
      </c>
      <c r="AR266" s="24">
        <f t="shared" si="559"/>
        <v>0.30384615384615365</v>
      </c>
      <c r="AS266" s="81">
        <f>$H$266*月別販売比率!AG5</f>
        <v>3.9134615384615388</v>
      </c>
      <c r="AT266" s="10">
        <f t="shared" si="714"/>
        <v>5</v>
      </c>
      <c r="AU266" s="21"/>
      <c r="AV266" s="40">
        <f t="shared" si="703"/>
        <v>5</v>
      </c>
      <c r="AW266" s="24">
        <f t="shared" si="560"/>
        <v>1.0865384615384612</v>
      </c>
      <c r="AX266" s="81">
        <f>$H$266*月別販売比率!AL5</f>
        <v>3.5221153846153848</v>
      </c>
      <c r="AY266" s="10">
        <f t="shared" si="715"/>
        <v>5</v>
      </c>
      <c r="AZ266" s="21"/>
      <c r="BA266" s="19">
        <f t="shared" si="716"/>
        <v>5</v>
      </c>
      <c r="BB266" s="24">
        <f t="shared" si="561"/>
        <v>1.4778846153846152</v>
      </c>
      <c r="BC266" s="81">
        <f>$H$266*月別販売比率!AQ5</f>
        <v>3.9134615384615388</v>
      </c>
      <c r="BD266" s="10">
        <f t="shared" si="717"/>
        <v>5</v>
      </c>
      <c r="BE266" s="21"/>
      <c r="BF266" s="19">
        <f t="shared" si="718"/>
        <v>5</v>
      </c>
      <c r="BG266" s="24">
        <f t="shared" si="562"/>
        <v>1.0865384615384612</v>
      </c>
      <c r="BH266" s="81">
        <f>$H$266*月別販売比率!AV5</f>
        <v>2.3830779642599302</v>
      </c>
      <c r="BI266" s="10">
        <f t="shared" si="719"/>
        <v>5</v>
      </c>
      <c r="BJ266" s="21"/>
      <c r="BK266" s="19">
        <f t="shared" si="720"/>
        <v>5</v>
      </c>
      <c r="BL266" s="24">
        <f t="shared" si="563"/>
        <v>2.6169220357400698</v>
      </c>
      <c r="BM266" s="81">
        <f>$H$266*月別販売比率!BA5</f>
        <v>2.176789435284062</v>
      </c>
      <c r="BN266" s="10">
        <f t="shared" si="721"/>
        <v>5</v>
      </c>
      <c r="BO266" s="21"/>
      <c r="BP266" s="19">
        <f t="shared" si="724"/>
        <v>5</v>
      </c>
      <c r="BQ266" s="24">
        <f t="shared" si="564"/>
        <v>2.823210564715938</v>
      </c>
      <c r="BR266" s="81">
        <f>$H$266*月別販売比率!BF5</f>
        <v>3.1307692307692312</v>
      </c>
      <c r="BS266" s="10">
        <f t="shared" si="722"/>
        <v>5</v>
      </c>
      <c r="BT266" s="21"/>
      <c r="BU266" s="19">
        <f t="shared" si="723"/>
        <v>5</v>
      </c>
      <c r="BV266" s="24">
        <f t="shared" si="565"/>
        <v>1.8692307692307688</v>
      </c>
      <c r="BW266" s="158">
        <f t="shared" si="704"/>
        <v>5</v>
      </c>
      <c r="BX266" s="29">
        <f t="shared" si="705"/>
        <v>-34.134615384615387</v>
      </c>
    </row>
    <row r="267" spans="2:77" ht="30.75" customHeight="1">
      <c r="C267" s="504"/>
      <c r="D267" s="441"/>
      <c r="E267" s="94" t="s">
        <v>48</v>
      </c>
      <c r="F267" s="57">
        <v>36</v>
      </c>
      <c r="G267" s="5">
        <f t="shared" si="706"/>
        <v>118800</v>
      </c>
      <c r="H267" s="7">
        <f t="shared" si="707"/>
        <v>38.07692307692308</v>
      </c>
      <c r="I267" s="5">
        <f t="shared" si="696"/>
        <v>125653.84615384617</v>
      </c>
      <c r="J267" s="9">
        <v>0</v>
      </c>
      <c r="K267" s="21">
        <f t="shared" si="566"/>
        <v>4</v>
      </c>
      <c r="L267" s="21"/>
      <c r="M267" s="21">
        <v>4</v>
      </c>
      <c r="N267" s="95"/>
      <c r="O267" s="81">
        <f>$H$267*月別販売比率!C5</f>
        <v>2.698292638641608</v>
      </c>
      <c r="P267" s="10">
        <f t="shared" si="697"/>
        <v>4</v>
      </c>
      <c r="Q267" s="21"/>
      <c r="R267" s="19">
        <f t="shared" si="708"/>
        <v>4</v>
      </c>
      <c r="S267" s="24">
        <f t="shared" si="554"/>
        <v>1.301707361358392</v>
      </c>
      <c r="T267" s="81">
        <f>$H$267*月別販売比率!H5</f>
        <v>2.6653846153846157</v>
      </c>
      <c r="U267" s="10">
        <f t="shared" si="709"/>
        <v>4</v>
      </c>
      <c r="V267" s="21"/>
      <c r="W267" s="40">
        <f t="shared" si="698"/>
        <v>4</v>
      </c>
      <c r="X267" s="24">
        <f t="shared" si="555"/>
        <v>1.3346153846153843</v>
      </c>
      <c r="Y267" s="81">
        <f>$H$267*月別販売比率!M5</f>
        <v>3.848194316631441</v>
      </c>
      <c r="Z267" s="10">
        <f t="shared" si="710"/>
        <v>4</v>
      </c>
      <c r="AA267" s="21"/>
      <c r="AB267" s="97">
        <f t="shared" si="699"/>
        <v>4</v>
      </c>
      <c r="AC267" s="24">
        <f t="shared" si="556"/>
        <v>0.15180568336855904</v>
      </c>
      <c r="AD267" s="81">
        <f>$H$267*月別販売比率!R5</f>
        <v>3.0461538461538464</v>
      </c>
      <c r="AE267" s="10">
        <f t="shared" si="711"/>
        <v>4</v>
      </c>
      <c r="AF267" s="21"/>
      <c r="AG267" s="10">
        <f t="shared" si="700"/>
        <v>4</v>
      </c>
      <c r="AH267" s="24">
        <f t="shared" si="557"/>
        <v>0.95384615384615357</v>
      </c>
      <c r="AI267" s="81">
        <f>$H$267*月別販売比率!W5</f>
        <v>2.9001943509675625</v>
      </c>
      <c r="AJ267" s="10">
        <f t="shared" si="712"/>
        <v>4</v>
      </c>
      <c r="AK267" s="21"/>
      <c r="AL267" s="10">
        <f t="shared" si="701"/>
        <v>4</v>
      </c>
      <c r="AM267" s="24">
        <f t="shared" si="558"/>
        <v>1.0998056490324375</v>
      </c>
      <c r="AN267" s="81">
        <f>$H$267*月別販売比率!AB5</f>
        <v>4.5692307692307699</v>
      </c>
      <c r="AO267" s="10">
        <f t="shared" si="713"/>
        <v>4</v>
      </c>
      <c r="AP267" s="21"/>
      <c r="AQ267" s="10">
        <f t="shared" si="702"/>
        <v>4</v>
      </c>
      <c r="AR267" s="24">
        <f t="shared" si="559"/>
        <v>-0.56923076923076987</v>
      </c>
      <c r="AS267" s="81">
        <f>$H$267*月別販売比率!AG5</f>
        <v>3.8076923076923084</v>
      </c>
      <c r="AT267" s="10">
        <f t="shared" si="714"/>
        <v>4</v>
      </c>
      <c r="AU267" s="21"/>
      <c r="AV267" s="40">
        <f t="shared" si="703"/>
        <v>4</v>
      </c>
      <c r="AW267" s="24">
        <f t="shared" si="560"/>
        <v>0.19230769230769162</v>
      </c>
      <c r="AX267" s="81">
        <f>$H$267*月別販売比率!AL5</f>
        <v>3.4269230769230772</v>
      </c>
      <c r="AY267" s="10">
        <f t="shared" si="715"/>
        <v>4</v>
      </c>
      <c r="AZ267" s="21"/>
      <c r="BA267" s="19">
        <f t="shared" si="716"/>
        <v>4</v>
      </c>
      <c r="BB267" s="24">
        <f t="shared" si="561"/>
        <v>0.57307692307692282</v>
      </c>
      <c r="BC267" s="81">
        <f>$H$267*月別販売比率!AQ5</f>
        <v>3.8076923076923084</v>
      </c>
      <c r="BD267" s="10">
        <f t="shared" si="717"/>
        <v>4</v>
      </c>
      <c r="BE267" s="21"/>
      <c r="BF267" s="19">
        <f t="shared" si="718"/>
        <v>4</v>
      </c>
      <c r="BG267" s="24">
        <f t="shared" si="562"/>
        <v>0.19230769230769162</v>
      </c>
      <c r="BH267" s="81">
        <f>$H$267*月別販売比率!AV5</f>
        <v>2.3186704517123649</v>
      </c>
      <c r="BI267" s="10">
        <f t="shared" si="719"/>
        <v>4</v>
      </c>
      <c r="BJ267" s="21"/>
      <c r="BK267" s="19">
        <f t="shared" si="720"/>
        <v>4</v>
      </c>
      <c r="BL267" s="24">
        <f t="shared" si="563"/>
        <v>1.6813295482876351</v>
      </c>
      <c r="BM267" s="81">
        <f>$H$267*月別販売比率!BA5</f>
        <v>2.1179572883844928</v>
      </c>
      <c r="BN267" s="10">
        <f t="shared" si="721"/>
        <v>4</v>
      </c>
      <c r="BO267" s="21"/>
      <c r="BP267" s="19">
        <f t="shared" si="724"/>
        <v>4</v>
      </c>
      <c r="BQ267" s="24">
        <f t="shared" si="564"/>
        <v>1.8820427116155072</v>
      </c>
      <c r="BR267" s="81">
        <f>$H$267*月別販売比率!BF5</f>
        <v>3.0461538461538464</v>
      </c>
      <c r="BS267" s="10">
        <f t="shared" si="722"/>
        <v>4</v>
      </c>
      <c r="BT267" s="21"/>
      <c r="BU267" s="19">
        <f t="shared" si="723"/>
        <v>4</v>
      </c>
      <c r="BV267" s="24">
        <f t="shared" si="565"/>
        <v>0.95384615384615357</v>
      </c>
      <c r="BW267" s="158">
        <f t="shared" si="704"/>
        <v>4</v>
      </c>
      <c r="BX267" s="29">
        <f t="shared" si="705"/>
        <v>-34.07692307692308</v>
      </c>
    </row>
    <row r="268" spans="2:77" ht="30.75" customHeight="1">
      <c r="C268" s="505"/>
      <c r="D268" s="444"/>
      <c r="E268" s="101" t="s">
        <v>49</v>
      </c>
      <c r="F268" s="58">
        <v>15</v>
      </c>
      <c r="G268" s="35">
        <f t="shared" si="706"/>
        <v>49500</v>
      </c>
      <c r="H268" s="181">
        <f t="shared" si="707"/>
        <v>15.865384615384615</v>
      </c>
      <c r="I268" s="35">
        <f t="shared" si="696"/>
        <v>52355.769230769227</v>
      </c>
      <c r="J268" s="113">
        <v>59</v>
      </c>
      <c r="K268" s="103">
        <f t="shared" si="566"/>
        <v>18</v>
      </c>
      <c r="L268" s="104">
        <v>13</v>
      </c>
      <c r="M268" s="104">
        <v>5</v>
      </c>
      <c r="N268" s="105"/>
      <c r="O268" s="81">
        <f>$H$268*月別販売比率!C5</f>
        <v>1.1242885994340033</v>
      </c>
      <c r="P268" s="110">
        <f t="shared" si="697"/>
        <v>18</v>
      </c>
      <c r="Q268" s="104"/>
      <c r="R268" s="115">
        <f t="shared" si="708"/>
        <v>18</v>
      </c>
      <c r="S268" s="90">
        <f>R268-O268</f>
        <v>16.875711400565997</v>
      </c>
      <c r="T268" s="81">
        <f>$H$268*月別販売比率!H5</f>
        <v>1.1105769230769231</v>
      </c>
      <c r="U268" s="110">
        <f t="shared" si="709"/>
        <v>18</v>
      </c>
      <c r="V268" s="104"/>
      <c r="W268" s="108">
        <f t="shared" si="698"/>
        <v>18</v>
      </c>
      <c r="X268" s="92">
        <f t="shared" si="555"/>
        <v>16.889423076923077</v>
      </c>
      <c r="Y268" s="81">
        <f>$H$268*月別販売比率!M5</f>
        <v>1.6034142985964337</v>
      </c>
      <c r="Z268" s="110">
        <f t="shared" si="710"/>
        <v>18</v>
      </c>
      <c r="AA268" s="104"/>
      <c r="AB268" s="109">
        <f t="shared" si="699"/>
        <v>18</v>
      </c>
      <c r="AC268" s="92">
        <f t="shared" si="556"/>
        <v>16.396585701403566</v>
      </c>
      <c r="AD268" s="81">
        <f>$H$268*月別販売比率!R5</f>
        <v>1.2692307692307692</v>
      </c>
      <c r="AE268" s="110">
        <f t="shared" si="711"/>
        <v>18</v>
      </c>
      <c r="AF268" s="104"/>
      <c r="AG268" s="110">
        <f t="shared" si="700"/>
        <v>18</v>
      </c>
      <c r="AH268" s="92">
        <f t="shared" si="557"/>
        <v>16.73076923076923</v>
      </c>
      <c r="AI268" s="81">
        <f>$H$268*月別販売比率!W5</f>
        <v>1.208414312903151</v>
      </c>
      <c r="AJ268" s="110">
        <f t="shared" si="712"/>
        <v>18</v>
      </c>
      <c r="AK268" s="104"/>
      <c r="AL268" s="110">
        <f t="shared" si="701"/>
        <v>18</v>
      </c>
      <c r="AM268" s="92">
        <f t="shared" si="558"/>
        <v>16.791585687096848</v>
      </c>
      <c r="AN268" s="81">
        <f>$H$268*月別販売比率!AB5</f>
        <v>1.9038461538461537</v>
      </c>
      <c r="AO268" s="110">
        <f t="shared" si="713"/>
        <v>18</v>
      </c>
      <c r="AP268" s="104"/>
      <c r="AQ268" s="110">
        <f t="shared" si="702"/>
        <v>18</v>
      </c>
      <c r="AR268" s="92">
        <f t="shared" si="559"/>
        <v>16.096153846153847</v>
      </c>
      <c r="AS268" s="81">
        <f>$H$268*月別販売比率!AG5</f>
        <v>1.5865384615384617</v>
      </c>
      <c r="AT268" s="110">
        <f t="shared" si="714"/>
        <v>18</v>
      </c>
      <c r="AU268" s="104"/>
      <c r="AV268" s="108">
        <f t="shared" si="703"/>
        <v>18</v>
      </c>
      <c r="AW268" s="92">
        <f t="shared" si="560"/>
        <v>16.41346153846154</v>
      </c>
      <c r="AX268" s="81">
        <f>$H$268*月別販売比率!AL5</f>
        <v>1.4278846153846152</v>
      </c>
      <c r="AY268" s="110">
        <f t="shared" si="715"/>
        <v>18</v>
      </c>
      <c r="AZ268" s="104"/>
      <c r="BA268" s="115">
        <f t="shared" si="716"/>
        <v>18</v>
      </c>
      <c r="BB268" s="92">
        <f t="shared" si="561"/>
        <v>16.572115384615383</v>
      </c>
      <c r="BC268" s="81">
        <f>$H$268*月別販売比率!AQ5</f>
        <v>1.5865384615384617</v>
      </c>
      <c r="BD268" s="110">
        <f t="shared" si="717"/>
        <v>18</v>
      </c>
      <c r="BE268" s="104"/>
      <c r="BF268" s="115">
        <f t="shared" si="718"/>
        <v>18</v>
      </c>
      <c r="BG268" s="92">
        <f t="shared" si="562"/>
        <v>16.41346153846154</v>
      </c>
      <c r="BH268" s="81">
        <f>$H$268*月別販売比率!AV5</f>
        <v>0.96611268821348517</v>
      </c>
      <c r="BI268" s="110">
        <f t="shared" si="719"/>
        <v>18</v>
      </c>
      <c r="BJ268" s="104"/>
      <c r="BK268" s="115">
        <f t="shared" si="720"/>
        <v>18</v>
      </c>
      <c r="BL268" s="92">
        <f t="shared" si="563"/>
        <v>17.033887311786515</v>
      </c>
      <c r="BM268" s="81">
        <f>$H$268*月別販売比率!BA5</f>
        <v>0.88248220349353856</v>
      </c>
      <c r="BN268" s="110">
        <f t="shared" si="721"/>
        <v>18</v>
      </c>
      <c r="BO268" s="104"/>
      <c r="BP268" s="115">
        <f t="shared" si="724"/>
        <v>18</v>
      </c>
      <c r="BQ268" s="92">
        <f t="shared" si="564"/>
        <v>17.117517796506462</v>
      </c>
      <c r="BR268" s="81">
        <f>$H$268*月別販売比率!BF5</f>
        <v>1.2692307692307692</v>
      </c>
      <c r="BS268" s="110">
        <f t="shared" si="722"/>
        <v>18</v>
      </c>
      <c r="BT268" s="104"/>
      <c r="BU268" s="115">
        <f t="shared" si="723"/>
        <v>18</v>
      </c>
      <c r="BV268" s="92">
        <f t="shared" si="565"/>
        <v>16.73076923076923</v>
      </c>
      <c r="BW268" s="159">
        <f t="shared" si="704"/>
        <v>18</v>
      </c>
      <c r="BX268" s="116">
        <f t="shared" si="705"/>
        <v>2.134615384615385</v>
      </c>
    </row>
    <row r="269" spans="2:77" ht="30.75" customHeight="1">
      <c r="C269" s="485" t="s">
        <v>23</v>
      </c>
      <c r="D269" s="486"/>
      <c r="E269" s="487"/>
      <c r="F269" s="59">
        <f>F6+F28+F38+F50+F62+F74+F86+F112+F122+F132+F146+F156+F166+F184+F195+F207+F224+F230+F240+F254+F259</f>
        <v>12191.639811607143</v>
      </c>
      <c r="G269" s="60">
        <f>G6+G28+G38+G50+G62+G74+G86+G112+G122+G132+G146+G156+G166+G184+G195+G207+G224+G230+G240+G254+G259</f>
        <v>47199294.694595672</v>
      </c>
      <c r="H269" s="59">
        <f>H6+H28+H38+H50+H62+H74+H86+H112+H122+H132+H146+H156+H166+H184+H195+H207+H224+H230+H240+H254+H259</f>
        <v>14920</v>
      </c>
      <c r="I269" s="61">
        <f>I6+I28+I38+I50+I62+I74+I86+I112+I122+I132+I146+I156+I166+I184+I195+I207+I224+I230+I240+I254+I259</f>
        <v>57219419.440912195</v>
      </c>
      <c r="J269" s="62">
        <f>J6+J28+J38+J50+J62+J74+J86+J112+J122+J132+J146+J156+J166+J184+J195+J207+J224+J230+J240+J254+J259</f>
        <v>6098</v>
      </c>
      <c r="K269" s="88">
        <f t="shared" si="566"/>
        <v>3077</v>
      </c>
      <c r="L269" s="62">
        <f t="shared" ref="L269:AQ269" si="725">L6+L28+L38+L50+L62+L74+L86+L112+L122+L132+L146+L156+L166+L184+L195+L207+L224+L230+L240+L254+L259</f>
        <v>1621</v>
      </c>
      <c r="M269" s="62">
        <f t="shared" si="725"/>
        <v>856</v>
      </c>
      <c r="N269" s="62">
        <f t="shared" si="725"/>
        <v>600</v>
      </c>
      <c r="O269" s="63">
        <f t="shared" si="725"/>
        <v>1243.333333333333</v>
      </c>
      <c r="P269" s="62">
        <f t="shared" si="725"/>
        <v>3077</v>
      </c>
      <c r="Q269" s="62">
        <f t="shared" si="725"/>
        <v>1145</v>
      </c>
      <c r="R269" s="62">
        <f t="shared" si="725"/>
        <v>4222</v>
      </c>
      <c r="S269" s="89">
        <f t="shared" si="725"/>
        <v>2978.6666666666661</v>
      </c>
      <c r="T269" s="63">
        <f t="shared" si="725"/>
        <v>1243.333333333333</v>
      </c>
      <c r="U269" s="62">
        <f t="shared" si="725"/>
        <v>3077</v>
      </c>
      <c r="V269" s="62">
        <f t="shared" si="725"/>
        <v>2265</v>
      </c>
      <c r="W269" s="62">
        <f t="shared" si="725"/>
        <v>5342</v>
      </c>
      <c r="X269" s="62">
        <f t="shared" si="725"/>
        <v>4098.6666666666661</v>
      </c>
      <c r="Y269" s="63">
        <f t="shared" si="725"/>
        <v>1243.333333333333</v>
      </c>
      <c r="Z269" s="62">
        <f t="shared" si="725"/>
        <v>3077</v>
      </c>
      <c r="AA269" s="62">
        <f t="shared" si="725"/>
        <v>100</v>
      </c>
      <c r="AB269" s="62">
        <f t="shared" si="725"/>
        <v>3177</v>
      </c>
      <c r="AC269" s="62">
        <f t="shared" si="725"/>
        <v>1933.666666666667</v>
      </c>
      <c r="AD269" s="63">
        <f t="shared" si="725"/>
        <v>1243.333333333333</v>
      </c>
      <c r="AE269" s="62">
        <f t="shared" si="725"/>
        <v>3077</v>
      </c>
      <c r="AF269" s="62">
        <f t="shared" si="725"/>
        <v>840</v>
      </c>
      <c r="AG269" s="62">
        <f t="shared" si="725"/>
        <v>3917</v>
      </c>
      <c r="AH269" s="62">
        <f t="shared" si="725"/>
        <v>2673.6666666666661</v>
      </c>
      <c r="AI269" s="64">
        <f t="shared" si="725"/>
        <v>1243.333333333333</v>
      </c>
      <c r="AJ269" s="62">
        <f t="shared" si="725"/>
        <v>3077</v>
      </c>
      <c r="AK269" s="62">
        <f t="shared" si="725"/>
        <v>470</v>
      </c>
      <c r="AL269" s="62">
        <f t="shared" si="725"/>
        <v>3547</v>
      </c>
      <c r="AM269" s="62">
        <f t="shared" si="725"/>
        <v>2303.6666666666665</v>
      </c>
      <c r="AN269" s="64">
        <f t="shared" si="725"/>
        <v>1243.333333333333</v>
      </c>
      <c r="AO269" s="62">
        <f t="shared" si="725"/>
        <v>3077</v>
      </c>
      <c r="AP269" s="62">
        <f t="shared" si="725"/>
        <v>0</v>
      </c>
      <c r="AQ269" s="62">
        <f t="shared" si="725"/>
        <v>3077</v>
      </c>
      <c r="AR269" s="62">
        <f t="shared" ref="AR269:BX269" si="726">AR6+AR28+AR38+AR50+AR62+AR74+AR86+AR112+AR122+AR132+AR146+AR156+AR166+AR184+AR195+AR207+AR224+AR230+AR240+AR254+AR259</f>
        <v>1833.666666666667</v>
      </c>
      <c r="AS269" s="62">
        <f t="shared" si="726"/>
        <v>1243.333333333333</v>
      </c>
      <c r="AT269" s="62">
        <f t="shared" si="726"/>
        <v>3077</v>
      </c>
      <c r="AU269" s="62">
        <f t="shared" si="726"/>
        <v>0</v>
      </c>
      <c r="AV269" s="62">
        <f t="shared" si="726"/>
        <v>3077</v>
      </c>
      <c r="AW269" s="62">
        <f t="shared" si="726"/>
        <v>1833.666666666667</v>
      </c>
      <c r="AX269" s="64">
        <f t="shared" si="726"/>
        <v>1243.333333333333</v>
      </c>
      <c r="AY269" s="62">
        <f t="shared" si="726"/>
        <v>3077</v>
      </c>
      <c r="AZ269" s="62">
        <f t="shared" si="726"/>
        <v>0</v>
      </c>
      <c r="BA269" s="62">
        <f t="shared" si="726"/>
        <v>3077</v>
      </c>
      <c r="BB269" s="62">
        <f t="shared" si="726"/>
        <v>1833.666666666667</v>
      </c>
      <c r="BC269" s="64">
        <f t="shared" si="726"/>
        <v>1243.333333333333</v>
      </c>
      <c r="BD269" s="62">
        <f t="shared" si="726"/>
        <v>3077</v>
      </c>
      <c r="BE269" s="62">
        <f t="shared" si="726"/>
        <v>0</v>
      </c>
      <c r="BF269" s="62">
        <f t="shared" si="726"/>
        <v>3077</v>
      </c>
      <c r="BG269" s="62">
        <f t="shared" si="726"/>
        <v>1833.666666666667</v>
      </c>
      <c r="BH269" s="62">
        <f t="shared" si="726"/>
        <v>1243.333333333333</v>
      </c>
      <c r="BI269" s="62">
        <f t="shared" si="726"/>
        <v>3077</v>
      </c>
      <c r="BJ269" s="62">
        <f t="shared" si="726"/>
        <v>0</v>
      </c>
      <c r="BK269" s="62">
        <f t="shared" si="726"/>
        <v>3077</v>
      </c>
      <c r="BL269" s="62">
        <f t="shared" si="726"/>
        <v>1833.666666666667</v>
      </c>
      <c r="BM269" s="62">
        <f t="shared" si="726"/>
        <v>1243.333333333333</v>
      </c>
      <c r="BN269" s="62">
        <f t="shared" si="726"/>
        <v>3077</v>
      </c>
      <c r="BO269" s="62">
        <f t="shared" si="726"/>
        <v>0</v>
      </c>
      <c r="BP269" s="62">
        <f t="shared" si="726"/>
        <v>3077</v>
      </c>
      <c r="BQ269" s="62">
        <f t="shared" si="726"/>
        <v>1833.666666666667</v>
      </c>
      <c r="BR269" s="62">
        <f t="shared" si="726"/>
        <v>1243.333333333333</v>
      </c>
      <c r="BS269" s="62">
        <f t="shared" si="726"/>
        <v>3077</v>
      </c>
      <c r="BT269" s="62">
        <f t="shared" si="726"/>
        <v>0</v>
      </c>
      <c r="BU269" s="62">
        <f t="shared" si="726"/>
        <v>3077</v>
      </c>
      <c r="BV269" s="62">
        <f t="shared" si="726"/>
        <v>1833.666666666667</v>
      </c>
      <c r="BW269" s="64">
        <f t="shared" si="726"/>
        <v>7897</v>
      </c>
      <c r="BX269" s="62">
        <f t="shared" si="726"/>
        <v>-7023</v>
      </c>
      <c r="BY269" s="65"/>
    </row>
    <row r="270" spans="2:77" ht="41.25" customHeight="1">
      <c r="C270" s="17" t="s">
        <v>24</v>
      </c>
      <c r="D270" s="31"/>
      <c r="E270" s="33"/>
      <c r="F270" s="482" t="s">
        <v>25</v>
      </c>
      <c r="G270" s="483"/>
      <c r="H270" s="483"/>
      <c r="I270" s="484"/>
    </row>
    <row r="272" spans="2:77">
      <c r="BS272" s="185"/>
    </row>
    <row r="273" spans="14:71">
      <c r="BS273"/>
    </row>
    <row r="274" spans="14:71">
      <c r="BS274" s="185"/>
    </row>
    <row r="275" spans="14:71">
      <c r="BS275"/>
    </row>
    <row r="276" spans="14:71">
      <c r="BS276" s="185"/>
    </row>
    <row r="277" spans="14:71">
      <c r="BS277"/>
    </row>
    <row r="278" spans="14:71">
      <c r="BS278" s="185"/>
    </row>
    <row r="279" spans="14:71">
      <c r="N279"/>
      <c r="O279"/>
      <c r="P279"/>
      <c r="Q279"/>
      <c r="R279"/>
      <c r="S279"/>
      <c r="T279"/>
      <c r="U279"/>
      <c r="V279"/>
      <c r="W279"/>
      <c r="X279"/>
      <c r="Y279"/>
      <c r="Z279"/>
      <c r="AA279" s="185"/>
    </row>
  </sheetData>
  <autoFilter ref="A5:I5" xr:uid="{00000000-0009-0000-0000-000001000000}"/>
  <mergeCells count="114">
    <mergeCell ref="BX4:BX5"/>
    <mergeCell ref="F4:G4"/>
    <mergeCell ref="H4:I4"/>
    <mergeCell ref="T4:X4"/>
    <mergeCell ref="Y4:AC4"/>
    <mergeCell ref="AD4:AH4"/>
    <mergeCell ref="BC4:BG4"/>
    <mergeCell ref="BH4:BL4"/>
    <mergeCell ref="BM4:BQ4"/>
    <mergeCell ref="BR4:BV4"/>
    <mergeCell ref="J4:N4"/>
    <mergeCell ref="F270:I270"/>
    <mergeCell ref="C3:I3"/>
    <mergeCell ref="O4:S4"/>
    <mergeCell ref="BW4:BW5"/>
    <mergeCell ref="C4:E4"/>
    <mergeCell ref="D8:D12"/>
    <mergeCell ref="C6:E6"/>
    <mergeCell ref="C8:C27"/>
    <mergeCell ref="D13:D17"/>
    <mergeCell ref="D18:D22"/>
    <mergeCell ref="D23:D27"/>
    <mergeCell ref="AI4:AM4"/>
    <mergeCell ref="AN4:AR4"/>
    <mergeCell ref="AS4:AW4"/>
    <mergeCell ref="AX4:BB4"/>
    <mergeCell ref="D30:D33"/>
    <mergeCell ref="D34:D37"/>
    <mergeCell ref="C30:C37"/>
    <mergeCell ref="C64:C73"/>
    <mergeCell ref="D64:D68"/>
    <mergeCell ref="D69:D73"/>
    <mergeCell ref="C76:C85"/>
    <mergeCell ref="D76:D80"/>
    <mergeCell ref="D81:D85"/>
    <mergeCell ref="C74:E74"/>
    <mergeCell ref="D40:D44"/>
    <mergeCell ref="D45:D49"/>
    <mergeCell ref="C40:C49"/>
    <mergeCell ref="C52:C61"/>
    <mergeCell ref="D52:D56"/>
    <mergeCell ref="D57:D61"/>
    <mergeCell ref="C124:C131"/>
    <mergeCell ref="D124:D127"/>
    <mergeCell ref="D128:D131"/>
    <mergeCell ref="C86:E86"/>
    <mergeCell ref="C50:E50"/>
    <mergeCell ref="C62:E62"/>
    <mergeCell ref="D142:D145"/>
    <mergeCell ref="C134:C145"/>
    <mergeCell ref="C148:C155"/>
    <mergeCell ref="D148:D151"/>
    <mergeCell ref="D152:D155"/>
    <mergeCell ref="D134:D137"/>
    <mergeCell ref="D138:D141"/>
    <mergeCell ref="D104:D107"/>
    <mergeCell ref="D108:D111"/>
    <mergeCell ref="C88:C111"/>
    <mergeCell ref="C114:C121"/>
    <mergeCell ref="D114:D117"/>
    <mergeCell ref="D118:D121"/>
    <mergeCell ref="D88:D91"/>
    <mergeCell ref="D92:D95"/>
    <mergeCell ref="D96:D99"/>
    <mergeCell ref="D100:D103"/>
    <mergeCell ref="C112:E112"/>
    <mergeCell ref="C256:C258"/>
    <mergeCell ref="D261:D264"/>
    <mergeCell ref="D265:D268"/>
    <mergeCell ref="C261:C268"/>
    <mergeCell ref="C269:E269"/>
    <mergeCell ref="C259:E259"/>
    <mergeCell ref="D242:D245"/>
    <mergeCell ref="D246:D249"/>
    <mergeCell ref="D250:D253"/>
    <mergeCell ref="C242:C253"/>
    <mergeCell ref="C254:E254"/>
    <mergeCell ref="C168:C183"/>
    <mergeCell ref="D186:D188"/>
    <mergeCell ref="D189:D191"/>
    <mergeCell ref="D192:D194"/>
    <mergeCell ref="C186:C194"/>
    <mergeCell ref="D176:D179"/>
    <mergeCell ref="C184:E184"/>
    <mergeCell ref="C158:C165"/>
    <mergeCell ref="D158:D161"/>
    <mergeCell ref="D162:D165"/>
    <mergeCell ref="D168:D171"/>
    <mergeCell ref="D172:D175"/>
    <mergeCell ref="C166:E166"/>
    <mergeCell ref="J3:N3"/>
    <mergeCell ref="C226:C229"/>
    <mergeCell ref="C232:C239"/>
    <mergeCell ref="D232:D235"/>
    <mergeCell ref="D236:D239"/>
    <mergeCell ref="C240:E240"/>
    <mergeCell ref="C230:E230"/>
    <mergeCell ref="C224:E224"/>
    <mergeCell ref="C197:C206"/>
    <mergeCell ref="D197:D201"/>
    <mergeCell ref="D202:D206"/>
    <mergeCell ref="D209:D213"/>
    <mergeCell ref="C28:E28"/>
    <mergeCell ref="C38:E38"/>
    <mergeCell ref="C195:E195"/>
    <mergeCell ref="C146:E146"/>
    <mergeCell ref="C156:E156"/>
    <mergeCell ref="C122:E122"/>
    <mergeCell ref="C132:E132"/>
    <mergeCell ref="D219:D223"/>
    <mergeCell ref="C209:C223"/>
    <mergeCell ref="D214:D218"/>
    <mergeCell ref="C207:E207"/>
    <mergeCell ref="D180:D183"/>
  </mergeCells>
  <phoneticPr fontId="1"/>
  <conditionalFormatting sqref="S6:S268">
    <cfRule type="cellIs" dxfId="1" priority="2" operator="lessThan">
      <formula>0</formula>
    </cfRule>
  </conditionalFormatting>
  <conditionalFormatting sqref="X6:X268 AC6:AC268 AH6:AH268 AM6:AM268 AR6:AR268 AW6:AW268 BB6:BB268 BG6:BG268 BL6:BL268 BQ6:BQ268 BV6:BV268">
    <cfRule type="cellIs" dxfId="0" priority="1" operator="lessThan">
      <formula>0</formula>
    </cfRule>
  </conditionalFormatting>
  <pageMargins left="0.7" right="0.7" top="0.75" bottom="0.75" header="0.3" footer="0.3"/>
  <pageSetup paperSize="9" orientation="portrait" r:id="rId1"/>
  <ignoredErrors>
    <ignoredError sqref="E8:E9 E11:E12"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E28"/>
  <sheetViews>
    <sheetView zoomScale="55" zoomScaleNormal="55" workbookViewId="0">
      <pane ySplit="5" topLeftCell="A6" activePane="bottomLeft" state="frozen"/>
      <selection pane="bottomLeft" activeCell="G21" sqref="G21"/>
    </sheetView>
  </sheetViews>
  <sheetFormatPr defaultColWidth="8.8984375" defaultRowHeight="18"/>
  <cols>
    <col min="2" max="2" width="9" style="2" customWidth="1"/>
    <col min="3" max="3" width="19.09765625" style="3" customWidth="1"/>
    <col min="4" max="5" width="16.3984375" style="1" customWidth="1"/>
    <col min="6" max="6" width="16.3984375" customWidth="1"/>
    <col min="7" max="7" width="16.3984375" style="1" customWidth="1"/>
    <col min="8" max="9" width="10.5" style="2" customWidth="1"/>
    <col min="10" max="14" width="10.59765625" style="2" customWidth="1"/>
    <col min="15" max="15" width="10.59765625" style="25" customWidth="1"/>
    <col min="16" max="19" width="10.59765625" style="2" customWidth="1"/>
    <col min="20" max="20" width="10.59765625" style="25" customWidth="1"/>
    <col min="21" max="24" width="10.59765625" style="2" customWidth="1"/>
    <col min="25" max="25" width="10.59765625" style="25" customWidth="1"/>
    <col min="26" max="29" width="10.59765625" style="2" customWidth="1"/>
    <col min="30" max="31" width="13" style="27" customWidth="1"/>
  </cols>
  <sheetData>
    <row r="3" spans="2:31" ht="31.5" customHeight="1">
      <c r="C3" s="515" t="s">
        <v>27</v>
      </c>
      <c r="D3" s="515"/>
      <c r="E3" s="515"/>
      <c r="F3" s="515"/>
      <c r="G3" s="515"/>
    </row>
    <row r="4" spans="2:31" ht="31.5" customHeight="1">
      <c r="C4" s="87"/>
      <c r="D4" s="455" t="s">
        <v>21</v>
      </c>
      <c r="E4" s="456"/>
      <c r="F4" s="455" t="s">
        <v>22</v>
      </c>
      <c r="G4" s="456"/>
      <c r="H4" s="518" t="s">
        <v>30</v>
      </c>
      <c r="I4" s="520"/>
      <c r="J4" s="518" t="s">
        <v>33</v>
      </c>
      <c r="K4" s="519"/>
      <c r="L4" s="519"/>
      <c r="M4" s="519"/>
      <c r="N4" s="519"/>
      <c r="O4" s="518" t="s">
        <v>36</v>
      </c>
      <c r="P4" s="519"/>
      <c r="Q4" s="519"/>
      <c r="R4" s="519"/>
      <c r="S4" s="519"/>
      <c r="T4" s="518" t="s">
        <v>37</v>
      </c>
      <c r="U4" s="519"/>
      <c r="V4" s="519"/>
      <c r="W4" s="519"/>
      <c r="X4" s="519"/>
      <c r="Y4" s="518" t="s">
        <v>38</v>
      </c>
      <c r="Z4" s="519"/>
      <c r="AA4" s="519"/>
      <c r="AB4" s="519"/>
      <c r="AC4" s="519"/>
      <c r="AD4" s="521" t="s">
        <v>29</v>
      </c>
      <c r="AE4" s="517" t="s">
        <v>31</v>
      </c>
    </row>
    <row r="5" spans="2:31" ht="29.25" customHeight="1">
      <c r="B5" s="2" t="s">
        <v>26</v>
      </c>
      <c r="C5" s="11" t="s">
        <v>69</v>
      </c>
      <c r="D5" s="12" t="s">
        <v>20</v>
      </c>
      <c r="E5" s="13" t="s">
        <v>41</v>
      </c>
      <c r="F5" s="14" t="s">
        <v>20</v>
      </c>
      <c r="G5" s="13" t="s">
        <v>41</v>
      </c>
      <c r="H5" s="15" t="s">
        <v>28</v>
      </c>
      <c r="I5" s="86" t="s">
        <v>68</v>
      </c>
      <c r="J5" s="8" t="s">
        <v>32</v>
      </c>
      <c r="K5" s="22" t="s">
        <v>39</v>
      </c>
      <c r="L5" s="20" t="s">
        <v>40</v>
      </c>
      <c r="M5" s="18" t="s">
        <v>34</v>
      </c>
      <c r="N5" s="16" t="s">
        <v>35</v>
      </c>
      <c r="O5" s="26" t="s">
        <v>32</v>
      </c>
      <c r="P5" s="22" t="s">
        <v>39</v>
      </c>
      <c r="Q5" s="20" t="s">
        <v>40</v>
      </c>
      <c r="R5" s="18" t="s">
        <v>34</v>
      </c>
      <c r="S5" s="16" t="s">
        <v>35</v>
      </c>
      <c r="T5" s="26" t="s">
        <v>32</v>
      </c>
      <c r="U5" s="22" t="s">
        <v>39</v>
      </c>
      <c r="V5" s="20" t="s">
        <v>40</v>
      </c>
      <c r="W5" s="18" t="s">
        <v>34</v>
      </c>
      <c r="X5" s="16" t="s">
        <v>35</v>
      </c>
      <c r="Y5" s="26" t="s">
        <v>32</v>
      </c>
      <c r="Z5" s="22" t="s">
        <v>39</v>
      </c>
      <c r="AA5" s="20" t="s">
        <v>40</v>
      </c>
      <c r="AB5" s="18" t="s">
        <v>34</v>
      </c>
      <c r="AC5" s="16" t="s">
        <v>35</v>
      </c>
      <c r="AD5" s="521"/>
      <c r="AE5" s="517"/>
    </row>
    <row r="6" spans="2:31" ht="30.75" customHeight="1">
      <c r="B6" s="2">
        <v>1</v>
      </c>
      <c r="C6" s="85" t="s">
        <v>6</v>
      </c>
      <c r="D6" s="7">
        <v>1423</v>
      </c>
      <c r="E6" s="5">
        <v>6259230.7800000003</v>
      </c>
      <c r="F6" s="4">
        <v>1600</v>
      </c>
      <c r="G6" s="6">
        <f t="shared" ref="G6:G26" si="0">E6/D6*F6</f>
        <v>7037785.8383696424</v>
      </c>
      <c r="H6" s="9">
        <v>0</v>
      </c>
      <c r="I6" s="10">
        <v>60</v>
      </c>
      <c r="J6" s="23">
        <f>F6/12</f>
        <v>133.33333333333334</v>
      </c>
      <c r="K6" s="10">
        <f>I6</f>
        <v>60</v>
      </c>
      <c r="L6" s="21"/>
      <c r="M6" s="19">
        <f>L6+I6</f>
        <v>60</v>
      </c>
      <c r="N6" s="24">
        <f>J6-M6</f>
        <v>73.333333333333343</v>
      </c>
      <c r="O6" s="23">
        <f>F6/12</f>
        <v>133.33333333333334</v>
      </c>
      <c r="P6" s="10">
        <f>I6</f>
        <v>60</v>
      </c>
      <c r="Q6" s="21"/>
      <c r="R6" s="19">
        <f>P6+Q6</f>
        <v>60</v>
      </c>
      <c r="S6" s="24">
        <f>O6-R6</f>
        <v>73.333333333333343</v>
      </c>
      <c r="T6" s="23">
        <f>F6/12</f>
        <v>133.33333333333334</v>
      </c>
      <c r="U6" s="10">
        <f>I6</f>
        <v>60</v>
      </c>
      <c r="V6" s="21"/>
      <c r="W6" s="19">
        <f>U6+V6</f>
        <v>60</v>
      </c>
      <c r="X6" s="24">
        <f>T6-W6</f>
        <v>73.333333333333343</v>
      </c>
      <c r="Y6" s="23">
        <f>F6/12</f>
        <v>133.33333333333334</v>
      </c>
      <c r="Z6" s="10">
        <f>I6</f>
        <v>60</v>
      </c>
      <c r="AA6" s="21"/>
      <c r="AB6" s="19">
        <f>Z6+AA6</f>
        <v>60</v>
      </c>
      <c r="AC6" s="24">
        <f>Y6-AB6</f>
        <v>73.333333333333343</v>
      </c>
      <c r="AD6" s="28">
        <f>AB6+W6+R6+M6</f>
        <v>240</v>
      </c>
      <c r="AE6" s="29">
        <f t="shared" ref="AE6:AE26" si="1">AD6-F6</f>
        <v>-1360</v>
      </c>
    </row>
    <row r="7" spans="2:31" ht="30.75" customHeight="1">
      <c r="B7" s="2">
        <v>2</v>
      </c>
      <c r="C7" s="84" t="s">
        <v>10</v>
      </c>
      <c r="D7" s="45">
        <v>927</v>
      </c>
      <c r="E7" s="46">
        <v>4080032.6324999998</v>
      </c>
      <c r="F7" s="47">
        <v>970</v>
      </c>
      <c r="G7" s="48">
        <f t="shared" si="0"/>
        <v>4269289.8096278319</v>
      </c>
      <c r="H7" s="49"/>
      <c r="I7" s="40"/>
      <c r="J7" s="49"/>
      <c r="K7" s="40"/>
      <c r="L7" s="39"/>
      <c r="M7" s="43"/>
      <c r="N7" s="42"/>
      <c r="O7" s="41"/>
      <c r="P7" s="40"/>
      <c r="Q7" s="39"/>
      <c r="R7" s="43"/>
      <c r="S7" s="42"/>
      <c r="T7" s="41"/>
      <c r="U7" s="40"/>
      <c r="V7" s="39"/>
      <c r="W7" s="43"/>
      <c r="X7" s="42"/>
      <c r="Y7" s="41"/>
      <c r="Z7" s="40"/>
      <c r="AA7" s="39"/>
      <c r="AB7" s="43"/>
      <c r="AC7" s="42"/>
      <c r="AD7" s="50">
        <f t="shared" ref="AD7:AD26" si="2">AC7+AA7+Y7+W7+U7+K7+I7</f>
        <v>0</v>
      </c>
      <c r="AE7" s="51">
        <f t="shared" si="1"/>
        <v>-970</v>
      </c>
    </row>
    <row r="8" spans="2:31" ht="30.75" customHeight="1">
      <c r="B8" s="2">
        <v>3</v>
      </c>
      <c r="C8" s="84" t="s">
        <v>8</v>
      </c>
      <c r="D8" s="45">
        <v>585</v>
      </c>
      <c r="E8" s="46">
        <v>2124943.0351875001</v>
      </c>
      <c r="F8" s="47">
        <v>1100</v>
      </c>
      <c r="G8" s="48">
        <f t="shared" si="0"/>
        <v>3995619.3824038464</v>
      </c>
      <c r="H8" s="49"/>
      <c r="I8" s="40"/>
      <c r="J8" s="49"/>
      <c r="K8" s="40"/>
      <c r="L8" s="39"/>
      <c r="M8" s="43"/>
      <c r="N8" s="42"/>
      <c r="O8" s="41"/>
      <c r="P8" s="40"/>
      <c r="Q8" s="39"/>
      <c r="R8" s="43"/>
      <c r="S8" s="42"/>
      <c r="T8" s="41"/>
      <c r="U8" s="40"/>
      <c r="V8" s="39"/>
      <c r="W8" s="43"/>
      <c r="X8" s="42"/>
      <c r="Y8" s="41"/>
      <c r="Z8" s="40"/>
      <c r="AA8" s="39"/>
      <c r="AB8" s="43"/>
      <c r="AC8" s="42"/>
      <c r="AD8" s="50">
        <f t="shared" si="2"/>
        <v>0</v>
      </c>
      <c r="AE8" s="51">
        <f t="shared" si="1"/>
        <v>-1100</v>
      </c>
    </row>
    <row r="9" spans="2:31" ht="30.75" customHeight="1">
      <c r="B9" s="2">
        <v>4</v>
      </c>
      <c r="C9" s="84" t="s">
        <v>2</v>
      </c>
      <c r="D9" s="45">
        <v>867</v>
      </c>
      <c r="E9" s="46">
        <v>3433672.9844999998</v>
      </c>
      <c r="F9" s="47">
        <v>1000</v>
      </c>
      <c r="G9" s="48">
        <f t="shared" si="0"/>
        <v>3960407.1332179927</v>
      </c>
      <c r="H9" s="49"/>
      <c r="I9" s="40"/>
      <c r="J9" s="49"/>
      <c r="K9" s="40"/>
      <c r="L9" s="39"/>
      <c r="M9" s="43"/>
      <c r="N9" s="42"/>
      <c r="O9" s="41"/>
      <c r="P9" s="40"/>
      <c r="Q9" s="39"/>
      <c r="R9" s="43"/>
      <c r="S9" s="42"/>
      <c r="T9" s="41"/>
      <c r="U9" s="40"/>
      <c r="V9" s="39"/>
      <c r="W9" s="43"/>
      <c r="X9" s="42"/>
      <c r="Y9" s="41"/>
      <c r="Z9" s="40"/>
      <c r="AA9" s="39"/>
      <c r="AB9" s="43"/>
      <c r="AC9" s="42"/>
      <c r="AD9" s="50">
        <f t="shared" si="2"/>
        <v>0</v>
      </c>
      <c r="AE9" s="51">
        <f t="shared" si="1"/>
        <v>-1000</v>
      </c>
    </row>
    <row r="10" spans="2:31" ht="30.75" customHeight="1">
      <c r="B10" s="2">
        <v>5</v>
      </c>
      <c r="C10" s="84" t="s">
        <v>1</v>
      </c>
      <c r="D10" s="45">
        <v>973</v>
      </c>
      <c r="E10" s="46">
        <v>3813982.6168124992</v>
      </c>
      <c r="F10" s="47">
        <v>1000</v>
      </c>
      <c r="G10" s="48">
        <f t="shared" si="0"/>
        <v>3919817.6945657753</v>
      </c>
      <c r="H10" s="49"/>
      <c r="I10" s="40"/>
      <c r="J10" s="49"/>
      <c r="K10" s="40"/>
      <c r="L10" s="39"/>
      <c r="M10" s="43"/>
      <c r="N10" s="42"/>
      <c r="O10" s="41"/>
      <c r="P10" s="40"/>
      <c r="Q10" s="39"/>
      <c r="R10" s="43"/>
      <c r="S10" s="42"/>
      <c r="T10" s="41"/>
      <c r="U10" s="40"/>
      <c r="V10" s="39"/>
      <c r="W10" s="43"/>
      <c r="X10" s="42"/>
      <c r="Y10" s="41"/>
      <c r="Z10" s="40"/>
      <c r="AA10" s="39"/>
      <c r="AB10" s="43"/>
      <c r="AC10" s="42"/>
      <c r="AD10" s="50">
        <f t="shared" si="2"/>
        <v>0</v>
      </c>
      <c r="AE10" s="51">
        <f t="shared" si="1"/>
        <v>-1000</v>
      </c>
    </row>
    <row r="11" spans="2:31" ht="30.75" customHeight="1">
      <c r="B11" s="2">
        <v>6</v>
      </c>
      <c r="C11" s="84" t="s">
        <v>5</v>
      </c>
      <c r="D11" s="45">
        <v>649</v>
      </c>
      <c r="E11" s="46">
        <v>2069641.6949999998</v>
      </c>
      <c r="F11" s="47">
        <v>1100</v>
      </c>
      <c r="G11" s="48">
        <f t="shared" si="0"/>
        <v>3507867.2796610165</v>
      </c>
      <c r="H11" s="49"/>
      <c r="I11" s="40"/>
      <c r="J11" s="49"/>
      <c r="K11" s="40"/>
      <c r="L11" s="39"/>
      <c r="M11" s="43"/>
      <c r="N11" s="42"/>
      <c r="O11" s="41"/>
      <c r="P11" s="40"/>
      <c r="Q11" s="39"/>
      <c r="R11" s="43"/>
      <c r="S11" s="42"/>
      <c r="T11" s="41"/>
      <c r="U11" s="40"/>
      <c r="V11" s="39"/>
      <c r="W11" s="43"/>
      <c r="X11" s="42"/>
      <c r="Y11" s="41"/>
      <c r="Z11" s="40"/>
      <c r="AA11" s="39"/>
      <c r="AB11" s="43"/>
      <c r="AC11" s="42"/>
      <c r="AD11" s="50">
        <f t="shared" si="2"/>
        <v>0</v>
      </c>
      <c r="AE11" s="51">
        <f t="shared" si="1"/>
        <v>-1100</v>
      </c>
    </row>
    <row r="12" spans="2:31" ht="30.75" customHeight="1">
      <c r="B12" s="2">
        <v>7</v>
      </c>
      <c r="C12" s="84" t="s">
        <v>3</v>
      </c>
      <c r="D12" s="45">
        <v>847</v>
      </c>
      <c r="E12" s="46">
        <v>3075975.1068749996</v>
      </c>
      <c r="F12" s="47">
        <v>950</v>
      </c>
      <c r="G12" s="48">
        <f t="shared" si="0"/>
        <v>3450031.1116071427</v>
      </c>
      <c r="H12" s="49"/>
      <c r="I12" s="40"/>
      <c r="J12" s="49"/>
      <c r="K12" s="40"/>
      <c r="L12" s="39"/>
      <c r="M12" s="43"/>
      <c r="N12" s="42"/>
      <c r="O12" s="41"/>
      <c r="P12" s="40"/>
      <c r="Q12" s="39"/>
      <c r="R12" s="43"/>
      <c r="S12" s="42"/>
      <c r="T12" s="41"/>
      <c r="U12" s="40"/>
      <c r="V12" s="39"/>
      <c r="W12" s="43"/>
      <c r="X12" s="42"/>
      <c r="Y12" s="41"/>
      <c r="Z12" s="40"/>
      <c r="AA12" s="39"/>
      <c r="AB12" s="43"/>
      <c r="AC12" s="42"/>
      <c r="AD12" s="50">
        <f t="shared" si="2"/>
        <v>0</v>
      </c>
      <c r="AE12" s="51">
        <f t="shared" si="1"/>
        <v>-950</v>
      </c>
    </row>
    <row r="13" spans="2:31" ht="30.75" customHeight="1">
      <c r="B13" s="2">
        <v>8</v>
      </c>
      <c r="C13" s="84" t="s">
        <v>4</v>
      </c>
      <c r="D13" s="45">
        <v>701</v>
      </c>
      <c r="E13" s="46">
        <v>2312264.2331249998</v>
      </c>
      <c r="F13" s="47">
        <v>870</v>
      </c>
      <c r="G13" s="48">
        <f t="shared" si="0"/>
        <v>2869714.5261323107</v>
      </c>
      <c r="H13" s="49"/>
      <c r="I13" s="40"/>
      <c r="J13" s="49"/>
      <c r="K13" s="40"/>
      <c r="L13" s="39"/>
      <c r="M13" s="43"/>
      <c r="N13" s="42"/>
      <c r="O13" s="41"/>
      <c r="P13" s="40"/>
      <c r="Q13" s="39"/>
      <c r="R13" s="43"/>
      <c r="S13" s="42"/>
      <c r="T13" s="41"/>
      <c r="U13" s="40"/>
      <c r="V13" s="39"/>
      <c r="W13" s="43"/>
      <c r="X13" s="42"/>
      <c r="Y13" s="41"/>
      <c r="Z13" s="40"/>
      <c r="AA13" s="39"/>
      <c r="AB13" s="43"/>
      <c r="AC13" s="42"/>
      <c r="AD13" s="50">
        <f t="shared" si="2"/>
        <v>0</v>
      </c>
      <c r="AE13" s="51">
        <f t="shared" si="1"/>
        <v>-870</v>
      </c>
    </row>
    <row r="14" spans="2:31" ht="30.75" customHeight="1">
      <c r="B14" s="2">
        <v>9</v>
      </c>
      <c r="C14" s="84" t="s">
        <v>15</v>
      </c>
      <c r="D14" s="45">
        <v>515</v>
      </c>
      <c r="E14" s="46">
        <v>1965822.3275624998</v>
      </c>
      <c r="F14" s="47">
        <v>700</v>
      </c>
      <c r="G14" s="48">
        <f t="shared" si="0"/>
        <v>2671991.5131917475</v>
      </c>
      <c r="H14" s="49"/>
      <c r="I14" s="40"/>
      <c r="J14" s="49"/>
      <c r="K14" s="40"/>
      <c r="L14" s="39"/>
      <c r="M14" s="43"/>
      <c r="N14" s="42"/>
      <c r="O14" s="41"/>
      <c r="P14" s="40"/>
      <c r="Q14" s="39"/>
      <c r="R14" s="43"/>
      <c r="S14" s="42"/>
      <c r="T14" s="41"/>
      <c r="U14" s="40"/>
      <c r="V14" s="39"/>
      <c r="W14" s="43"/>
      <c r="X14" s="42"/>
      <c r="Y14" s="41"/>
      <c r="Z14" s="40"/>
      <c r="AA14" s="39"/>
      <c r="AB14" s="43"/>
      <c r="AC14" s="42"/>
      <c r="AD14" s="50">
        <f t="shared" si="2"/>
        <v>0</v>
      </c>
      <c r="AE14" s="51">
        <f t="shared" si="1"/>
        <v>-700</v>
      </c>
    </row>
    <row r="15" spans="2:31" ht="30.75" customHeight="1">
      <c r="B15" s="2">
        <v>10</v>
      </c>
      <c r="C15" s="84" t="s">
        <v>13</v>
      </c>
      <c r="D15" s="45">
        <v>543</v>
      </c>
      <c r="E15" s="46">
        <v>2388477.96</v>
      </c>
      <c r="F15" s="47">
        <v>600</v>
      </c>
      <c r="G15" s="48">
        <f t="shared" si="0"/>
        <v>2639202.1657458562</v>
      </c>
      <c r="H15" s="49"/>
      <c r="I15" s="40"/>
      <c r="J15" s="49"/>
      <c r="K15" s="40"/>
      <c r="L15" s="39"/>
      <c r="M15" s="43"/>
      <c r="N15" s="42"/>
      <c r="O15" s="41"/>
      <c r="P15" s="40"/>
      <c r="Q15" s="39"/>
      <c r="R15" s="43"/>
      <c r="S15" s="42"/>
      <c r="T15" s="41"/>
      <c r="U15" s="40"/>
      <c r="V15" s="39"/>
      <c r="W15" s="43"/>
      <c r="X15" s="42"/>
      <c r="Y15" s="41"/>
      <c r="Z15" s="40"/>
      <c r="AA15" s="39"/>
      <c r="AB15" s="43"/>
      <c r="AC15" s="42"/>
      <c r="AD15" s="50">
        <f t="shared" si="2"/>
        <v>0</v>
      </c>
      <c r="AE15" s="51">
        <f t="shared" si="1"/>
        <v>-600</v>
      </c>
    </row>
    <row r="16" spans="2:31" ht="30.75" customHeight="1">
      <c r="B16" s="2">
        <v>11</v>
      </c>
      <c r="C16" s="84" t="s">
        <v>0</v>
      </c>
      <c r="D16" s="45">
        <v>719</v>
      </c>
      <c r="E16" s="46">
        <v>2529412.38</v>
      </c>
      <c r="F16" s="47">
        <v>750</v>
      </c>
      <c r="G16" s="48">
        <f t="shared" si="0"/>
        <v>2638469.1029207231</v>
      </c>
      <c r="H16" s="49"/>
      <c r="I16" s="40"/>
      <c r="J16" s="49"/>
      <c r="K16" s="40"/>
      <c r="L16" s="39"/>
      <c r="M16" s="43"/>
      <c r="N16" s="42"/>
      <c r="O16" s="41"/>
      <c r="P16" s="40"/>
      <c r="Q16" s="39"/>
      <c r="R16" s="43"/>
      <c r="S16" s="42"/>
      <c r="T16" s="41"/>
      <c r="U16" s="40"/>
      <c r="V16" s="39"/>
      <c r="W16" s="43"/>
      <c r="X16" s="42"/>
      <c r="Y16" s="41"/>
      <c r="Z16" s="40"/>
      <c r="AA16" s="39"/>
      <c r="AB16" s="43"/>
      <c r="AC16" s="42"/>
      <c r="AD16" s="50">
        <f t="shared" si="2"/>
        <v>0</v>
      </c>
      <c r="AE16" s="51">
        <f t="shared" si="1"/>
        <v>-750</v>
      </c>
    </row>
    <row r="17" spans="2:31" ht="30.75" customHeight="1">
      <c r="B17" s="2">
        <v>12</v>
      </c>
      <c r="C17" s="84" t="s">
        <v>18</v>
      </c>
      <c r="D17" s="45">
        <v>663</v>
      </c>
      <c r="E17" s="46">
        <v>2254344.8482499998</v>
      </c>
      <c r="F17" s="47">
        <v>700</v>
      </c>
      <c r="G17" s="48">
        <f t="shared" si="0"/>
        <v>2380152.9317873297</v>
      </c>
      <c r="H17" s="49"/>
      <c r="I17" s="40"/>
      <c r="J17" s="49"/>
      <c r="K17" s="40"/>
      <c r="L17" s="39"/>
      <c r="M17" s="43"/>
      <c r="N17" s="42"/>
      <c r="O17" s="41"/>
      <c r="P17" s="40"/>
      <c r="Q17" s="39"/>
      <c r="R17" s="43"/>
      <c r="S17" s="42"/>
      <c r="T17" s="41"/>
      <c r="U17" s="40"/>
      <c r="V17" s="39"/>
      <c r="W17" s="43"/>
      <c r="X17" s="42"/>
      <c r="Y17" s="41"/>
      <c r="Z17" s="40"/>
      <c r="AA17" s="39"/>
      <c r="AB17" s="43"/>
      <c r="AC17" s="42"/>
      <c r="AD17" s="50">
        <f t="shared" si="2"/>
        <v>0</v>
      </c>
      <c r="AE17" s="51">
        <f t="shared" si="1"/>
        <v>-700</v>
      </c>
    </row>
    <row r="18" spans="2:31" ht="30.75" customHeight="1">
      <c r="B18" s="2">
        <v>13</v>
      </c>
      <c r="C18" s="84" t="s">
        <v>7</v>
      </c>
      <c r="D18" s="45">
        <v>422</v>
      </c>
      <c r="E18" s="46">
        <v>2087509.5140624999</v>
      </c>
      <c r="F18" s="47">
        <v>450</v>
      </c>
      <c r="G18" s="48">
        <f t="shared" si="0"/>
        <v>2226017.2543320493</v>
      </c>
      <c r="H18" s="49"/>
      <c r="I18" s="40"/>
      <c r="J18" s="49"/>
      <c r="K18" s="40"/>
      <c r="L18" s="39"/>
      <c r="M18" s="43"/>
      <c r="N18" s="42"/>
      <c r="O18" s="41"/>
      <c r="P18" s="40"/>
      <c r="Q18" s="39"/>
      <c r="R18" s="43"/>
      <c r="S18" s="42"/>
      <c r="T18" s="41"/>
      <c r="U18" s="40"/>
      <c r="V18" s="39"/>
      <c r="W18" s="43"/>
      <c r="X18" s="42"/>
      <c r="Y18" s="41"/>
      <c r="Z18" s="40"/>
      <c r="AA18" s="39"/>
      <c r="AB18" s="43"/>
      <c r="AC18" s="42"/>
      <c r="AD18" s="50">
        <f t="shared" si="2"/>
        <v>0</v>
      </c>
      <c r="AE18" s="51">
        <f t="shared" si="1"/>
        <v>-450</v>
      </c>
    </row>
    <row r="19" spans="2:31" ht="30.75" customHeight="1">
      <c r="B19" s="2">
        <v>14</v>
      </c>
      <c r="C19" s="84" t="s">
        <v>11</v>
      </c>
      <c r="D19" s="45">
        <v>213.63981160714286</v>
      </c>
      <c r="E19" s="46">
        <v>1410022.7566071427</v>
      </c>
      <c r="F19" s="47">
        <v>300</v>
      </c>
      <c r="G19" s="48">
        <f t="shared" si="0"/>
        <v>1979999.9999999998</v>
      </c>
      <c r="H19" s="49"/>
      <c r="I19" s="40"/>
      <c r="J19" s="49"/>
      <c r="K19" s="40"/>
      <c r="L19" s="39"/>
      <c r="M19" s="43"/>
      <c r="N19" s="42"/>
      <c r="O19" s="41"/>
      <c r="P19" s="40"/>
      <c r="Q19" s="39"/>
      <c r="R19" s="43"/>
      <c r="S19" s="42"/>
      <c r="T19" s="41"/>
      <c r="U19" s="40"/>
      <c r="V19" s="39"/>
      <c r="W19" s="43"/>
      <c r="X19" s="42"/>
      <c r="Y19" s="41"/>
      <c r="Z19" s="40"/>
      <c r="AA19" s="39"/>
      <c r="AB19" s="43"/>
      <c r="AC19" s="42"/>
      <c r="AD19" s="50">
        <f t="shared" si="2"/>
        <v>0</v>
      </c>
      <c r="AE19" s="51">
        <f t="shared" si="1"/>
        <v>-300</v>
      </c>
    </row>
    <row r="20" spans="2:31" ht="30.75" customHeight="1">
      <c r="B20" s="2">
        <v>15</v>
      </c>
      <c r="C20" s="84" t="s">
        <v>12</v>
      </c>
      <c r="D20" s="45">
        <v>386</v>
      </c>
      <c r="E20" s="46">
        <v>1512978.7798124999</v>
      </c>
      <c r="F20" s="47">
        <v>480</v>
      </c>
      <c r="G20" s="48">
        <f t="shared" si="0"/>
        <v>1881424.3894041448</v>
      </c>
      <c r="H20" s="49"/>
      <c r="I20" s="40"/>
      <c r="J20" s="49"/>
      <c r="K20" s="40"/>
      <c r="L20" s="39"/>
      <c r="M20" s="43"/>
      <c r="N20" s="42"/>
      <c r="O20" s="41"/>
      <c r="P20" s="40"/>
      <c r="Q20" s="39"/>
      <c r="R20" s="43"/>
      <c r="S20" s="42"/>
      <c r="T20" s="41"/>
      <c r="U20" s="40"/>
      <c r="V20" s="39"/>
      <c r="W20" s="43"/>
      <c r="X20" s="42"/>
      <c r="Y20" s="41"/>
      <c r="Z20" s="40"/>
      <c r="AA20" s="39"/>
      <c r="AB20" s="43"/>
      <c r="AC20" s="42"/>
      <c r="AD20" s="50">
        <f t="shared" si="2"/>
        <v>0</v>
      </c>
      <c r="AE20" s="51">
        <f t="shared" si="1"/>
        <v>-480</v>
      </c>
    </row>
    <row r="21" spans="2:31" ht="30.75" customHeight="1">
      <c r="B21" s="2">
        <v>16</v>
      </c>
      <c r="C21" s="84" t="s">
        <v>14</v>
      </c>
      <c r="D21" s="45">
        <v>345</v>
      </c>
      <c r="E21" s="46">
        <v>1517169.5549999999</v>
      </c>
      <c r="F21" s="47">
        <v>400</v>
      </c>
      <c r="G21" s="48">
        <f t="shared" si="0"/>
        <v>1759037.1652173912</v>
      </c>
      <c r="H21" s="49"/>
      <c r="I21" s="40"/>
      <c r="J21" s="49"/>
      <c r="K21" s="40"/>
      <c r="L21" s="39"/>
      <c r="M21" s="43"/>
      <c r="N21" s="42"/>
      <c r="O21" s="41"/>
      <c r="P21" s="40"/>
      <c r="Q21" s="39"/>
      <c r="R21" s="43"/>
      <c r="S21" s="42"/>
      <c r="T21" s="41"/>
      <c r="U21" s="40"/>
      <c r="V21" s="39"/>
      <c r="W21" s="43"/>
      <c r="X21" s="42"/>
      <c r="Y21" s="41"/>
      <c r="Z21" s="40"/>
      <c r="AA21" s="39"/>
      <c r="AB21" s="43"/>
      <c r="AC21" s="42"/>
      <c r="AD21" s="50">
        <f t="shared" si="2"/>
        <v>0</v>
      </c>
      <c r="AE21" s="51">
        <f t="shared" si="1"/>
        <v>-400</v>
      </c>
    </row>
    <row r="22" spans="2:31" ht="30.75" customHeight="1">
      <c r="B22" s="2">
        <v>17</v>
      </c>
      <c r="C22" s="84">
        <v>5135</v>
      </c>
      <c r="D22" s="45">
        <v>639</v>
      </c>
      <c r="E22" s="46">
        <v>1475964.3071250001</v>
      </c>
      <c r="F22" s="47">
        <v>720</v>
      </c>
      <c r="G22" s="48">
        <f t="shared" si="0"/>
        <v>1663058.374225352</v>
      </c>
      <c r="H22" s="49"/>
      <c r="I22" s="40"/>
      <c r="J22" s="49"/>
      <c r="K22" s="40"/>
      <c r="L22" s="39"/>
      <c r="M22" s="43"/>
      <c r="N22" s="42"/>
      <c r="O22" s="41"/>
      <c r="P22" s="40"/>
      <c r="Q22" s="39"/>
      <c r="R22" s="43"/>
      <c r="S22" s="42"/>
      <c r="T22" s="41"/>
      <c r="U22" s="40"/>
      <c r="V22" s="39"/>
      <c r="W22" s="43"/>
      <c r="X22" s="42"/>
      <c r="Y22" s="41"/>
      <c r="Z22" s="40"/>
      <c r="AA22" s="39"/>
      <c r="AB22" s="43"/>
      <c r="AC22" s="42"/>
      <c r="AD22" s="50">
        <f t="shared" si="2"/>
        <v>0</v>
      </c>
      <c r="AE22" s="51">
        <f t="shared" si="1"/>
        <v>-720</v>
      </c>
    </row>
    <row r="23" spans="2:31" ht="30.75" customHeight="1">
      <c r="B23" s="2">
        <v>18</v>
      </c>
      <c r="C23" s="84" t="s">
        <v>9</v>
      </c>
      <c r="D23" s="45">
        <v>349</v>
      </c>
      <c r="E23" s="46">
        <v>1227920.3639999998</v>
      </c>
      <c r="F23" s="47">
        <v>400</v>
      </c>
      <c r="G23" s="48">
        <f t="shared" si="0"/>
        <v>1407358.5833810887</v>
      </c>
      <c r="H23" s="49"/>
      <c r="I23" s="40"/>
      <c r="J23" s="49"/>
      <c r="K23" s="40"/>
      <c r="L23" s="39"/>
      <c r="M23" s="43"/>
      <c r="N23" s="42"/>
      <c r="O23" s="41"/>
      <c r="P23" s="40"/>
      <c r="Q23" s="39"/>
      <c r="R23" s="43"/>
      <c r="S23" s="42"/>
      <c r="T23" s="41"/>
      <c r="U23" s="40"/>
      <c r="V23" s="39"/>
      <c r="W23" s="43"/>
      <c r="X23" s="42"/>
      <c r="Y23" s="41"/>
      <c r="Z23" s="40"/>
      <c r="AA23" s="39"/>
      <c r="AB23" s="43"/>
      <c r="AC23" s="42"/>
      <c r="AD23" s="50">
        <f t="shared" si="2"/>
        <v>0</v>
      </c>
      <c r="AE23" s="51">
        <f t="shared" si="1"/>
        <v>-400</v>
      </c>
    </row>
    <row r="24" spans="2:31" ht="30.75" customHeight="1">
      <c r="B24" s="2">
        <v>19</v>
      </c>
      <c r="C24" s="84" t="s">
        <v>19</v>
      </c>
      <c r="D24" s="45">
        <v>102</v>
      </c>
      <c r="E24" s="46">
        <v>291736.4431760204</v>
      </c>
      <c r="F24" s="47">
        <v>450</v>
      </c>
      <c r="G24" s="48">
        <f t="shared" si="0"/>
        <v>1287072.5434236194</v>
      </c>
      <c r="H24" s="49"/>
      <c r="I24" s="40"/>
      <c r="J24" s="49"/>
      <c r="K24" s="40"/>
      <c r="L24" s="39"/>
      <c r="M24" s="43"/>
      <c r="N24" s="42"/>
      <c r="O24" s="41"/>
      <c r="P24" s="40"/>
      <c r="Q24" s="39"/>
      <c r="R24" s="43"/>
      <c r="S24" s="42"/>
      <c r="T24" s="41"/>
      <c r="U24" s="40"/>
      <c r="V24" s="39"/>
      <c r="W24" s="43"/>
      <c r="X24" s="42"/>
      <c r="Y24" s="41"/>
      <c r="Z24" s="40"/>
      <c r="AA24" s="39"/>
      <c r="AB24" s="43"/>
      <c r="AC24" s="42"/>
      <c r="AD24" s="50">
        <f t="shared" si="2"/>
        <v>0</v>
      </c>
      <c r="AE24" s="51">
        <f t="shared" si="1"/>
        <v>-450</v>
      </c>
    </row>
    <row r="25" spans="2:31" ht="30.75" customHeight="1">
      <c r="B25" s="2">
        <v>20</v>
      </c>
      <c r="C25" s="84" t="s">
        <v>17</v>
      </c>
      <c r="D25" s="45">
        <v>115</v>
      </c>
      <c r="E25" s="46">
        <v>683356.90500000003</v>
      </c>
      <c r="F25" s="47">
        <v>160</v>
      </c>
      <c r="G25" s="48">
        <f t="shared" si="0"/>
        <v>950757.43304347829</v>
      </c>
      <c r="H25" s="49"/>
      <c r="I25" s="40"/>
      <c r="J25" s="49"/>
      <c r="K25" s="40"/>
      <c r="L25" s="39"/>
      <c r="M25" s="43"/>
      <c r="N25" s="42"/>
      <c r="O25" s="41"/>
      <c r="P25" s="40"/>
      <c r="Q25" s="39"/>
      <c r="R25" s="43"/>
      <c r="S25" s="42"/>
      <c r="T25" s="41"/>
      <c r="U25" s="40"/>
      <c r="V25" s="39"/>
      <c r="W25" s="43"/>
      <c r="X25" s="42"/>
      <c r="Y25" s="41"/>
      <c r="Z25" s="40"/>
      <c r="AA25" s="39"/>
      <c r="AB25" s="43"/>
      <c r="AC25" s="42"/>
      <c r="AD25" s="50">
        <f t="shared" si="2"/>
        <v>0</v>
      </c>
      <c r="AE25" s="51">
        <f t="shared" si="1"/>
        <v>-160</v>
      </c>
    </row>
    <row r="26" spans="2:31" ht="30.75" customHeight="1">
      <c r="B26" s="2">
        <v>21</v>
      </c>
      <c r="C26" s="83" t="s">
        <v>16</v>
      </c>
      <c r="D26" s="52">
        <v>208</v>
      </c>
      <c r="E26" s="53">
        <v>684835.47</v>
      </c>
      <c r="F26" s="54">
        <v>220</v>
      </c>
      <c r="G26" s="55">
        <f t="shared" si="0"/>
        <v>724345.20865384606</v>
      </c>
      <c r="H26" s="82"/>
      <c r="I26" s="80"/>
      <c r="J26" s="82"/>
      <c r="K26" s="80"/>
      <c r="L26" s="79"/>
      <c r="M26" s="78"/>
      <c r="N26" s="44"/>
      <c r="O26" s="81"/>
      <c r="P26" s="80"/>
      <c r="Q26" s="79"/>
      <c r="R26" s="78"/>
      <c r="S26" s="44"/>
      <c r="T26" s="81"/>
      <c r="U26" s="80"/>
      <c r="V26" s="79"/>
      <c r="W26" s="78"/>
      <c r="X26" s="44"/>
      <c r="Y26" s="81"/>
      <c r="Z26" s="80"/>
      <c r="AA26" s="79"/>
      <c r="AB26" s="78"/>
      <c r="AC26" s="44"/>
      <c r="AD26" s="77">
        <f t="shared" si="2"/>
        <v>0</v>
      </c>
      <c r="AE26" s="76">
        <f t="shared" si="1"/>
        <v>-220</v>
      </c>
    </row>
    <row r="27" spans="2:31" ht="30.75" customHeight="1">
      <c r="C27" s="75" t="s">
        <v>23</v>
      </c>
      <c r="D27" s="74">
        <f t="shared" ref="D27:I27" si="3">SUM(D6:D26)</f>
        <v>12191.639811607143</v>
      </c>
      <c r="E27" s="72">
        <f t="shared" si="3"/>
        <v>47199294.694595672</v>
      </c>
      <c r="F27" s="73">
        <f t="shared" si="3"/>
        <v>14920</v>
      </c>
      <c r="G27" s="72">
        <f t="shared" si="3"/>
        <v>57219419.440912195</v>
      </c>
      <c r="H27" s="8">
        <f t="shared" si="3"/>
        <v>0</v>
      </c>
      <c r="I27" s="71">
        <f t="shared" si="3"/>
        <v>60</v>
      </c>
      <c r="J27" s="8"/>
      <c r="K27" s="71"/>
      <c r="L27" s="70"/>
      <c r="M27" s="37"/>
      <c r="N27" s="69"/>
      <c r="O27" s="26"/>
      <c r="P27" s="71"/>
      <c r="Q27" s="70"/>
      <c r="R27" s="37"/>
      <c r="S27" s="69"/>
      <c r="T27" s="26"/>
      <c r="U27" s="71"/>
      <c r="V27" s="70"/>
      <c r="W27" s="37"/>
      <c r="X27" s="69"/>
      <c r="Y27" s="26"/>
      <c r="Z27" s="71"/>
      <c r="AA27" s="70"/>
      <c r="AB27" s="37"/>
      <c r="AC27" s="69"/>
      <c r="AD27" s="38"/>
      <c r="AE27" s="68"/>
    </row>
    <row r="28" spans="2:31" ht="41.25" customHeight="1">
      <c r="C28" s="17" t="s">
        <v>24</v>
      </c>
      <c r="D28" s="482" t="s">
        <v>25</v>
      </c>
      <c r="E28" s="483"/>
      <c r="F28" s="483"/>
      <c r="G28" s="484"/>
    </row>
  </sheetData>
  <autoFilter ref="A5:G5" xr:uid="{00000000-0009-0000-0000-000004000000}"/>
  <mergeCells count="11">
    <mergeCell ref="D28:G28"/>
    <mergeCell ref="C3:G3"/>
    <mergeCell ref="H4:I4"/>
    <mergeCell ref="J4:N4"/>
    <mergeCell ref="AD4:AD5"/>
    <mergeCell ref="AE4:AE5"/>
    <mergeCell ref="D4:E4"/>
    <mergeCell ref="F4:G4"/>
    <mergeCell ref="O4:S4"/>
    <mergeCell ref="T4:X4"/>
    <mergeCell ref="Y4:AC4"/>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9269-89F8-4B46-AEEF-D068C68D91FB}">
  <dimension ref="A1:W275"/>
  <sheetViews>
    <sheetView zoomScaleNormal="100" workbookViewId="0">
      <selection activeCell="C4" sqref="C4:C19"/>
    </sheetView>
  </sheetViews>
  <sheetFormatPr defaultRowHeight="18"/>
  <cols>
    <col min="1" max="2" width="4.19921875" customWidth="1"/>
    <col min="3" max="3" width="18.3984375" bestFit="1" customWidth="1"/>
    <col min="4" max="4" width="9.09765625" bestFit="1" customWidth="1"/>
    <col min="5" max="5" width="9.09765625" hidden="1" customWidth="1"/>
    <col min="6" max="6" width="11.59765625" bestFit="1" customWidth="1"/>
    <col min="7" max="7" width="11.5" hidden="1" customWidth="1"/>
    <col min="8" max="8" width="11.59765625" hidden="1" customWidth="1"/>
    <col min="9" max="9" width="10.5" hidden="1" customWidth="1"/>
    <col min="10" max="10" width="11.59765625" hidden="1" customWidth="1"/>
    <col min="14" max="14" width="9.09765625" bestFit="1" customWidth="1"/>
    <col min="15" max="15" width="10" bestFit="1" customWidth="1"/>
    <col min="16" max="16" width="9.09765625" bestFit="1" customWidth="1"/>
    <col min="17" max="17" width="11.09765625" bestFit="1" customWidth="1"/>
  </cols>
  <sheetData>
    <row r="1" spans="1:23">
      <c r="C1" s="537" t="s">
        <v>471</v>
      </c>
      <c r="D1" s="537"/>
      <c r="E1" s="537"/>
      <c r="F1" s="537"/>
      <c r="M1" s="536" t="s">
        <v>472</v>
      </c>
      <c r="N1" s="536"/>
      <c r="O1" s="536"/>
      <c r="P1" s="536"/>
      <c r="Q1" s="536"/>
    </row>
    <row r="2" spans="1:23">
      <c r="C2" s="537"/>
      <c r="D2" s="537"/>
      <c r="E2" s="537"/>
      <c r="F2" s="537"/>
      <c r="G2" t="s">
        <v>365</v>
      </c>
      <c r="H2" t="s">
        <v>118</v>
      </c>
      <c r="I2" t="s">
        <v>366</v>
      </c>
      <c r="J2" t="s">
        <v>119</v>
      </c>
      <c r="N2" s="532" t="s">
        <v>466</v>
      </c>
      <c r="O2" s="533"/>
      <c r="P2" s="534" t="s">
        <v>450</v>
      </c>
      <c r="Q2" s="535"/>
      <c r="S2" s="539" t="s">
        <v>475</v>
      </c>
      <c r="T2" s="539"/>
      <c r="U2" s="539"/>
      <c r="V2" s="539"/>
      <c r="W2" s="539"/>
    </row>
    <row r="3" spans="1:23">
      <c r="C3" t="s">
        <v>116</v>
      </c>
      <c r="D3" t="s">
        <v>117</v>
      </c>
      <c r="E3" t="s">
        <v>363</v>
      </c>
      <c r="F3" t="s">
        <v>364</v>
      </c>
      <c r="G3" s="404">
        <v>-36288</v>
      </c>
      <c r="H3" s="404">
        <v>14216374</v>
      </c>
      <c r="I3" s="404">
        <v>3977440</v>
      </c>
      <c r="J3" s="404">
        <v>10238934</v>
      </c>
      <c r="M3" t="s">
        <v>43</v>
      </c>
      <c r="N3" t="s">
        <v>467</v>
      </c>
      <c r="O3" t="s">
        <v>468</v>
      </c>
      <c r="P3" t="s">
        <v>469</v>
      </c>
      <c r="Q3" t="s">
        <v>470</v>
      </c>
      <c r="S3" s="538" t="s">
        <v>474</v>
      </c>
      <c r="T3" s="538"/>
      <c r="U3" s="538"/>
      <c r="V3" s="538"/>
      <c r="W3" s="538"/>
    </row>
    <row r="4" spans="1:23">
      <c r="A4">
        <v>1</v>
      </c>
      <c r="C4" s="410" t="s">
        <v>121</v>
      </c>
      <c r="D4" s="404">
        <v>4136</v>
      </c>
      <c r="E4" s="404">
        <v>-10</v>
      </c>
      <c r="F4" s="404">
        <v>14252662</v>
      </c>
      <c r="G4" s="404">
        <v>-14700</v>
      </c>
      <c r="H4" s="404">
        <v>10315085</v>
      </c>
      <c r="I4" s="404">
        <v>1694410</v>
      </c>
      <c r="J4" s="404">
        <v>8620675</v>
      </c>
      <c r="M4" s="410" t="s">
        <v>295</v>
      </c>
      <c r="N4" s="404">
        <v>260.62972152777775</v>
      </c>
      <c r="O4" s="404">
        <v>1158793.5707638888</v>
      </c>
      <c r="P4" s="404">
        <v>3127.556658333333</v>
      </c>
      <c r="Q4" s="404">
        <v>13905522.849166665</v>
      </c>
      <c r="S4" s="531" t="s">
        <v>475</v>
      </c>
      <c r="T4" s="531"/>
      <c r="U4" s="531"/>
      <c r="V4" s="531"/>
      <c r="W4" s="531"/>
    </row>
    <row r="5" spans="1:23">
      <c r="A5">
        <v>2</v>
      </c>
      <c r="C5" s="410" t="s">
        <v>123</v>
      </c>
      <c r="D5" s="404">
        <v>3174</v>
      </c>
      <c r="E5" s="404">
        <v>-4</v>
      </c>
      <c r="F5" s="404">
        <v>10329785</v>
      </c>
      <c r="G5" s="404">
        <v>-75240</v>
      </c>
      <c r="H5" s="404">
        <v>8850556</v>
      </c>
      <c r="I5" s="404">
        <v>1372368</v>
      </c>
      <c r="J5" s="404">
        <v>7478188</v>
      </c>
      <c r="M5" s="410" t="s">
        <v>297</v>
      </c>
      <c r="N5" s="404">
        <v>203.99867361111109</v>
      </c>
      <c r="O5" s="404">
        <v>766233.45791666652</v>
      </c>
      <c r="P5" s="404">
        <v>2447.9840833333328</v>
      </c>
      <c r="Q5" s="404">
        <v>9194801.4949999973</v>
      </c>
    </row>
    <row r="6" spans="1:23">
      <c r="A6">
        <v>3</v>
      </c>
      <c r="C6" s="410" t="s">
        <v>151</v>
      </c>
      <c r="D6" s="404">
        <v>2717</v>
      </c>
      <c r="E6" s="404">
        <v>-23</v>
      </c>
      <c r="F6" s="404">
        <v>8925796</v>
      </c>
      <c r="G6" s="404">
        <v>-65370</v>
      </c>
      <c r="H6" s="404">
        <v>7458190</v>
      </c>
      <c r="I6" s="404">
        <v>1004617</v>
      </c>
      <c r="J6" s="404">
        <v>6453573</v>
      </c>
      <c r="M6" s="410" t="s">
        <v>298</v>
      </c>
      <c r="N6" s="404">
        <v>165.67854374999996</v>
      </c>
      <c r="O6" s="404">
        <v>601413.11381249991</v>
      </c>
      <c r="P6" s="404">
        <v>1988.1425249999995</v>
      </c>
      <c r="Q6" s="404">
        <v>7216957.3657499989</v>
      </c>
    </row>
    <row r="7" spans="1:23">
      <c r="A7">
        <v>4</v>
      </c>
      <c r="C7" s="410" t="s">
        <v>140</v>
      </c>
      <c r="D7" s="404">
        <v>2340</v>
      </c>
      <c r="E7" s="404">
        <v>-20</v>
      </c>
      <c r="F7" s="404">
        <v>7523560</v>
      </c>
      <c r="G7" s="404">
        <v>-156800</v>
      </c>
      <c r="H7" s="404">
        <v>7284592</v>
      </c>
      <c r="I7" s="404">
        <v>1100913</v>
      </c>
      <c r="J7" s="404">
        <v>6183679</v>
      </c>
      <c r="M7" s="410" t="s">
        <v>451</v>
      </c>
      <c r="N7" s="404">
        <v>84.138785416666678</v>
      </c>
      <c r="O7" s="404">
        <v>555315.98375000001</v>
      </c>
      <c r="P7" s="404">
        <v>1009.6654250000001</v>
      </c>
      <c r="Q7" s="404">
        <v>6663791.8049999997</v>
      </c>
    </row>
    <row r="8" spans="1:23">
      <c r="A8">
        <v>5</v>
      </c>
      <c r="C8" s="410" t="s">
        <v>150</v>
      </c>
      <c r="D8" s="404">
        <v>2659</v>
      </c>
      <c r="E8" s="404">
        <v>-56</v>
      </c>
      <c r="F8" s="404">
        <v>7441392</v>
      </c>
      <c r="G8" s="404">
        <v>-30000</v>
      </c>
      <c r="H8" s="404">
        <v>6936120</v>
      </c>
      <c r="I8" s="404">
        <v>1479960</v>
      </c>
      <c r="J8" s="404">
        <v>5456160</v>
      </c>
      <c r="M8" s="410" t="s">
        <v>299</v>
      </c>
      <c r="N8" s="404">
        <v>154.89550624999998</v>
      </c>
      <c r="O8" s="404">
        <v>550661.09862499998</v>
      </c>
      <c r="P8" s="404">
        <v>1858.7460749999998</v>
      </c>
      <c r="Q8" s="404">
        <v>6607933.1834999993</v>
      </c>
    </row>
    <row r="9" spans="1:23">
      <c r="A9">
        <v>6</v>
      </c>
      <c r="C9" s="410" t="s">
        <v>124</v>
      </c>
      <c r="D9" s="404">
        <v>1205</v>
      </c>
      <c r="E9" s="404">
        <v>-5</v>
      </c>
      <c r="F9" s="404">
        <v>6966120</v>
      </c>
      <c r="G9" s="404">
        <v>-27255</v>
      </c>
      <c r="H9" s="404">
        <v>6490930</v>
      </c>
      <c r="I9" s="404">
        <v>1501645</v>
      </c>
      <c r="J9" s="404">
        <v>4989285</v>
      </c>
      <c r="M9" s="410" t="s">
        <v>309</v>
      </c>
      <c r="N9" s="404">
        <v>171.45767222222224</v>
      </c>
      <c r="O9" s="404">
        <v>528089.6304444446</v>
      </c>
      <c r="P9" s="404">
        <v>2057.4920666666667</v>
      </c>
      <c r="Q9" s="404">
        <v>6337075.5653333347</v>
      </c>
    </row>
    <row r="10" spans="1:23">
      <c r="A10">
        <v>7</v>
      </c>
      <c r="C10" s="410" t="s">
        <v>122</v>
      </c>
      <c r="D10" s="404">
        <v>1922</v>
      </c>
      <c r="E10" s="404">
        <v>-8</v>
      </c>
      <c r="F10" s="404">
        <v>6518185</v>
      </c>
      <c r="G10" s="404">
        <v>-26400</v>
      </c>
      <c r="H10" s="404">
        <v>5736272</v>
      </c>
      <c r="I10" s="404">
        <v>1021778</v>
      </c>
      <c r="J10" s="404">
        <v>4714494</v>
      </c>
      <c r="M10" s="410" t="s">
        <v>302</v>
      </c>
      <c r="N10" s="404">
        <v>122.92493611111109</v>
      </c>
      <c r="O10" s="404">
        <v>483264.76863194437</v>
      </c>
      <c r="P10" s="404">
        <v>1475.0992333333331</v>
      </c>
      <c r="Q10" s="404">
        <v>5799177.2235833323</v>
      </c>
    </row>
    <row r="11" spans="1:23">
      <c r="A11">
        <v>8</v>
      </c>
      <c r="C11" s="410" t="s">
        <v>126</v>
      </c>
      <c r="D11" s="404">
        <v>1552</v>
      </c>
      <c r="E11" s="404">
        <v>-7</v>
      </c>
      <c r="F11" s="404">
        <v>5762672</v>
      </c>
      <c r="G11" s="404">
        <v>-7600</v>
      </c>
      <c r="H11" s="404">
        <v>5583773</v>
      </c>
      <c r="I11" s="404">
        <v>902778</v>
      </c>
      <c r="J11" s="404">
        <v>4680995</v>
      </c>
      <c r="M11" s="410" t="s">
        <v>301</v>
      </c>
      <c r="N11" s="404">
        <v>116.93952499999999</v>
      </c>
      <c r="O11" s="404">
        <v>442526.52491666668</v>
      </c>
      <c r="P11" s="404">
        <v>1403.2742999999998</v>
      </c>
      <c r="Q11" s="404">
        <v>5310318.2990000006</v>
      </c>
    </row>
    <row r="12" spans="1:23">
      <c r="A12">
        <v>9</v>
      </c>
      <c r="C12" s="410" t="s">
        <v>129</v>
      </c>
      <c r="D12" s="404">
        <v>1708</v>
      </c>
      <c r="E12" s="404">
        <v>-2</v>
      </c>
      <c r="F12" s="404">
        <v>5591373</v>
      </c>
      <c r="G12" s="404">
        <v>-67980</v>
      </c>
      <c r="H12" s="404">
        <v>5378791</v>
      </c>
      <c r="I12" s="404">
        <v>1466355</v>
      </c>
      <c r="J12" s="404">
        <v>3912436</v>
      </c>
      <c r="M12" s="410" t="s">
        <v>300</v>
      </c>
      <c r="N12" s="404">
        <v>104.14610972222222</v>
      </c>
      <c r="O12" s="404">
        <v>429712.22463888896</v>
      </c>
      <c r="P12" s="404">
        <v>1249.7533166666667</v>
      </c>
      <c r="Q12" s="404">
        <v>5156546.6956666671</v>
      </c>
    </row>
    <row r="13" spans="1:23">
      <c r="A13">
        <v>10</v>
      </c>
      <c r="C13" s="410" t="s">
        <v>133</v>
      </c>
      <c r="D13" s="404">
        <v>1241</v>
      </c>
      <c r="E13" s="404">
        <v>-15</v>
      </c>
      <c r="F13" s="404">
        <v>5446771</v>
      </c>
      <c r="G13" s="404">
        <v>-30000</v>
      </c>
      <c r="H13" s="404">
        <v>4926210</v>
      </c>
      <c r="I13" s="404">
        <v>939997</v>
      </c>
      <c r="J13" s="404">
        <v>3986213</v>
      </c>
      <c r="M13" s="410" t="s">
        <v>316</v>
      </c>
      <c r="N13" s="404">
        <v>122.2249548611111</v>
      </c>
      <c r="O13" s="404">
        <v>403342.35104166664</v>
      </c>
      <c r="P13" s="404">
        <v>1466.6994583333333</v>
      </c>
      <c r="Q13" s="404">
        <v>4840108.2124999994</v>
      </c>
    </row>
    <row r="14" spans="1:23">
      <c r="A14">
        <v>11</v>
      </c>
      <c r="C14" s="410" t="s">
        <v>144</v>
      </c>
      <c r="D14" s="404">
        <v>1676</v>
      </c>
      <c r="E14" s="404">
        <v>-10</v>
      </c>
      <c r="F14" s="404">
        <v>4956210</v>
      </c>
      <c r="G14" s="404">
        <v>-7900</v>
      </c>
      <c r="H14" s="404">
        <v>4744560</v>
      </c>
      <c r="I14" s="404">
        <v>1291704</v>
      </c>
      <c r="J14" s="404">
        <v>3452856</v>
      </c>
      <c r="M14" s="410" t="s">
        <v>296</v>
      </c>
      <c r="N14" s="404">
        <v>81.322443055555567</v>
      </c>
      <c r="O14" s="404">
        <v>365723.52437500004</v>
      </c>
      <c r="P14" s="404">
        <v>975.8693166666668</v>
      </c>
      <c r="Q14" s="404">
        <v>4388682.2925000004</v>
      </c>
    </row>
    <row r="15" spans="1:23">
      <c r="A15">
        <v>12</v>
      </c>
      <c r="C15" s="410" t="s">
        <v>367</v>
      </c>
      <c r="D15" s="404">
        <v>1233</v>
      </c>
      <c r="E15" s="404">
        <v>-2</v>
      </c>
      <c r="F15" s="404">
        <v>4752460</v>
      </c>
      <c r="G15" s="404">
        <v>-33000</v>
      </c>
      <c r="H15" s="404">
        <v>4432963</v>
      </c>
      <c r="I15" s="404">
        <v>923401</v>
      </c>
      <c r="J15" s="404">
        <v>3509562</v>
      </c>
      <c r="M15" s="410" t="s">
        <v>304</v>
      </c>
      <c r="N15" s="404">
        <v>96.006115972222219</v>
      </c>
      <c r="O15" s="404">
        <v>332565.63816666667</v>
      </c>
      <c r="P15" s="404">
        <v>1152.0733916666666</v>
      </c>
      <c r="Q15" s="404">
        <v>3990787.6579999998</v>
      </c>
    </row>
    <row r="16" spans="1:23">
      <c r="A16">
        <v>13</v>
      </c>
      <c r="C16" s="410" t="s">
        <v>131</v>
      </c>
      <c r="D16" s="404">
        <v>1404</v>
      </c>
      <c r="E16" s="404">
        <v>-10</v>
      </c>
      <c r="F16" s="404">
        <v>4465963</v>
      </c>
      <c r="G16" s="404">
        <v>-7000</v>
      </c>
      <c r="H16" s="404">
        <v>4096902</v>
      </c>
      <c r="I16" s="404">
        <v>1002004</v>
      </c>
      <c r="J16" s="404">
        <v>3094898</v>
      </c>
      <c r="M16" s="410" t="s">
        <v>303</v>
      </c>
      <c r="N16" s="404">
        <v>65.55059097222221</v>
      </c>
      <c r="O16" s="404">
        <v>324475.42531250004</v>
      </c>
      <c r="P16" s="404">
        <v>786.60709166666652</v>
      </c>
      <c r="Q16" s="404">
        <v>3893705.1037500007</v>
      </c>
    </row>
    <row r="17" spans="1:17">
      <c r="A17">
        <v>14</v>
      </c>
      <c r="C17" s="410" t="s">
        <v>120</v>
      </c>
      <c r="D17" s="404">
        <v>608</v>
      </c>
      <c r="E17" s="404">
        <v>-1</v>
      </c>
      <c r="F17" s="404">
        <v>4103902</v>
      </c>
      <c r="G17" s="404">
        <v>-26600</v>
      </c>
      <c r="H17" s="404">
        <v>4049732</v>
      </c>
      <c r="I17" s="404">
        <v>869363</v>
      </c>
      <c r="J17" s="404">
        <v>3180369</v>
      </c>
      <c r="M17" s="410" t="s">
        <v>311</v>
      </c>
      <c r="N17" s="404">
        <v>82.108409027777782</v>
      </c>
      <c r="O17" s="404">
        <v>252893.89980555559</v>
      </c>
      <c r="P17" s="404">
        <v>985.30090833333338</v>
      </c>
      <c r="Q17" s="404">
        <v>3034726.797666667</v>
      </c>
    </row>
    <row r="18" spans="1:17">
      <c r="A18">
        <v>15</v>
      </c>
      <c r="C18" s="410" t="s">
        <v>130</v>
      </c>
      <c r="D18" s="404">
        <v>640</v>
      </c>
      <c r="E18" s="404">
        <v>-4</v>
      </c>
      <c r="F18" s="404">
        <v>4076332</v>
      </c>
      <c r="G18" s="404">
        <v>-45300</v>
      </c>
      <c r="H18" s="404">
        <v>3639740</v>
      </c>
      <c r="I18" s="404">
        <v>1335358</v>
      </c>
      <c r="J18" s="404">
        <v>2304382</v>
      </c>
      <c r="M18" s="410" t="s">
        <v>312</v>
      </c>
      <c r="N18" s="404">
        <v>35.527529166666667</v>
      </c>
      <c r="O18" s="404">
        <v>242297.74891666666</v>
      </c>
      <c r="P18" s="404">
        <v>426.33035000000001</v>
      </c>
      <c r="Q18" s="404">
        <v>2907572.9869999997</v>
      </c>
    </row>
    <row r="19" spans="1:17">
      <c r="A19">
        <v>16</v>
      </c>
      <c r="C19" s="410" t="s">
        <v>135</v>
      </c>
      <c r="D19" s="404">
        <v>1301</v>
      </c>
      <c r="E19" s="404">
        <v>-16</v>
      </c>
      <c r="F19" s="404">
        <v>3685040</v>
      </c>
      <c r="G19" s="404">
        <v>-12000</v>
      </c>
      <c r="H19" s="404">
        <v>3495900</v>
      </c>
      <c r="I19" s="404">
        <v>888087</v>
      </c>
      <c r="J19" s="404">
        <v>2607813</v>
      </c>
      <c r="M19" s="412" t="s">
        <v>452</v>
      </c>
      <c r="N19" s="404">
        <v>35.639949999999999</v>
      </c>
      <c r="O19" s="404">
        <v>235223.66999999998</v>
      </c>
      <c r="P19" s="404">
        <v>427.67939999999999</v>
      </c>
      <c r="Q19" s="404">
        <v>2822684.04</v>
      </c>
    </row>
    <row r="20" spans="1:17">
      <c r="A20">
        <v>17</v>
      </c>
      <c r="C20" s="256" t="s">
        <v>368</v>
      </c>
      <c r="D20" s="404">
        <v>706</v>
      </c>
      <c r="E20" s="404">
        <v>-2</v>
      </c>
      <c r="F20" s="404">
        <v>3507900</v>
      </c>
      <c r="G20" s="404">
        <v>-5000</v>
      </c>
      <c r="H20" s="404">
        <v>3295500</v>
      </c>
      <c r="I20" s="404">
        <v>1968000</v>
      </c>
      <c r="J20" s="404">
        <v>1327500</v>
      </c>
      <c r="M20" s="410" t="s">
        <v>453</v>
      </c>
      <c r="N20" s="404">
        <v>30.108745138888889</v>
      </c>
      <c r="O20" s="404">
        <v>231837.33756944444</v>
      </c>
      <c r="P20" s="404">
        <v>361.30494166666665</v>
      </c>
      <c r="Q20" s="404">
        <v>2782048.0508333333</v>
      </c>
    </row>
    <row r="21" spans="1:17">
      <c r="A21">
        <v>18</v>
      </c>
      <c r="C21" s="256" t="s">
        <v>175</v>
      </c>
      <c r="D21" s="404">
        <v>654</v>
      </c>
      <c r="E21" s="404">
        <v>-1</v>
      </c>
      <c r="F21" s="404">
        <v>3300500</v>
      </c>
      <c r="G21" s="404">
        <v>-9000</v>
      </c>
      <c r="H21" s="404">
        <v>3123780</v>
      </c>
      <c r="I21" s="404">
        <v>843458</v>
      </c>
      <c r="J21" s="404">
        <v>2280322</v>
      </c>
      <c r="M21" s="256" t="s">
        <v>454</v>
      </c>
      <c r="N21" s="404">
        <v>38.38221597222222</v>
      </c>
      <c r="O21" s="404">
        <v>211102.18784722226</v>
      </c>
      <c r="P21" s="404">
        <v>460.58659166666666</v>
      </c>
      <c r="Q21" s="404">
        <v>2533226.2541666673</v>
      </c>
    </row>
    <row r="22" spans="1:17">
      <c r="A22">
        <v>19</v>
      </c>
      <c r="C22" s="412" t="s">
        <v>125</v>
      </c>
      <c r="D22" s="404">
        <v>666</v>
      </c>
      <c r="E22" s="404">
        <v>-3</v>
      </c>
      <c r="F22" s="404">
        <v>3132780</v>
      </c>
      <c r="G22" s="404">
        <v>-47200</v>
      </c>
      <c r="H22" s="404">
        <v>3041854</v>
      </c>
      <c r="I22" s="404">
        <v>1070272</v>
      </c>
      <c r="J22" s="404">
        <v>1971582</v>
      </c>
      <c r="M22" s="412" t="s">
        <v>455</v>
      </c>
      <c r="N22" s="404">
        <v>81.080022222222226</v>
      </c>
      <c r="O22" s="404">
        <v>205132.45622222222</v>
      </c>
      <c r="P22" s="404">
        <v>972.96026666666671</v>
      </c>
      <c r="Q22" s="404">
        <v>2461589.4746666667</v>
      </c>
    </row>
    <row r="23" spans="1:17" ht="18.600000000000001" thickBot="1">
      <c r="A23" s="266">
        <v>20</v>
      </c>
      <c r="B23" s="266"/>
      <c r="C23" s="411" t="s">
        <v>369</v>
      </c>
      <c r="D23" s="405">
        <v>616</v>
      </c>
      <c r="E23" s="405">
        <v>-9</v>
      </c>
      <c r="F23" s="405">
        <v>3089054</v>
      </c>
      <c r="G23" s="405">
        <v>-113200</v>
      </c>
      <c r="H23" s="405">
        <v>2679500</v>
      </c>
      <c r="I23" s="405">
        <v>605275</v>
      </c>
      <c r="J23" s="405">
        <v>2074225</v>
      </c>
      <c r="K23" s="266"/>
      <c r="L23" s="266"/>
      <c r="M23" s="411" t="s">
        <v>456</v>
      </c>
      <c r="N23" s="405">
        <v>83.123911111111099</v>
      </c>
      <c r="O23" s="405">
        <v>201819.60088888888</v>
      </c>
      <c r="P23" s="405">
        <v>997.48693333333313</v>
      </c>
      <c r="Q23" s="405">
        <v>2421835.2106666667</v>
      </c>
    </row>
    <row r="24" spans="1:17">
      <c r="C24" t="s">
        <v>127</v>
      </c>
      <c r="D24" s="404">
        <v>795</v>
      </c>
      <c r="E24" s="404">
        <v>-32</v>
      </c>
      <c r="F24" s="404">
        <v>2792700</v>
      </c>
      <c r="G24" s="404">
        <v>-3600</v>
      </c>
      <c r="H24" s="404">
        <v>2767293</v>
      </c>
      <c r="I24" s="404">
        <v>1627500</v>
      </c>
      <c r="J24" s="404">
        <v>1139793</v>
      </c>
      <c r="M24" s="412" t="s">
        <v>457</v>
      </c>
      <c r="N24" s="404">
        <v>34.946620833333334</v>
      </c>
      <c r="O24" s="404">
        <v>199894.67116666667</v>
      </c>
      <c r="P24" s="404">
        <v>419.35945000000004</v>
      </c>
      <c r="Q24" s="404">
        <v>2398736.054</v>
      </c>
    </row>
    <row r="25" spans="1:17">
      <c r="C25" t="s">
        <v>136</v>
      </c>
      <c r="D25" s="404">
        <v>776</v>
      </c>
      <c r="E25" s="404">
        <v>-1</v>
      </c>
      <c r="F25" s="404">
        <v>2770893</v>
      </c>
      <c r="G25" s="404">
        <v>-25000</v>
      </c>
      <c r="H25" s="404">
        <v>2645250</v>
      </c>
      <c r="I25" s="404">
        <v>602738</v>
      </c>
      <c r="J25" s="404">
        <v>2042512</v>
      </c>
      <c r="M25" t="s">
        <v>458</v>
      </c>
      <c r="N25" s="404">
        <v>35.717313888888889</v>
      </c>
      <c r="O25" s="404">
        <v>196445.22638888887</v>
      </c>
      <c r="P25" s="404">
        <v>428.60776666666663</v>
      </c>
      <c r="Q25" s="404">
        <v>2357342.7166666663</v>
      </c>
    </row>
    <row r="26" spans="1:17">
      <c r="C26" t="s">
        <v>164</v>
      </c>
      <c r="D26" s="404">
        <v>548</v>
      </c>
      <c r="E26" s="404">
        <v>-5</v>
      </c>
      <c r="F26" s="404">
        <v>2670250</v>
      </c>
      <c r="G26" s="404">
        <v>-10000</v>
      </c>
      <c r="H26" s="404">
        <v>2431250</v>
      </c>
      <c r="I26" s="404">
        <v>533581</v>
      </c>
      <c r="J26" s="404">
        <v>1897669</v>
      </c>
      <c r="M26" t="s">
        <v>459</v>
      </c>
      <c r="N26" s="404">
        <v>53.389113194444455</v>
      </c>
      <c r="O26" s="404">
        <v>193802.48089583335</v>
      </c>
      <c r="P26" s="404">
        <v>640.66935833333343</v>
      </c>
      <c r="Q26" s="404">
        <v>2325629.7707500001</v>
      </c>
    </row>
    <row r="27" spans="1:17">
      <c r="C27" t="s">
        <v>171</v>
      </c>
      <c r="D27" s="404">
        <v>500</v>
      </c>
      <c r="E27" s="404">
        <v>-2</v>
      </c>
      <c r="F27" s="404">
        <v>2441250</v>
      </c>
      <c r="G27" s="404">
        <v>-12500</v>
      </c>
      <c r="H27" s="404">
        <v>2304790</v>
      </c>
      <c r="I27" s="404">
        <v>493820</v>
      </c>
      <c r="J27" s="404">
        <v>1810970</v>
      </c>
      <c r="M27" t="s">
        <v>460</v>
      </c>
      <c r="N27" s="404">
        <v>55.885684027777778</v>
      </c>
      <c r="O27" s="404">
        <v>192151.44918749997</v>
      </c>
      <c r="P27" s="404">
        <v>670.6282083333333</v>
      </c>
      <c r="Q27" s="404">
        <v>2305817.3902499997</v>
      </c>
    </row>
    <row r="28" spans="1:17">
      <c r="C28" t="s">
        <v>146</v>
      </c>
      <c r="D28" s="404">
        <v>1258</v>
      </c>
      <c r="E28" s="404">
        <v>-7</v>
      </c>
      <c r="F28" s="404">
        <v>2317290</v>
      </c>
      <c r="G28" s="404">
        <v>-1000700</v>
      </c>
      <c r="H28" s="404">
        <v>1304200</v>
      </c>
      <c r="I28" s="404">
        <v>527880</v>
      </c>
      <c r="J28" s="404">
        <v>776320</v>
      </c>
      <c r="M28" t="s">
        <v>461</v>
      </c>
      <c r="N28" s="404">
        <v>32.388304166666671</v>
      </c>
      <c r="O28" s="404">
        <v>178135.67291666669</v>
      </c>
      <c r="P28" s="404">
        <v>388.65965000000006</v>
      </c>
      <c r="Q28" s="404">
        <v>2137628.0750000002</v>
      </c>
    </row>
    <row r="29" spans="1:17">
      <c r="C29" t="s">
        <v>372</v>
      </c>
      <c r="D29" s="404">
        <v>283</v>
      </c>
      <c r="E29" s="404">
        <v>-124</v>
      </c>
      <c r="F29" s="404">
        <v>2304900</v>
      </c>
      <c r="G29" s="404">
        <v>-15905</v>
      </c>
      <c r="H29" s="404">
        <v>2187254</v>
      </c>
      <c r="I29" s="404">
        <v>385560</v>
      </c>
      <c r="J29" s="404">
        <v>1801694</v>
      </c>
      <c r="M29" t="s">
        <v>462</v>
      </c>
      <c r="N29" s="404">
        <v>45.185729166666668</v>
      </c>
      <c r="O29" s="404">
        <v>173965.05729166663</v>
      </c>
      <c r="P29" s="404">
        <v>542.22874999999999</v>
      </c>
      <c r="Q29" s="404">
        <v>2087580.6874999995</v>
      </c>
    </row>
    <row r="30" spans="1:17">
      <c r="C30" t="s">
        <v>169</v>
      </c>
      <c r="D30" s="404">
        <v>691</v>
      </c>
      <c r="E30" s="404">
        <v>-5</v>
      </c>
      <c r="F30" s="404">
        <v>2203159</v>
      </c>
      <c r="G30" s="404">
        <v>-24000</v>
      </c>
      <c r="H30" s="404">
        <v>2069660</v>
      </c>
      <c r="I30" s="404">
        <v>538010</v>
      </c>
      <c r="J30" s="404">
        <v>1531650</v>
      </c>
      <c r="M30" t="s">
        <v>310</v>
      </c>
      <c r="N30" s="404">
        <v>24.809376388888889</v>
      </c>
      <c r="O30" s="404">
        <v>163741.88416666668</v>
      </c>
      <c r="P30" s="404">
        <v>297.71251666666666</v>
      </c>
      <c r="Q30" s="404">
        <v>1964902.6100000003</v>
      </c>
    </row>
    <row r="31" spans="1:17">
      <c r="C31" t="s">
        <v>134</v>
      </c>
      <c r="D31" s="404">
        <v>356</v>
      </c>
      <c r="E31" s="404">
        <v>-4</v>
      </c>
      <c r="F31" s="404">
        <v>2093660</v>
      </c>
      <c r="G31" s="404">
        <v>-9000</v>
      </c>
      <c r="H31" s="404">
        <v>1879509</v>
      </c>
      <c r="I31" s="404">
        <v>373110</v>
      </c>
      <c r="J31" s="404">
        <v>1506399</v>
      </c>
      <c r="M31" t="s">
        <v>463</v>
      </c>
      <c r="N31" s="404">
        <v>41.049189583333337</v>
      </c>
      <c r="O31" s="404">
        <v>161128.31579166665</v>
      </c>
      <c r="P31" s="404">
        <v>492.59027500000002</v>
      </c>
      <c r="Q31" s="404">
        <v>1933539.7895</v>
      </c>
    </row>
    <row r="32" spans="1:17">
      <c r="C32" t="s">
        <v>139</v>
      </c>
      <c r="D32" s="404">
        <v>444</v>
      </c>
      <c r="E32" s="404">
        <v>-2</v>
      </c>
      <c r="F32" s="404">
        <v>1888509</v>
      </c>
      <c r="G32" s="404">
        <v>-4500</v>
      </c>
      <c r="H32" s="404">
        <v>1770224</v>
      </c>
      <c r="I32" s="404">
        <v>499586</v>
      </c>
      <c r="J32" s="404">
        <v>1270638</v>
      </c>
      <c r="M32" t="s">
        <v>464</v>
      </c>
      <c r="N32" s="404">
        <v>35.337890972222226</v>
      </c>
      <c r="O32" s="404">
        <v>155486.72027777779</v>
      </c>
      <c r="P32" s="404">
        <v>424.05469166666671</v>
      </c>
      <c r="Q32" s="404">
        <v>1865840.6433333335</v>
      </c>
    </row>
    <row r="33" spans="3:17">
      <c r="C33" t="s">
        <v>142</v>
      </c>
      <c r="D33" s="404">
        <v>491</v>
      </c>
      <c r="E33" s="404">
        <v>-1</v>
      </c>
      <c r="F33" s="404">
        <v>1774724</v>
      </c>
      <c r="G33" s="404">
        <v>0</v>
      </c>
      <c r="H33" s="404">
        <v>1762500</v>
      </c>
      <c r="I33" s="404">
        <v>341937</v>
      </c>
      <c r="J33" s="404">
        <v>1420563</v>
      </c>
      <c r="M33" t="s">
        <v>465</v>
      </c>
      <c r="N33" s="404">
        <v>22.664725000000001</v>
      </c>
      <c r="O33" s="404">
        <v>149587.18499999997</v>
      </c>
      <c r="P33" s="404">
        <v>271.97669999999999</v>
      </c>
      <c r="Q33" s="404">
        <v>1795046.2199999997</v>
      </c>
    </row>
    <row r="34" spans="3:17">
      <c r="C34" t="s">
        <v>143</v>
      </c>
      <c r="D34" s="404">
        <v>353</v>
      </c>
      <c r="E34" s="404">
        <v>0</v>
      </c>
      <c r="F34" s="404">
        <v>1762500</v>
      </c>
      <c r="G34" s="404">
        <v>-6600</v>
      </c>
      <c r="H34" s="404">
        <v>1697694</v>
      </c>
      <c r="I34" s="404">
        <v>404687</v>
      </c>
      <c r="J34" s="404">
        <v>1293007</v>
      </c>
    </row>
    <row r="35" spans="3:17">
      <c r="C35" t="s">
        <v>370</v>
      </c>
      <c r="D35" s="404">
        <v>548</v>
      </c>
      <c r="E35" s="404">
        <v>-2</v>
      </c>
      <c r="F35" s="404">
        <v>1704294</v>
      </c>
      <c r="G35" s="404">
        <v>-6250</v>
      </c>
      <c r="H35" s="404">
        <v>1669831</v>
      </c>
      <c r="I35" s="404">
        <v>435740</v>
      </c>
      <c r="J35" s="404">
        <v>1234091</v>
      </c>
    </row>
    <row r="36" spans="3:17">
      <c r="C36" t="s">
        <v>145</v>
      </c>
      <c r="D36" s="404">
        <v>464</v>
      </c>
      <c r="E36" s="404">
        <v>-2</v>
      </c>
      <c r="F36" s="404">
        <v>1676081</v>
      </c>
      <c r="G36" s="404">
        <v>-12000</v>
      </c>
      <c r="H36" s="404">
        <v>1556100</v>
      </c>
      <c r="I36" s="404">
        <v>459990</v>
      </c>
      <c r="J36" s="404">
        <v>1096110</v>
      </c>
    </row>
    <row r="37" spans="3:17">
      <c r="C37" t="s">
        <v>371</v>
      </c>
      <c r="D37" s="404">
        <v>316</v>
      </c>
      <c r="E37" s="404">
        <v>-2</v>
      </c>
      <c r="F37" s="404">
        <v>1568100</v>
      </c>
      <c r="G37" s="404">
        <v>-5800</v>
      </c>
      <c r="H37" s="404">
        <v>1539320</v>
      </c>
      <c r="I37" s="404">
        <v>175362</v>
      </c>
      <c r="J37" s="404">
        <v>1363958</v>
      </c>
    </row>
    <row r="38" spans="3:17">
      <c r="C38" t="s">
        <v>198</v>
      </c>
      <c r="D38" s="404">
        <v>327</v>
      </c>
      <c r="E38" s="404">
        <v>-1</v>
      </c>
      <c r="F38" s="404">
        <v>1545120</v>
      </c>
      <c r="G38" s="404">
        <v>-19750</v>
      </c>
      <c r="H38" s="404">
        <v>1386755</v>
      </c>
      <c r="I38" s="404">
        <v>518738</v>
      </c>
      <c r="J38" s="404">
        <v>868017</v>
      </c>
    </row>
    <row r="39" spans="3:17">
      <c r="C39" t="s">
        <v>155</v>
      </c>
      <c r="D39" s="404">
        <v>222</v>
      </c>
      <c r="E39" s="404">
        <v>-3</v>
      </c>
      <c r="F39" s="404">
        <v>1406505</v>
      </c>
      <c r="G39" s="404">
        <v>-5800</v>
      </c>
      <c r="H39" s="404">
        <v>1380922</v>
      </c>
      <c r="I39" s="404">
        <v>172592</v>
      </c>
      <c r="J39" s="404">
        <v>1208330</v>
      </c>
    </row>
    <row r="40" spans="3:17">
      <c r="C40" t="s">
        <v>132</v>
      </c>
      <c r="D40" s="404">
        <v>321</v>
      </c>
      <c r="E40" s="404">
        <v>-1</v>
      </c>
      <c r="F40" s="404">
        <v>1386722</v>
      </c>
      <c r="G40" s="404">
        <v>-8000</v>
      </c>
      <c r="H40" s="404">
        <v>1293000</v>
      </c>
      <c r="I40" s="404">
        <v>342940</v>
      </c>
      <c r="J40" s="404">
        <v>950060</v>
      </c>
    </row>
    <row r="41" spans="3:17">
      <c r="C41" t="s">
        <v>373</v>
      </c>
      <c r="D41" s="404">
        <v>333</v>
      </c>
      <c r="E41" s="404">
        <v>-2</v>
      </c>
      <c r="F41" s="404">
        <v>1301000</v>
      </c>
      <c r="G41" s="404">
        <v>-10800</v>
      </c>
      <c r="H41" s="404">
        <v>1226000</v>
      </c>
      <c r="I41" s="404">
        <v>611400</v>
      </c>
      <c r="J41" s="404">
        <v>614600</v>
      </c>
    </row>
    <row r="42" spans="3:17">
      <c r="C42" t="s">
        <v>137</v>
      </c>
      <c r="D42" s="404">
        <v>1028</v>
      </c>
      <c r="E42" s="404">
        <v>-9</v>
      </c>
      <c r="F42" s="404">
        <v>1236800</v>
      </c>
      <c r="G42" s="404">
        <v>-11000</v>
      </c>
      <c r="H42" s="404">
        <v>1214400</v>
      </c>
      <c r="I42" s="404">
        <v>300854</v>
      </c>
      <c r="J42" s="404">
        <v>913546</v>
      </c>
    </row>
    <row r="43" spans="3:17">
      <c r="C43" t="s">
        <v>374</v>
      </c>
      <c r="D43" s="404">
        <v>557</v>
      </c>
      <c r="E43" s="404">
        <v>-5</v>
      </c>
      <c r="F43" s="404">
        <v>1225400</v>
      </c>
      <c r="G43" s="404">
        <v>0</v>
      </c>
      <c r="H43" s="404">
        <v>1170750</v>
      </c>
      <c r="I43" s="404">
        <v>324301</v>
      </c>
      <c r="J43" s="404">
        <v>846449</v>
      </c>
    </row>
    <row r="44" spans="3:17">
      <c r="C44" t="s">
        <v>152</v>
      </c>
      <c r="D44" s="404">
        <v>377</v>
      </c>
      <c r="E44" s="404">
        <v>0</v>
      </c>
      <c r="F44" s="404">
        <v>1170750</v>
      </c>
      <c r="G44" s="404">
        <v>-8500</v>
      </c>
      <c r="H44" s="404">
        <v>1058250</v>
      </c>
      <c r="I44" s="404">
        <v>399796</v>
      </c>
      <c r="J44" s="404">
        <v>658454</v>
      </c>
    </row>
    <row r="45" spans="3:17">
      <c r="C45" t="s">
        <v>141</v>
      </c>
      <c r="D45" s="404">
        <v>128</v>
      </c>
      <c r="E45" s="404">
        <v>-1</v>
      </c>
      <c r="F45" s="404">
        <v>1066750</v>
      </c>
      <c r="G45" s="404">
        <v>-12000</v>
      </c>
      <c r="H45" s="404">
        <v>1043120</v>
      </c>
      <c r="I45" s="404">
        <v>256594</v>
      </c>
      <c r="J45" s="404">
        <v>786526</v>
      </c>
    </row>
    <row r="46" spans="3:17">
      <c r="C46" t="s">
        <v>173</v>
      </c>
      <c r="D46" s="404">
        <v>179</v>
      </c>
      <c r="E46" s="404">
        <v>-2</v>
      </c>
      <c r="F46" s="404">
        <v>1055120</v>
      </c>
      <c r="G46" s="404">
        <v>0</v>
      </c>
      <c r="H46" s="404">
        <v>1020600</v>
      </c>
      <c r="I46" s="404">
        <v>62465</v>
      </c>
      <c r="J46" s="404">
        <v>958135</v>
      </c>
    </row>
    <row r="47" spans="3:17">
      <c r="C47" t="s">
        <v>375</v>
      </c>
      <c r="D47" s="404">
        <v>31</v>
      </c>
      <c r="E47" s="404">
        <v>0</v>
      </c>
      <c r="F47" s="404">
        <v>1020600</v>
      </c>
      <c r="G47" s="404">
        <v>0</v>
      </c>
      <c r="H47" s="404">
        <v>1009800</v>
      </c>
      <c r="I47" s="404">
        <v>339660</v>
      </c>
      <c r="J47" s="404">
        <v>670140</v>
      </c>
    </row>
    <row r="48" spans="3:17">
      <c r="C48" t="s">
        <v>376</v>
      </c>
      <c r="D48" s="404">
        <v>459</v>
      </c>
      <c r="E48" s="404">
        <v>0</v>
      </c>
      <c r="F48" s="404">
        <v>1009800</v>
      </c>
      <c r="G48" s="404">
        <v>0</v>
      </c>
      <c r="H48" s="404">
        <v>934800</v>
      </c>
      <c r="I48" s="404">
        <v>235620</v>
      </c>
      <c r="J48" s="404">
        <v>699180</v>
      </c>
    </row>
    <row r="49" spans="3:10">
      <c r="C49" t="s">
        <v>377</v>
      </c>
      <c r="D49" s="404">
        <v>252</v>
      </c>
      <c r="E49" s="404">
        <v>0</v>
      </c>
      <c r="F49" s="404">
        <v>934800</v>
      </c>
      <c r="G49" s="404">
        <v>-6000</v>
      </c>
      <c r="H49" s="404">
        <v>912240</v>
      </c>
      <c r="I49" s="404">
        <v>456000</v>
      </c>
      <c r="J49" s="404">
        <v>456240</v>
      </c>
    </row>
    <row r="50" spans="3:10">
      <c r="C50" t="s">
        <v>259</v>
      </c>
      <c r="D50" s="404">
        <v>306</v>
      </c>
      <c r="E50" s="404">
        <v>-2</v>
      </c>
      <c r="F50" s="404">
        <v>918240</v>
      </c>
      <c r="G50" s="404">
        <v>-2000</v>
      </c>
      <c r="H50" s="404">
        <v>842000</v>
      </c>
      <c r="I50" s="404">
        <v>148600</v>
      </c>
      <c r="J50" s="404">
        <v>693400</v>
      </c>
    </row>
    <row r="51" spans="3:10">
      <c r="C51" t="s">
        <v>159</v>
      </c>
      <c r="D51" s="404">
        <v>422</v>
      </c>
      <c r="E51" s="404">
        <v>-1</v>
      </c>
      <c r="F51" s="404">
        <v>844000</v>
      </c>
      <c r="G51" s="404">
        <v>0</v>
      </c>
      <c r="H51" s="404">
        <v>806760</v>
      </c>
      <c r="I51" s="404">
        <v>215742</v>
      </c>
      <c r="J51" s="404">
        <v>591018</v>
      </c>
    </row>
    <row r="52" spans="3:10">
      <c r="C52" t="s">
        <v>378</v>
      </c>
      <c r="D52" s="404">
        <v>209</v>
      </c>
      <c r="E52" s="404">
        <v>0</v>
      </c>
      <c r="F52" s="404">
        <v>806760</v>
      </c>
      <c r="G52" s="404">
        <v>0</v>
      </c>
      <c r="H52" s="404">
        <v>778600</v>
      </c>
      <c r="I52" s="404">
        <v>389300</v>
      </c>
      <c r="J52" s="404">
        <v>389300</v>
      </c>
    </row>
    <row r="53" spans="3:10">
      <c r="C53" t="s">
        <v>256</v>
      </c>
      <c r="D53" s="404">
        <v>229</v>
      </c>
      <c r="E53" s="404">
        <v>0</v>
      </c>
      <c r="F53" s="404">
        <v>778600</v>
      </c>
      <c r="G53" s="404">
        <v>-13000</v>
      </c>
      <c r="H53" s="404">
        <v>741632</v>
      </c>
      <c r="I53" s="404">
        <v>273000</v>
      </c>
      <c r="J53" s="404">
        <v>468632</v>
      </c>
    </row>
    <row r="54" spans="3:10">
      <c r="C54" t="s">
        <v>147</v>
      </c>
      <c r="D54" s="404">
        <v>74</v>
      </c>
      <c r="E54" s="404">
        <v>-1</v>
      </c>
      <c r="F54" s="404">
        <v>754632</v>
      </c>
      <c r="G54" s="404">
        <v>-10000</v>
      </c>
      <c r="H54" s="404">
        <v>740600</v>
      </c>
      <c r="I54" s="404">
        <v>107771</v>
      </c>
      <c r="J54" s="404">
        <v>632829</v>
      </c>
    </row>
    <row r="55" spans="3:10">
      <c r="C55" t="s">
        <v>163</v>
      </c>
      <c r="D55" s="404">
        <v>148</v>
      </c>
      <c r="E55" s="404">
        <v>-2</v>
      </c>
      <c r="F55" s="404">
        <v>750600</v>
      </c>
      <c r="G55" s="404">
        <v>-4500</v>
      </c>
      <c r="H55" s="404">
        <v>737500</v>
      </c>
      <c r="I55" s="404">
        <v>149321</v>
      </c>
      <c r="J55" s="404">
        <v>588179</v>
      </c>
    </row>
    <row r="56" spans="3:10">
      <c r="C56" t="s">
        <v>148</v>
      </c>
      <c r="D56" s="404">
        <v>554</v>
      </c>
      <c r="E56" s="404">
        <v>-3</v>
      </c>
      <c r="F56" s="404">
        <v>742000</v>
      </c>
      <c r="G56" s="404">
        <v>-7800</v>
      </c>
      <c r="H56" s="404">
        <v>731650</v>
      </c>
      <c r="I56" s="404">
        <v>233147</v>
      </c>
      <c r="J56" s="404">
        <v>498503</v>
      </c>
    </row>
    <row r="57" spans="3:10">
      <c r="C57">
        <v>7003</v>
      </c>
      <c r="D57" s="404">
        <v>300</v>
      </c>
      <c r="E57" s="404">
        <v>-3</v>
      </c>
      <c r="F57" s="404">
        <v>739450</v>
      </c>
      <c r="G57" s="404">
        <v>-5000</v>
      </c>
      <c r="H57" s="404">
        <v>719500</v>
      </c>
      <c r="I57" s="404">
        <v>172986</v>
      </c>
      <c r="J57" s="404">
        <v>546514</v>
      </c>
    </row>
    <row r="58" spans="3:10">
      <c r="C58" t="s">
        <v>187</v>
      </c>
      <c r="D58" s="404">
        <v>145</v>
      </c>
      <c r="E58" s="404">
        <v>-1</v>
      </c>
      <c r="F58" s="404">
        <v>724500</v>
      </c>
      <c r="G58" s="404">
        <v>-4320</v>
      </c>
      <c r="H58" s="404">
        <v>710100</v>
      </c>
      <c r="I58" s="404">
        <v>346086</v>
      </c>
      <c r="J58" s="404">
        <v>364014</v>
      </c>
    </row>
    <row r="59" spans="3:10">
      <c r="C59" t="s">
        <v>168</v>
      </c>
      <c r="D59" s="404">
        <v>176</v>
      </c>
      <c r="E59" s="404">
        <v>-2</v>
      </c>
      <c r="F59" s="404">
        <v>714420</v>
      </c>
      <c r="G59" s="404">
        <v>-9500</v>
      </c>
      <c r="H59" s="404">
        <v>657500</v>
      </c>
      <c r="I59" s="404">
        <v>119686</v>
      </c>
      <c r="J59" s="404">
        <v>537814</v>
      </c>
    </row>
    <row r="60" spans="3:10">
      <c r="C60" t="s">
        <v>183</v>
      </c>
      <c r="D60" s="404">
        <v>134</v>
      </c>
      <c r="E60" s="404">
        <v>-2</v>
      </c>
      <c r="F60" s="404">
        <v>667000</v>
      </c>
      <c r="G60" s="404">
        <v>-1820</v>
      </c>
      <c r="H60" s="404">
        <v>644280</v>
      </c>
      <c r="I60" s="404">
        <v>211280</v>
      </c>
      <c r="J60" s="404">
        <v>433000</v>
      </c>
    </row>
    <row r="61" spans="3:10">
      <c r="C61" t="s">
        <v>178</v>
      </c>
      <c r="D61" s="404">
        <v>710</v>
      </c>
      <c r="E61" s="404">
        <v>-2</v>
      </c>
      <c r="F61" s="404">
        <v>646100</v>
      </c>
      <c r="G61" s="404">
        <v>-7200</v>
      </c>
      <c r="H61" s="404">
        <v>630000</v>
      </c>
      <c r="I61" s="404">
        <v>245000</v>
      </c>
      <c r="J61" s="404">
        <v>385000</v>
      </c>
    </row>
    <row r="62" spans="3:10">
      <c r="C62" t="s">
        <v>379</v>
      </c>
      <c r="D62" s="404">
        <v>177</v>
      </c>
      <c r="E62" s="404">
        <v>-2</v>
      </c>
      <c r="F62" s="404">
        <v>637200</v>
      </c>
      <c r="G62" s="404">
        <v>0</v>
      </c>
      <c r="H62" s="404">
        <v>619300</v>
      </c>
      <c r="I62" s="404">
        <v>168410</v>
      </c>
      <c r="J62" s="404">
        <v>450890</v>
      </c>
    </row>
    <row r="63" spans="3:10">
      <c r="C63" t="s">
        <v>172</v>
      </c>
      <c r="D63" s="404">
        <v>563</v>
      </c>
      <c r="E63" s="404">
        <v>0</v>
      </c>
      <c r="F63" s="404">
        <v>619300</v>
      </c>
      <c r="G63" s="404">
        <v>0</v>
      </c>
      <c r="H63" s="404">
        <v>594091</v>
      </c>
      <c r="I63" s="404">
        <v>288058</v>
      </c>
      <c r="J63" s="404">
        <v>306033</v>
      </c>
    </row>
    <row r="64" spans="3:10">
      <c r="C64" t="s">
        <v>219</v>
      </c>
      <c r="D64" s="404">
        <v>63</v>
      </c>
      <c r="E64" s="404">
        <v>0</v>
      </c>
      <c r="F64" s="404">
        <v>594091</v>
      </c>
      <c r="G64" s="404">
        <v>-2500</v>
      </c>
      <c r="H64" s="404">
        <v>578340</v>
      </c>
      <c r="I64" s="404">
        <v>278775</v>
      </c>
      <c r="J64" s="404">
        <v>299565</v>
      </c>
    </row>
    <row r="65" spans="3:10">
      <c r="C65" t="s">
        <v>176</v>
      </c>
      <c r="D65" s="404">
        <v>414</v>
      </c>
      <c r="E65" s="404">
        <v>-1</v>
      </c>
      <c r="F65" s="404">
        <v>580840</v>
      </c>
      <c r="G65" s="404">
        <v>-37000</v>
      </c>
      <c r="H65" s="404">
        <v>521000</v>
      </c>
      <c r="I65" s="404">
        <v>94547</v>
      </c>
      <c r="J65" s="404">
        <v>426453</v>
      </c>
    </row>
    <row r="66" spans="3:10">
      <c r="C66" t="s">
        <v>382</v>
      </c>
      <c r="D66" s="404">
        <v>90</v>
      </c>
      <c r="E66" s="404">
        <v>-6</v>
      </c>
      <c r="F66" s="404">
        <v>558000</v>
      </c>
      <c r="G66" s="404">
        <v>0</v>
      </c>
      <c r="H66" s="404">
        <v>554200</v>
      </c>
      <c r="I66" s="404">
        <v>188460</v>
      </c>
      <c r="J66" s="404">
        <v>365740</v>
      </c>
    </row>
    <row r="67" spans="3:10">
      <c r="C67" t="s">
        <v>192</v>
      </c>
      <c r="D67" s="404">
        <v>349</v>
      </c>
      <c r="E67" s="404">
        <v>0</v>
      </c>
      <c r="F67" s="404">
        <v>554200</v>
      </c>
      <c r="G67" s="404">
        <v>-9570</v>
      </c>
      <c r="H67" s="404">
        <v>542850</v>
      </c>
      <c r="I67" s="404">
        <v>102414</v>
      </c>
      <c r="J67" s="404">
        <v>440436</v>
      </c>
    </row>
    <row r="68" spans="3:10">
      <c r="C68" t="s">
        <v>179</v>
      </c>
      <c r="D68" s="404">
        <v>172</v>
      </c>
      <c r="E68" s="404">
        <v>-3</v>
      </c>
      <c r="F68" s="404">
        <v>552420</v>
      </c>
      <c r="G68" s="404">
        <v>-7000</v>
      </c>
      <c r="H68" s="404">
        <v>534800</v>
      </c>
      <c r="I68" s="404">
        <v>126809</v>
      </c>
      <c r="J68" s="404">
        <v>407991</v>
      </c>
    </row>
    <row r="69" spans="3:10">
      <c r="C69">
        <v>5584</v>
      </c>
      <c r="D69" s="404">
        <v>320</v>
      </c>
      <c r="E69" s="404">
        <v>-4</v>
      </c>
      <c r="F69" s="404">
        <v>541800</v>
      </c>
      <c r="G69" s="404">
        <v>0</v>
      </c>
      <c r="H69" s="404">
        <v>534300</v>
      </c>
      <c r="I69" s="404">
        <v>293472</v>
      </c>
      <c r="J69" s="404">
        <v>240828</v>
      </c>
    </row>
    <row r="70" spans="3:10">
      <c r="C70" t="s">
        <v>208</v>
      </c>
      <c r="D70" s="404">
        <v>127</v>
      </c>
      <c r="E70" s="404">
        <v>0</v>
      </c>
      <c r="F70" s="404">
        <v>534300</v>
      </c>
      <c r="G70" s="404">
        <v>0</v>
      </c>
      <c r="H70" s="404">
        <v>532000</v>
      </c>
      <c r="I70" s="404">
        <v>159745</v>
      </c>
      <c r="J70" s="404">
        <v>372255</v>
      </c>
    </row>
    <row r="71" spans="3:10">
      <c r="C71" t="s">
        <v>380</v>
      </c>
      <c r="D71" s="404">
        <v>266</v>
      </c>
      <c r="E71" s="404">
        <v>0</v>
      </c>
      <c r="F71" s="404">
        <v>532000</v>
      </c>
      <c r="G71" s="404">
        <v>0</v>
      </c>
      <c r="H71" s="404">
        <v>528800</v>
      </c>
      <c r="I71" s="404">
        <v>213424</v>
      </c>
      <c r="J71" s="404">
        <v>315376</v>
      </c>
    </row>
    <row r="72" spans="3:10">
      <c r="C72" t="s">
        <v>381</v>
      </c>
      <c r="D72" s="404">
        <v>88</v>
      </c>
      <c r="E72" s="404">
        <v>0</v>
      </c>
      <c r="F72" s="404">
        <v>528800</v>
      </c>
      <c r="G72" s="404">
        <v>0</v>
      </c>
      <c r="H72" s="404">
        <v>527000</v>
      </c>
      <c r="I72" s="404">
        <v>307800</v>
      </c>
      <c r="J72" s="404">
        <v>219200</v>
      </c>
    </row>
    <row r="73" spans="3:10">
      <c r="C73" t="s">
        <v>217</v>
      </c>
      <c r="D73" s="404">
        <v>51</v>
      </c>
      <c r="E73" s="404">
        <v>0</v>
      </c>
      <c r="F73" s="404">
        <v>527000</v>
      </c>
      <c r="G73" s="404">
        <v>-8000</v>
      </c>
      <c r="H73" s="404">
        <v>495000</v>
      </c>
      <c r="I73" s="404">
        <v>115234</v>
      </c>
      <c r="J73" s="404">
        <v>379766</v>
      </c>
    </row>
    <row r="74" spans="3:10">
      <c r="C74" t="s">
        <v>188</v>
      </c>
      <c r="D74" s="404">
        <v>308</v>
      </c>
      <c r="E74" s="404">
        <v>-4</v>
      </c>
      <c r="F74" s="404">
        <v>503000</v>
      </c>
      <c r="G74" s="404">
        <v>0</v>
      </c>
      <c r="H74" s="404">
        <v>464070</v>
      </c>
      <c r="I74" s="404">
        <v>59044</v>
      </c>
      <c r="J74" s="404">
        <v>405026</v>
      </c>
    </row>
    <row r="75" spans="3:10">
      <c r="C75" t="s">
        <v>196</v>
      </c>
      <c r="D75" s="404">
        <v>155</v>
      </c>
      <c r="E75" s="404">
        <v>0</v>
      </c>
      <c r="F75" s="404">
        <v>464070</v>
      </c>
      <c r="G75" s="404">
        <v>-3000</v>
      </c>
      <c r="H75" s="404">
        <v>433400</v>
      </c>
      <c r="I75" s="404">
        <v>77417</v>
      </c>
      <c r="J75" s="404">
        <v>355983</v>
      </c>
    </row>
    <row r="76" spans="3:10">
      <c r="C76" t="s">
        <v>206</v>
      </c>
      <c r="D76" s="404">
        <v>251</v>
      </c>
      <c r="E76" s="404">
        <v>-2</v>
      </c>
      <c r="F76" s="404">
        <v>436400</v>
      </c>
      <c r="G76" s="404">
        <v>0</v>
      </c>
      <c r="H76" s="404">
        <v>421740</v>
      </c>
      <c r="I76" s="404">
        <v>270504</v>
      </c>
      <c r="J76" s="404">
        <v>151236</v>
      </c>
    </row>
    <row r="77" spans="3:10">
      <c r="C77" t="s">
        <v>161</v>
      </c>
      <c r="D77" s="404">
        <v>136</v>
      </c>
      <c r="E77" s="404">
        <v>0</v>
      </c>
      <c r="F77" s="404">
        <v>421740</v>
      </c>
      <c r="G77" s="404">
        <v>-19750</v>
      </c>
      <c r="H77" s="404">
        <v>353459</v>
      </c>
      <c r="I77" s="404">
        <v>115066</v>
      </c>
      <c r="J77" s="404">
        <v>238393</v>
      </c>
    </row>
    <row r="78" spans="3:10">
      <c r="C78" t="s">
        <v>166</v>
      </c>
      <c r="D78" s="404">
        <v>57</v>
      </c>
      <c r="E78" s="404">
        <v>-3</v>
      </c>
      <c r="F78" s="404">
        <v>373209</v>
      </c>
      <c r="G78" s="404">
        <v>0</v>
      </c>
      <c r="H78" s="404">
        <v>371800</v>
      </c>
      <c r="I78" s="404">
        <v>109086</v>
      </c>
      <c r="J78" s="404">
        <v>262714</v>
      </c>
    </row>
    <row r="79" spans="3:10">
      <c r="C79" t="s">
        <v>383</v>
      </c>
      <c r="D79" s="404">
        <v>286</v>
      </c>
      <c r="E79" s="404">
        <v>0</v>
      </c>
      <c r="F79" s="404">
        <v>371800</v>
      </c>
      <c r="G79" s="404">
        <v>0</v>
      </c>
      <c r="H79" s="404">
        <v>342350</v>
      </c>
      <c r="I79" s="404">
        <v>187048</v>
      </c>
      <c r="J79" s="404">
        <v>155302</v>
      </c>
    </row>
    <row r="80" spans="3:10">
      <c r="C80" t="s">
        <v>242</v>
      </c>
      <c r="D80" s="404">
        <v>81</v>
      </c>
      <c r="E80" s="404">
        <v>0</v>
      </c>
      <c r="F80" s="404">
        <v>342350</v>
      </c>
      <c r="G80" s="404">
        <v>0</v>
      </c>
      <c r="H80" s="404">
        <v>338760</v>
      </c>
      <c r="I80" s="404">
        <v>129390</v>
      </c>
      <c r="J80" s="404">
        <v>209370</v>
      </c>
    </row>
    <row r="81" spans="3:10">
      <c r="C81" t="s">
        <v>209</v>
      </c>
      <c r="D81" s="404">
        <v>95</v>
      </c>
      <c r="E81" s="404">
        <v>0</v>
      </c>
      <c r="F81" s="404">
        <v>338760</v>
      </c>
      <c r="G81" s="404">
        <v>-3300</v>
      </c>
      <c r="H81" s="404">
        <v>332442</v>
      </c>
      <c r="I81" s="404">
        <v>103130</v>
      </c>
      <c r="J81" s="404">
        <v>229312</v>
      </c>
    </row>
    <row r="82" spans="3:10">
      <c r="C82" t="s">
        <v>158</v>
      </c>
      <c r="D82" s="404">
        <v>156</v>
      </c>
      <c r="E82" s="404">
        <v>-2</v>
      </c>
      <c r="F82" s="404">
        <v>335742</v>
      </c>
      <c r="G82" s="404">
        <v>0</v>
      </c>
      <c r="H82" s="404">
        <v>332140</v>
      </c>
      <c r="I82" s="404">
        <v>66438</v>
      </c>
      <c r="J82" s="404">
        <v>265702</v>
      </c>
    </row>
    <row r="83" spans="3:10">
      <c r="C83" t="s">
        <v>149</v>
      </c>
      <c r="D83" s="404">
        <v>119</v>
      </c>
      <c r="E83" s="404">
        <v>0</v>
      </c>
      <c r="F83" s="404">
        <v>332140</v>
      </c>
      <c r="G83" s="404">
        <v>0</v>
      </c>
      <c r="H83" s="404">
        <v>320400</v>
      </c>
      <c r="I83" s="404">
        <v>121941</v>
      </c>
      <c r="J83" s="404">
        <v>198459</v>
      </c>
    </row>
    <row r="84" spans="3:10">
      <c r="C84" t="s">
        <v>195</v>
      </c>
      <c r="D84" s="404">
        <v>90</v>
      </c>
      <c r="E84" s="404">
        <v>0</v>
      </c>
      <c r="F84" s="404">
        <v>320400</v>
      </c>
      <c r="G84" s="404">
        <v>-5600</v>
      </c>
      <c r="H84" s="404">
        <v>305200</v>
      </c>
      <c r="I84" s="404">
        <v>55378</v>
      </c>
      <c r="J84" s="404">
        <v>249822</v>
      </c>
    </row>
    <row r="85" spans="3:10">
      <c r="C85" t="s">
        <v>182</v>
      </c>
      <c r="D85" s="404">
        <v>111</v>
      </c>
      <c r="E85" s="404">
        <v>-2</v>
      </c>
      <c r="F85" s="404">
        <v>310800</v>
      </c>
      <c r="G85" s="404">
        <v>0</v>
      </c>
      <c r="H85" s="404">
        <v>301980</v>
      </c>
      <c r="I85" s="404">
        <v>126380</v>
      </c>
      <c r="J85" s="404">
        <v>175600</v>
      </c>
    </row>
    <row r="86" spans="3:10">
      <c r="C86" t="s">
        <v>167</v>
      </c>
      <c r="D86" s="404">
        <v>89</v>
      </c>
      <c r="E86" s="404">
        <v>0</v>
      </c>
      <c r="F86" s="404">
        <v>301980</v>
      </c>
      <c r="G86" s="404">
        <v>-19500</v>
      </c>
      <c r="H86" s="404">
        <v>277550</v>
      </c>
      <c r="I86" s="404">
        <v>104123</v>
      </c>
      <c r="J86" s="404">
        <v>173427</v>
      </c>
    </row>
    <row r="87" spans="3:10">
      <c r="C87" t="s">
        <v>229</v>
      </c>
      <c r="D87" s="404">
        <v>29</v>
      </c>
      <c r="E87" s="404">
        <v>-2</v>
      </c>
      <c r="F87" s="404">
        <v>297050</v>
      </c>
      <c r="G87" s="404">
        <v>0</v>
      </c>
      <c r="H87" s="404">
        <v>291600</v>
      </c>
      <c r="I87" s="404">
        <v>189648</v>
      </c>
      <c r="J87" s="404">
        <v>101952</v>
      </c>
    </row>
    <row r="88" spans="3:10">
      <c r="C88" t="s">
        <v>210</v>
      </c>
      <c r="D88" s="404">
        <v>54</v>
      </c>
      <c r="E88" s="404">
        <v>0</v>
      </c>
      <c r="F88" s="404">
        <v>291600</v>
      </c>
      <c r="G88" s="404">
        <v>-3300</v>
      </c>
      <c r="H88" s="404">
        <v>284900</v>
      </c>
      <c r="I88" s="404">
        <v>77610</v>
      </c>
      <c r="J88" s="404">
        <v>207290</v>
      </c>
    </row>
    <row r="89" spans="3:10">
      <c r="C89" t="s">
        <v>203</v>
      </c>
      <c r="D89" s="404">
        <v>262</v>
      </c>
      <c r="E89" s="404">
        <v>-3</v>
      </c>
      <c r="F89" s="404">
        <v>288200</v>
      </c>
      <c r="G89" s="404">
        <v>-1100</v>
      </c>
      <c r="H89" s="404">
        <v>280500</v>
      </c>
      <c r="I89" s="404">
        <v>76430</v>
      </c>
      <c r="J89" s="404">
        <v>204070</v>
      </c>
    </row>
    <row r="90" spans="3:10">
      <c r="C90" t="s">
        <v>215</v>
      </c>
      <c r="D90" s="404">
        <v>256</v>
      </c>
      <c r="E90" s="404">
        <v>-1</v>
      </c>
      <c r="F90" s="404">
        <v>281600</v>
      </c>
      <c r="G90" s="404">
        <v>-7000</v>
      </c>
      <c r="H90" s="404">
        <v>269500</v>
      </c>
      <c r="I90" s="404">
        <v>64409</v>
      </c>
      <c r="J90" s="404">
        <v>205091</v>
      </c>
    </row>
    <row r="91" spans="3:10">
      <c r="C91" t="s">
        <v>174</v>
      </c>
      <c r="D91" s="404">
        <v>79</v>
      </c>
      <c r="E91" s="404">
        <v>-2</v>
      </c>
      <c r="F91" s="404">
        <v>276500</v>
      </c>
      <c r="G91" s="404">
        <v>0</v>
      </c>
      <c r="H91" s="404">
        <v>275500</v>
      </c>
      <c r="I91" s="404">
        <v>161700</v>
      </c>
      <c r="J91" s="404">
        <v>113800</v>
      </c>
    </row>
    <row r="92" spans="3:10">
      <c r="C92" t="s">
        <v>249</v>
      </c>
      <c r="D92" s="404">
        <v>23</v>
      </c>
      <c r="E92" s="404">
        <v>0</v>
      </c>
      <c r="F92" s="404">
        <v>275500</v>
      </c>
      <c r="G92" s="404">
        <v>-1800</v>
      </c>
      <c r="H92" s="404">
        <v>262800</v>
      </c>
      <c r="I92" s="404">
        <v>131400</v>
      </c>
      <c r="J92" s="404">
        <v>131400</v>
      </c>
    </row>
    <row r="93" spans="3:10">
      <c r="C93" t="s">
        <v>197</v>
      </c>
      <c r="D93" s="404">
        <v>147</v>
      </c>
      <c r="E93" s="404">
        <v>-1</v>
      </c>
      <c r="F93" s="404">
        <v>264600</v>
      </c>
      <c r="G93" s="404">
        <v>0</v>
      </c>
      <c r="H93" s="404">
        <v>261000</v>
      </c>
      <c r="I93" s="404">
        <v>49406</v>
      </c>
      <c r="J93" s="404">
        <v>211594</v>
      </c>
    </row>
    <row r="94" spans="3:10">
      <c r="C94" t="s">
        <v>384</v>
      </c>
      <c r="D94" s="404">
        <v>43</v>
      </c>
      <c r="E94" s="404">
        <v>0</v>
      </c>
      <c r="F94" s="404">
        <v>261000</v>
      </c>
      <c r="G94" s="404">
        <v>0</v>
      </c>
      <c r="H94" s="404">
        <v>260100</v>
      </c>
      <c r="I94" s="404">
        <v>122040</v>
      </c>
      <c r="J94" s="404">
        <v>138060</v>
      </c>
    </row>
    <row r="95" spans="3:10">
      <c r="C95" t="s">
        <v>385</v>
      </c>
      <c r="D95" s="404">
        <v>113</v>
      </c>
      <c r="E95" s="404">
        <v>0</v>
      </c>
      <c r="F95" s="404">
        <v>260100</v>
      </c>
      <c r="G95" s="404">
        <v>0</v>
      </c>
      <c r="H95" s="404">
        <v>258500</v>
      </c>
      <c r="I95" s="404">
        <v>129250</v>
      </c>
      <c r="J95" s="404">
        <v>129250</v>
      </c>
    </row>
    <row r="96" spans="3:10">
      <c r="C96" t="s">
        <v>386</v>
      </c>
      <c r="D96" s="404">
        <v>52</v>
      </c>
      <c r="E96" s="404">
        <v>0</v>
      </c>
      <c r="F96" s="404">
        <v>258500</v>
      </c>
      <c r="G96" s="404">
        <v>0</v>
      </c>
      <c r="H96" s="404">
        <v>246876</v>
      </c>
      <c r="I96" s="404">
        <v>83919</v>
      </c>
      <c r="J96" s="404">
        <v>162957</v>
      </c>
    </row>
    <row r="97" spans="3:10">
      <c r="C97" t="s">
        <v>160</v>
      </c>
      <c r="D97" s="404">
        <v>109</v>
      </c>
      <c r="E97" s="404">
        <v>0</v>
      </c>
      <c r="F97" s="404">
        <v>246876</v>
      </c>
      <c r="G97" s="404">
        <v>0</v>
      </c>
      <c r="H97" s="404">
        <v>244800</v>
      </c>
      <c r="I97" s="404">
        <v>146880</v>
      </c>
      <c r="J97" s="404">
        <v>97920</v>
      </c>
    </row>
    <row r="98" spans="3:10">
      <c r="C98" t="s">
        <v>387</v>
      </c>
      <c r="D98" s="404">
        <v>34</v>
      </c>
      <c r="E98" s="404">
        <v>0</v>
      </c>
      <c r="F98" s="404">
        <v>244800</v>
      </c>
      <c r="G98" s="404">
        <v>-14000</v>
      </c>
      <c r="H98" s="404">
        <v>229600</v>
      </c>
      <c r="I98" s="404">
        <v>123000</v>
      </c>
      <c r="J98" s="404">
        <v>106600</v>
      </c>
    </row>
    <row r="99" spans="3:10">
      <c r="C99" t="s">
        <v>177</v>
      </c>
      <c r="D99" s="404">
        <v>87</v>
      </c>
      <c r="E99" s="404">
        <v>-5</v>
      </c>
      <c r="F99" s="404">
        <v>243600</v>
      </c>
      <c r="G99" s="404">
        <v>-6000</v>
      </c>
      <c r="H99" s="404">
        <v>222000</v>
      </c>
      <c r="I99" s="404">
        <v>28768</v>
      </c>
      <c r="J99" s="404">
        <v>193232</v>
      </c>
    </row>
    <row r="100" spans="3:10">
      <c r="C100" t="s">
        <v>388</v>
      </c>
      <c r="D100" s="404">
        <v>76</v>
      </c>
      <c r="E100" s="404">
        <v>-2</v>
      </c>
      <c r="F100" s="404">
        <v>228000</v>
      </c>
      <c r="G100" s="404">
        <v>-4000</v>
      </c>
      <c r="H100" s="404">
        <v>192000</v>
      </c>
      <c r="I100" s="404">
        <v>96000</v>
      </c>
      <c r="J100" s="404">
        <v>96000</v>
      </c>
    </row>
    <row r="101" spans="3:10">
      <c r="C101" t="s">
        <v>154</v>
      </c>
      <c r="D101" s="404">
        <v>49</v>
      </c>
      <c r="E101" s="404">
        <v>-1</v>
      </c>
      <c r="F101" s="404">
        <v>196000</v>
      </c>
      <c r="G101" s="404">
        <v>0</v>
      </c>
      <c r="H101" s="404">
        <v>194400</v>
      </c>
      <c r="I101" s="404">
        <v>89100</v>
      </c>
      <c r="J101" s="404">
        <v>105300</v>
      </c>
    </row>
    <row r="102" spans="3:10">
      <c r="C102" t="s">
        <v>207</v>
      </c>
      <c r="D102" s="404">
        <v>162</v>
      </c>
      <c r="E102" s="404">
        <v>0</v>
      </c>
      <c r="F102" s="404">
        <v>194400</v>
      </c>
      <c r="G102" s="404">
        <v>0</v>
      </c>
      <c r="H102" s="404">
        <v>193600</v>
      </c>
      <c r="I102" s="404">
        <v>116160</v>
      </c>
      <c r="J102" s="404">
        <v>77440</v>
      </c>
    </row>
    <row r="103" spans="3:10">
      <c r="C103" t="s">
        <v>389</v>
      </c>
      <c r="D103" s="404">
        <v>22</v>
      </c>
      <c r="E103" s="404">
        <v>0</v>
      </c>
      <c r="F103" s="404">
        <v>193600</v>
      </c>
      <c r="G103" s="404">
        <v>0</v>
      </c>
      <c r="H103" s="404">
        <v>184900</v>
      </c>
      <c r="I103" s="404">
        <v>91080</v>
      </c>
      <c r="J103" s="404">
        <v>93820</v>
      </c>
    </row>
    <row r="104" spans="3:10">
      <c r="C104" t="s">
        <v>390</v>
      </c>
      <c r="D104" s="404">
        <v>69</v>
      </c>
      <c r="E104" s="404">
        <v>0</v>
      </c>
      <c r="F104" s="404">
        <v>184900</v>
      </c>
      <c r="G104" s="404">
        <v>0</v>
      </c>
      <c r="H104" s="404">
        <v>182400</v>
      </c>
      <c r="I104" s="404">
        <v>109440</v>
      </c>
      <c r="J104" s="404">
        <v>72960</v>
      </c>
    </row>
    <row r="105" spans="3:10">
      <c r="C105" t="s">
        <v>194</v>
      </c>
      <c r="D105" s="404">
        <v>48</v>
      </c>
      <c r="E105" s="404">
        <v>0</v>
      </c>
      <c r="F105" s="404">
        <v>182400</v>
      </c>
      <c r="G105" s="404">
        <v>-3200</v>
      </c>
      <c r="H105" s="404">
        <v>177600</v>
      </c>
      <c r="I105" s="404">
        <v>14322</v>
      </c>
      <c r="J105" s="404">
        <v>163278</v>
      </c>
    </row>
    <row r="106" spans="3:10">
      <c r="C106" t="s">
        <v>193</v>
      </c>
      <c r="D106" s="404">
        <v>67</v>
      </c>
      <c r="E106" s="404">
        <v>-1</v>
      </c>
      <c r="F106" s="404">
        <v>180800</v>
      </c>
      <c r="G106" s="404">
        <v>-3000</v>
      </c>
      <c r="H106" s="404">
        <v>176000</v>
      </c>
      <c r="I106" s="404">
        <v>32580</v>
      </c>
      <c r="J106" s="404">
        <v>143420</v>
      </c>
    </row>
    <row r="107" spans="3:10">
      <c r="C107">
        <v>3135</v>
      </c>
      <c r="D107" s="404">
        <v>104</v>
      </c>
      <c r="E107" s="404">
        <v>-2</v>
      </c>
      <c r="F107" s="404">
        <v>179000</v>
      </c>
      <c r="G107" s="404">
        <v>0</v>
      </c>
      <c r="H107" s="404">
        <v>178600</v>
      </c>
      <c r="I107" s="404">
        <v>107160</v>
      </c>
      <c r="J107" s="404">
        <v>71440</v>
      </c>
    </row>
    <row r="108" spans="3:10">
      <c r="C108" t="s">
        <v>205</v>
      </c>
      <c r="D108" s="404">
        <v>47</v>
      </c>
      <c r="E108" s="404">
        <v>0</v>
      </c>
      <c r="F108" s="404">
        <v>178600</v>
      </c>
      <c r="G108" s="404">
        <v>0</v>
      </c>
      <c r="H108" s="404">
        <v>176000</v>
      </c>
      <c r="I108" s="404">
        <v>43875</v>
      </c>
      <c r="J108" s="404">
        <v>132125</v>
      </c>
    </row>
    <row r="109" spans="3:10">
      <c r="C109" t="s">
        <v>225</v>
      </c>
      <c r="D109" s="404">
        <v>220</v>
      </c>
      <c r="E109" s="404">
        <v>0</v>
      </c>
      <c r="F109" s="404">
        <v>176000</v>
      </c>
      <c r="G109" s="404">
        <v>0</v>
      </c>
      <c r="H109" s="404">
        <v>158000</v>
      </c>
      <c r="I109" s="404">
        <v>29088</v>
      </c>
      <c r="J109" s="404">
        <v>128912</v>
      </c>
    </row>
    <row r="110" spans="3:10">
      <c r="C110">
        <v>5003</v>
      </c>
      <c r="D110" s="404">
        <v>104</v>
      </c>
      <c r="E110" s="404">
        <v>0</v>
      </c>
      <c r="F110" s="404">
        <v>158000</v>
      </c>
      <c r="G110" s="404">
        <v>-2000</v>
      </c>
      <c r="H110" s="404">
        <v>148000</v>
      </c>
      <c r="I110" s="404">
        <v>28391</v>
      </c>
      <c r="J110" s="404">
        <v>119609</v>
      </c>
    </row>
    <row r="111" spans="3:10">
      <c r="C111">
        <v>3125</v>
      </c>
      <c r="D111" s="404">
        <v>90</v>
      </c>
      <c r="E111" s="404">
        <v>-1</v>
      </c>
      <c r="F111" s="404">
        <v>150000</v>
      </c>
      <c r="G111" s="404">
        <v>0</v>
      </c>
      <c r="H111" s="404">
        <v>147800</v>
      </c>
      <c r="I111" s="404">
        <v>121836</v>
      </c>
      <c r="J111" s="404">
        <v>25964</v>
      </c>
    </row>
    <row r="112" spans="3:10">
      <c r="C112" t="s">
        <v>156</v>
      </c>
      <c r="D112" s="404">
        <v>66</v>
      </c>
      <c r="E112" s="404">
        <v>0</v>
      </c>
      <c r="F112" s="404">
        <v>147800</v>
      </c>
      <c r="G112" s="404">
        <v>0</v>
      </c>
      <c r="H112" s="404">
        <v>144400</v>
      </c>
      <c r="I112" s="404">
        <v>61080</v>
      </c>
      <c r="J112" s="404">
        <v>83320</v>
      </c>
    </row>
    <row r="113" spans="3:10">
      <c r="C113" t="s">
        <v>391</v>
      </c>
      <c r="D113" s="404">
        <v>67</v>
      </c>
      <c r="E113" s="404">
        <v>0</v>
      </c>
      <c r="F113" s="404">
        <v>144400</v>
      </c>
      <c r="G113" s="404">
        <v>0</v>
      </c>
      <c r="H113" s="404">
        <v>142500</v>
      </c>
      <c r="I113" s="404">
        <v>28644</v>
      </c>
      <c r="J113" s="404">
        <v>113856</v>
      </c>
    </row>
    <row r="114" spans="3:10">
      <c r="C114" t="s">
        <v>204</v>
      </c>
      <c r="D114" s="404">
        <v>52</v>
      </c>
      <c r="E114" s="404">
        <v>0</v>
      </c>
      <c r="F114" s="404">
        <v>142500</v>
      </c>
      <c r="G114" s="404">
        <v>0</v>
      </c>
      <c r="H114" s="404">
        <v>140360</v>
      </c>
      <c r="I114" s="404">
        <v>15329</v>
      </c>
      <c r="J114" s="404">
        <v>125031</v>
      </c>
    </row>
    <row r="115" spans="3:10">
      <c r="C115" t="s">
        <v>180</v>
      </c>
      <c r="D115" s="404">
        <v>30</v>
      </c>
      <c r="E115" s="404">
        <v>0</v>
      </c>
      <c r="F115" s="404">
        <v>140360</v>
      </c>
      <c r="G115" s="404">
        <v>-3500</v>
      </c>
      <c r="H115" s="404">
        <v>129500</v>
      </c>
      <c r="I115" s="404">
        <v>28333</v>
      </c>
      <c r="J115" s="404">
        <v>101167</v>
      </c>
    </row>
    <row r="116" spans="3:10">
      <c r="C116" t="s">
        <v>392</v>
      </c>
      <c r="D116" s="404">
        <v>38</v>
      </c>
      <c r="E116" s="404">
        <v>-1</v>
      </c>
      <c r="F116" s="404">
        <v>133000</v>
      </c>
      <c r="G116" s="404">
        <v>0</v>
      </c>
      <c r="H116" s="404">
        <v>132809</v>
      </c>
      <c r="I116" s="404">
        <v>124195</v>
      </c>
      <c r="J116" s="404">
        <v>8614</v>
      </c>
    </row>
    <row r="117" spans="3:10">
      <c r="C117">
        <v>900753</v>
      </c>
      <c r="D117" s="404">
        <v>478</v>
      </c>
      <c r="E117" s="404">
        <v>0</v>
      </c>
      <c r="F117" s="404">
        <v>132809</v>
      </c>
      <c r="G117" s="404">
        <v>-3500</v>
      </c>
      <c r="H117" s="404">
        <v>126350</v>
      </c>
      <c r="I117" s="404">
        <v>27915</v>
      </c>
      <c r="J117" s="404">
        <v>98435</v>
      </c>
    </row>
    <row r="118" spans="3:10">
      <c r="C118" t="s">
        <v>138</v>
      </c>
      <c r="D118" s="404">
        <v>37</v>
      </c>
      <c r="E118" s="404">
        <v>-1</v>
      </c>
      <c r="F118" s="404">
        <v>129850</v>
      </c>
      <c r="G118" s="404">
        <v>0</v>
      </c>
      <c r="H118" s="404">
        <v>120780</v>
      </c>
      <c r="I118" s="404">
        <v>50129</v>
      </c>
      <c r="J118" s="404">
        <v>70651</v>
      </c>
    </row>
    <row r="119" spans="3:10">
      <c r="C119" t="s">
        <v>181</v>
      </c>
      <c r="D119" s="404">
        <v>38</v>
      </c>
      <c r="E119" s="404">
        <v>0</v>
      </c>
      <c r="F119" s="404">
        <v>120780</v>
      </c>
      <c r="G119" s="404">
        <v>0</v>
      </c>
      <c r="H119" s="404">
        <v>119700</v>
      </c>
      <c r="I119" s="404">
        <v>76114</v>
      </c>
      <c r="J119" s="404">
        <v>43586</v>
      </c>
    </row>
    <row r="120" spans="3:10">
      <c r="C120" t="s">
        <v>230</v>
      </c>
      <c r="D120" s="404">
        <v>19</v>
      </c>
      <c r="E120" s="404">
        <v>0</v>
      </c>
      <c r="F120" s="404">
        <v>119700</v>
      </c>
      <c r="G120" s="404">
        <v>0</v>
      </c>
      <c r="H120" s="404">
        <v>116300</v>
      </c>
      <c r="I120" s="404">
        <v>28530</v>
      </c>
      <c r="J120" s="404">
        <v>87770</v>
      </c>
    </row>
    <row r="121" spans="3:10">
      <c r="C121" t="s">
        <v>184</v>
      </c>
      <c r="D121" s="404">
        <v>51</v>
      </c>
      <c r="E121" s="404">
        <v>0</v>
      </c>
      <c r="F121" s="404">
        <v>116300</v>
      </c>
      <c r="G121" s="404">
        <v>-2250</v>
      </c>
      <c r="H121" s="404">
        <v>113400</v>
      </c>
      <c r="I121" s="404">
        <v>88075</v>
      </c>
      <c r="J121" s="404">
        <v>25325</v>
      </c>
    </row>
    <row r="122" spans="3:10">
      <c r="C122" t="s">
        <v>220</v>
      </c>
      <c r="D122" s="404">
        <v>39</v>
      </c>
      <c r="E122" s="404">
        <v>-1</v>
      </c>
      <c r="F122" s="404">
        <v>115650</v>
      </c>
      <c r="G122" s="404">
        <v>0</v>
      </c>
      <c r="H122" s="404">
        <v>115200</v>
      </c>
      <c r="I122" s="404">
        <v>69120</v>
      </c>
      <c r="J122" s="404">
        <v>46080</v>
      </c>
    </row>
    <row r="123" spans="3:10">
      <c r="C123" t="s">
        <v>245</v>
      </c>
      <c r="D123" s="404">
        <v>36</v>
      </c>
      <c r="E123" s="404">
        <v>0</v>
      </c>
      <c r="F123" s="404">
        <v>115200</v>
      </c>
      <c r="G123" s="404">
        <v>0</v>
      </c>
      <c r="H123" s="404">
        <v>114000</v>
      </c>
      <c r="I123" s="404">
        <v>68400</v>
      </c>
      <c r="J123" s="404">
        <v>45600</v>
      </c>
    </row>
    <row r="124" spans="3:10">
      <c r="C124" t="s">
        <v>393</v>
      </c>
      <c r="D124" s="404">
        <v>19</v>
      </c>
      <c r="E124" s="404">
        <v>0</v>
      </c>
      <c r="F124" s="404">
        <v>114000</v>
      </c>
      <c r="G124" s="404">
        <v>0</v>
      </c>
      <c r="H124" s="404">
        <v>112800</v>
      </c>
      <c r="I124" s="404">
        <v>52875</v>
      </c>
      <c r="J124" s="404">
        <v>59925</v>
      </c>
    </row>
    <row r="125" spans="3:10">
      <c r="C125" t="s">
        <v>231</v>
      </c>
      <c r="D125" s="404">
        <v>47</v>
      </c>
      <c r="E125" s="404">
        <v>0</v>
      </c>
      <c r="F125" s="404">
        <v>112800</v>
      </c>
      <c r="G125" s="404">
        <v>0</v>
      </c>
      <c r="H125" s="404">
        <v>112700</v>
      </c>
      <c r="I125" s="404">
        <v>12455</v>
      </c>
      <c r="J125" s="404">
        <v>100245</v>
      </c>
    </row>
    <row r="126" spans="3:10">
      <c r="C126" t="s">
        <v>260</v>
      </c>
      <c r="D126" s="404">
        <v>161</v>
      </c>
      <c r="E126" s="404">
        <v>0</v>
      </c>
      <c r="F126" s="404">
        <v>112700</v>
      </c>
      <c r="G126" s="404">
        <v>0</v>
      </c>
      <c r="H126" s="404">
        <v>111000</v>
      </c>
      <c r="I126" s="404">
        <v>24821</v>
      </c>
      <c r="J126" s="404">
        <v>86179</v>
      </c>
    </row>
    <row r="127" spans="3:10">
      <c r="C127">
        <v>5404</v>
      </c>
      <c r="D127" s="404">
        <v>67</v>
      </c>
      <c r="E127" s="404">
        <v>0</v>
      </c>
      <c r="F127" s="404">
        <v>111000</v>
      </c>
      <c r="G127" s="404">
        <v>0</v>
      </c>
      <c r="H127" s="404">
        <v>109000</v>
      </c>
      <c r="I127" s="404">
        <v>15343</v>
      </c>
      <c r="J127" s="404">
        <v>93657</v>
      </c>
    </row>
    <row r="128" spans="3:10">
      <c r="C128">
        <v>5010</v>
      </c>
      <c r="D128" s="404">
        <v>65</v>
      </c>
      <c r="E128" s="404">
        <v>0</v>
      </c>
      <c r="F128" s="404">
        <v>109000</v>
      </c>
      <c r="G128" s="404">
        <v>0</v>
      </c>
      <c r="H128" s="404">
        <v>108500</v>
      </c>
      <c r="I128" s="404">
        <v>53630</v>
      </c>
      <c r="J128" s="404">
        <v>54870</v>
      </c>
    </row>
    <row r="129" spans="3:10">
      <c r="C129">
        <v>8000</v>
      </c>
      <c r="D129" s="404">
        <v>136</v>
      </c>
      <c r="E129" s="404">
        <v>0</v>
      </c>
      <c r="F129" s="404">
        <v>108500</v>
      </c>
      <c r="G129" s="404">
        <v>0</v>
      </c>
      <c r="H129" s="404">
        <v>108000</v>
      </c>
      <c r="I129" s="404">
        <v>64080</v>
      </c>
      <c r="J129" s="404">
        <v>43920</v>
      </c>
    </row>
    <row r="130" spans="3:10">
      <c r="C130" t="s">
        <v>394</v>
      </c>
      <c r="D130" s="404">
        <v>10</v>
      </c>
      <c r="E130" s="404">
        <v>0</v>
      </c>
      <c r="F130" s="404">
        <v>108000</v>
      </c>
      <c r="G130" s="404">
        <v>0</v>
      </c>
      <c r="H130" s="404">
        <v>106600</v>
      </c>
      <c r="I130" s="404">
        <v>36900</v>
      </c>
      <c r="J130" s="404">
        <v>69700</v>
      </c>
    </row>
    <row r="131" spans="3:10">
      <c r="C131" t="s">
        <v>240</v>
      </c>
      <c r="D131" s="404">
        <v>82</v>
      </c>
      <c r="E131" s="404">
        <v>0</v>
      </c>
      <c r="F131" s="404">
        <v>106600</v>
      </c>
      <c r="G131" s="404">
        <v>-2900</v>
      </c>
      <c r="H131" s="404">
        <v>101000</v>
      </c>
      <c r="I131" s="404">
        <v>48000</v>
      </c>
      <c r="J131" s="404">
        <v>53000</v>
      </c>
    </row>
    <row r="132" spans="3:10">
      <c r="C132" t="s">
        <v>395</v>
      </c>
      <c r="D132" s="404">
        <v>41</v>
      </c>
      <c r="E132" s="404">
        <v>-1</v>
      </c>
      <c r="F132" s="404">
        <v>103900</v>
      </c>
      <c r="G132" s="404">
        <v>0</v>
      </c>
      <c r="H132" s="404">
        <v>102300</v>
      </c>
      <c r="I132" s="404">
        <v>27780</v>
      </c>
      <c r="J132" s="404">
        <v>74520</v>
      </c>
    </row>
    <row r="133" spans="3:10">
      <c r="C133" t="s">
        <v>241</v>
      </c>
      <c r="D133" s="404">
        <v>93</v>
      </c>
      <c r="E133" s="404">
        <v>0</v>
      </c>
      <c r="F133" s="404">
        <v>102300</v>
      </c>
      <c r="G133" s="404">
        <v>0</v>
      </c>
      <c r="H133" s="404">
        <v>99000</v>
      </c>
      <c r="I133" s="404">
        <v>18180</v>
      </c>
      <c r="J133" s="404">
        <v>80820</v>
      </c>
    </row>
    <row r="134" spans="3:10">
      <c r="C134" t="s">
        <v>157</v>
      </c>
      <c r="D134" s="404">
        <v>30</v>
      </c>
      <c r="E134" s="404">
        <v>0</v>
      </c>
      <c r="F134" s="404">
        <v>99000</v>
      </c>
      <c r="G134" s="404">
        <v>0</v>
      </c>
      <c r="H134" s="404">
        <v>98820</v>
      </c>
      <c r="I134" s="404">
        <v>41769</v>
      </c>
      <c r="J134" s="404">
        <v>57051</v>
      </c>
    </row>
    <row r="135" spans="3:10">
      <c r="C135" t="s">
        <v>153</v>
      </c>
      <c r="D135" s="404">
        <v>21</v>
      </c>
      <c r="E135" s="404">
        <v>0</v>
      </c>
      <c r="F135" s="404">
        <v>98820</v>
      </c>
      <c r="G135" s="404">
        <v>0</v>
      </c>
      <c r="H135" s="404">
        <v>98000</v>
      </c>
      <c r="I135" s="404">
        <v>21311</v>
      </c>
      <c r="J135" s="404">
        <v>76689</v>
      </c>
    </row>
    <row r="136" spans="3:10">
      <c r="C136" t="s">
        <v>396</v>
      </c>
      <c r="D136" s="404">
        <v>28</v>
      </c>
      <c r="E136" s="404">
        <v>0</v>
      </c>
      <c r="F136" s="404">
        <v>98000</v>
      </c>
      <c r="G136" s="404">
        <v>0</v>
      </c>
      <c r="H136" s="404">
        <v>93000</v>
      </c>
      <c r="I136" s="404">
        <v>52920</v>
      </c>
      <c r="J136" s="404">
        <v>40080</v>
      </c>
    </row>
    <row r="137" spans="3:10">
      <c r="C137" t="s">
        <v>397</v>
      </c>
      <c r="D137" s="404">
        <v>10</v>
      </c>
      <c r="E137" s="404">
        <v>0</v>
      </c>
      <c r="F137" s="404">
        <v>93000</v>
      </c>
      <c r="G137" s="404">
        <v>0</v>
      </c>
      <c r="H137" s="404">
        <v>92400</v>
      </c>
      <c r="I137" s="404">
        <v>41580</v>
      </c>
      <c r="J137" s="404">
        <v>50820</v>
      </c>
    </row>
    <row r="138" spans="3:10">
      <c r="C138" t="s">
        <v>211</v>
      </c>
      <c r="D138" s="404">
        <v>33</v>
      </c>
      <c r="E138" s="404">
        <v>0</v>
      </c>
      <c r="F138" s="404">
        <v>92400</v>
      </c>
      <c r="G138" s="404">
        <v>0</v>
      </c>
      <c r="H138" s="404">
        <v>91800</v>
      </c>
      <c r="I138" s="404">
        <v>38250</v>
      </c>
      <c r="J138" s="404">
        <v>53550</v>
      </c>
    </row>
    <row r="139" spans="3:10">
      <c r="C139" t="s">
        <v>398</v>
      </c>
      <c r="D139" s="404">
        <v>51</v>
      </c>
      <c r="E139" s="404">
        <v>0</v>
      </c>
      <c r="F139" s="404">
        <v>91800</v>
      </c>
      <c r="G139" s="404">
        <v>0</v>
      </c>
      <c r="H139" s="404">
        <v>90000</v>
      </c>
      <c r="I139" s="404">
        <v>24330</v>
      </c>
      <c r="J139" s="404">
        <v>65670</v>
      </c>
    </row>
    <row r="140" spans="3:10">
      <c r="C140" t="s">
        <v>232</v>
      </c>
      <c r="D140" s="404">
        <v>5</v>
      </c>
      <c r="E140" s="404">
        <v>0</v>
      </c>
      <c r="F140" s="404">
        <v>90000</v>
      </c>
      <c r="G140" s="404">
        <v>0</v>
      </c>
      <c r="H140" s="404">
        <v>88920</v>
      </c>
      <c r="I140" s="404">
        <v>13622</v>
      </c>
      <c r="J140" s="404">
        <v>75298</v>
      </c>
    </row>
    <row r="141" spans="3:10">
      <c r="C141" t="s">
        <v>243</v>
      </c>
      <c r="D141" s="404">
        <v>139</v>
      </c>
      <c r="E141" s="404">
        <v>0</v>
      </c>
      <c r="F141" s="404">
        <v>88920</v>
      </c>
      <c r="G141" s="404">
        <v>0</v>
      </c>
      <c r="H141" s="404">
        <v>88440</v>
      </c>
      <c r="I141" s="404">
        <v>16800</v>
      </c>
      <c r="J141" s="404">
        <v>71640</v>
      </c>
    </row>
    <row r="142" spans="3:10">
      <c r="C142" t="s">
        <v>189</v>
      </c>
      <c r="D142" s="404">
        <v>42</v>
      </c>
      <c r="E142" s="404">
        <v>0</v>
      </c>
      <c r="F142" s="404">
        <v>88440</v>
      </c>
      <c r="G142" s="404">
        <v>0</v>
      </c>
      <c r="H142" s="404">
        <v>85500</v>
      </c>
      <c r="I142" s="404">
        <v>47880</v>
      </c>
      <c r="J142" s="404">
        <v>37620</v>
      </c>
    </row>
    <row r="143" spans="3:10">
      <c r="C143" t="s">
        <v>399</v>
      </c>
      <c r="D143" s="404">
        <v>19</v>
      </c>
      <c r="E143" s="404">
        <v>0</v>
      </c>
      <c r="F143" s="404">
        <v>85500</v>
      </c>
      <c r="G143" s="404">
        <v>0</v>
      </c>
      <c r="H143" s="404">
        <v>85000</v>
      </c>
      <c r="I143" s="404">
        <v>48900</v>
      </c>
      <c r="J143" s="404">
        <v>36100</v>
      </c>
    </row>
    <row r="144" spans="3:10">
      <c r="C144" t="s">
        <v>400</v>
      </c>
      <c r="D144" s="404">
        <v>10</v>
      </c>
      <c r="E144" s="404">
        <v>0</v>
      </c>
      <c r="F144" s="404">
        <v>85000</v>
      </c>
      <c r="G144" s="404">
        <v>-20500</v>
      </c>
      <c r="H144" s="404">
        <v>61500</v>
      </c>
      <c r="I144" s="404">
        <v>14598</v>
      </c>
      <c r="J144" s="404">
        <v>46902</v>
      </c>
    </row>
    <row r="145" spans="3:10">
      <c r="C145" t="s">
        <v>226</v>
      </c>
      <c r="D145" s="404">
        <v>4</v>
      </c>
      <c r="E145" s="404">
        <v>-1</v>
      </c>
      <c r="F145" s="404">
        <v>82000</v>
      </c>
      <c r="G145" s="404">
        <v>0</v>
      </c>
      <c r="H145" s="404">
        <v>81900</v>
      </c>
      <c r="I145" s="404">
        <v>29700</v>
      </c>
      <c r="J145" s="404">
        <v>52200</v>
      </c>
    </row>
    <row r="146" spans="3:10">
      <c r="C146" t="s">
        <v>224</v>
      </c>
      <c r="D146" s="404">
        <v>54</v>
      </c>
      <c r="E146" s="404">
        <v>0</v>
      </c>
      <c r="F146" s="404">
        <v>81900</v>
      </c>
      <c r="G146" s="404">
        <v>0</v>
      </c>
      <c r="H146" s="404">
        <v>81000</v>
      </c>
      <c r="I146" s="404">
        <v>19638</v>
      </c>
      <c r="J146" s="404">
        <v>61362</v>
      </c>
    </row>
    <row r="147" spans="3:10">
      <c r="C147" t="s">
        <v>401</v>
      </c>
      <c r="D147" s="404">
        <v>3</v>
      </c>
      <c r="E147" s="404">
        <v>0</v>
      </c>
      <c r="F147" s="404">
        <v>81000</v>
      </c>
      <c r="G147" s="404">
        <v>0</v>
      </c>
      <c r="H147" s="404">
        <v>81000</v>
      </c>
      <c r="I147" s="404">
        <v>20520</v>
      </c>
      <c r="J147" s="404">
        <v>60480</v>
      </c>
    </row>
    <row r="148" spans="3:10">
      <c r="C148" t="s">
        <v>238</v>
      </c>
      <c r="D148" s="404">
        <v>54</v>
      </c>
      <c r="E148" s="404">
        <v>0</v>
      </c>
      <c r="F148" s="404">
        <v>81000</v>
      </c>
      <c r="G148" s="404">
        <v>0</v>
      </c>
      <c r="H148" s="404">
        <v>80100</v>
      </c>
      <c r="I148" s="404">
        <v>44100</v>
      </c>
      <c r="J148" s="404">
        <v>36000</v>
      </c>
    </row>
    <row r="149" spans="3:10">
      <c r="C149" t="s">
        <v>402</v>
      </c>
      <c r="D149" s="404">
        <v>24</v>
      </c>
      <c r="E149" s="404">
        <v>0</v>
      </c>
      <c r="F149" s="404">
        <v>80100</v>
      </c>
      <c r="G149" s="404">
        <v>0</v>
      </c>
      <c r="H149" s="404">
        <v>78400</v>
      </c>
      <c r="I149" s="404">
        <v>42240</v>
      </c>
      <c r="J149" s="404">
        <v>36160</v>
      </c>
    </row>
    <row r="150" spans="3:10">
      <c r="C150" t="s">
        <v>403</v>
      </c>
      <c r="D150" s="404">
        <v>16</v>
      </c>
      <c r="E150" s="404">
        <v>0</v>
      </c>
      <c r="F150" s="404">
        <v>78400</v>
      </c>
      <c r="G150" s="404">
        <v>-8000</v>
      </c>
      <c r="H150" s="404">
        <v>70400</v>
      </c>
      <c r="I150" s="404">
        <v>6430</v>
      </c>
      <c r="J150" s="404">
        <v>63970</v>
      </c>
    </row>
    <row r="151" spans="3:10">
      <c r="C151" t="s">
        <v>186</v>
      </c>
      <c r="D151" s="404">
        <v>30</v>
      </c>
      <c r="E151" s="404">
        <v>-3</v>
      </c>
      <c r="F151" s="404">
        <v>78400</v>
      </c>
      <c r="G151" s="404">
        <v>0</v>
      </c>
      <c r="H151" s="404">
        <v>78000</v>
      </c>
      <c r="I151" s="404">
        <v>15743</v>
      </c>
      <c r="J151" s="404">
        <v>62257</v>
      </c>
    </row>
    <row r="152" spans="3:10">
      <c r="C152">
        <v>5045</v>
      </c>
      <c r="D152" s="404">
        <v>49</v>
      </c>
      <c r="E152" s="404">
        <v>0</v>
      </c>
      <c r="F152" s="404">
        <v>78000</v>
      </c>
      <c r="G152" s="404">
        <v>0</v>
      </c>
      <c r="H152" s="404">
        <v>72000</v>
      </c>
      <c r="I152" s="404">
        <v>36000</v>
      </c>
      <c r="J152" s="404">
        <v>36000</v>
      </c>
    </row>
    <row r="153" spans="3:10">
      <c r="C153" t="s">
        <v>404</v>
      </c>
      <c r="D153" s="404">
        <v>30</v>
      </c>
      <c r="E153" s="404">
        <v>0</v>
      </c>
      <c r="F153" s="404">
        <v>72000</v>
      </c>
      <c r="G153" s="404">
        <v>0</v>
      </c>
      <c r="H153" s="404">
        <v>70400</v>
      </c>
      <c r="I153" s="404">
        <v>62764</v>
      </c>
      <c r="J153" s="404">
        <v>7636</v>
      </c>
    </row>
    <row r="154" spans="3:10">
      <c r="C154" t="s">
        <v>185</v>
      </c>
      <c r="D154" s="404">
        <v>34</v>
      </c>
      <c r="E154" s="404">
        <v>0</v>
      </c>
      <c r="F154" s="404">
        <v>70400</v>
      </c>
      <c r="G154" s="404">
        <v>0</v>
      </c>
      <c r="H154" s="404">
        <v>70000</v>
      </c>
      <c r="I154" s="404">
        <v>12481</v>
      </c>
      <c r="J154" s="404">
        <v>57519</v>
      </c>
    </row>
    <row r="155" spans="3:10">
      <c r="C155" t="s">
        <v>405</v>
      </c>
      <c r="D155" s="404">
        <v>28</v>
      </c>
      <c r="E155" s="404">
        <v>0</v>
      </c>
      <c r="F155" s="404">
        <v>70000</v>
      </c>
      <c r="G155" s="404">
        <v>0</v>
      </c>
      <c r="H155" s="404">
        <v>68400</v>
      </c>
      <c r="I155" s="404">
        <v>37440</v>
      </c>
      <c r="J155" s="404">
        <v>30960</v>
      </c>
    </row>
    <row r="156" spans="3:10">
      <c r="C156" t="s">
        <v>406</v>
      </c>
      <c r="D156" s="404">
        <v>12</v>
      </c>
      <c r="E156" s="404">
        <v>0</v>
      </c>
      <c r="F156" s="404">
        <v>68400</v>
      </c>
      <c r="G156" s="404">
        <v>0</v>
      </c>
      <c r="H156" s="404">
        <v>66000</v>
      </c>
      <c r="I156" s="404">
        <v>38060</v>
      </c>
      <c r="J156" s="404">
        <v>27940</v>
      </c>
    </row>
    <row r="157" spans="3:10">
      <c r="C157" t="s">
        <v>221</v>
      </c>
      <c r="D157" s="404">
        <v>11</v>
      </c>
      <c r="E157" s="404">
        <v>0</v>
      </c>
      <c r="F157" s="404">
        <v>66000</v>
      </c>
      <c r="G157" s="404">
        <v>0</v>
      </c>
      <c r="H157" s="404">
        <v>65000</v>
      </c>
      <c r="I157" s="404">
        <v>31050</v>
      </c>
      <c r="J157" s="404">
        <v>33950</v>
      </c>
    </row>
    <row r="158" spans="3:10">
      <c r="C158" t="s">
        <v>407</v>
      </c>
      <c r="D158" s="404">
        <v>5</v>
      </c>
      <c r="E158" s="404">
        <v>0</v>
      </c>
      <c r="F158" s="404">
        <v>65000</v>
      </c>
      <c r="G158" s="404">
        <v>0</v>
      </c>
      <c r="H158" s="404">
        <v>63650</v>
      </c>
      <c r="I158" s="404">
        <v>31242</v>
      </c>
      <c r="J158" s="404">
        <v>32408</v>
      </c>
    </row>
    <row r="159" spans="3:10">
      <c r="C159">
        <v>8020</v>
      </c>
      <c r="D159" s="404">
        <v>80</v>
      </c>
      <c r="E159" s="404">
        <v>0</v>
      </c>
      <c r="F159" s="404">
        <v>63650</v>
      </c>
      <c r="G159" s="404">
        <v>0</v>
      </c>
      <c r="H159" s="404">
        <v>63000</v>
      </c>
      <c r="I159" s="404">
        <v>10850</v>
      </c>
      <c r="J159" s="404">
        <v>52150</v>
      </c>
    </row>
    <row r="160" spans="3:10">
      <c r="C160" t="s">
        <v>218</v>
      </c>
      <c r="D160" s="404">
        <v>7</v>
      </c>
      <c r="E160" s="404">
        <v>0</v>
      </c>
      <c r="F160" s="404">
        <v>63000</v>
      </c>
      <c r="G160" s="404">
        <v>0</v>
      </c>
      <c r="H160" s="404">
        <v>61600</v>
      </c>
      <c r="I160" s="404">
        <v>18200</v>
      </c>
      <c r="J160" s="404">
        <v>43400</v>
      </c>
    </row>
    <row r="161" spans="3:10">
      <c r="C161" t="s">
        <v>269</v>
      </c>
      <c r="D161" s="404">
        <v>28</v>
      </c>
      <c r="E161" s="404">
        <v>0</v>
      </c>
      <c r="F161" s="404">
        <v>61600</v>
      </c>
      <c r="G161" s="404">
        <v>0</v>
      </c>
      <c r="H161" s="404">
        <v>61200</v>
      </c>
      <c r="I161" s="404">
        <v>13600</v>
      </c>
      <c r="J161" s="404">
        <v>47600</v>
      </c>
    </row>
    <row r="162" spans="3:10">
      <c r="C162" t="s">
        <v>274</v>
      </c>
      <c r="D162" s="404">
        <v>68</v>
      </c>
      <c r="E162" s="404">
        <v>0</v>
      </c>
      <c r="F162" s="404">
        <v>61200</v>
      </c>
      <c r="G162" s="404">
        <v>0</v>
      </c>
      <c r="H162" s="404">
        <v>61000</v>
      </c>
      <c r="I162" s="404">
        <v>9635</v>
      </c>
      <c r="J162" s="404">
        <v>51365</v>
      </c>
    </row>
    <row r="163" spans="3:10">
      <c r="C163">
        <v>5043</v>
      </c>
      <c r="D163" s="404">
        <v>40</v>
      </c>
      <c r="E163" s="404">
        <v>0</v>
      </c>
      <c r="F163" s="404">
        <v>61000</v>
      </c>
      <c r="G163" s="404">
        <v>0</v>
      </c>
      <c r="H163" s="404">
        <v>60000</v>
      </c>
      <c r="I163" s="404">
        <v>30000</v>
      </c>
      <c r="J163" s="404">
        <v>30000</v>
      </c>
    </row>
    <row r="164" spans="3:10">
      <c r="C164" t="s">
        <v>408</v>
      </c>
      <c r="D164" s="404">
        <v>25</v>
      </c>
      <c r="E164" s="404">
        <v>0</v>
      </c>
      <c r="F164" s="404">
        <v>60000</v>
      </c>
      <c r="G164" s="404">
        <v>0</v>
      </c>
      <c r="H164" s="404">
        <v>58500</v>
      </c>
      <c r="I164" s="404">
        <v>23850</v>
      </c>
      <c r="J164" s="404">
        <v>34650</v>
      </c>
    </row>
    <row r="165" spans="3:10">
      <c r="C165" t="s">
        <v>409</v>
      </c>
      <c r="D165" s="404">
        <v>9</v>
      </c>
      <c r="E165" s="404">
        <v>0</v>
      </c>
      <c r="F165" s="404">
        <v>58500</v>
      </c>
      <c r="G165" s="404">
        <v>0</v>
      </c>
      <c r="H165" s="404">
        <v>55000</v>
      </c>
      <c r="I165" s="404">
        <v>9300</v>
      </c>
      <c r="J165" s="404">
        <v>45700</v>
      </c>
    </row>
    <row r="166" spans="3:10">
      <c r="C166" t="s">
        <v>410</v>
      </c>
      <c r="D166" s="404">
        <v>5</v>
      </c>
      <c r="E166" s="404">
        <v>0</v>
      </c>
      <c r="F166" s="404">
        <v>55000</v>
      </c>
      <c r="G166" s="404">
        <v>0</v>
      </c>
      <c r="H166" s="404">
        <v>54400</v>
      </c>
      <c r="I166" s="404">
        <v>19890</v>
      </c>
      <c r="J166" s="404">
        <v>34510</v>
      </c>
    </row>
    <row r="167" spans="3:10">
      <c r="C167" t="s">
        <v>237</v>
      </c>
      <c r="D167" s="404">
        <v>34</v>
      </c>
      <c r="E167" s="404">
        <v>0</v>
      </c>
      <c r="F167" s="404">
        <v>54400</v>
      </c>
      <c r="G167" s="404">
        <v>0</v>
      </c>
      <c r="H167" s="404">
        <v>54000</v>
      </c>
      <c r="I167" s="404">
        <v>13092</v>
      </c>
      <c r="J167" s="404">
        <v>40908</v>
      </c>
    </row>
    <row r="168" spans="3:10">
      <c r="C168" t="s">
        <v>411</v>
      </c>
      <c r="D168" s="404">
        <v>2</v>
      </c>
      <c r="E168" s="404">
        <v>0</v>
      </c>
      <c r="F168" s="404">
        <v>54000</v>
      </c>
      <c r="G168" s="404">
        <v>-27000</v>
      </c>
      <c r="H168" s="404">
        <v>27000</v>
      </c>
      <c r="I168" s="404">
        <v>16200</v>
      </c>
      <c r="J168" s="404">
        <v>10800</v>
      </c>
    </row>
    <row r="169" spans="3:10">
      <c r="C169" t="s">
        <v>216</v>
      </c>
      <c r="D169" s="404">
        <v>2</v>
      </c>
      <c r="E169" s="404">
        <v>-1</v>
      </c>
      <c r="F169" s="404">
        <v>54000</v>
      </c>
      <c r="G169" s="404">
        <v>-10000</v>
      </c>
      <c r="H169" s="404">
        <v>43500</v>
      </c>
      <c r="I169" s="404">
        <v>16688</v>
      </c>
      <c r="J169" s="404">
        <v>26812</v>
      </c>
    </row>
    <row r="170" spans="3:10">
      <c r="C170" t="s">
        <v>214</v>
      </c>
      <c r="D170" s="404">
        <v>46</v>
      </c>
      <c r="E170" s="404">
        <v>-5</v>
      </c>
      <c r="F170" s="404">
        <v>53500</v>
      </c>
      <c r="G170" s="404">
        <v>0</v>
      </c>
      <c r="H170" s="404">
        <v>50400</v>
      </c>
      <c r="I170" s="404">
        <v>17928</v>
      </c>
      <c r="J170" s="404">
        <v>32472</v>
      </c>
    </row>
    <row r="171" spans="3:10">
      <c r="C171" t="s">
        <v>199</v>
      </c>
      <c r="D171" s="404">
        <v>8</v>
      </c>
      <c r="E171" s="404">
        <v>0</v>
      </c>
      <c r="F171" s="404">
        <v>50400</v>
      </c>
      <c r="G171" s="404">
        <v>0</v>
      </c>
      <c r="H171" s="404">
        <v>50050</v>
      </c>
      <c r="I171" s="404">
        <v>19200</v>
      </c>
      <c r="J171" s="404">
        <v>30850</v>
      </c>
    </row>
    <row r="172" spans="3:10">
      <c r="C172" t="s">
        <v>247</v>
      </c>
      <c r="D172" s="404">
        <v>55</v>
      </c>
      <c r="E172" s="404">
        <v>0</v>
      </c>
      <c r="F172" s="404">
        <v>50050</v>
      </c>
      <c r="G172" s="404">
        <v>0</v>
      </c>
      <c r="H172" s="404">
        <v>48000</v>
      </c>
      <c r="I172" s="404">
        <v>28800</v>
      </c>
      <c r="J172" s="404">
        <v>19200</v>
      </c>
    </row>
    <row r="173" spans="3:10">
      <c r="C173" t="s">
        <v>200</v>
      </c>
      <c r="D173" s="404">
        <v>6</v>
      </c>
      <c r="E173" s="404">
        <v>0</v>
      </c>
      <c r="F173" s="404">
        <v>48000</v>
      </c>
      <c r="G173" s="404">
        <v>0</v>
      </c>
      <c r="H173" s="404">
        <v>48000</v>
      </c>
      <c r="I173" s="404">
        <v>12305</v>
      </c>
      <c r="J173" s="404">
        <v>35695</v>
      </c>
    </row>
    <row r="174" spans="3:10">
      <c r="C174" t="s">
        <v>412</v>
      </c>
      <c r="D174" s="404">
        <v>15</v>
      </c>
      <c r="E174" s="404">
        <v>0</v>
      </c>
      <c r="F174" s="404">
        <v>48000</v>
      </c>
      <c r="G174" s="404">
        <v>0</v>
      </c>
      <c r="H174" s="404">
        <v>48000</v>
      </c>
      <c r="I174" s="404">
        <v>10800</v>
      </c>
      <c r="J174" s="404">
        <v>37200</v>
      </c>
    </row>
    <row r="175" spans="3:10">
      <c r="C175" t="s">
        <v>413</v>
      </c>
      <c r="D175" s="404">
        <v>80</v>
      </c>
      <c r="E175" s="404">
        <v>0</v>
      </c>
      <c r="F175" s="404">
        <v>48000</v>
      </c>
      <c r="G175" s="404">
        <v>0</v>
      </c>
      <c r="H175" s="404">
        <v>46800</v>
      </c>
      <c r="I175" s="404">
        <v>8830</v>
      </c>
      <c r="J175" s="404">
        <v>37970</v>
      </c>
    </row>
    <row r="176" spans="3:10">
      <c r="C176" t="s">
        <v>414</v>
      </c>
      <c r="D176" s="404">
        <v>39</v>
      </c>
      <c r="E176" s="404">
        <v>0</v>
      </c>
      <c r="F176" s="404">
        <v>46800</v>
      </c>
      <c r="G176" s="404">
        <v>-3000</v>
      </c>
      <c r="H176" s="404">
        <v>42000</v>
      </c>
      <c r="I176" s="404">
        <v>11162</v>
      </c>
      <c r="J176" s="404">
        <v>30838</v>
      </c>
    </row>
    <row r="177" spans="3:10">
      <c r="C177">
        <v>3134</v>
      </c>
      <c r="D177" s="404">
        <v>27</v>
      </c>
      <c r="E177" s="404">
        <v>-2</v>
      </c>
      <c r="F177" s="404">
        <v>45000</v>
      </c>
      <c r="G177" s="404">
        <v>0</v>
      </c>
      <c r="H177" s="404">
        <v>42800</v>
      </c>
      <c r="I177" s="404">
        <v>10338</v>
      </c>
      <c r="J177" s="404">
        <v>32462</v>
      </c>
    </row>
    <row r="178" spans="3:10">
      <c r="C178">
        <v>5314</v>
      </c>
      <c r="D178" s="404">
        <v>35</v>
      </c>
      <c r="E178" s="404">
        <v>0</v>
      </c>
      <c r="F178" s="404">
        <v>42800</v>
      </c>
      <c r="G178" s="404">
        <v>0</v>
      </c>
      <c r="H178" s="404">
        <v>42100</v>
      </c>
      <c r="I178" s="404">
        <v>38900</v>
      </c>
      <c r="J178" s="404">
        <v>3200</v>
      </c>
    </row>
    <row r="179" spans="3:10">
      <c r="C179" t="s">
        <v>251</v>
      </c>
      <c r="D179" s="404">
        <v>390</v>
      </c>
      <c r="E179" s="404">
        <v>0</v>
      </c>
      <c r="F179" s="404">
        <v>42100</v>
      </c>
      <c r="G179" s="404">
        <v>0</v>
      </c>
      <c r="H179" s="404">
        <v>40000</v>
      </c>
      <c r="I179" s="404">
        <v>11466</v>
      </c>
      <c r="J179" s="404">
        <v>28534</v>
      </c>
    </row>
    <row r="180" spans="3:10">
      <c r="C180" t="s">
        <v>239</v>
      </c>
      <c r="D180" s="404">
        <v>18</v>
      </c>
      <c r="E180" s="404">
        <v>0</v>
      </c>
      <c r="F180" s="404">
        <v>40000</v>
      </c>
      <c r="G180" s="404">
        <v>-2000</v>
      </c>
      <c r="H180" s="404">
        <v>38000</v>
      </c>
      <c r="I180" s="404">
        <v>8839</v>
      </c>
      <c r="J180" s="404">
        <v>29161</v>
      </c>
    </row>
    <row r="181" spans="3:10">
      <c r="C181">
        <v>5005</v>
      </c>
      <c r="D181" s="404">
        <v>23</v>
      </c>
      <c r="E181" s="404">
        <v>-1</v>
      </c>
      <c r="F181" s="404">
        <v>40000</v>
      </c>
      <c r="G181" s="404">
        <v>0</v>
      </c>
      <c r="H181" s="404">
        <v>39820</v>
      </c>
      <c r="I181" s="404">
        <v>23881</v>
      </c>
      <c r="J181" s="404">
        <v>15939</v>
      </c>
    </row>
    <row r="182" spans="3:10">
      <c r="C182" t="s">
        <v>265</v>
      </c>
      <c r="D182" s="404">
        <v>11</v>
      </c>
      <c r="E182" s="404">
        <v>0</v>
      </c>
      <c r="F182" s="404">
        <v>39820</v>
      </c>
      <c r="G182" s="404">
        <v>0</v>
      </c>
      <c r="H182" s="404">
        <v>39600</v>
      </c>
      <c r="I182" s="404">
        <v>11700</v>
      </c>
      <c r="J182" s="404">
        <v>27900</v>
      </c>
    </row>
    <row r="183" spans="3:10">
      <c r="C183" t="s">
        <v>415</v>
      </c>
      <c r="D183" s="404">
        <v>18</v>
      </c>
      <c r="E183" s="404">
        <v>0</v>
      </c>
      <c r="F183" s="404">
        <v>39600</v>
      </c>
      <c r="G183" s="404">
        <v>0</v>
      </c>
      <c r="H183" s="404">
        <v>37200</v>
      </c>
      <c r="I183" s="404">
        <v>6818</v>
      </c>
      <c r="J183" s="404">
        <v>30382</v>
      </c>
    </row>
    <row r="184" spans="3:10">
      <c r="C184" t="s">
        <v>266</v>
      </c>
      <c r="D184" s="404">
        <v>62</v>
      </c>
      <c r="E184" s="404">
        <v>0</v>
      </c>
      <c r="F184" s="404">
        <v>37200</v>
      </c>
      <c r="G184" s="404">
        <v>0</v>
      </c>
      <c r="H184" s="404">
        <v>36150</v>
      </c>
      <c r="I184" s="404">
        <v>25605</v>
      </c>
      <c r="J184" s="404">
        <v>10545</v>
      </c>
    </row>
    <row r="185" spans="3:10">
      <c r="C185" t="s">
        <v>250</v>
      </c>
      <c r="D185" s="404">
        <v>24</v>
      </c>
      <c r="E185" s="404">
        <v>0</v>
      </c>
      <c r="F185" s="404">
        <v>36150</v>
      </c>
      <c r="G185" s="404">
        <v>0</v>
      </c>
      <c r="H185" s="404">
        <v>36000</v>
      </c>
      <c r="I185" s="404">
        <v>17000</v>
      </c>
      <c r="J185" s="404">
        <v>19000</v>
      </c>
    </row>
    <row r="186" spans="3:10">
      <c r="C186" t="s">
        <v>248</v>
      </c>
      <c r="D186" s="404">
        <v>20</v>
      </c>
      <c r="E186" s="404">
        <v>0</v>
      </c>
      <c r="F186" s="404">
        <v>36000</v>
      </c>
      <c r="G186" s="404">
        <v>-2100</v>
      </c>
      <c r="H186" s="404">
        <v>32760</v>
      </c>
      <c r="I186" s="404">
        <v>9239</v>
      </c>
      <c r="J186" s="404">
        <v>23521</v>
      </c>
    </row>
    <row r="187" spans="3:10">
      <c r="C187" t="s">
        <v>262</v>
      </c>
      <c r="D187" s="404">
        <v>33</v>
      </c>
      <c r="E187" s="404">
        <v>-1</v>
      </c>
      <c r="F187" s="404">
        <v>34860</v>
      </c>
      <c r="G187" s="404">
        <v>0</v>
      </c>
      <c r="H187" s="404">
        <v>34300</v>
      </c>
      <c r="I187" s="404">
        <v>11195</v>
      </c>
      <c r="J187" s="404">
        <v>23105</v>
      </c>
    </row>
    <row r="188" spans="3:10">
      <c r="C188" t="s">
        <v>416</v>
      </c>
      <c r="D188" s="404">
        <v>10</v>
      </c>
      <c r="E188" s="404">
        <v>0</v>
      </c>
      <c r="F188" s="404">
        <v>34300</v>
      </c>
      <c r="G188" s="404">
        <v>-8500</v>
      </c>
      <c r="H188" s="404">
        <v>25500</v>
      </c>
      <c r="I188" s="404">
        <v>9444</v>
      </c>
      <c r="J188" s="404">
        <v>16056</v>
      </c>
    </row>
    <row r="189" spans="3:10">
      <c r="C189" t="s">
        <v>162</v>
      </c>
      <c r="D189" s="404">
        <v>4</v>
      </c>
      <c r="E189" s="404">
        <v>-1</v>
      </c>
      <c r="F189" s="404">
        <v>34000</v>
      </c>
      <c r="G189" s="404">
        <v>0</v>
      </c>
      <c r="H189" s="404">
        <v>33000</v>
      </c>
      <c r="I189" s="404">
        <v>9067</v>
      </c>
      <c r="J189" s="404">
        <v>23933</v>
      </c>
    </row>
    <row r="190" spans="3:10">
      <c r="C190">
        <v>1000</v>
      </c>
      <c r="D190" s="404">
        <v>11</v>
      </c>
      <c r="E190" s="404">
        <v>0</v>
      </c>
      <c r="F190" s="404">
        <v>33000</v>
      </c>
      <c r="G190" s="404">
        <v>-600</v>
      </c>
      <c r="H190" s="404">
        <v>31800</v>
      </c>
      <c r="I190" s="404">
        <v>6148</v>
      </c>
      <c r="J190" s="404">
        <v>25652</v>
      </c>
    </row>
    <row r="191" spans="3:10">
      <c r="C191" t="s">
        <v>268</v>
      </c>
      <c r="D191" s="404">
        <v>54</v>
      </c>
      <c r="E191" s="404">
        <v>-1</v>
      </c>
      <c r="F191" s="404">
        <v>32400</v>
      </c>
      <c r="G191" s="404">
        <v>-400</v>
      </c>
      <c r="H191" s="404">
        <v>31200</v>
      </c>
      <c r="I191" s="404">
        <v>30722</v>
      </c>
      <c r="J191" s="404">
        <v>478</v>
      </c>
    </row>
    <row r="192" spans="3:10">
      <c r="C192">
        <v>3022</v>
      </c>
      <c r="D192" s="404">
        <v>79</v>
      </c>
      <c r="E192" s="404">
        <v>-1</v>
      </c>
      <c r="F192" s="404">
        <v>31600</v>
      </c>
      <c r="G192" s="404">
        <v>-2000</v>
      </c>
      <c r="H192" s="404">
        <v>29000</v>
      </c>
      <c r="I192" s="404">
        <v>4182</v>
      </c>
      <c r="J192" s="404">
        <v>24818</v>
      </c>
    </row>
    <row r="193" spans="3:10">
      <c r="C193">
        <v>5024</v>
      </c>
      <c r="D193" s="404">
        <v>19</v>
      </c>
      <c r="E193" s="404">
        <v>-1</v>
      </c>
      <c r="F193" s="404">
        <v>31000</v>
      </c>
      <c r="G193" s="404">
        <v>0</v>
      </c>
      <c r="H193" s="404">
        <v>30600</v>
      </c>
      <c r="I193" s="404">
        <v>16200</v>
      </c>
      <c r="J193" s="404">
        <v>14400</v>
      </c>
    </row>
    <row r="194" spans="3:10">
      <c r="C194">
        <v>991001</v>
      </c>
      <c r="D194" s="404">
        <v>18</v>
      </c>
      <c r="E194" s="404">
        <v>0</v>
      </c>
      <c r="F194" s="404">
        <v>30600</v>
      </c>
      <c r="G194" s="404">
        <v>0</v>
      </c>
      <c r="H194" s="404">
        <v>30000</v>
      </c>
      <c r="I194" s="404">
        <v>13500</v>
      </c>
      <c r="J194" s="404">
        <v>16500</v>
      </c>
    </row>
    <row r="195" spans="3:10">
      <c r="C195" t="s">
        <v>417</v>
      </c>
      <c r="D195" s="404">
        <v>12</v>
      </c>
      <c r="E195" s="404">
        <v>0</v>
      </c>
      <c r="F195" s="404">
        <v>30000</v>
      </c>
      <c r="G195" s="404">
        <v>0</v>
      </c>
      <c r="H195" s="404">
        <v>28000</v>
      </c>
      <c r="I195" s="404">
        <v>8472</v>
      </c>
      <c r="J195" s="404">
        <v>19528</v>
      </c>
    </row>
    <row r="196" spans="3:10">
      <c r="C196" t="s">
        <v>418</v>
      </c>
      <c r="D196" s="404">
        <v>8</v>
      </c>
      <c r="E196" s="404">
        <v>0</v>
      </c>
      <c r="F196" s="404">
        <v>28000</v>
      </c>
      <c r="G196" s="404">
        <v>0</v>
      </c>
      <c r="H196" s="404">
        <v>28000</v>
      </c>
      <c r="I196" s="404">
        <v>5096</v>
      </c>
      <c r="J196" s="404">
        <v>22904</v>
      </c>
    </row>
    <row r="197" spans="3:10">
      <c r="C197" t="s">
        <v>227</v>
      </c>
      <c r="D197" s="404">
        <v>8</v>
      </c>
      <c r="E197" s="404">
        <v>0</v>
      </c>
      <c r="F197" s="404">
        <v>28000</v>
      </c>
      <c r="G197" s="404">
        <v>0</v>
      </c>
      <c r="H197" s="404">
        <v>27000</v>
      </c>
      <c r="I197" s="404">
        <v>6546</v>
      </c>
      <c r="J197" s="404">
        <v>20454</v>
      </c>
    </row>
    <row r="198" spans="3:10">
      <c r="C198" t="s">
        <v>202</v>
      </c>
      <c r="D198" s="404">
        <v>1</v>
      </c>
      <c r="E198" s="404">
        <v>0</v>
      </c>
      <c r="F198" s="404">
        <v>27000</v>
      </c>
      <c r="G198" s="404">
        <v>0</v>
      </c>
      <c r="H198" s="404">
        <v>26400</v>
      </c>
      <c r="I198" s="404">
        <v>10201</v>
      </c>
      <c r="J198" s="404">
        <v>16199</v>
      </c>
    </row>
    <row r="199" spans="3:10">
      <c r="C199">
        <v>5013</v>
      </c>
      <c r="D199" s="404">
        <v>35</v>
      </c>
      <c r="E199" s="404">
        <v>0</v>
      </c>
      <c r="F199" s="404">
        <v>26400</v>
      </c>
      <c r="G199" s="404">
        <v>0</v>
      </c>
      <c r="H199" s="404">
        <v>26000</v>
      </c>
      <c r="I199" s="404">
        <v>6367</v>
      </c>
      <c r="J199" s="404">
        <v>19633</v>
      </c>
    </row>
    <row r="200" spans="3:10">
      <c r="C200" t="s">
        <v>201</v>
      </c>
      <c r="D200" s="404">
        <v>10</v>
      </c>
      <c r="E200" s="404">
        <v>0</v>
      </c>
      <c r="F200" s="404">
        <v>26000</v>
      </c>
      <c r="G200" s="404">
        <v>0</v>
      </c>
      <c r="H200" s="404">
        <v>25600</v>
      </c>
      <c r="I200" s="404">
        <v>6682</v>
      </c>
      <c r="J200" s="404">
        <v>18918</v>
      </c>
    </row>
    <row r="201" spans="3:10">
      <c r="C201" t="s">
        <v>419</v>
      </c>
      <c r="D201" s="404">
        <v>8</v>
      </c>
      <c r="E201" s="404">
        <v>0</v>
      </c>
      <c r="F201" s="404">
        <v>25600</v>
      </c>
      <c r="G201" s="404">
        <v>0</v>
      </c>
      <c r="H201" s="404">
        <v>24400</v>
      </c>
      <c r="I201" s="404">
        <v>15314</v>
      </c>
      <c r="J201" s="404">
        <v>9086</v>
      </c>
    </row>
    <row r="202" spans="3:10">
      <c r="C202">
        <v>5012</v>
      </c>
      <c r="D202" s="404">
        <v>61</v>
      </c>
      <c r="E202" s="404">
        <v>0</v>
      </c>
      <c r="F202" s="404">
        <v>24400</v>
      </c>
      <c r="G202" s="404">
        <v>-400</v>
      </c>
      <c r="H202" s="404">
        <v>22400</v>
      </c>
      <c r="I202" s="404">
        <v>11411</v>
      </c>
      <c r="J202" s="404">
        <v>10989</v>
      </c>
    </row>
    <row r="203" spans="3:10">
      <c r="C203" t="s">
        <v>228</v>
      </c>
      <c r="D203" s="404">
        <v>34</v>
      </c>
      <c r="E203" s="404">
        <v>-1</v>
      </c>
      <c r="F203" s="404">
        <v>22800</v>
      </c>
      <c r="G203" s="404">
        <v>0</v>
      </c>
      <c r="H203" s="404">
        <v>22750</v>
      </c>
      <c r="I203" s="404">
        <v>5625</v>
      </c>
      <c r="J203" s="404">
        <v>17125</v>
      </c>
    </row>
    <row r="204" spans="3:10">
      <c r="C204" t="s">
        <v>246</v>
      </c>
      <c r="D204" s="404">
        <v>25</v>
      </c>
      <c r="E204" s="404">
        <v>0</v>
      </c>
      <c r="F204" s="404">
        <v>22750</v>
      </c>
      <c r="G204" s="404">
        <v>0</v>
      </c>
      <c r="H204" s="404">
        <v>22000</v>
      </c>
      <c r="I204" s="404">
        <v>2032</v>
      </c>
      <c r="J204" s="404">
        <v>19968</v>
      </c>
    </row>
    <row r="205" spans="3:10">
      <c r="C205" t="s">
        <v>420</v>
      </c>
      <c r="D205" s="404">
        <v>4</v>
      </c>
      <c r="E205" s="404">
        <v>0</v>
      </c>
      <c r="F205" s="404">
        <v>22000</v>
      </c>
      <c r="G205" s="404">
        <v>-400</v>
      </c>
      <c r="H205" s="404">
        <v>20800</v>
      </c>
      <c r="I205" s="404">
        <v>14508</v>
      </c>
      <c r="J205" s="404">
        <v>6292</v>
      </c>
    </row>
    <row r="206" spans="3:10">
      <c r="C206">
        <v>5114</v>
      </c>
      <c r="D206" s="404">
        <v>53</v>
      </c>
      <c r="E206" s="404">
        <v>-1</v>
      </c>
      <c r="F206" s="404">
        <v>21200</v>
      </c>
      <c r="G206" s="404">
        <v>0</v>
      </c>
      <c r="H206" s="404">
        <v>20800</v>
      </c>
      <c r="I206" s="404">
        <v>6240</v>
      </c>
      <c r="J206" s="404">
        <v>14560</v>
      </c>
    </row>
    <row r="207" spans="3:10">
      <c r="C207" t="s">
        <v>252</v>
      </c>
      <c r="D207" s="404">
        <v>26</v>
      </c>
      <c r="E207" s="404">
        <v>0</v>
      </c>
      <c r="F207" s="404">
        <v>20800</v>
      </c>
      <c r="G207" s="404">
        <v>0</v>
      </c>
      <c r="H207" s="404">
        <v>20500</v>
      </c>
      <c r="I207" s="404">
        <v>4866</v>
      </c>
      <c r="J207" s="404">
        <v>15634</v>
      </c>
    </row>
    <row r="208" spans="3:10">
      <c r="C208" t="s">
        <v>421</v>
      </c>
      <c r="D208" s="404">
        <v>1</v>
      </c>
      <c r="E208" s="404">
        <v>0</v>
      </c>
      <c r="F208" s="404">
        <v>20500</v>
      </c>
      <c r="G208" s="404">
        <v>0</v>
      </c>
      <c r="H208" s="404">
        <v>19800</v>
      </c>
      <c r="I208" s="404">
        <v>2169</v>
      </c>
      <c r="J208" s="404">
        <v>17631</v>
      </c>
    </row>
    <row r="209" spans="3:10">
      <c r="C209" t="s">
        <v>235</v>
      </c>
      <c r="D209" s="404">
        <v>9</v>
      </c>
      <c r="E209" s="404">
        <v>0</v>
      </c>
      <c r="F209" s="404">
        <v>19800</v>
      </c>
      <c r="G209" s="404">
        <v>0</v>
      </c>
      <c r="H209" s="404">
        <v>19100</v>
      </c>
      <c r="I209" s="404">
        <v>9660</v>
      </c>
      <c r="J209" s="404">
        <v>9440</v>
      </c>
    </row>
    <row r="210" spans="3:10">
      <c r="C210" t="s">
        <v>422</v>
      </c>
      <c r="D210" s="404">
        <v>8</v>
      </c>
      <c r="E210" s="404">
        <v>0</v>
      </c>
      <c r="F210" s="404">
        <v>19100</v>
      </c>
      <c r="G210" s="404">
        <v>0</v>
      </c>
      <c r="H210" s="404">
        <v>18900</v>
      </c>
      <c r="I210" s="404">
        <v>6210</v>
      </c>
      <c r="J210" s="404">
        <v>12690</v>
      </c>
    </row>
    <row r="211" spans="3:10">
      <c r="C211" t="s">
        <v>423</v>
      </c>
      <c r="D211" s="404">
        <v>6</v>
      </c>
      <c r="E211" s="404">
        <v>0</v>
      </c>
      <c r="F211" s="404">
        <v>18900</v>
      </c>
      <c r="G211" s="404">
        <v>0</v>
      </c>
      <c r="H211" s="404">
        <v>18000</v>
      </c>
      <c r="I211" s="404">
        <v>3100</v>
      </c>
      <c r="J211" s="404">
        <v>14900</v>
      </c>
    </row>
    <row r="212" spans="3:10">
      <c r="C212" t="s">
        <v>424</v>
      </c>
      <c r="D212" s="404">
        <v>2</v>
      </c>
      <c r="E212" s="404">
        <v>0</v>
      </c>
      <c r="F212" s="404">
        <v>18000</v>
      </c>
      <c r="G212" s="404">
        <v>0</v>
      </c>
      <c r="H212" s="404">
        <v>18000</v>
      </c>
      <c r="I212" s="404">
        <v>4866</v>
      </c>
      <c r="J212" s="404">
        <v>13134</v>
      </c>
    </row>
    <row r="213" spans="3:10">
      <c r="C213" t="s">
        <v>233</v>
      </c>
      <c r="D213" s="404">
        <v>1</v>
      </c>
      <c r="E213" s="404">
        <v>0</v>
      </c>
      <c r="F213" s="404">
        <v>18000</v>
      </c>
      <c r="G213" s="404">
        <v>0</v>
      </c>
      <c r="H213" s="404">
        <v>18000</v>
      </c>
      <c r="I213" s="404">
        <v>9000</v>
      </c>
      <c r="J213" s="404">
        <v>9000</v>
      </c>
    </row>
    <row r="214" spans="3:10">
      <c r="C214" t="s">
        <v>254</v>
      </c>
      <c r="D214" s="404">
        <v>2</v>
      </c>
      <c r="E214" s="404">
        <v>0</v>
      </c>
      <c r="F214" s="404">
        <v>18000</v>
      </c>
      <c r="G214" s="404">
        <v>0</v>
      </c>
      <c r="H214" s="404">
        <v>18000</v>
      </c>
      <c r="I214" s="404">
        <v>9720</v>
      </c>
      <c r="J214" s="404">
        <v>8280</v>
      </c>
    </row>
    <row r="215" spans="3:10">
      <c r="C215" t="s">
        <v>425</v>
      </c>
      <c r="D215" s="404">
        <v>3</v>
      </c>
      <c r="E215" s="404">
        <v>0</v>
      </c>
      <c r="F215" s="404">
        <v>18000</v>
      </c>
      <c r="G215" s="404">
        <v>0</v>
      </c>
      <c r="H215" s="404">
        <v>16800</v>
      </c>
      <c r="I215" s="404">
        <v>5295</v>
      </c>
      <c r="J215" s="404">
        <v>11505</v>
      </c>
    </row>
    <row r="216" spans="3:10">
      <c r="C216" t="s">
        <v>426</v>
      </c>
      <c r="D216" s="404">
        <v>5</v>
      </c>
      <c r="E216" s="404">
        <v>0</v>
      </c>
      <c r="F216" s="404">
        <v>16800</v>
      </c>
      <c r="G216" s="404">
        <v>0</v>
      </c>
      <c r="H216" s="404">
        <v>16000</v>
      </c>
      <c r="I216" s="404">
        <v>8640</v>
      </c>
      <c r="J216" s="404">
        <v>7360</v>
      </c>
    </row>
    <row r="217" spans="3:10">
      <c r="C217" t="s">
        <v>273</v>
      </c>
      <c r="D217" s="404">
        <v>16</v>
      </c>
      <c r="E217" s="404">
        <v>0</v>
      </c>
      <c r="F217" s="404">
        <v>16000</v>
      </c>
      <c r="G217" s="404">
        <v>0</v>
      </c>
      <c r="H217" s="404">
        <v>15200</v>
      </c>
      <c r="I217" s="404">
        <v>8640</v>
      </c>
      <c r="J217" s="404">
        <v>6560</v>
      </c>
    </row>
    <row r="218" spans="3:10">
      <c r="C218" t="s">
        <v>427</v>
      </c>
      <c r="D218" s="404">
        <v>8</v>
      </c>
      <c r="E218" s="404">
        <v>0</v>
      </c>
      <c r="F218" s="404">
        <v>15200</v>
      </c>
      <c r="G218" s="404">
        <v>0</v>
      </c>
      <c r="H218" s="404">
        <v>15000</v>
      </c>
      <c r="I218" s="404">
        <v>8080</v>
      </c>
      <c r="J218" s="404">
        <v>6920</v>
      </c>
    </row>
    <row r="219" spans="3:10">
      <c r="C219" t="s">
        <v>271</v>
      </c>
      <c r="D219" s="404">
        <v>10</v>
      </c>
      <c r="E219" s="404">
        <v>0</v>
      </c>
      <c r="F219" s="404">
        <v>15000</v>
      </c>
      <c r="G219" s="404">
        <v>0</v>
      </c>
      <c r="H219" s="404">
        <v>14400</v>
      </c>
      <c r="I219" s="404">
        <v>4380</v>
      </c>
      <c r="J219" s="404">
        <v>10020</v>
      </c>
    </row>
    <row r="220" spans="3:10">
      <c r="C220" t="s">
        <v>170</v>
      </c>
      <c r="D220" s="404">
        <v>3</v>
      </c>
      <c r="E220" s="404">
        <v>0</v>
      </c>
      <c r="F220" s="404">
        <v>14400</v>
      </c>
      <c r="G220" s="404">
        <v>0</v>
      </c>
      <c r="H220" s="404">
        <v>14000</v>
      </c>
      <c r="I220" s="404">
        <v>3550</v>
      </c>
      <c r="J220" s="404">
        <v>10450</v>
      </c>
    </row>
    <row r="221" spans="3:10">
      <c r="C221">
        <v>3010</v>
      </c>
      <c r="D221" s="404">
        <v>10</v>
      </c>
      <c r="E221" s="404">
        <v>0</v>
      </c>
      <c r="F221" s="404">
        <v>14000</v>
      </c>
      <c r="G221" s="404">
        <v>0</v>
      </c>
      <c r="H221" s="404">
        <v>13800</v>
      </c>
      <c r="I221" s="404">
        <v>2182</v>
      </c>
      <c r="J221" s="404">
        <v>11618</v>
      </c>
    </row>
    <row r="222" spans="3:10">
      <c r="C222">
        <v>5155</v>
      </c>
      <c r="D222" s="404">
        <v>7</v>
      </c>
      <c r="E222" s="404">
        <v>0</v>
      </c>
      <c r="F222" s="404">
        <v>13800</v>
      </c>
      <c r="G222" s="404">
        <v>0</v>
      </c>
      <c r="H222" s="404">
        <v>13500</v>
      </c>
      <c r="I222" s="404">
        <v>5400</v>
      </c>
      <c r="J222" s="404">
        <v>8100</v>
      </c>
    </row>
    <row r="223" spans="3:10">
      <c r="C223" t="s">
        <v>428</v>
      </c>
      <c r="D223" s="404">
        <v>1</v>
      </c>
      <c r="E223" s="404">
        <v>0</v>
      </c>
      <c r="F223" s="404">
        <v>13500</v>
      </c>
      <c r="G223" s="404">
        <v>0</v>
      </c>
      <c r="H223" s="404">
        <v>13500</v>
      </c>
      <c r="I223" s="404">
        <v>5400</v>
      </c>
      <c r="J223" s="404">
        <v>8100</v>
      </c>
    </row>
    <row r="224" spans="3:10">
      <c r="C224" t="s">
        <v>429</v>
      </c>
      <c r="D224" s="404">
        <v>1</v>
      </c>
      <c r="E224" s="404">
        <v>0</v>
      </c>
      <c r="F224" s="404">
        <v>13500</v>
      </c>
      <c r="G224" s="404">
        <v>0</v>
      </c>
      <c r="H224" s="404">
        <v>13500</v>
      </c>
      <c r="I224" s="404">
        <v>2040</v>
      </c>
      <c r="J224" s="404">
        <v>11460</v>
      </c>
    </row>
    <row r="225" spans="3:10">
      <c r="C225" t="s">
        <v>222</v>
      </c>
      <c r="D225" s="404">
        <v>24</v>
      </c>
      <c r="E225" s="404">
        <v>0</v>
      </c>
      <c r="F225" s="404">
        <v>13500</v>
      </c>
      <c r="G225" s="404">
        <v>0</v>
      </c>
      <c r="H225" s="404">
        <v>13440</v>
      </c>
      <c r="I225" s="404">
        <v>6442</v>
      </c>
      <c r="J225" s="404">
        <v>6998</v>
      </c>
    </row>
    <row r="226" spans="3:10">
      <c r="C226" t="s">
        <v>128</v>
      </c>
      <c r="D226" s="404">
        <v>6</v>
      </c>
      <c r="E226" s="404">
        <v>0</v>
      </c>
      <c r="F226" s="404">
        <v>13440</v>
      </c>
      <c r="G226" s="404">
        <v>0</v>
      </c>
      <c r="H226" s="404">
        <v>13200</v>
      </c>
      <c r="I226" s="404">
        <v>4860</v>
      </c>
      <c r="J226" s="404">
        <v>8340</v>
      </c>
    </row>
    <row r="227" spans="3:10">
      <c r="C227" t="s">
        <v>244</v>
      </c>
      <c r="D227" s="404">
        <v>12</v>
      </c>
      <c r="E227" s="404">
        <v>0</v>
      </c>
      <c r="F227" s="404">
        <v>13200</v>
      </c>
      <c r="G227" s="404">
        <v>0</v>
      </c>
      <c r="H227" s="404">
        <v>12000</v>
      </c>
      <c r="I227" s="404">
        <v>1886</v>
      </c>
      <c r="J227" s="404">
        <v>10114</v>
      </c>
    </row>
    <row r="228" spans="3:10">
      <c r="C228">
        <v>5020</v>
      </c>
      <c r="D228" s="404">
        <v>7</v>
      </c>
      <c r="E228" s="404">
        <v>0</v>
      </c>
      <c r="F228" s="404">
        <v>12000</v>
      </c>
      <c r="G228" s="404">
        <v>0</v>
      </c>
      <c r="H228" s="404">
        <v>11000</v>
      </c>
      <c r="I228" s="404">
        <v>1046</v>
      </c>
      <c r="J228" s="404">
        <v>9954</v>
      </c>
    </row>
    <row r="229" spans="3:10">
      <c r="C229" t="s">
        <v>430</v>
      </c>
      <c r="D229" s="404">
        <v>2</v>
      </c>
      <c r="E229" s="404">
        <v>0</v>
      </c>
      <c r="F229" s="404">
        <v>11000</v>
      </c>
      <c r="G229" s="404">
        <v>0</v>
      </c>
      <c r="H229" s="404">
        <v>10800</v>
      </c>
      <c r="I229" s="404">
        <v>2526</v>
      </c>
      <c r="J229" s="404">
        <v>8274</v>
      </c>
    </row>
    <row r="230" spans="3:10">
      <c r="C230" t="s">
        <v>165</v>
      </c>
      <c r="D230" s="404">
        <v>2</v>
      </c>
      <c r="E230" s="404">
        <v>0</v>
      </c>
      <c r="F230" s="404">
        <v>10800</v>
      </c>
      <c r="G230" s="404">
        <v>0</v>
      </c>
      <c r="H230" s="404">
        <v>10800</v>
      </c>
      <c r="I230" s="404">
        <v>1962</v>
      </c>
      <c r="J230" s="404">
        <v>8838</v>
      </c>
    </row>
    <row r="231" spans="3:10">
      <c r="C231" t="s">
        <v>253</v>
      </c>
      <c r="D231" s="404">
        <v>18</v>
      </c>
      <c r="E231" s="404">
        <v>0</v>
      </c>
      <c r="F231" s="404">
        <v>10800</v>
      </c>
      <c r="G231" s="404">
        <v>0</v>
      </c>
      <c r="H231" s="404">
        <v>10800</v>
      </c>
      <c r="I231" s="404">
        <v>4050</v>
      </c>
      <c r="J231" s="404">
        <v>6750</v>
      </c>
    </row>
    <row r="232" spans="3:10">
      <c r="C232" t="s">
        <v>257</v>
      </c>
      <c r="D232" s="404">
        <v>9</v>
      </c>
      <c r="E232" s="404">
        <v>0</v>
      </c>
      <c r="F232" s="404">
        <v>10800</v>
      </c>
      <c r="G232" s="404">
        <v>0</v>
      </c>
      <c r="H232" s="404">
        <v>10500</v>
      </c>
      <c r="I232" s="404">
        <v>3546</v>
      </c>
      <c r="J232" s="404">
        <v>6954</v>
      </c>
    </row>
    <row r="233" spans="3:10">
      <c r="C233" t="s">
        <v>431</v>
      </c>
      <c r="D233" s="404">
        <v>3</v>
      </c>
      <c r="E233" s="404">
        <v>0</v>
      </c>
      <c r="F233" s="404">
        <v>10500</v>
      </c>
      <c r="G233" s="404">
        <v>0</v>
      </c>
      <c r="H233" s="404">
        <v>10500</v>
      </c>
      <c r="I233" s="404">
        <v>3402</v>
      </c>
      <c r="J233" s="404">
        <v>7098</v>
      </c>
    </row>
    <row r="234" spans="3:10">
      <c r="C234" t="s">
        <v>432</v>
      </c>
      <c r="D234" s="404">
        <v>3</v>
      </c>
      <c r="E234" s="404">
        <v>0</v>
      </c>
      <c r="F234" s="404">
        <v>10500</v>
      </c>
      <c r="G234" s="404">
        <v>0</v>
      </c>
      <c r="H234" s="404">
        <v>9750</v>
      </c>
      <c r="I234" s="404">
        <v>9750</v>
      </c>
      <c r="J234" s="404">
        <v>0</v>
      </c>
    </row>
    <row r="235" spans="3:10">
      <c r="C235" t="s">
        <v>272</v>
      </c>
      <c r="D235" s="404">
        <v>16</v>
      </c>
      <c r="E235" s="404">
        <v>0</v>
      </c>
      <c r="F235" s="404">
        <v>9750</v>
      </c>
      <c r="G235" s="404">
        <v>0</v>
      </c>
      <c r="H235" s="404">
        <v>9000</v>
      </c>
      <c r="I235" s="404">
        <v>1149</v>
      </c>
      <c r="J235" s="404">
        <v>7851</v>
      </c>
    </row>
    <row r="236" spans="3:10">
      <c r="C236" t="s">
        <v>433</v>
      </c>
      <c r="D236" s="404">
        <v>1</v>
      </c>
      <c r="E236" s="404">
        <v>0</v>
      </c>
      <c r="F236" s="404">
        <v>9000</v>
      </c>
      <c r="G236" s="404">
        <v>0</v>
      </c>
      <c r="H236" s="404">
        <v>9000</v>
      </c>
      <c r="I236" s="404">
        <v>1964</v>
      </c>
      <c r="J236" s="404">
        <v>7036</v>
      </c>
    </row>
    <row r="237" spans="3:10">
      <c r="C237" t="s">
        <v>212</v>
      </c>
      <c r="D237" s="404">
        <v>1</v>
      </c>
      <c r="E237" s="404">
        <v>0</v>
      </c>
      <c r="F237" s="404">
        <v>9000</v>
      </c>
      <c r="G237" s="404">
        <v>0</v>
      </c>
      <c r="H237" s="404">
        <v>9000</v>
      </c>
      <c r="I237" s="404">
        <v>4500</v>
      </c>
      <c r="J237" s="404">
        <v>4500</v>
      </c>
    </row>
    <row r="238" spans="3:10">
      <c r="C238" t="s">
        <v>234</v>
      </c>
      <c r="D238" s="404">
        <v>1</v>
      </c>
      <c r="E238" s="404">
        <v>0</v>
      </c>
      <c r="F238" s="404">
        <v>9000</v>
      </c>
      <c r="G238" s="404">
        <v>0</v>
      </c>
      <c r="H238" s="404">
        <v>8550</v>
      </c>
      <c r="I238" s="404">
        <v>9468</v>
      </c>
      <c r="J238" s="404">
        <v>-918</v>
      </c>
    </row>
    <row r="239" spans="3:10">
      <c r="C239" t="s">
        <v>190</v>
      </c>
      <c r="D239" s="404">
        <v>4</v>
      </c>
      <c r="E239" s="404">
        <v>0</v>
      </c>
      <c r="F239" s="404">
        <v>8550</v>
      </c>
      <c r="G239" s="404">
        <v>0</v>
      </c>
      <c r="H239" s="404">
        <v>7800</v>
      </c>
      <c r="I239" s="404">
        <v>2430</v>
      </c>
      <c r="J239" s="404">
        <v>5370</v>
      </c>
    </row>
    <row r="240" spans="3:10">
      <c r="C240" t="s">
        <v>264</v>
      </c>
      <c r="D240" s="404">
        <v>6</v>
      </c>
      <c r="E240" s="404">
        <v>0</v>
      </c>
      <c r="F240" s="404">
        <v>7800</v>
      </c>
      <c r="G240" s="404">
        <v>0</v>
      </c>
      <c r="H240" s="404">
        <v>7200</v>
      </c>
      <c r="I240" s="404">
        <v>4698</v>
      </c>
      <c r="J240" s="404">
        <v>2502</v>
      </c>
    </row>
    <row r="241" spans="3:10">
      <c r="C241">
        <v>5033</v>
      </c>
      <c r="D241" s="404">
        <v>18</v>
      </c>
      <c r="E241" s="404">
        <v>0</v>
      </c>
      <c r="F241" s="404">
        <v>7200</v>
      </c>
      <c r="G241" s="404">
        <v>0</v>
      </c>
      <c r="H241" s="404">
        <v>7092</v>
      </c>
      <c r="I241" s="404">
        <v>3552</v>
      </c>
      <c r="J241" s="404">
        <v>3540</v>
      </c>
    </row>
    <row r="242" spans="3:10">
      <c r="C242" t="s">
        <v>267</v>
      </c>
      <c r="D242" s="404">
        <v>4</v>
      </c>
      <c r="E242" s="404">
        <v>0</v>
      </c>
      <c r="F242" s="404">
        <v>7092</v>
      </c>
      <c r="G242" s="404">
        <v>0</v>
      </c>
      <c r="H242" s="404">
        <v>7000</v>
      </c>
      <c r="I242" s="404">
        <v>2038</v>
      </c>
      <c r="J242" s="404">
        <v>4962</v>
      </c>
    </row>
    <row r="243" spans="3:10">
      <c r="C243" t="s">
        <v>434</v>
      </c>
      <c r="D243" s="404">
        <v>2</v>
      </c>
      <c r="E243" s="404">
        <v>0</v>
      </c>
      <c r="F243" s="404">
        <v>7000</v>
      </c>
      <c r="G243" s="404">
        <v>0</v>
      </c>
      <c r="H243" s="404">
        <v>7000</v>
      </c>
      <c r="I243" s="404">
        <v>1988</v>
      </c>
      <c r="J243" s="404">
        <v>5012</v>
      </c>
    </row>
    <row r="244" spans="3:10">
      <c r="C244" t="s">
        <v>435</v>
      </c>
      <c r="D244" s="404">
        <v>2</v>
      </c>
      <c r="E244" s="404">
        <v>0</v>
      </c>
      <c r="F244" s="404">
        <v>7000</v>
      </c>
      <c r="G244" s="404">
        <v>0</v>
      </c>
      <c r="H244" s="404">
        <v>7000</v>
      </c>
      <c r="I244" s="404">
        <v>1168</v>
      </c>
      <c r="J244" s="404">
        <v>5832</v>
      </c>
    </row>
    <row r="245" spans="3:10">
      <c r="C245">
        <v>5665</v>
      </c>
      <c r="D245" s="404">
        <v>4</v>
      </c>
      <c r="E245" s="404">
        <v>0</v>
      </c>
      <c r="F245" s="404">
        <v>7000</v>
      </c>
      <c r="G245" s="404">
        <v>0</v>
      </c>
      <c r="H245" s="404">
        <v>6820</v>
      </c>
      <c r="I245" s="404">
        <v>4440</v>
      </c>
      <c r="J245" s="404">
        <v>2380</v>
      </c>
    </row>
    <row r="246" spans="3:10">
      <c r="C246" t="s">
        <v>436</v>
      </c>
      <c r="D246" s="404">
        <v>5</v>
      </c>
      <c r="E246" s="404">
        <v>0</v>
      </c>
      <c r="F246" s="404">
        <v>6820</v>
      </c>
      <c r="G246" s="404">
        <v>0</v>
      </c>
      <c r="H246" s="404">
        <v>6000</v>
      </c>
      <c r="I246" s="404">
        <v>3600</v>
      </c>
      <c r="J246" s="404">
        <v>2400</v>
      </c>
    </row>
    <row r="247" spans="3:10">
      <c r="C247" t="s">
        <v>223</v>
      </c>
      <c r="D247" s="404">
        <v>2</v>
      </c>
      <c r="E247" s="404">
        <v>0</v>
      </c>
      <c r="F247" s="404">
        <v>6000</v>
      </c>
      <c r="G247" s="404">
        <v>0</v>
      </c>
      <c r="H247" s="404">
        <v>5800</v>
      </c>
      <c r="I247" s="404">
        <v>964</v>
      </c>
      <c r="J247" s="404">
        <v>4836</v>
      </c>
    </row>
    <row r="248" spans="3:10">
      <c r="C248" t="s">
        <v>213</v>
      </c>
      <c r="D248" s="404">
        <v>1</v>
      </c>
      <c r="E248" s="404">
        <v>0</v>
      </c>
      <c r="F248" s="404">
        <v>5800</v>
      </c>
      <c r="G248" s="404">
        <v>0</v>
      </c>
      <c r="H248" s="404">
        <v>5600</v>
      </c>
      <c r="I248" s="404">
        <v>1120</v>
      </c>
      <c r="J248" s="404">
        <v>4480</v>
      </c>
    </row>
    <row r="249" spans="3:10">
      <c r="C249" t="s">
        <v>255</v>
      </c>
      <c r="D249" s="404">
        <v>7</v>
      </c>
      <c r="E249" s="404">
        <v>0</v>
      </c>
      <c r="F249" s="404">
        <v>5600</v>
      </c>
      <c r="G249" s="404">
        <v>0</v>
      </c>
      <c r="H249" s="404">
        <v>5000</v>
      </c>
      <c r="I249" s="404">
        <v>1164</v>
      </c>
      <c r="J249" s="404">
        <v>3836</v>
      </c>
    </row>
    <row r="250" spans="3:10">
      <c r="C250">
        <v>3063</v>
      </c>
      <c r="D250" s="404">
        <v>4</v>
      </c>
      <c r="E250" s="404">
        <v>0</v>
      </c>
      <c r="F250" s="404">
        <v>5000</v>
      </c>
      <c r="G250" s="404">
        <v>0</v>
      </c>
      <c r="H250" s="404">
        <v>4800</v>
      </c>
      <c r="I250" s="404">
        <v>2832</v>
      </c>
      <c r="J250" s="404">
        <v>1968</v>
      </c>
    </row>
    <row r="251" spans="3:10">
      <c r="C251">
        <v>5644</v>
      </c>
      <c r="D251" s="404">
        <v>12</v>
      </c>
      <c r="E251" s="404">
        <v>0</v>
      </c>
      <c r="F251" s="404">
        <v>4800</v>
      </c>
      <c r="G251" s="404">
        <v>0</v>
      </c>
      <c r="H251" s="404">
        <v>4500</v>
      </c>
      <c r="I251" s="404">
        <v>381</v>
      </c>
      <c r="J251" s="404">
        <v>4119</v>
      </c>
    </row>
    <row r="252" spans="3:10">
      <c r="C252" t="s">
        <v>437</v>
      </c>
      <c r="D252" s="404">
        <v>1</v>
      </c>
      <c r="E252" s="404">
        <v>0</v>
      </c>
      <c r="F252" s="404">
        <v>4500</v>
      </c>
      <c r="G252" s="404">
        <v>0</v>
      </c>
      <c r="H252" s="404">
        <v>4500</v>
      </c>
      <c r="I252" s="404">
        <v>330</v>
      </c>
      <c r="J252" s="404">
        <v>4170</v>
      </c>
    </row>
    <row r="253" spans="3:10">
      <c r="C253" t="s">
        <v>438</v>
      </c>
      <c r="D253" s="404">
        <v>1</v>
      </c>
      <c r="E253" s="404">
        <v>0</v>
      </c>
      <c r="F253" s="404">
        <v>4500</v>
      </c>
      <c r="G253" s="404">
        <v>0</v>
      </c>
      <c r="H253" s="404">
        <v>4300</v>
      </c>
      <c r="I253" s="404">
        <v>2340</v>
      </c>
      <c r="J253" s="404">
        <v>1960</v>
      </c>
    </row>
    <row r="254" spans="3:10">
      <c r="C254" t="s">
        <v>439</v>
      </c>
      <c r="D254" s="404">
        <v>1</v>
      </c>
      <c r="E254" s="404">
        <v>0</v>
      </c>
      <c r="F254" s="404">
        <v>4300</v>
      </c>
      <c r="G254" s="404">
        <v>0</v>
      </c>
      <c r="H254" s="404">
        <v>4200</v>
      </c>
      <c r="I254" s="404">
        <v>1620</v>
      </c>
      <c r="J254" s="404">
        <v>2580</v>
      </c>
    </row>
    <row r="255" spans="3:10">
      <c r="C255" t="s">
        <v>261</v>
      </c>
      <c r="D255" s="404">
        <v>2</v>
      </c>
      <c r="E255" s="404">
        <v>0</v>
      </c>
      <c r="F255" s="404">
        <v>4200</v>
      </c>
      <c r="G255" s="404">
        <v>0</v>
      </c>
      <c r="H255" s="404">
        <v>4200</v>
      </c>
      <c r="I255" s="404">
        <v>1419</v>
      </c>
      <c r="J255" s="404">
        <v>2781</v>
      </c>
    </row>
    <row r="256" spans="3:10">
      <c r="C256" t="s">
        <v>440</v>
      </c>
      <c r="D256" s="404">
        <v>3</v>
      </c>
      <c r="E256" s="404">
        <v>0</v>
      </c>
      <c r="F256" s="404">
        <v>4200</v>
      </c>
      <c r="G256" s="404">
        <v>0</v>
      </c>
      <c r="H256" s="404">
        <v>4050</v>
      </c>
      <c r="I256" s="404">
        <v>7365</v>
      </c>
      <c r="J256" s="404">
        <v>-3315</v>
      </c>
    </row>
    <row r="257" spans="3:10">
      <c r="C257" t="s">
        <v>191</v>
      </c>
      <c r="D257" s="404">
        <v>3</v>
      </c>
      <c r="E257" s="404">
        <v>0</v>
      </c>
      <c r="F257" s="404">
        <v>4050</v>
      </c>
      <c r="G257" s="404">
        <v>0</v>
      </c>
      <c r="H257" s="404">
        <v>3800</v>
      </c>
      <c r="I257" s="404">
        <v>2100</v>
      </c>
      <c r="J257" s="404">
        <v>1700</v>
      </c>
    </row>
    <row r="258" spans="3:10">
      <c r="C258" t="s">
        <v>441</v>
      </c>
      <c r="D258" s="404">
        <v>1</v>
      </c>
      <c r="E258" s="404">
        <v>0</v>
      </c>
      <c r="F258" s="404">
        <v>3800</v>
      </c>
      <c r="G258" s="404">
        <v>0</v>
      </c>
      <c r="H258" s="404">
        <v>3800</v>
      </c>
      <c r="I258" s="404">
        <v>2100</v>
      </c>
      <c r="J258" s="404">
        <v>1700</v>
      </c>
    </row>
    <row r="259" spans="3:10">
      <c r="C259" t="s">
        <v>442</v>
      </c>
      <c r="D259" s="404">
        <v>1</v>
      </c>
      <c r="E259" s="404">
        <v>0</v>
      </c>
      <c r="F259" s="404">
        <v>3800</v>
      </c>
      <c r="G259" s="404">
        <v>0</v>
      </c>
      <c r="H259" s="404">
        <v>3600</v>
      </c>
      <c r="I259" s="404">
        <v>3249</v>
      </c>
      <c r="J259" s="404">
        <v>351</v>
      </c>
    </row>
    <row r="260" spans="3:10">
      <c r="C260" t="s">
        <v>236</v>
      </c>
      <c r="D260" s="404">
        <v>9</v>
      </c>
      <c r="E260" s="404">
        <v>0</v>
      </c>
      <c r="F260" s="404">
        <v>3600</v>
      </c>
      <c r="G260" s="404">
        <v>0</v>
      </c>
      <c r="H260" s="404">
        <v>3500</v>
      </c>
      <c r="I260" s="404">
        <v>1019</v>
      </c>
      <c r="J260" s="404">
        <v>2481</v>
      </c>
    </row>
    <row r="261" spans="3:10">
      <c r="C261" t="s">
        <v>443</v>
      </c>
      <c r="D261" s="404">
        <v>1</v>
      </c>
      <c r="E261" s="404">
        <v>0</v>
      </c>
      <c r="F261" s="404">
        <v>3500</v>
      </c>
      <c r="G261" s="404">
        <v>0</v>
      </c>
      <c r="H261" s="404">
        <v>3500</v>
      </c>
      <c r="I261" s="404">
        <v>1103</v>
      </c>
      <c r="J261" s="404">
        <v>2397</v>
      </c>
    </row>
    <row r="262" spans="3:10">
      <c r="C262" t="s">
        <v>444</v>
      </c>
      <c r="D262" s="404">
        <v>1</v>
      </c>
      <c r="E262" s="404">
        <v>0</v>
      </c>
      <c r="F262" s="404">
        <v>3500</v>
      </c>
      <c r="G262" s="404">
        <v>0</v>
      </c>
      <c r="H262" s="404">
        <v>3500</v>
      </c>
      <c r="I262" s="404">
        <v>1062</v>
      </c>
      <c r="J262" s="404">
        <v>2438</v>
      </c>
    </row>
    <row r="263" spans="3:10">
      <c r="C263" t="s">
        <v>445</v>
      </c>
      <c r="D263" s="404">
        <v>1</v>
      </c>
      <c r="E263" s="404">
        <v>0</v>
      </c>
      <c r="F263" s="404">
        <v>3500</v>
      </c>
      <c r="G263" s="404">
        <v>0</v>
      </c>
      <c r="H263" s="404">
        <v>3500</v>
      </c>
      <c r="I263" s="404">
        <v>962</v>
      </c>
      <c r="J263" s="404">
        <v>2538</v>
      </c>
    </row>
    <row r="264" spans="3:10">
      <c r="C264" t="s">
        <v>446</v>
      </c>
      <c r="D264" s="404">
        <v>1</v>
      </c>
      <c r="E264" s="404">
        <v>0</v>
      </c>
      <c r="F264" s="404">
        <v>3500</v>
      </c>
      <c r="G264" s="404">
        <v>0</v>
      </c>
      <c r="H264" s="404">
        <v>3500</v>
      </c>
      <c r="I264" s="404">
        <v>1038</v>
      </c>
      <c r="J264" s="404">
        <v>2462</v>
      </c>
    </row>
    <row r="265" spans="3:10">
      <c r="C265" t="s">
        <v>447</v>
      </c>
      <c r="D265" s="404">
        <v>1</v>
      </c>
      <c r="E265" s="404">
        <v>0</v>
      </c>
      <c r="F265" s="404">
        <v>3500</v>
      </c>
      <c r="G265" s="404">
        <v>0</v>
      </c>
      <c r="H265" s="404">
        <v>3000</v>
      </c>
      <c r="I265" s="404">
        <v>444</v>
      </c>
      <c r="J265" s="404">
        <v>2556</v>
      </c>
    </row>
    <row r="266" spans="3:10">
      <c r="C266">
        <v>5655</v>
      </c>
      <c r="D266" s="404">
        <v>2</v>
      </c>
      <c r="E266" s="404">
        <v>0</v>
      </c>
      <c r="F266" s="404">
        <v>3000</v>
      </c>
      <c r="G266" s="404">
        <v>0</v>
      </c>
      <c r="H266" s="404">
        <v>2728</v>
      </c>
      <c r="I266" s="404">
        <v>1776</v>
      </c>
      <c r="J266" s="404">
        <v>952</v>
      </c>
    </row>
    <row r="267" spans="3:10">
      <c r="C267" t="s">
        <v>263</v>
      </c>
      <c r="D267" s="404">
        <v>2</v>
      </c>
      <c r="E267" s="404">
        <v>0</v>
      </c>
      <c r="F267" s="404">
        <v>2728</v>
      </c>
      <c r="G267" s="404">
        <v>0</v>
      </c>
      <c r="H267" s="404">
        <v>2300</v>
      </c>
      <c r="I267" s="404">
        <v>539</v>
      </c>
      <c r="J267" s="404">
        <v>1761</v>
      </c>
    </row>
    <row r="268" spans="3:10">
      <c r="C268" t="s">
        <v>270</v>
      </c>
      <c r="D268" s="404">
        <v>1</v>
      </c>
      <c r="E268" s="404">
        <v>0</v>
      </c>
      <c r="F268" s="404">
        <v>2300</v>
      </c>
      <c r="G268" s="404">
        <v>0</v>
      </c>
      <c r="H268" s="404">
        <v>2000</v>
      </c>
      <c r="I268" s="404">
        <v>726</v>
      </c>
      <c r="J268" s="404">
        <v>1274</v>
      </c>
    </row>
    <row r="269" spans="3:10">
      <c r="C269">
        <v>5015</v>
      </c>
      <c r="D269" s="404">
        <v>2</v>
      </c>
      <c r="E269" s="404">
        <v>0</v>
      </c>
      <c r="F269" s="404">
        <v>2000</v>
      </c>
      <c r="G269" s="404">
        <v>0</v>
      </c>
      <c r="H269" s="404">
        <v>1820</v>
      </c>
      <c r="I269" s="404">
        <v>200</v>
      </c>
      <c r="J269" s="404">
        <v>1620</v>
      </c>
    </row>
    <row r="270" spans="3:10">
      <c r="C270" t="s">
        <v>258</v>
      </c>
      <c r="D270" s="404">
        <v>2</v>
      </c>
      <c r="E270" s="404">
        <v>0</v>
      </c>
      <c r="F270" s="404">
        <v>1820</v>
      </c>
      <c r="G270" s="404">
        <v>0</v>
      </c>
      <c r="H270" s="404">
        <v>1200</v>
      </c>
      <c r="I270" s="404">
        <v>930</v>
      </c>
      <c r="J270" s="404">
        <v>270</v>
      </c>
    </row>
    <row r="271" spans="3:10">
      <c r="C271">
        <v>5604</v>
      </c>
      <c r="D271" s="404">
        <v>3</v>
      </c>
      <c r="E271" s="404">
        <v>0</v>
      </c>
      <c r="F271" s="404">
        <v>1200</v>
      </c>
      <c r="G271" s="404">
        <v>0</v>
      </c>
      <c r="H271" s="404">
        <v>900</v>
      </c>
      <c r="I271" s="404">
        <v>406</v>
      </c>
      <c r="J271" s="404">
        <v>494</v>
      </c>
    </row>
    <row r="272" spans="3:10">
      <c r="C272" t="s">
        <v>448</v>
      </c>
      <c r="D272" s="404">
        <v>1</v>
      </c>
      <c r="E272" s="404">
        <v>0</v>
      </c>
      <c r="F272" s="404">
        <v>900</v>
      </c>
      <c r="G272" s="404">
        <v>0</v>
      </c>
      <c r="H272" s="404">
        <v>400</v>
      </c>
      <c r="I272" s="404">
        <v>285</v>
      </c>
      <c r="J272" s="404">
        <v>115</v>
      </c>
    </row>
    <row r="273" spans="3:10">
      <c r="C273" t="s">
        <v>449</v>
      </c>
      <c r="D273" s="404">
        <v>1</v>
      </c>
      <c r="E273" s="404">
        <v>0</v>
      </c>
      <c r="F273" s="404">
        <v>400</v>
      </c>
      <c r="G273" s="404">
        <v>0</v>
      </c>
      <c r="H273" s="404">
        <v>227</v>
      </c>
      <c r="I273" s="404">
        <v>0</v>
      </c>
      <c r="J273" s="404">
        <v>227</v>
      </c>
    </row>
    <row r="274" spans="3:10">
      <c r="C274">
        <v>900754</v>
      </c>
      <c r="D274" s="404">
        <v>1</v>
      </c>
      <c r="E274" s="404">
        <v>0</v>
      </c>
      <c r="F274" s="404">
        <v>227</v>
      </c>
      <c r="G274" s="404">
        <v>0</v>
      </c>
      <c r="H274" s="404">
        <v>-4929705</v>
      </c>
      <c r="I274" s="404">
        <v>0</v>
      </c>
      <c r="J274" s="404">
        <v>-4929705</v>
      </c>
    </row>
    <row r="275" spans="3:10">
      <c r="C275">
        <v>900520</v>
      </c>
      <c r="D275" s="404">
        <v>1010</v>
      </c>
      <c r="E275" s="404">
        <v>0</v>
      </c>
      <c r="F275" s="404">
        <v>-4929705</v>
      </c>
    </row>
  </sheetData>
  <autoFilter ref="C3:Q3" xr:uid="{68929269-89F8-4B46-AEEF-D068C68D91FB}"/>
  <mergeCells count="7">
    <mergeCell ref="S4:W4"/>
    <mergeCell ref="N2:O2"/>
    <mergeCell ref="P2:Q2"/>
    <mergeCell ref="M1:Q1"/>
    <mergeCell ref="C1:F2"/>
    <mergeCell ref="S3:W3"/>
    <mergeCell ref="S2:W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差し替え品番</vt:lpstr>
      <vt:lpstr>在庫推移 (2026.08～)</vt:lpstr>
      <vt:lpstr>在庫推移</vt:lpstr>
      <vt:lpstr>FL-3000在庫</vt:lpstr>
      <vt:lpstr>月別販売比率</vt:lpstr>
      <vt:lpstr>度数別比率</vt:lpstr>
      <vt:lpstr>【旧】販売試算表</vt:lpstr>
      <vt:lpstr>元データ</vt:lpstr>
      <vt:lpstr>2026売上ランキング 1-5</vt:lpstr>
      <vt:lpstr>'FL-3000在庫'!Print_Area</vt:lpstr>
      <vt:lpstr>在庫推移!Print_Area</vt:lpstr>
      <vt:lpstr>'在庫推移 (2026.08～)'!Print_Area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浩主 高橋</dc:creator>
  <cp:lastModifiedBy>h.maeda</cp:lastModifiedBy>
  <cp:lastPrinted>2025-07-03T00:40:16Z</cp:lastPrinted>
  <dcterms:created xsi:type="dcterms:W3CDTF">2023-12-20T02:19:47Z</dcterms:created>
  <dcterms:modified xsi:type="dcterms:W3CDTF">2026-07-24T06:20:10Z</dcterms:modified>
</cp:coreProperties>
</file>